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ena\Github\watergpt\documents\test\"/>
    </mc:Choice>
  </mc:AlternateContent>
  <xr:revisionPtr revIDLastSave="0" documentId="8_{3A1A3A75-56ED-4637-B3DA-76AAED4D363C}" xr6:coauthVersionLast="47" xr6:coauthVersionMax="47" xr10:uidLastSave="{00000000-0000-0000-0000-000000000000}"/>
  <bookViews>
    <workbookView xWindow="-113" yWindow="-113" windowWidth="32281" windowHeight="19534" xr2:uid="{8C9706E4-5E7C-4D8E-9637-89676F6221FF}"/>
  </bookViews>
  <sheets>
    <sheet name="CT" sheetId="1" r:id="rId1"/>
  </sheets>
  <externalReferences>
    <externalReference r:id="rId2"/>
    <externalReference r:id="rId3"/>
  </externalReferences>
  <definedNames>
    <definedName name="C_">[1]SSMODEL2!#REF!</definedName>
    <definedName name="CF">[1]SSMODEL2!#REF!</definedName>
    <definedName name="D_1">[1]SSMODEL2!#REF!</definedName>
    <definedName name="D_2">[1]SSMODEL2!#REF!</definedName>
    <definedName name="DH">[1]SSMODEL2!#REF!</definedName>
    <definedName name="dia">[1]SSMODEL2!#REF!</definedName>
    <definedName name="FC">[1]SSMODEL2!#REF!</definedName>
    <definedName name="FF">[1]SSMODEL2!#REF!</definedName>
    <definedName name="l">[1]SSMODEL2!#REF!</definedName>
    <definedName name="L_2">[1]SSMODEL2!#REF!</definedName>
    <definedName name="LGTH">[1]SSMODEL2!#REF!</definedName>
    <definedName name="LH">[1]SSMODEL2!#REF!</definedName>
    <definedName name="n">[1]SSMODEL2!#REF!</definedName>
    <definedName name="POP">[1]SSMODEL2!#REF!</definedName>
    <definedName name="_xlnm.Print_Area" localSheetId="0">CT!$B$1:$J$53</definedName>
    <definedName name="RWCFS">[1]SSMODEL2!#REF!</definedName>
    <definedName name="SERIES1">[1]SSMODEL2!#REF!</definedName>
    <definedName name="SERIES2">[1]SSMODEL2!#REF!</definedName>
    <definedName name="WTPELEV">'[2]H. Profile WTP'!#REF!</definedName>
  </definedNames>
  <calcPr calcId="191029" iterate="1" iterateCount="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H42" i="1" s="1"/>
  <c r="F41" i="1"/>
  <c r="E24" i="1"/>
  <c r="E23" i="1"/>
  <c r="H41" i="1"/>
  <c r="H43" i="1" s="1"/>
  <c r="H45" i="1" s="1"/>
</calcChain>
</file>

<file path=xl/sharedStrings.xml><?xml version="1.0" encoding="utf-8"?>
<sst xmlns="http://schemas.openxmlformats.org/spreadsheetml/2006/main" count="48" uniqueCount="45">
  <si>
    <t>Flow (m3/min)</t>
  </si>
  <si>
    <t>Water Depth (m)</t>
  </si>
  <si>
    <t>Volume (m3)</t>
  </si>
  <si>
    <t>(min)</t>
  </si>
  <si>
    <t>Minimum Tc</t>
  </si>
  <si>
    <r>
      <t>TOTAL CONTACT TIME (T</t>
    </r>
    <r>
      <rPr>
        <b/>
        <sz val="10"/>
        <rFont val="Arial"/>
        <family val="2"/>
      </rPr>
      <t>10 IN MINUTES</t>
    </r>
    <r>
      <rPr>
        <b/>
        <sz val="14"/>
        <rFont val="Arial"/>
        <family val="2"/>
      </rPr>
      <t>)</t>
    </r>
  </si>
  <si>
    <t>TOTAL CT</t>
  </si>
  <si>
    <t>mg/L.min.</t>
  </si>
  <si>
    <t>CT = C (T10/T) x T</t>
  </si>
  <si>
    <t>C = Chlorine residual in mg/L</t>
  </si>
  <si>
    <t>T = Hydraulic retention time in minutes</t>
  </si>
  <si>
    <t>Baffling Factor</t>
  </si>
  <si>
    <r>
      <t>(T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/T</t>
    </r>
    <r>
      <rPr>
        <sz val="10"/>
        <rFont val="Arial"/>
      </rPr>
      <t>)</t>
    </r>
  </si>
  <si>
    <t>Where:</t>
  </si>
  <si>
    <t>C = residual chlorine concentration in mg/L</t>
  </si>
  <si>
    <t>pH = the negative log concentration of hydrogen ion</t>
  </si>
  <si>
    <t>CT = (0.353*I)(12.006+e^(2.46-0.073*temp+0.125*C+0.389*pH))  Equation 3-3</t>
  </si>
  <si>
    <t>CT = (0.361*I)(-2.261+e^(2.69-0.065*temp+0.111*C+0.361*pH))  Equation 3-4</t>
  </si>
  <si>
    <t>I  = 3, the number of log inactivation required</t>
  </si>
  <si>
    <t>Temp = temperature in degrees Celcius</t>
  </si>
  <si>
    <t>e = 2.7183, the base for the natural logarithm  Single Clearwell Calculation</t>
  </si>
  <si>
    <t>Water pH (units)</t>
  </si>
  <si>
    <t>Free Chlorine at clearwell exit (mg/L)</t>
  </si>
  <si>
    <t>Target Giardia Logs (0.5 or 1.0)</t>
  </si>
  <si>
    <r>
      <t>UNDER 12.5</t>
    </r>
    <r>
      <rPr>
        <b/>
        <vertAlign val="superscript"/>
        <sz val="10"/>
        <rFont val="Arial"/>
        <family val="2"/>
      </rPr>
      <t xml:space="preserve"> o</t>
    </r>
    <r>
      <rPr>
        <b/>
        <sz val="10"/>
        <rFont val="Arial"/>
        <family val="2"/>
      </rPr>
      <t>C, the basic CT value is</t>
    </r>
  </si>
  <si>
    <r>
      <t xml:space="preserve">OVER 12.5 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C, the basic CT value is</t>
    </r>
  </si>
  <si>
    <r>
      <t xml:space="preserve">(For temperature &lt; 12.5 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C)</t>
    </r>
  </si>
  <si>
    <r>
      <t xml:space="preserve">(For temperature &gt; 12.5 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C)</t>
    </r>
  </si>
  <si>
    <r>
      <t>Water temperature (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C)</t>
    </r>
  </si>
  <si>
    <t>T10 = Time for 10% of the water to pass through the process</t>
  </si>
  <si>
    <t>PART 1 - Required CT</t>
  </si>
  <si>
    <t xml:space="preserve">PART 2 - Actual Plant CT </t>
  </si>
  <si>
    <t>PART 3 - Conclusion</t>
  </si>
  <si>
    <t>1.   If the actual CT value is GREATER than the required CT value, the plant is providing proper disinfection.</t>
  </si>
  <si>
    <r>
      <t xml:space="preserve">2.   If the actual CT value is LESS than the required CT value, the plant is </t>
    </r>
    <r>
      <rPr>
        <b/>
        <u/>
        <sz val="10"/>
        <rFont val="Arial"/>
        <family val="2"/>
      </rPr>
      <t>not</t>
    </r>
    <r>
      <rPr>
        <b/>
        <sz val="10"/>
        <rFont val="Arial"/>
        <family val="2"/>
      </rPr>
      <t xml:space="preserve"> providing proper disinfection and</t>
    </r>
  </si>
  <si>
    <r>
      <t>Area (m</t>
    </r>
    <r>
      <rPr>
        <vertAlign val="superscript"/>
        <sz val="10"/>
        <rFont val="Arial"/>
        <family val="2"/>
      </rPr>
      <t>2</t>
    </r>
    <r>
      <rPr>
        <sz val="10"/>
        <rFont val="Arial"/>
      </rPr>
      <t>)</t>
    </r>
  </si>
  <si>
    <t xml:space="preserve">Blue Cells - Data to be Entered </t>
  </si>
  <si>
    <t>Pink Cells - Calculated Data</t>
  </si>
  <si>
    <t>Yellow Cells - Calculated data from PDDWO</t>
  </si>
  <si>
    <t>Clearwell/High Lift Wells</t>
  </si>
  <si>
    <t>Discharge Line (85 m of 200 mm pipe)</t>
  </si>
  <si>
    <t>DATE OF INCIDENT:</t>
  </si>
  <si>
    <t xml:space="preserve">Treated Flow Rate (L/s) </t>
  </si>
  <si>
    <t>CT Calculation - Surface Water Plant</t>
  </si>
  <si>
    <t xml:space="preserve">      the incident must be reported as an Adverse. (Refer to the Adverse Reporting Procedure - Chlorine Residuals)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</si>
</sst>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vertAlign val="superscript"/>
      <sz val="10"/>
      <name val="Arial"/>
      <family val="2"/>
    </font>
    <font>
      <vertAlign val="subscript"/>
      <sz val="10"/>
      <name val="Arial"/>
      <family val="2"/>
    </font>
    <font>
      <b/>
      <i/>
      <sz val="11"/>
      <name val="Arial"/>
      <family val="2"/>
    </font>
    <font>
      <b/>
      <u/>
      <sz val="10"/>
      <name val="Arial"/>
      <family val="2"/>
    </font>
    <font>
      <vertAlign val="superscript"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37E8FB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Fill="1"/>
    <xf numFmtId="2" fontId="0" fillId="0" borderId="0" xfId="0" applyNumberFormat="1"/>
    <xf numFmtId="2" fontId="2" fillId="0" borderId="0" xfId="0" applyNumberFormat="1" applyFont="1"/>
    <xf numFmtId="0" fontId="2" fillId="0" borderId="0" xfId="0" applyFont="1" applyAlignment="1">
      <alignment horizontal="right"/>
    </xf>
    <xf numFmtId="2" fontId="0" fillId="2" borderId="0" xfId="0" applyNumberFormat="1" applyFill="1"/>
    <xf numFmtId="2" fontId="0" fillId="3" borderId="0" xfId="0" applyNumberFormat="1" applyFill="1"/>
    <xf numFmtId="2" fontId="2" fillId="3" borderId="0" xfId="0" applyNumberFormat="1" applyFont="1" applyFill="1"/>
    <xf numFmtId="15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/>
    <xf numFmtId="15" fontId="3" fillId="0" borderId="0" xfId="0" applyNumberFormat="1" applyFont="1"/>
    <xf numFmtId="0" fontId="0" fillId="0" borderId="0" xfId="0" applyFill="1"/>
    <xf numFmtId="0" fontId="3" fillId="0" borderId="0" xfId="0" applyFont="1"/>
    <xf numFmtId="0" fontId="3" fillId="0" borderId="0" xfId="0" applyFont="1" applyFill="1"/>
    <xf numFmtId="2" fontId="2" fillId="3" borderId="1" xfId="0" applyNumberFormat="1" applyFont="1" applyFill="1" applyBorder="1"/>
    <xf numFmtId="2" fontId="2" fillId="4" borderId="1" xfId="0" applyNumberFormat="1" applyFont="1" applyFill="1" applyBorder="1"/>
    <xf numFmtId="0" fontId="7" fillId="0" borderId="0" xfId="0" applyFont="1"/>
    <xf numFmtId="2" fontId="3" fillId="0" borderId="0" xfId="0" applyNumberFormat="1" applyFont="1" applyFill="1"/>
    <xf numFmtId="2" fontId="0" fillId="0" borderId="0" xfId="0" applyNumberFormat="1" applyFill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15" fontId="1" fillId="4" borderId="0" xfId="0" applyNumberFormat="1" applyFont="1" applyFill="1"/>
    <xf numFmtId="2" fontId="0" fillId="4" borderId="0" xfId="0" applyNumberFormat="1" applyFill="1"/>
    <xf numFmtId="0" fontId="0" fillId="4" borderId="0" xfId="0" applyFill="1"/>
    <xf numFmtId="2" fontId="1" fillId="0" borderId="0" xfId="0" applyNumberFormat="1" applyFont="1" applyFill="1"/>
    <xf numFmtId="2" fontId="0" fillId="2" borderId="0" xfId="0" applyNumberFormat="1" applyFill="1" applyProtection="1">
      <protection locked="0"/>
    </xf>
    <xf numFmtId="0" fontId="3" fillId="2" borderId="0" xfId="0" applyFont="1" applyFill="1" applyProtection="1">
      <protection locked="0"/>
    </xf>
    <xf numFmtId="2" fontId="3" fillId="2" borderId="0" xfId="0" applyNumberFormat="1" applyFont="1" applyFill="1" applyProtection="1">
      <protection locked="0"/>
    </xf>
    <xf numFmtId="0" fontId="0" fillId="5" borderId="0" xfId="0" applyFill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JECTS\019%20-%20North%20Haven,%20Maine\North%20Haven%20Filter%20Sizing%2018-01-02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ornwall%20Island/Detailed%20Design/WTPdesign%20Cornwall%20Island.xls" TargetMode="External"/><Relationship Id="rId1" Type="http://schemas.openxmlformats.org/officeDocument/2006/relationships/externalLinkPath" Target="/Cornwall%20Island/Detailed%20Design/WTPdesign%20Cornwall%20Islan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mittals"/>
      <sheetName val="Piping"/>
      <sheetName val="SSMODEL2"/>
      <sheetName val="Hydraulics"/>
      <sheetName val="Sheet1"/>
      <sheetName val="MEDIA Q.A."/>
      <sheetName val="Revised dim"/>
      <sheetName val="Operating Costs"/>
      <sheetName val="CAPITAL CO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imary Data"/>
      <sheetName val="INTAKE"/>
      <sheetName val="CT"/>
      <sheetName val="Pumping Station + GAC"/>
      <sheetName val="H. Profile WTP"/>
      <sheetName val="SummaryChemicalSystems"/>
      <sheetName val="Shopping List"/>
      <sheetName val="Clearwell Design"/>
      <sheetName val="Wastewater"/>
      <sheetName val="Design Summary Table"/>
      <sheetName val="Slud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7E37-8801-4002-B3A6-17F653241DE6}">
  <dimension ref="A1:L57"/>
  <sheetViews>
    <sheetView tabSelected="1" workbookViewId="0">
      <selection activeCell="N32" sqref="N32"/>
    </sheetView>
  </sheetViews>
  <sheetFormatPr defaultRowHeight="12.55" x14ac:dyDescent="0.2"/>
  <cols>
    <col min="1" max="1" width="1.77734375" customWidth="1"/>
    <col min="2" max="2" width="22.77734375" customWidth="1"/>
    <col min="3" max="3" width="11.21875" customWidth="1"/>
    <col min="4" max="4" width="13" customWidth="1"/>
    <col min="5" max="5" width="15.44140625" customWidth="1"/>
    <col min="6" max="6" width="11.77734375" style="3" customWidth="1"/>
    <col min="7" max="7" width="14.44140625" customWidth="1"/>
    <col min="8" max="8" width="12" style="3" customWidth="1"/>
    <col min="9" max="9" width="11" customWidth="1"/>
    <col min="10" max="10" width="5" customWidth="1"/>
  </cols>
  <sheetData>
    <row r="1" spans="2:8" ht="25.05" customHeight="1" x14ac:dyDescent="0.25">
      <c r="B1" s="12" t="s">
        <v>43</v>
      </c>
      <c r="C1" s="1"/>
      <c r="D1" s="1"/>
      <c r="E1" s="9"/>
      <c r="G1" s="29" t="s">
        <v>41</v>
      </c>
      <c r="H1" s="21"/>
    </row>
    <row r="2" spans="2:8" ht="12.05" customHeight="1" x14ac:dyDescent="0.25">
      <c r="B2" s="12"/>
      <c r="C2" s="1"/>
      <c r="D2" s="1"/>
      <c r="E2" s="9"/>
      <c r="G2" s="13"/>
    </row>
    <row r="3" spans="2:8" ht="12.7" customHeight="1" x14ac:dyDescent="0.25">
      <c r="B3" s="15" t="s">
        <v>16</v>
      </c>
      <c r="C3" s="1"/>
      <c r="D3" s="1"/>
      <c r="E3" s="9"/>
      <c r="G3" s="9"/>
    </row>
    <row r="4" spans="2:8" ht="12.7" customHeight="1" x14ac:dyDescent="0.25">
      <c r="B4" s="1" t="s">
        <v>26</v>
      </c>
      <c r="C4" s="1"/>
      <c r="D4" s="1"/>
      <c r="E4" s="9"/>
      <c r="G4" s="9"/>
    </row>
    <row r="5" spans="2:8" ht="12.7" customHeight="1" x14ac:dyDescent="0.25">
      <c r="B5" s="15" t="s">
        <v>17</v>
      </c>
      <c r="C5" s="1"/>
      <c r="D5" s="1"/>
      <c r="E5" s="9"/>
      <c r="G5" s="9"/>
    </row>
    <row r="6" spans="2:8" ht="12.7" customHeight="1" x14ac:dyDescent="0.25">
      <c r="B6" s="1" t="s">
        <v>27</v>
      </c>
      <c r="C6" s="1"/>
      <c r="D6" s="1"/>
      <c r="E6" s="9"/>
      <c r="G6" s="9"/>
    </row>
    <row r="7" spans="2:8" ht="12.7" customHeight="1" x14ac:dyDescent="0.25">
      <c r="B7" s="12"/>
      <c r="C7" s="1"/>
      <c r="D7" s="1"/>
      <c r="E7" s="9"/>
      <c r="G7" s="9"/>
    </row>
    <row r="8" spans="2:8" ht="12.7" customHeight="1" x14ac:dyDescent="0.25">
      <c r="B8" s="1" t="s">
        <v>13</v>
      </c>
      <c r="C8" s="1"/>
      <c r="D8" s="1"/>
      <c r="E8" s="9"/>
      <c r="G8" s="9"/>
    </row>
    <row r="9" spans="2:8" ht="12.7" customHeight="1" x14ac:dyDescent="0.25">
      <c r="B9" s="15" t="s">
        <v>18</v>
      </c>
      <c r="C9" s="1"/>
      <c r="D9" s="1"/>
      <c r="E9" s="9"/>
      <c r="G9" s="9"/>
    </row>
    <row r="10" spans="2:8" ht="12.7" customHeight="1" x14ac:dyDescent="0.25">
      <c r="B10" s="15" t="s">
        <v>19</v>
      </c>
      <c r="C10" s="1"/>
      <c r="D10" s="1"/>
      <c r="E10" s="9"/>
      <c r="G10" s="9"/>
    </row>
    <row r="11" spans="2:8" ht="12.7" customHeight="1" x14ac:dyDescent="0.25">
      <c r="B11" s="15" t="s">
        <v>14</v>
      </c>
      <c r="C11" s="1"/>
      <c r="D11" s="1"/>
      <c r="E11" s="9"/>
      <c r="G11" s="9"/>
    </row>
    <row r="12" spans="2:8" ht="12.7" customHeight="1" x14ac:dyDescent="0.25">
      <c r="B12" s="15" t="s">
        <v>15</v>
      </c>
      <c r="C12" s="1"/>
      <c r="D12" s="1"/>
      <c r="E12" s="9"/>
      <c r="G12" s="9"/>
    </row>
    <row r="13" spans="2:8" ht="12.7" customHeight="1" x14ac:dyDescent="0.25">
      <c r="B13" s="15" t="s">
        <v>20</v>
      </c>
      <c r="C13" s="1"/>
      <c r="D13" s="1"/>
      <c r="E13" s="9"/>
      <c r="G13" s="9"/>
    </row>
    <row r="14" spans="2:8" ht="12.7" customHeight="1" x14ac:dyDescent="0.25">
      <c r="B14" s="15"/>
      <c r="C14" s="1"/>
      <c r="D14" s="1"/>
      <c r="E14" s="9"/>
      <c r="G14" s="9"/>
    </row>
    <row r="15" spans="2:8" ht="12.7" customHeight="1" x14ac:dyDescent="0.25">
      <c r="B15" s="19" t="s">
        <v>30</v>
      </c>
      <c r="C15" s="1"/>
      <c r="D15" s="1"/>
      <c r="E15" s="9"/>
      <c r="G15" s="9"/>
    </row>
    <row r="16" spans="2:8" ht="12.7" customHeight="1" x14ac:dyDescent="0.25">
      <c r="B16" s="15"/>
      <c r="C16" s="1"/>
      <c r="D16" s="1"/>
      <c r="E16" s="9"/>
      <c r="G16" s="9"/>
    </row>
    <row r="17" spans="2:10" ht="12.7" customHeight="1" x14ac:dyDescent="0.25">
      <c r="B17" s="15"/>
      <c r="C17" s="1"/>
      <c r="D17" s="1"/>
      <c r="E17" s="9"/>
      <c r="G17" s="9"/>
    </row>
    <row r="18" spans="2:10" ht="12.7" customHeight="1" x14ac:dyDescent="0.25">
      <c r="B18" s="1" t="s">
        <v>28</v>
      </c>
      <c r="C18" s="1"/>
      <c r="D18" s="1"/>
      <c r="E18" s="30">
        <v>7.5</v>
      </c>
      <c r="G18" s="23" t="s">
        <v>36</v>
      </c>
      <c r="H18" s="6"/>
      <c r="I18" s="22"/>
      <c r="J18" s="22"/>
    </row>
    <row r="19" spans="2:10" ht="12.7" customHeight="1" x14ac:dyDescent="0.25">
      <c r="B19" s="1" t="s">
        <v>21</v>
      </c>
      <c r="C19" s="1"/>
      <c r="D19" s="1"/>
      <c r="E19" s="30">
        <v>7</v>
      </c>
      <c r="G19" s="24" t="s">
        <v>37</v>
      </c>
      <c r="H19" s="7"/>
      <c r="I19" s="25"/>
      <c r="J19" s="25"/>
    </row>
    <row r="20" spans="2:10" ht="12.7" customHeight="1" x14ac:dyDescent="0.25">
      <c r="B20" s="1" t="s">
        <v>22</v>
      </c>
      <c r="C20" s="1"/>
      <c r="D20" s="1"/>
      <c r="E20" s="30">
        <v>1.1000000000000001</v>
      </c>
      <c r="G20" s="26" t="s">
        <v>38</v>
      </c>
      <c r="H20" s="27"/>
      <c r="I20" s="28"/>
      <c r="J20" s="28"/>
    </row>
    <row r="21" spans="2:10" ht="12.7" customHeight="1" x14ac:dyDescent="0.25">
      <c r="B21" s="15" t="s">
        <v>23</v>
      </c>
      <c r="C21" s="1"/>
      <c r="D21" s="1"/>
      <c r="E21" s="3">
        <v>0.5</v>
      </c>
      <c r="G21" s="9"/>
    </row>
    <row r="22" spans="2:10" ht="10.5" customHeight="1" thickBot="1" x14ac:dyDescent="0.3">
      <c r="B22" s="15"/>
      <c r="C22" s="1"/>
      <c r="D22" s="1"/>
      <c r="E22" s="3"/>
      <c r="G22" s="9"/>
    </row>
    <row r="23" spans="2:10" ht="18" customHeight="1" thickTop="1" thickBot="1" x14ac:dyDescent="0.35">
      <c r="B23" s="1" t="s">
        <v>24</v>
      </c>
      <c r="C23" s="1"/>
      <c r="D23" s="1"/>
      <c r="E23" s="18">
        <f>+(0.353*E21)*(12.006+(EXP(2.46-(0.073*E18)+(0.125*E20)+(0.389*E19))))</f>
        <v>22.99433719576211</v>
      </c>
      <c r="F23" s="1" t="s">
        <v>7</v>
      </c>
      <c r="G23" s="9"/>
    </row>
    <row r="24" spans="2:10" ht="17.25" customHeight="1" thickTop="1" thickBot="1" x14ac:dyDescent="0.35">
      <c r="B24" s="1" t="s">
        <v>25</v>
      </c>
      <c r="C24" s="1"/>
      <c r="D24" s="1"/>
      <c r="E24" s="18">
        <f>+(0.361*E21)*(-2.261+(EXP(2.69-(0.065*E18)+(0.111*E20)+(0.361*E19))))</f>
        <v>22.685950820682038</v>
      </c>
      <c r="F24" s="1" t="s">
        <v>7</v>
      </c>
      <c r="G24" s="9"/>
    </row>
    <row r="25" spans="2:10" ht="12.7" customHeight="1" thickTop="1" x14ac:dyDescent="0.25">
      <c r="B25" s="15"/>
      <c r="C25" s="1"/>
      <c r="D25" s="1"/>
      <c r="E25" s="9"/>
      <c r="G25" s="9"/>
    </row>
    <row r="26" spans="2:10" ht="12.7" customHeight="1" x14ac:dyDescent="0.25">
      <c r="B26" s="1" t="s">
        <v>8</v>
      </c>
      <c r="C26" s="1"/>
      <c r="D26" s="1"/>
      <c r="E26" s="13"/>
    </row>
    <row r="27" spans="2:10" ht="12.7" customHeight="1" x14ac:dyDescent="0.25">
      <c r="B27" s="1"/>
      <c r="C27" s="1"/>
      <c r="D27" s="1"/>
      <c r="E27" s="13"/>
    </row>
    <row r="28" spans="2:10" ht="12.7" customHeight="1" x14ac:dyDescent="0.25">
      <c r="B28" s="1" t="s">
        <v>13</v>
      </c>
      <c r="D28" s="1"/>
      <c r="E28" s="13"/>
    </row>
    <row r="29" spans="2:10" ht="12.7" customHeight="1" x14ac:dyDescent="0.25">
      <c r="B29" s="15" t="s">
        <v>9</v>
      </c>
      <c r="D29" s="1"/>
      <c r="E29" s="13"/>
    </row>
    <row r="30" spans="2:10" ht="12.7" customHeight="1" x14ac:dyDescent="0.25">
      <c r="B30" s="15" t="s">
        <v>10</v>
      </c>
      <c r="D30" s="1"/>
      <c r="E30" s="13"/>
    </row>
    <row r="31" spans="2:10" ht="12.7" customHeight="1" x14ac:dyDescent="0.25">
      <c r="B31" s="15" t="s">
        <v>29</v>
      </c>
      <c r="D31" s="1"/>
      <c r="E31" s="13"/>
    </row>
    <row r="32" spans="2:10" ht="12.7" customHeight="1" x14ac:dyDescent="0.25">
      <c r="B32" s="15"/>
      <c r="D32" s="1"/>
      <c r="E32" s="13"/>
    </row>
    <row r="33" spans="1:10" ht="12.7" customHeight="1" x14ac:dyDescent="0.25">
      <c r="B33" s="1"/>
      <c r="D33" s="1"/>
      <c r="E33" s="13"/>
    </row>
    <row r="34" spans="1:10" ht="12.7" customHeight="1" x14ac:dyDescent="0.25">
      <c r="B34" s="19" t="s">
        <v>31</v>
      </c>
      <c r="E34" s="13"/>
    </row>
    <row r="35" spans="1:10" ht="12.05" customHeight="1" x14ac:dyDescent="0.25">
      <c r="B35" s="12"/>
    </row>
    <row r="36" spans="1:10" ht="13.15" x14ac:dyDescent="0.25">
      <c r="A36" s="1">
        <v>1</v>
      </c>
      <c r="B36" s="1" t="s">
        <v>42</v>
      </c>
      <c r="E36" s="31">
        <v>6</v>
      </c>
    </row>
    <row r="37" spans="1:10" ht="13.15" x14ac:dyDescent="0.25">
      <c r="A37" s="1">
        <v>2</v>
      </c>
      <c r="B37" t="s">
        <v>0</v>
      </c>
      <c r="E37" s="7">
        <f>E36*60/1000</f>
        <v>0.36</v>
      </c>
    </row>
    <row r="38" spans="1:10" ht="13.15" x14ac:dyDescent="0.25">
      <c r="A38" s="1"/>
      <c r="B38" s="1"/>
    </row>
    <row r="39" spans="1:10" ht="15.65" x14ac:dyDescent="0.25">
      <c r="A39" s="1"/>
      <c r="D39" t="s">
        <v>35</v>
      </c>
      <c r="E39" s="1" t="s">
        <v>1</v>
      </c>
      <c r="F39" s="3" t="s">
        <v>2</v>
      </c>
      <c r="G39" t="s">
        <v>11</v>
      </c>
      <c r="H39" s="3" t="s">
        <v>4</v>
      </c>
    </row>
    <row r="40" spans="1:10" ht="16.3" x14ac:dyDescent="0.35">
      <c r="A40" s="1"/>
      <c r="C40" s="10"/>
      <c r="D40" s="10"/>
      <c r="G40" s="10" t="s">
        <v>12</v>
      </c>
      <c r="H40" s="11" t="s">
        <v>3</v>
      </c>
    </row>
    <row r="41" spans="1:10" ht="13.15" x14ac:dyDescent="0.25">
      <c r="A41" s="1">
        <v>3</v>
      </c>
      <c r="B41" t="s">
        <v>39</v>
      </c>
      <c r="C41" s="16"/>
      <c r="D41" s="33">
        <v>155</v>
      </c>
      <c r="E41" s="32">
        <v>4.0999999999999996</v>
      </c>
      <c r="F41" s="7">
        <f>(D41*E41)</f>
        <v>635.5</v>
      </c>
      <c r="G41" s="33">
        <v>0.5</v>
      </c>
      <c r="H41" s="7">
        <f>F41/E37*G41</f>
        <v>882.63888888888891</v>
      </c>
    </row>
    <row r="42" spans="1:10" ht="13.15" x14ac:dyDescent="0.25">
      <c r="A42" s="1">
        <v>4</v>
      </c>
      <c r="B42" t="s">
        <v>40</v>
      </c>
      <c r="C42" s="16"/>
      <c r="D42" s="14"/>
      <c r="E42" s="20"/>
      <c r="F42" s="34">
        <v>2.67</v>
      </c>
      <c r="G42" s="14">
        <v>1</v>
      </c>
      <c r="H42" s="7">
        <f>F42/E37*G42</f>
        <v>7.416666666666667</v>
      </c>
    </row>
    <row r="43" spans="1:10" ht="17.55" x14ac:dyDescent="0.3">
      <c r="G43" s="5" t="s">
        <v>5</v>
      </c>
      <c r="H43" s="8">
        <f>SUM(H41:H42)</f>
        <v>890.05555555555554</v>
      </c>
    </row>
    <row r="44" spans="1:10" ht="13.8" thickBot="1" x14ac:dyDescent="0.3">
      <c r="A44" s="1"/>
    </row>
    <row r="45" spans="1:10" ht="18.8" thickTop="1" thickBot="1" x14ac:dyDescent="0.35">
      <c r="A45" s="1"/>
      <c r="F45" s="4" t="s">
        <v>6</v>
      </c>
      <c r="H45" s="17">
        <f>H43*E20</f>
        <v>979.06111111111113</v>
      </c>
      <c r="I45" s="1" t="s">
        <v>7</v>
      </c>
    </row>
    <row r="46" spans="1:10" ht="18" customHeight="1" thickTop="1" x14ac:dyDescent="0.25">
      <c r="B46" s="1"/>
    </row>
    <row r="47" spans="1:10" ht="14.4" x14ac:dyDescent="0.25">
      <c r="B47" s="19" t="s">
        <v>32</v>
      </c>
      <c r="C47" s="1"/>
      <c r="D47" s="1"/>
      <c r="F47" s="16"/>
      <c r="G47" s="14"/>
      <c r="H47" s="20"/>
      <c r="I47" s="21"/>
      <c r="J47" s="14"/>
    </row>
    <row r="48" spans="1:10" ht="18" customHeight="1" x14ac:dyDescent="0.25">
      <c r="B48" s="2"/>
      <c r="E48" s="14"/>
    </row>
    <row r="49" spans="1:12" ht="12.05" customHeight="1" x14ac:dyDescent="0.25">
      <c r="B49" s="2" t="s">
        <v>33</v>
      </c>
      <c r="F49"/>
      <c r="G49" s="3"/>
      <c r="H49"/>
      <c r="I49" s="3"/>
      <c r="L49" s="1"/>
    </row>
    <row r="50" spans="1:12" ht="14.25" customHeight="1" x14ac:dyDescent="0.25">
      <c r="B50" s="1" t="s">
        <v>34</v>
      </c>
      <c r="F50"/>
      <c r="G50" s="3"/>
      <c r="H50"/>
      <c r="I50" s="3"/>
      <c r="K50" s="21"/>
    </row>
    <row r="51" spans="1:12" ht="13.15" x14ac:dyDescent="0.25">
      <c r="B51" s="1" t="s">
        <v>44</v>
      </c>
      <c r="F51"/>
      <c r="G51" s="3"/>
      <c r="H51"/>
      <c r="I51" s="3"/>
    </row>
    <row r="52" spans="1:12" ht="13.15" x14ac:dyDescent="0.25">
      <c r="A52" s="1"/>
      <c r="B52" s="1"/>
    </row>
    <row r="53" spans="1:12" ht="13.15" x14ac:dyDescent="0.25">
      <c r="B53" s="1"/>
      <c r="F53"/>
      <c r="G53" s="3"/>
      <c r="H53"/>
      <c r="I53" s="3"/>
    </row>
    <row r="54" spans="1:12" ht="13.15" x14ac:dyDescent="0.25">
      <c r="B54" s="1"/>
      <c r="F54"/>
      <c r="G54" s="3"/>
      <c r="H54"/>
      <c r="I54" s="3"/>
    </row>
    <row r="55" spans="1:12" ht="13.15" x14ac:dyDescent="0.25">
      <c r="B55" s="1"/>
    </row>
    <row r="56" spans="1:12" ht="13.15" x14ac:dyDescent="0.25">
      <c r="B56" s="1"/>
    </row>
    <row r="57" spans="1:12" ht="13.15" x14ac:dyDescent="0.25">
      <c r="B57" s="1"/>
    </row>
  </sheetData>
  <phoneticPr fontId="0" type="noConversion"/>
  <pageMargins left="0.75" right="0.75" top="1" bottom="1" header="0.5" footer="0.5"/>
  <pageSetup orientation="landscape" r:id="rId1"/>
  <headerFooter alignWithMargins="0"/>
  <colBreaks count="1" manualBreakCount="1">
    <brk id="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CT</vt:lpstr>
      <vt:lpstr>CT!Print_Area</vt:lpstr>
    </vt:vector>
  </TitlesOfParts>
  <Company>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renzo benavides</cp:lastModifiedBy>
  <cp:lastPrinted>2019-08-16T15:39:41Z</cp:lastPrinted>
  <dcterms:created xsi:type="dcterms:W3CDTF">2004-05-07T16:06:38Z</dcterms:created>
  <dcterms:modified xsi:type="dcterms:W3CDTF">2026-08-09T20:15:24Z</dcterms:modified>
</cp:coreProperties>
</file>