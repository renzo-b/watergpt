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codeName="ThisWorkbook" defaultThemeVersion="124226"/>
  <bookViews>
    <workbookView xWindow="2250" yWindow="110" windowWidth="10380" windowHeight="9810" tabRatio="806"/>
  </bookViews>
  <sheets>
    <sheet name="Jan." sheetId="104" r:id="rId1"/>
    <sheet name="Feb." sheetId="105" r:id="rId2"/>
    <sheet name="March" sheetId="106" r:id="rId3"/>
    <sheet name="April" sheetId="107" r:id="rId4"/>
    <sheet name="May" sheetId="108" r:id="rId5"/>
    <sheet name="June" sheetId="109" r:id="rId6"/>
    <sheet name="July" sheetId="110" r:id="rId7"/>
    <sheet name="Aug." sheetId="111" r:id="rId8"/>
    <sheet name="Sept." sheetId="112" r:id="rId9"/>
    <sheet name="Oct." sheetId="113" r:id="rId10"/>
    <sheet name="Nov." sheetId="114" r:id="rId11"/>
    <sheet name="Dec." sheetId="115" r:id="rId12"/>
    <sheet name="Year-to-Date" sheetId="67" r:id="rId13"/>
    <sheet name="Sampling Results" sheetId="68" r:id="rId14"/>
    <sheet name="(Monthly Report Generation) " sheetId="52" r:id="rId15"/>
  </sheets>
  <definedNames>
    <definedName name="_xlnm.Print_Area" localSheetId="9">Oct.!$A$1:$EQ$42</definedName>
    <definedName name="_xlnm.Print_Area" localSheetId="8">Sept.!$A$1:$ER$42</definedName>
  </definedNames>
  <calcPr calcId="145621" iterate="1" iterateCount="1" iterateDelta="0"/>
</workbook>
</file>

<file path=xl/calcChain.xml><?xml version="1.0" encoding="utf-8"?>
<calcChain xmlns="http://schemas.openxmlformats.org/spreadsheetml/2006/main">
  <c r="AK37" i="112" l="1"/>
  <c r="AK36" i="112"/>
  <c r="EQ38" i="113"/>
  <c r="EI42" i="113"/>
  <c r="EQ37" i="113"/>
  <c r="EQ36" i="113"/>
  <c r="EQ35" i="113"/>
  <c r="EQ34" i="113"/>
  <c r="EQ33" i="113"/>
  <c r="EQ32" i="113"/>
  <c r="EQ31" i="113"/>
  <c r="EQ30" i="113"/>
  <c r="EQ29" i="113"/>
  <c r="EQ28" i="113"/>
  <c r="EQ27" i="113"/>
  <c r="EQ26" i="113"/>
  <c r="EQ25" i="113"/>
  <c r="EQ24" i="113"/>
  <c r="EQ23" i="113"/>
  <c r="EQ22" i="113"/>
  <c r="EQ21" i="113"/>
  <c r="EQ20" i="113"/>
  <c r="EQ19" i="113"/>
  <c r="EQ18" i="113"/>
  <c r="EQ17" i="113"/>
  <c r="EQ16" i="113"/>
  <c r="EQ15" i="113"/>
  <c r="EQ14" i="113"/>
  <c r="EQ13" i="113"/>
  <c r="EQ12" i="113"/>
  <c r="EQ11" i="113"/>
  <c r="EQ10" i="113"/>
  <c r="EQ9" i="113"/>
  <c r="EQ8" i="113"/>
  <c r="EI3" i="113"/>
  <c r="EI1" i="113"/>
  <c r="AP17" i="112" l="1"/>
  <c r="O28" i="111"/>
  <c r="O29" i="111"/>
  <c r="O30" i="111"/>
  <c r="O31" i="111"/>
  <c r="C24" i="111"/>
  <c r="W1" i="111"/>
  <c r="AF12" i="111"/>
  <c r="EH20" i="111"/>
  <c r="EH21" i="111"/>
  <c r="AM37" i="110"/>
  <c r="AM38" i="110"/>
  <c r="CD36" i="109"/>
  <c r="CE36" i="109" s="1"/>
  <c r="AA12" i="68"/>
  <c r="DF38" i="108"/>
  <c r="AW36" i="109"/>
  <c r="AA36" i="109"/>
  <c r="EQ31" i="108"/>
  <c r="AU22" i="108"/>
  <c r="AU23" i="108"/>
  <c r="F36" i="107"/>
  <c r="EH16" i="107"/>
  <c r="C38" i="106"/>
  <c r="BZ16" i="107"/>
  <c r="O20" i="106"/>
  <c r="AA14" i="106"/>
  <c r="DF36" i="105"/>
  <c r="DG36" i="105" s="1"/>
  <c r="CV36" i="105"/>
  <c r="CW36" i="105" s="1"/>
  <c r="CM36" i="105"/>
  <c r="CN36" i="105" s="1"/>
  <c r="CD36" i="105"/>
  <c r="AY36" i="105"/>
  <c r="AW36" i="105"/>
  <c r="AU36" i="105"/>
  <c r="AS36" i="105"/>
  <c r="AO36" i="105"/>
  <c r="AM36" i="105"/>
  <c r="AK36" i="105"/>
  <c r="AI36" i="105"/>
  <c r="AE36" i="105"/>
  <c r="AC36" i="105"/>
  <c r="AA36" i="105"/>
  <c r="Y36" i="105"/>
  <c r="Q36" i="105"/>
  <c r="O36" i="105"/>
  <c r="M36" i="105"/>
  <c r="I36" i="105"/>
  <c r="F36" i="105"/>
  <c r="EB36" i="105"/>
  <c r="C36" i="105"/>
  <c r="EA36" i="105"/>
  <c r="DF35" i="105"/>
  <c r="CV35" i="105"/>
  <c r="CM35" i="105"/>
  <c r="CD35" i="105"/>
  <c r="BW40" i="105"/>
  <c r="BV40" i="105"/>
  <c r="BU40" i="105"/>
  <c r="BT40" i="105"/>
  <c r="BS40" i="105"/>
  <c r="BR40" i="105"/>
  <c r="BQ40" i="105"/>
  <c r="BP40" i="105"/>
  <c r="BM40" i="105"/>
  <c r="BL40" i="105"/>
  <c r="BK40" i="105"/>
  <c r="BJ40" i="105"/>
  <c r="BI40" i="105"/>
  <c r="BH40" i="105"/>
  <c r="BG40" i="105"/>
  <c r="BF40" i="105"/>
  <c r="BE40" i="105"/>
  <c r="BD40" i="105"/>
  <c r="BC40" i="105"/>
  <c r="BB40" i="105"/>
  <c r="AY35" i="105"/>
  <c r="AW35" i="105"/>
  <c r="AU35" i="105"/>
  <c r="AS35" i="105"/>
  <c r="AM35" i="105"/>
  <c r="AK35" i="105"/>
  <c r="AI35" i="105"/>
  <c r="AE35" i="105"/>
  <c r="AC35" i="105"/>
  <c r="AA35" i="105"/>
  <c r="Y35" i="105"/>
  <c r="V36" i="105"/>
  <c r="AF36" i="105"/>
  <c r="AP36" i="105"/>
  <c r="AZ36" i="105"/>
  <c r="BN36" i="105"/>
  <c r="BZ36" i="105"/>
  <c r="CI36" i="105"/>
  <c r="CR36" i="105"/>
  <c r="DB36" i="105"/>
  <c r="DK36" i="105"/>
  <c r="DY36" i="105"/>
  <c r="EH36" i="105"/>
  <c r="EQ36" i="105"/>
  <c r="Q35" i="105"/>
  <c r="O35" i="105"/>
  <c r="M35" i="105"/>
  <c r="I35" i="105"/>
  <c r="F35" i="105"/>
  <c r="C35" i="105"/>
  <c r="AW9" i="104"/>
  <c r="AW10" i="104"/>
  <c r="AW11" i="104"/>
  <c r="AW12" i="104"/>
  <c r="AW13" i="104"/>
  <c r="AW14" i="104"/>
  <c r="M26" i="106"/>
  <c r="M25" i="106"/>
  <c r="M27" i="106"/>
  <c r="M28" i="106"/>
  <c r="M29" i="106"/>
  <c r="AA8" i="106"/>
  <c r="V28" i="106"/>
  <c r="M31" i="105"/>
  <c r="AW20" i="105"/>
  <c r="AM16" i="105"/>
  <c r="F12" i="105"/>
  <c r="M12" i="104"/>
  <c r="DF8" i="107"/>
  <c r="DG8" i="107"/>
  <c r="DF9" i="107"/>
  <c r="DG9" i="107" s="1"/>
  <c r="DF10" i="107"/>
  <c r="DG10" i="107"/>
  <c r="DF11" i="107"/>
  <c r="DG11" i="107" s="1"/>
  <c r="DF12" i="107"/>
  <c r="DG12" i="107"/>
  <c r="I26" i="112"/>
  <c r="I27" i="112"/>
  <c r="AU28" i="111"/>
  <c r="AS28" i="111"/>
  <c r="AK28" i="111"/>
  <c r="AK29" i="111"/>
  <c r="AK30" i="111"/>
  <c r="AI28" i="111"/>
  <c r="AE28" i="111"/>
  <c r="AC28" i="111"/>
  <c r="AA28" i="111"/>
  <c r="Y29" i="111"/>
  <c r="Y30" i="111"/>
  <c r="M29" i="111"/>
  <c r="AM36" i="110"/>
  <c r="Y8" i="110"/>
  <c r="Y9" i="110"/>
  <c r="Y10" i="110"/>
  <c r="Y11" i="110"/>
  <c r="Y12" i="110"/>
  <c r="Y13" i="110"/>
  <c r="Y14" i="110"/>
  <c r="Y15" i="110"/>
  <c r="Y16" i="110"/>
  <c r="Y17" i="110"/>
  <c r="Y18" i="110"/>
  <c r="Y19" i="110"/>
  <c r="Y20" i="110"/>
  <c r="Y21" i="110"/>
  <c r="Y22" i="110"/>
  <c r="Y23" i="110"/>
  <c r="Y24" i="110"/>
  <c r="Y25" i="110"/>
  <c r="Y26" i="110"/>
  <c r="Y27" i="110"/>
  <c r="Y28" i="110"/>
  <c r="Y29" i="110"/>
  <c r="Y30" i="110"/>
  <c r="Y31" i="110"/>
  <c r="Y32" i="110"/>
  <c r="Y33" i="110"/>
  <c r="Y34" i="110"/>
  <c r="Y35" i="110"/>
  <c r="Y36" i="110"/>
  <c r="Y37" i="110"/>
  <c r="Y38" i="110"/>
  <c r="AP15" i="105"/>
  <c r="DB25" i="104"/>
  <c r="C38" i="104"/>
  <c r="EA38" i="104" s="1"/>
  <c r="F38" i="104"/>
  <c r="I38" i="104"/>
  <c r="V3" i="68"/>
  <c r="AI3" i="68"/>
  <c r="AW3" i="68" s="1"/>
  <c r="BQ40" i="115"/>
  <c r="AY19" i="68" s="1"/>
  <c r="BR40" i="115"/>
  <c r="AZ19" i="68" s="1"/>
  <c r="BS40" i="115"/>
  <c r="BA19" i="68" s="1"/>
  <c r="BT40" i="115"/>
  <c r="BB19" i="68" s="1"/>
  <c r="BU40" i="115"/>
  <c r="BC19" i="68" s="1"/>
  <c r="BV40" i="115"/>
  <c r="BD19" i="68" s="1"/>
  <c r="BW40" i="115"/>
  <c r="BE19" i="68" s="1"/>
  <c r="BP40" i="115"/>
  <c r="AX19" i="68" s="1"/>
  <c r="BC40" i="115"/>
  <c r="AK19" i="68" s="1"/>
  <c r="BD40" i="115"/>
  <c r="AL19" i="68" s="1"/>
  <c r="BE40" i="115"/>
  <c r="AM19" i="68" s="1"/>
  <c r="BF40" i="115"/>
  <c r="AN19" i="68" s="1"/>
  <c r="BG40" i="115"/>
  <c r="AO19" i="68" s="1"/>
  <c r="BH40" i="115"/>
  <c r="AP19" i="68" s="1"/>
  <c r="BI40" i="115"/>
  <c r="AQ19" i="68" s="1"/>
  <c r="BJ40" i="115"/>
  <c r="AR19" i="68" s="1"/>
  <c r="BK40" i="115"/>
  <c r="AS19" i="68" s="1"/>
  <c r="BL40" i="115"/>
  <c r="AT19" i="68" s="1"/>
  <c r="BM40" i="115"/>
  <c r="AU19" i="68" s="1"/>
  <c r="BB40" i="115"/>
  <c r="AJ19" i="68" s="1"/>
  <c r="BQ40" i="114"/>
  <c r="AY18" i="68" s="1"/>
  <c r="BR40" i="114"/>
  <c r="AZ18" i="68" s="1"/>
  <c r="BS40" i="114"/>
  <c r="BA18" i="68" s="1"/>
  <c r="BT40" i="114"/>
  <c r="BB18" i="68" s="1"/>
  <c r="BU40" i="114"/>
  <c r="BC18" i="68" s="1"/>
  <c r="BV40" i="114"/>
  <c r="BD18" i="68" s="1"/>
  <c r="BW40" i="114"/>
  <c r="BE18" i="68" s="1"/>
  <c r="BP40" i="114"/>
  <c r="AX18" i="68" s="1"/>
  <c r="BC40" i="114"/>
  <c r="AK18" i="68" s="1"/>
  <c r="BD40" i="114"/>
  <c r="AL18" i="68" s="1"/>
  <c r="BE40" i="114"/>
  <c r="AM18" i="68" s="1"/>
  <c r="BF40" i="114"/>
  <c r="AN18" i="68" s="1"/>
  <c r="BG40" i="114"/>
  <c r="AO18" i="68" s="1"/>
  <c r="BH40" i="114"/>
  <c r="AP18" i="68" s="1"/>
  <c r="BI40" i="114"/>
  <c r="AQ18" i="68" s="1"/>
  <c r="BJ40" i="114"/>
  <c r="AR18" i="68" s="1"/>
  <c r="BK40" i="114"/>
  <c r="AS18" i="68" s="1"/>
  <c r="BL40" i="114"/>
  <c r="AT18" i="68" s="1"/>
  <c r="BM40" i="114"/>
  <c r="AU18" i="68" s="1"/>
  <c r="BB40" i="114"/>
  <c r="AJ18" i="68" s="1"/>
  <c r="BQ40" i="113"/>
  <c r="AY17" i="68" s="1"/>
  <c r="BR40" i="113"/>
  <c r="AZ17" i="68" s="1"/>
  <c r="BS40" i="113"/>
  <c r="BA17" i="68" s="1"/>
  <c r="BT40" i="113"/>
  <c r="BB17" i="68" s="1"/>
  <c r="BU40" i="113"/>
  <c r="BC17" i="68" s="1"/>
  <c r="BV40" i="113"/>
  <c r="BD17" i="68" s="1"/>
  <c r="BW40" i="113"/>
  <c r="BE17" i="68" s="1"/>
  <c r="BP40" i="113"/>
  <c r="AX17" i="68" s="1"/>
  <c r="BC40" i="113"/>
  <c r="AK17" i="68" s="1"/>
  <c r="BD40" i="113"/>
  <c r="AL17" i="68"/>
  <c r="BE40" i="113"/>
  <c r="AM17" i="68" s="1"/>
  <c r="BF40" i="113"/>
  <c r="AN17" i="68" s="1"/>
  <c r="BG40" i="113"/>
  <c r="AO17" i="68" s="1"/>
  <c r="BH40" i="113"/>
  <c r="AP17" i="68" s="1"/>
  <c r="BI40" i="113"/>
  <c r="AQ17" i="68"/>
  <c r="BJ40" i="113"/>
  <c r="AR17" i="68" s="1"/>
  <c r="BK40" i="113"/>
  <c r="AS17" i="68" s="1"/>
  <c r="BL40" i="113"/>
  <c r="AT17" i="68" s="1"/>
  <c r="BM40" i="113"/>
  <c r="AU17" i="68" s="1"/>
  <c r="BB40" i="113"/>
  <c r="AJ17" i="68" s="1"/>
  <c r="BQ40" i="112"/>
  <c r="AY16" i="68" s="1"/>
  <c r="BR40" i="112"/>
  <c r="AZ16" i="68" s="1"/>
  <c r="BS40" i="112"/>
  <c r="BA16" i="68" s="1"/>
  <c r="BT40" i="112"/>
  <c r="BB16" i="68" s="1"/>
  <c r="BU40" i="112"/>
  <c r="BC16" i="68" s="1"/>
  <c r="BV40" i="112"/>
  <c r="BD16" i="68" s="1"/>
  <c r="BW40" i="112"/>
  <c r="BE16" i="68" s="1"/>
  <c r="BP40" i="112"/>
  <c r="AX16" i="68" s="1"/>
  <c r="BC40" i="112"/>
  <c r="AK16" i="68" s="1"/>
  <c r="BD40" i="112"/>
  <c r="AL16" i="68" s="1"/>
  <c r="BE40" i="112"/>
  <c r="AM16" i="68" s="1"/>
  <c r="BF40" i="112"/>
  <c r="AN16" i="68" s="1"/>
  <c r="BG40" i="112"/>
  <c r="AO16" i="68" s="1"/>
  <c r="BH40" i="112"/>
  <c r="AP16" i="68" s="1"/>
  <c r="BI40" i="112"/>
  <c r="AQ16" i="68" s="1"/>
  <c r="BJ40" i="112"/>
  <c r="AR16" i="68" s="1"/>
  <c r="BK40" i="112"/>
  <c r="AS16" i="68" s="1"/>
  <c r="BL40" i="112"/>
  <c r="AT16" i="68" s="1"/>
  <c r="BM40" i="112"/>
  <c r="AU16" i="68" s="1"/>
  <c r="BB40" i="112"/>
  <c r="AJ16" i="68" s="1"/>
  <c r="BQ40" i="111"/>
  <c r="AY15" i="68" s="1"/>
  <c r="BR40" i="111"/>
  <c r="AZ15" i="68" s="1"/>
  <c r="BS40" i="111"/>
  <c r="BA15" i="68" s="1"/>
  <c r="BT40" i="111"/>
  <c r="BB15" i="68" s="1"/>
  <c r="BU40" i="111"/>
  <c r="BC15" i="68" s="1"/>
  <c r="BV40" i="111"/>
  <c r="BD15" i="68" s="1"/>
  <c r="BW40" i="111"/>
  <c r="BE15" i="68" s="1"/>
  <c r="BP40" i="111"/>
  <c r="AX15" i="68" s="1"/>
  <c r="BC40" i="111"/>
  <c r="AK15" i="68" s="1"/>
  <c r="BD40" i="111"/>
  <c r="AL15" i="68" s="1"/>
  <c r="BE40" i="111"/>
  <c r="AM15" i="68" s="1"/>
  <c r="BF40" i="111"/>
  <c r="AN15" i="68" s="1"/>
  <c r="BG40" i="111"/>
  <c r="AO15" i="68" s="1"/>
  <c r="BH40" i="111"/>
  <c r="AP15" i="68" s="1"/>
  <c r="BI40" i="111"/>
  <c r="AQ15" i="68" s="1"/>
  <c r="BJ40" i="111"/>
  <c r="AR15" i="68" s="1"/>
  <c r="BK40" i="111"/>
  <c r="AS15" i="68" s="1"/>
  <c r="BL40" i="111"/>
  <c r="AT15" i="68" s="1"/>
  <c r="BM40" i="111"/>
  <c r="AU15" i="68" s="1"/>
  <c r="BB40" i="111"/>
  <c r="AJ15" i="68" s="1"/>
  <c r="BQ40" i="110"/>
  <c r="AY14" i="68" s="1"/>
  <c r="BR40" i="110"/>
  <c r="AZ14" i="68" s="1"/>
  <c r="BS40" i="110"/>
  <c r="BA14" i="68" s="1"/>
  <c r="BT40" i="110"/>
  <c r="BB14" i="68" s="1"/>
  <c r="BU40" i="110"/>
  <c r="BC14" i="68" s="1"/>
  <c r="BV40" i="110"/>
  <c r="BD14" i="68" s="1"/>
  <c r="BW40" i="110"/>
  <c r="BE14" i="68" s="1"/>
  <c r="BP40" i="110"/>
  <c r="AX14" i="68" s="1"/>
  <c r="BC40" i="110"/>
  <c r="AK14" i="68"/>
  <c r="BD40" i="110"/>
  <c r="AL14" i="68"/>
  <c r="BE40" i="110"/>
  <c r="AM14" i="68"/>
  <c r="BF40" i="110"/>
  <c r="AN14" i="68"/>
  <c r="BG40" i="110"/>
  <c r="AO14" i="68"/>
  <c r="BH40" i="110"/>
  <c r="AP14" i="68"/>
  <c r="BI40" i="110"/>
  <c r="AQ14" i="68"/>
  <c r="BJ40" i="110"/>
  <c r="AR14" i="68"/>
  <c r="BK40" i="110"/>
  <c r="AS14" i="68"/>
  <c r="BL40" i="110"/>
  <c r="AT14" i="68"/>
  <c r="BM40" i="110"/>
  <c r="AU14" i="68"/>
  <c r="BB40" i="110"/>
  <c r="AJ14" i="68"/>
  <c r="BQ40" i="109"/>
  <c r="AY13" i="68"/>
  <c r="BR40" i="109"/>
  <c r="AZ13" i="68"/>
  <c r="BS40" i="109"/>
  <c r="BA13" i="68"/>
  <c r="BT40" i="109"/>
  <c r="BB13" i="68"/>
  <c r="BU40" i="109"/>
  <c r="BC13" i="68"/>
  <c r="BV40" i="109"/>
  <c r="BD13" i="68"/>
  <c r="BW40" i="109"/>
  <c r="BE13" i="68"/>
  <c r="BP40" i="109"/>
  <c r="AX13" i="68"/>
  <c r="BF13" i="68" s="1"/>
  <c r="BC40" i="109"/>
  <c r="AK13" i="68"/>
  <c r="BD40" i="109"/>
  <c r="AL13" i="68"/>
  <c r="BE40" i="109"/>
  <c r="AM13" i="68"/>
  <c r="BF40" i="109"/>
  <c r="AN13" i="68"/>
  <c r="BG40" i="109"/>
  <c r="AO13" i="68"/>
  <c r="BH40" i="109"/>
  <c r="AP13" i="68"/>
  <c r="BI40" i="109"/>
  <c r="AQ13" i="68"/>
  <c r="BJ40" i="109"/>
  <c r="AR13" i="68"/>
  <c r="BK40" i="109"/>
  <c r="AS13" i="68"/>
  <c r="BL40" i="109"/>
  <c r="AT13" i="68"/>
  <c r="BM40" i="109"/>
  <c r="AU13" i="68"/>
  <c r="BB40" i="109"/>
  <c r="AJ13" i="68"/>
  <c r="AV13" i="68" s="1"/>
  <c r="BQ40" i="108"/>
  <c r="AY12" i="68"/>
  <c r="BR40" i="108"/>
  <c r="AZ12" i="68"/>
  <c r="BS40" i="108"/>
  <c r="BA12" i="68"/>
  <c r="BT40" i="108"/>
  <c r="BB12" i="68"/>
  <c r="BU40" i="108"/>
  <c r="BC12" i="68"/>
  <c r="BV40" i="108"/>
  <c r="BD12" i="68"/>
  <c r="BW40" i="108"/>
  <c r="BE12" i="68"/>
  <c r="BP40" i="108"/>
  <c r="AX12" i="68"/>
  <c r="BF12" i="68" s="1"/>
  <c r="BC40" i="108"/>
  <c r="AK12" i="68"/>
  <c r="BD40" i="108"/>
  <c r="AL12" i="68"/>
  <c r="BE40" i="108"/>
  <c r="AM12" i="68"/>
  <c r="BF40" i="108"/>
  <c r="AN12" i="68"/>
  <c r="BG40" i="108"/>
  <c r="AO12" i="68"/>
  <c r="BH40" i="108"/>
  <c r="AP12" i="68"/>
  <c r="BI40" i="108"/>
  <c r="AQ12" i="68"/>
  <c r="BJ40" i="108"/>
  <c r="AR12" i="68"/>
  <c r="BK40" i="108"/>
  <c r="AS12" i="68"/>
  <c r="BL40" i="108"/>
  <c r="AT12" i="68"/>
  <c r="BM40" i="108"/>
  <c r="AU12" i="68"/>
  <c r="BB40" i="108"/>
  <c r="AJ12" i="68"/>
  <c r="AV12" i="68" s="1"/>
  <c r="BQ40" i="107"/>
  <c r="AY11" i="68"/>
  <c r="BR40" i="107"/>
  <c r="AZ11" i="68"/>
  <c r="BS40" i="107"/>
  <c r="BA11" i="68"/>
  <c r="BT40" i="107"/>
  <c r="BB11" i="68"/>
  <c r="BU40" i="107"/>
  <c r="BC11" i="68"/>
  <c r="BV40" i="107"/>
  <c r="BD11" i="68"/>
  <c r="BW40" i="107"/>
  <c r="BE11" i="68"/>
  <c r="BP40" i="107"/>
  <c r="AX11" i="68"/>
  <c r="BF11" i="68" s="1"/>
  <c r="BC40" i="107"/>
  <c r="AK11" i="68"/>
  <c r="BD40" i="107"/>
  <c r="AL11" i="68"/>
  <c r="BE40" i="107"/>
  <c r="AM11" i="68"/>
  <c r="BF40" i="107"/>
  <c r="AN11" i="68"/>
  <c r="BG40" i="107"/>
  <c r="AO11" i="68"/>
  <c r="BH40" i="107"/>
  <c r="AP11" i="68"/>
  <c r="BI40" i="107"/>
  <c r="AQ11" i="68"/>
  <c r="BJ40" i="107"/>
  <c r="AR11" i="68"/>
  <c r="BK40" i="107"/>
  <c r="AS11" i="68"/>
  <c r="BL40" i="107"/>
  <c r="AT11" i="68"/>
  <c r="BM40" i="107"/>
  <c r="AU11" i="68"/>
  <c r="BB40" i="107"/>
  <c r="AJ11" i="68"/>
  <c r="AV11" i="68" s="1"/>
  <c r="BQ40" i="106"/>
  <c r="AY10" i="68"/>
  <c r="BR40" i="106"/>
  <c r="AZ10" i="68"/>
  <c r="BS40" i="106"/>
  <c r="BA10" i="68"/>
  <c r="BT40" i="106"/>
  <c r="BB10" i="68"/>
  <c r="BU40" i="106"/>
  <c r="BC10" i="68"/>
  <c r="BV40" i="106"/>
  <c r="BD10" i="68"/>
  <c r="BW40" i="106"/>
  <c r="BE10" i="68"/>
  <c r="BP40" i="106"/>
  <c r="AX10" i="68"/>
  <c r="BF10" i="68" s="1"/>
  <c r="BC40" i="106"/>
  <c r="AK10" i="68"/>
  <c r="BD40" i="106"/>
  <c r="AL10" i="68"/>
  <c r="BE40" i="106"/>
  <c r="AM10" i="68"/>
  <c r="BF40" i="106"/>
  <c r="AN10" i="68"/>
  <c r="BG40" i="106"/>
  <c r="AO10" i="68"/>
  <c r="BH40" i="106"/>
  <c r="AP10" i="68"/>
  <c r="BI40" i="106"/>
  <c r="AQ10" i="68"/>
  <c r="BJ40" i="106"/>
  <c r="AR10" i="68"/>
  <c r="BK40" i="106"/>
  <c r="AS10" i="68"/>
  <c r="BL40" i="106"/>
  <c r="AT10" i="68"/>
  <c r="BM40" i="106"/>
  <c r="AU10" i="68"/>
  <c r="BB40" i="106"/>
  <c r="AJ10" i="68"/>
  <c r="AV10" i="68" s="1"/>
  <c r="AY9" i="68"/>
  <c r="AZ9" i="68"/>
  <c r="BA9" i="68"/>
  <c r="BB9" i="68"/>
  <c r="BC9" i="68"/>
  <c r="BD9" i="68"/>
  <c r="BE9" i="68"/>
  <c r="AX9" i="68"/>
  <c r="BF9" i="68" s="1"/>
  <c r="AK9" i="68"/>
  <c r="AL9" i="68"/>
  <c r="AM9" i="68"/>
  <c r="AN9" i="68"/>
  <c r="AO9" i="68"/>
  <c r="AP9" i="68"/>
  <c r="AQ9" i="68"/>
  <c r="AR9" i="68"/>
  <c r="AS9" i="68"/>
  <c r="AT9" i="68"/>
  <c r="AU9" i="68"/>
  <c r="AJ9" i="68"/>
  <c r="AV9" i="68" s="1"/>
  <c r="BQ40" i="104"/>
  <c r="AY8" i="68"/>
  <c r="BR40" i="104"/>
  <c r="AZ8" i="68"/>
  <c r="BS40" i="104"/>
  <c r="BA8" i="68"/>
  <c r="BT40" i="104"/>
  <c r="BB8" i="68"/>
  <c r="BU40" i="104"/>
  <c r="BC8" i="68"/>
  <c r="BV40" i="104"/>
  <c r="BD8" i="68"/>
  <c r="BW40" i="104"/>
  <c r="BE8" i="68"/>
  <c r="BP40" i="104"/>
  <c r="AX8" i="68"/>
  <c r="BF8" i="68" s="1"/>
  <c r="BC40" i="104"/>
  <c r="AK8" i="68"/>
  <c r="BD40" i="104"/>
  <c r="AL8" i="68"/>
  <c r="BE40" i="104"/>
  <c r="AM8" i="68"/>
  <c r="BF40" i="104"/>
  <c r="AN8" i="68"/>
  <c r="BG40" i="104"/>
  <c r="AO8" i="68"/>
  <c r="BH40" i="104"/>
  <c r="AP8" i="68"/>
  <c r="BI40" i="104"/>
  <c r="AQ8" i="68"/>
  <c r="BJ40" i="104"/>
  <c r="AR8" i="68"/>
  <c r="BK40" i="104"/>
  <c r="AS8" i="68"/>
  <c r="BL40" i="104"/>
  <c r="AT8" i="68"/>
  <c r="BM40" i="104"/>
  <c r="AU8" i="68"/>
  <c r="BB40" i="104"/>
  <c r="AJ8" i="68"/>
  <c r="AV8" i="68" s="1"/>
  <c r="DF36" i="114"/>
  <c r="AS29" i="114"/>
  <c r="BZ28" i="114"/>
  <c r="CD26" i="114"/>
  <c r="AM23" i="114"/>
  <c r="DB22" i="114"/>
  <c r="AM20" i="114"/>
  <c r="AS17" i="114"/>
  <c r="Y17" i="114"/>
  <c r="AS29" i="113"/>
  <c r="C29" i="113"/>
  <c r="AS26" i="113"/>
  <c r="ED40" i="113"/>
  <c r="C18" i="112"/>
  <c r="C19" i="112"/>
  <c r="C20" i="112"/>
  <c r="AI31" i="111"/>
  <c r="AI32" i="111"/>
  <c r="AI33" i="111"/>
  <c r="AY25" i="111"/>
  <c r="AM25" i="110"/>
  <c r="AM26" i="110"/>
  <c r="AM27" i="110"/>
  <c r="M8" i="109"/>
  <c r="M9" i="109"/>
  <c r="M10" i="109"/>
  <c r="M11" i="109"/>
  <c r="M12" i="109"/>
  <c r="ED40" i="108"/>
  <c r="ED40" i="107"/>
  <c r="AI21" i="107"/>
  <c r="AI38" i="106"/>
  <c r="AI36" i="106"/>
  <c r="AI37" i="106"/>
  <c r="F10" i="106"/>
  <c r="AE31" i="105"/>
  <c r="AE32" i="105"/>
  <c r="AA28" i="105"/>
  <c r="AA29" i="105"/>
  <c r="DZ1" i="115"/>
  <c r="DZ1" i="114"/>
  <c r="DZ1" i="113"/>
  <c r="DZ1" i="112"/>
  <c r="DZ1" i="111"/>
  <c r="DZ1" i="110"/>
  <c r="DZ1" i="109"/>
  <c r="DZ1" i="108"/>
  <c r="DZ1" i="107"/>
  <c r="DZ1" i="106"/>
  <c r="DZ1" i="105"/>
  <c r="F22" i="104"/>
  <c r="DF35" i="115"/>
  <c r="DG35" i="115" s="1"/>
  <c r="DH35" i="115" s="1"/>
  <c r="DF36" i="115"/>
  <c r="DF37" i="115"/>
  <c r="DG37" i="115" s="1"/>
  <c r="DH37" i="115" s="1"/>
  <c r="DF38" i="115"/>
  <c r="CV34" i="115"/>
  <c r="CW34" i="115" s="1"/>
  <c r="CX34" i="115" s="1"/>
  <c r="CV35" i="115"/>
  <c r="CV36" i="115"/>
  <c r="CV37" i="115"/>
  <c r="CW37" i="115"/>
  <c r="CX37" i="115" s="1"/>
  <c r="CV38" i="115"/>
  <c r="CW38" i="115" s="1"/>
  <c r="CX38" i="115" s="1"/>
  <c r="CM35" i="115"/>
  <c r="CM36" i="115"/>
  <c r="CN36" i="115" s="1"/>
  <c r="CO36" i="115" s="1"/>
  <c r="CM37" i="115"/>
  <c r="CM38" i="115"/>
  <c r="CN38" i="115" s="1"/>
  <c r="CO38" i="115" s="1"/>
  <c r="CD34" i="115"/>
  <c r="CD35" i="115"/>
  <c r="CD36" i="115"/>
  <c r="CD37" i="115"/>
  <c r="CE37" i="115" s="1"/>
  <c r="CF37" i="115" s="1"/>
  <c r="CD38" i="115"/>
  <c r="AY35" i="115"/>
  <c r="AY36" i="115"/>
  <c r="AY37" i="115"/>
  <c r="AY38" i="115"/>
  <c r="AW35" i="115"/>
  <c r="AW36" i="115"/>
  <c r="AW37" i="115"/>
  <c r="AW38" i="115"/>
  <c r="AU35" i="115"/>
  <c r="AU36" i="115"/>
  <c r="AU37" i="115"/>
  <c r="AU38" i="115"/>
  <c r="AS35" i="115"/>
  <c r="AS36" i="115"/>
  <c r="AS37" i="115"/>
  <c r="AS38" i="115"/>
  <c r="AO35" i="115"/>
  <c r="AO36" i="115"/>
  <c r="AO37" i="115"/>
  <c r="AO38" i="115"/>
  <c r="AM35" i="115"/>
  <c r="AM36" i="115"/>
  <c r="AM37" i="115"/>
  <c r="AM38" i="115"/>
  <c r="AK35" i="115"/>
  <c r="AK36" i="115"/>
  <c r="AK37" i="115"/>
  <c r="AK38" i="115"/>
  <c r="AI34" i="115"/>
  <c r="AI35" i="115"/>
  <c r="AI36" i="115"/>
  <c r="AI37" i="115"/>
  <c r="AI38" i="115"/>
  <c r="AE35" i="115"/>
  <c r="AE36" i="115"/>
  <c r="AE37" i="115"/>
  <c r="AE38" i="115"/>
  <c r="AC35" i="115"/>
  <c r="AC36" i="115"/>
  <c r="AC37" i="115"/>
  <c r="AC38" i="115"/>
  <c r="AA33" i="115"/>
  <c r="AA34" i="115"/>
  <c r="AA35" i="115"/>
  <c r="AA36" i="115"/>
  <c r="AA37" i="115"/>
  <c r="AA38" i="115"/>
  <c r="Y35" i="115"/>
  <c r="Y36" i="115"/>
  <c r="Y37" i="115"/>
  <c r="Y38" i="115"/>
  <c r="Q35" i="115"/>
  <c r="Q36" i="115"/>
  <c r="Q37" i="115"/>
  <c r="Q38" i="115"/>
  <c r="O33" i="115"/>
  <c r="O34" i="115"/>
  <c r="O35" i="115"/>
  <c r="O36" i="115"/>
  <c r="O37" i="115"/>
  <c r="O38" i="115"/>
  <c r="M33" i="115"/>
  <c r="M34" i="115"/>
  <c r="M35" i="115"/>
  <c r="M36" i="115"/>
  <c r="M37" i="115"/>
  <c r="M38" i="115"/>
  <c r="I34" i="115"/>
  <c r="I35" i="115"/>
  <c r="EC35" i="115" s="1"/>
  <c r="I36" i="115"/>
  <c r="I37" i="115"/>
  <c r="EC37" i="115"/>
  <c r="I38" i="115"/>
  <c r="F34" i="115"/>
  <c r="EB34" i="115" s="1"/>
  <c r="F35" i="115"/>
  <c r="F36" i="115"/>
  <c r="EB36" i="115"/>
  <c r="F37" i="115"/>
  <c r="EB37" i="115"/>
  <c r="F38" i="115"/>
  <c r="EB38" i="115"/>
  <c r="C35" i="115"/>
  <c r="C36" i="115"/>
  <c r="EA36" i="115" s="1"/>
  <c r="C37" i="115"/>
  <c r="C38" i="115"/>
  <c r="DF37" i="114"/>
  <c r="CV37" i="114"/>
  <c r="CM37" i="114"/>
  <c r="CD37" i="114"/>
  <c r="CE37" i="114"/>
  <c r="AY37" i="114"/>
  <c r="AW37" i="114"/>
  <c r="AU37" i="114"/>
  <c r="AS37" i="114"/>
  <c r="AO37" i="114"/>
  <c r="AK37" i="114"/>
  <c r="AI37" i="114"/>
  <c r="AE37" i="114"/>
  <c r="AC37" i="114"/>
  <c r="AA37" i="114"/>
  <c r="Y37" i="114"/>
  <c r="Q37" i="114"/>
  <c r="O37" i="114"/>
  <c r="M37" i="114"/>
  <c r="I37" i="114"/>
  <c r="F37" i="114"/>
  <c r="EB37" i="114" s="1"/>
  <c r="C37" i="114"/>
  <c r="EI42" i="115"/>
  <c r="DZ42" i="115"/>
  <c r="DL42" i="115"/>
  <c r="DC42" i="115"/>
  <c r="CS42" i="115"/>
  <c r="CJ42" i="115"/>
  <c r="CA42" i="115"/>
  <c r="BO42" i="115"/>
  <c r="BA42" i="115"/>
  <c r="AQ42" i="115"/>
  <c r="AG42" i="115"/>
  <c r="W42" i="115"/>
  <c r="K42" i="115"/>
  <c r="EG41" i="115"/>
  <c r="EF41" i="115"/>
  <c r="EE41" i="115"/>
  <c r="DW41" i="115"/>
  <c r="DV41" i="115"/>
  <c r="DU41" i="115"/>
  <c r="DT41" i="115"/>
  <c r="DS41" i="115"/>
  <c r="DR41" i="115"/>
  <c r="DQ41" i="115"/>
  <c r="DP41" i="115"/>
  <c r="DO41" i="115"/>
  <c r="DN41" i="115"/>
  <c r="DM41" i="115"/>
  <c r="BW41" i="115"/>
  <c r="AX19" i="67"/>
  <c r="BV41" i="115"/>
  <c r="AW19" i="67"/>
  <c r="BU41" i="115"/>
  <c r="AU19" i="67"/>
  <c r="BT41" i="115"/>
  <c r="AT19" i="67"/>
  <c r="BS41" i="115"/>
  <c r="AS19" i="67"/>
  <c r="BR41" i="115"/>
  <c r="AR19" i="67"/>
  <c r="BQ41" i="115"/>
  <c r="AQ19" i="67"/>
  <c r="BP41" i="115"/>
  <c r="AP19" i="67"/>
  <c r="BM41" i="115"/>
  <c r="AN19" i="67"/>
  <c r="BL41" i="115"/>
  <c r="AM19" i="67"/>
  <c r="BK41" i="115"/>
  <c r="AL19" i="67"/>
  <c r="BJ41" i="115"/>
  <c r="AK19" i="67"/>
  <c r="BI41" i="115"/>
  <c r="AJ19" i="67"/>
  <c r="BH41" i="115"/>
  <c r="AI19" i="67"/>
  <c r="BG41" i="115"/>
  <c r="AH19" i="67"/>
  <c r="BF41" i="115"/>
  <c r="AG19" i="67"/>
  <c r="BE41" i="115"/>
  <c r="AF19" i="67"/>
  <c r="BD41" i="115"/>
  <c r="AE19" i="67"/>
  <c r="BC41" i="115"/>
  <c r="AD19" i="67"/>
  <c r="BB41" i="115"/>
  <c r="AC19" i="67"/>
  <c r="ED40" i="115"/>
  <c r="EQ38" i="115"/>
  <c r="EH38" i="115"/>
  <c r="DY38" i="115"/>
  <c r="DK38" i="115"/>
  <c r="DG38" i="115"/>
  <c r="DH38" i="115" s="1"/>
  <c r="DB38" i="115"/>
  <c r="CR38" i="115"/>
  <c r="CI38" i="115"/>
  <c r="CE38" i="115"/>
  <c r="CF38" i="115"/>
  <c r="BZ38" i="115"/>
  <c r="BN38" i="115"/>
  <c r="AZ38" i="115"/>
  <c r="AP38" i="115"/>
  <c r="AF38" i="115"/>
  <c r="V38" i="115"/>
  <c r="EC38" i="115"/>
  <c r="EA38" i="115"/>
  <c r="EQ37" i="115"/>
  <c r="EH37" i="115"/>
  <c r="DY37" i="115"/>
  <c r="DK37" i="115"/>
  <c r="DB37" i="115"/>
  <c r="CR37" i="115"/>
  <c r="CN37" i="115"/>
  <c r="CO37" i="115"/>
  <c r="CI37" i="115"/>
  <c r="BZ37" i="115"/>
  <c r="BN37" i="115"/>
  <c r="AZ37" i="115"/>
  <c r="AP37" i="115"/>
  <c r="AF37" i="115"/>
  <c r="V37" i="115"/>
  <c r="EA37" i="115"/>
  <c r="EQ36" i="115"/>
  <c r="EH36" i="115"/>
  <c r="DY36" i="115"/>
  <c r="DK36" i="115"/>
  <c r="DG36" i="115"/>
  <c r="DH36" i="115"/>
  <c r="DB36" i="115"/>
  <c r="CW36" i="115"/>
  <c r="CX36" i="115" s="1"/>
  <c r="CR36" i="115"/>
  <c r="CI36" i="115"/>
  <c r="CE36" i="115"/>
  <c r="CF36" i="115" s="1"/>
  <c r="BZ36" i="115"/>
  <c r="BN36" i="115"/>
  <c r="AZ36" i="115"/>
  <c r="AP36" i="115"/>
  <c r="AF36" i="115"/>
  <c r="V36" i="115"/>
  <c r="EC36" i="115"/>
  <c r="EQ35" i="115"/>
  <c r="EH35" i="115"/>
  <c r="DY35" i="115"/>
  <c r="DK35" i="115"/>
  <c r="DB35" i="115"/>
  <c r="CW35" i="115"/>
  <c r="CX35" i="115" s="1"/>
  <c r="CR35" i="115"/>
  <c r="CN35" i="115"/>
  <c r="CO35" i="115"/>
  <c r="CI35" i="115"/>
  <c r="CE35" i="115"/>
  <c r="CF35" i="115" s="1"/>
  <c r="BZ35" i="115"/>
  <c r="BN35" i="115"/>
  <c r="AZ35" i="115"/>
  <c r="AP35" i="115"/>
  <c r="AF35" i="115"/>
  <c r="V35" i="115"/>
  <c r="EB35" i="115"/>
  <c r="EA35" i="115"/>
  <c r="EQ34" i="115"/>
  <c r="EH34" i="115"/>
  <c r="DY34" i="115"/>
  <c r="DK34" i="115"/>
  <c r="DF34" i="115"/>
  <c r="DG34" i="115"/>
  <c r="DH34" i="115" s="1"/>
  <c r="DB34" i="115"/>
  <c r="CR34" i="115"/>
  <c r="CM34" i="115"/>
  <c r="CN34" i="115" s="1"/>
  <c r="CO34" i="115" s="1"/>
  <c r="CI34" i="115"/>
  <c r="CE34" i="115"/>
  <c r="CF34" i="115"/>
  <c r="BZ34" i="115"/>
  <c r="BN34" i="115"/>
  <c r="AZ34" i="115"/>
  <c r="AY34" i="115"/>
  <c r="AW34" i="115"/>
  <c r="AU34" i="115"/>
  <c r="AS34" i="115"/>
  <c r="AP34" i="115"/>
  <c r="AO34" i="115"/>
  <c r="AM34" i="115"/>
  <c r="AK34" i="115"/>
  <c r="AF34" i="115"/>
  <c r="AE34" i="115"/>
  <c r="AC34" i="115"/>
  <c r="Y34" i="115"/>
  <c r="V34" i="115"/>
  <c r="Q34" i="115"/>
  <c r="EC34" i="115"/>
  <c r="C34" i="115"/>
  <c r="EA34" i="115"/>
  <c r="EQ33" i="115"/>
  <c r="EH33" i="115"/>
  <c r="DY33" i="115"/>
  <c r="DK33" i="115"/>
  <c r="DF33" i="115"/>
  <c r="DG33" i="115"/>
  <c r="DH33" i="115" s="1"/>
  <c r="DB33" i="115"/>
  <c r="CV33" i="115"/>
  <c r="CW33" i="115"/>
  <c r="CX33" i="115" s="1"/>
  <c r="CR33" i="115"/>
  <c r="CM33" i="115"/>
  <c r="CN33" i="115"/>
  <c r="CO33" i="115" s="1"/>
  <c r="CI33" i="115"/>
  <c r="CD33" i="115"/>
  <c r="CE33" i="115"/>
  <c r="CF33" i="115" s="1"/>
  <c r="BZ33" i="115"/>
  <c r="BN33" i="115"/>
  <c r="AZ33" i="115"/>
  <c r="AY33" i="115"/>
  <c r="AW33" i="115"/>
  <c r="AU33" i="115"/>
  <c r="AS33" i="115"/>
  <c r="AP33" i="115"/>
  <c r="AO33" i="115"/>
  <c r="AM33" i="115"/>
  <c r="AK33" i="115"/>
  <c r="AI33" i="115"/>
  <c r="AF33" i="115"/>
  <c r="AE33" i="115"/>
  <c r="AC33" i="115"/>
  <c r="Y33" i="115"/>
  <c r="V33" i="115"/>
  <c r="Q33" i="115"/>
  <c r="I33" i="115"/>
  <c r="EC33" i="115" s="1"/>
  <c r="F33" i="115"/>
  <c r="EB33" i="115" s="1"/>
  <c r="C33" i="115"/>
  <c r="EA33" i="115" s="1"/>
  <c r="EQ32" i="115"/>
  <c r="EH32" i="115"/>
  <c r="DY32" i="115"/>
  <c r="DK32" i="115"/>
  <c r="DF32" i="115"/>
  <c r="DG32" i="115" s="1"/>
  <c r="DH32" i="115" s="1"/>
  <c r="DB32" i="115"/>
  <c r="CV32" i="115"/>
  <c r="CW32" i="115" s="1"/>
  <c r="CX32" i="115" s="1"/>
  <c r="CR32" i="115"/>
  <c r="CO32" i="115"/>
  <c r="CM32" i="115"/>
  <c r="CN32" i="115"/>
  <c r="CI32" i="115"/>
  <c r="CD32" i="115"/>
  <c r="CE32" i="115" s="1"/>
  <c r="CF32" i="115" s="1"/>
  <c r="BZ32" i="115"/>
  <c r="BN32" i="115"/>
  <c r="AZ32" i="115"/>
  <c r="AY32" i="115"/>
  <c r="AW32" i="115"/>
  <c r="AU32" i="115"/>
  <c r="AS32" i="115"/>
  <c r="AP32" i="115"/>
  <c r="AO32" i="115"/>
  <c r="AM32" i="115"/>
  <c r="AK32" i="115"/>
  <c r="AI32" i="115"/>
  <c r="AF32" i="115"/>
  <c r="AE32" i="115"/>
  <c r="AC32" i="115"/>
  <c r="AA32" i="115"/>
  <c r="Y32" i="115"/>
  <c r="V32" i="115"/>
  <c r="Q32" i="115"/>
  <c r="O32" i="115"/>
  <c r="M32" i="115"/>
  <c r="I32" i="115"/>
  <c r="EC32" i="115" s="1"/>
  <c r="F32" i="115"/>
  <c r="EB32" i="115" s="1"/>
  <c r="C32" i="115"/>
  <c r="EA32" i="115" s="1"/>
  <c r="EQ31" i="115"/>
  <c r="EH31" i="115"/>
  <c r="DY31" i="115"/>
  <c r="DK31" i="115"/>
  <c r="DF31" i="115"/>
  <c r="DG31" i="115" s="1"/>
  <c r="DH31" i="115"/>
  <c r="DB31" i="115"/>
  <c r="CV31" i="115"/>
  <c r="CW31" i="115" s="1"/>
  <c r="CX31" i="115" s="1"/>
  <c r="CR31" i="115"/>
  <c r="CM31" i="115"/>
  <c r="CN31" i="115" s="1"/>
  <c r="CO31" i="115"/>
  <c r="CI31" i="115"/>
  <c r="CD31" i="115"/>
  <c r="CE31" i="115" s="1"/>
  <c r="CF31" i="115" s="1"/>
  <c r="BZ31" i="115"/>
  <c r="BN31" i="115"/>
  <c r="AZ31" i="115"/>
  <c r="AY31" i="115"/>
  <c r="AW31" i="115"/>
  <c r="AU31" i="115"/>
  <c r="AS31" i="115"/>
  <c r="AP31" i="115"/>
  <c r="AO31" i="115"/>
  <c r="AM31" i="115"/>
  <c r="AK31" i="115"/>
  <c r="AI31" i="115"/>
  <c r="AF31" i="115"/>
  <c r="AE31" i="115"/>
  <c r="AC31" i="115"/>
  <c r="AA31" i="115"/>
  <c r="Y31" i="115"/>
  <c r="V31" i="115"/>
  <c r="Q31" i="115"/>
  <c r="O31" i="115"/>
  <c r="M31" i="115"/>
  <c r="I31" i="115"/>
  <c r="EC31" i="115" s="1"/>
  <c r="F31" i="115"/>
  <c r="EB31" i="115" s="1"/>
  <c r="C31" i="115"/>
  <c r="EA31" i="115" s="1"/>
  <c r="EQ30" i="115"/>
  <c r="EH30" i="115"/>
  <c r="EB30" i="115"/>
  <c r="DY30" i="115"/>
  <c r="DK30" i="115"/>
  <c r="DF30" i="115"/>
  <c r="DG30" i="115"/>
  <c r="DH30" i="115" s="1"/>
  <c r="DB30" i="115"/>
  <c r="CV30" i="115"/>
  <c r="CW30" i="115"/>
  <c r="CX30" i="115" s="1"/>
  <c r="CR30" i="115"/>
  <c r="CM30" i="115"/>
  <c r="CN30" i="115" s="1"/>
  <c r="CO30" i="115" s="1"/>
  <c r="CI30" i="115"/>
  <c r="CD30" i="115"/>
  <c r="CE30" i="115"/>
  <c r="CF30" i="115" s="1"/>
  <c r="BZ30" i="115"/>
  <c r="BN30" i="115"/>
  <c r="AZ30" i="115"/>
  <c r="AY30" i="115"/>
  <c r="AW30" i="115"/>
  <c r="AU30" i="115"/>
  <c r="AS30" i="115"/>
  <c r="AP30" i="115"/>
  <c r="AO30" i="115"/>
  <c r="AM30" i="115"/>
  <c r="AK30" i="115"/>
  <c r="AI30" i="115"/>
  <c r="AF30" i="115"/>
  <c r="AE30" i="115"/>
  <c r="AC30" i="115"/>
  <c r="AA30" i="115"/>
  <c r="Y30" i="115"/>
  <c r="V30" i="115"/>
  <c r="Q30" i="115"/>
  <c r="O30" i="115"/>
  <c r="M30" i="115"/>
  <c r="I30" i="115"/>
  <c r="EC30" i="115"/>
  <c r="F30" i="115"/>
  <c r="C30" i="115"/>
  <c r="EA30" i="115" s="1"/>
  <c r="EQ29" i="115"/>
  <c r="EH29" i="115"/>
  <c r="DY29" i="115"/>
  <c r="DK29" i="115"/>
  <c r="DF29" i="115"/>
  <c r="DG29" i="115" s="1"/>
  <c r="DH29" i="115" s="1"/>
  <c r="DB29" i="115"/>
  <c r="CV29" i="115"/>
  <c r="CW29" i="115" s="1"/>
  <c r="CX29" i="115" s="1"/>
  <c r="CR29" i="115"/>
  <c r="CM29" i="115"/>
  <c r="CN29" i="115" s="1"/>
  <c r="CO29" i="115"/>
  <c r="CI29" i="115"/>
  <c r="CD29" i="115"/>
  <c r="CE29" i="115" s="1"/>
  <c r="CF29" i="115"/>
  <c r="BZ29" i="115"/>
  <c r="BN29" i="115"/>
  <c r="AZ29" i="115"/>
  <c r="AY29" i="115"/>
  <c r="AW29" i="115"/>
  <c r="AU29" i="115"/>
  <c r="AS29" i="115"/>
  <c r="AP29" i="115"/>
  <c r="AO29" i="115"/>
  <c r="AM29" i="115"/>
  <c r="AK29" i="115"/>
  <c r="AI29" i="115"/>
  <c r="AF29" i="115"/>
  <c r="AE29" i="115"/>
  <c r="AC29" i="115"/>
  <c r="AA29" i="115"/>
  <c r="Y29" i="115"/>
  <c r="V29" i="115"/>
  <c r="Q29" i="115"/>
  <c r="O29" i="115"/>
  <c r="M29" i="115"/>
  <c r="I29" i="115"/>
  <c r="EC29" i="115" s="1"/>
  <c r="F29" i="115"/>
  <c r="EB29" i="115" s="1"/>
  <c r="C29" i="115"/>
  <c r="EA29" i="115" s="1"/>
  <c r="EQ28" i="115"/>
  <c r="EH28" i="115"/>
  <c r="DY28" i="115"/>
  <c r="DK28" i="115"/>
  <c r="DF28" i="115"/>
  <c r="DG28" i="115" s="1"/>
  <c r="DH28" i="115" s="1"/>
  <c r="DB28" i="115"/>
  <c r="CV28" i="115"/>
  <c r="CW28" i="115" s="1"/>
  <c r="CX28" i="115"/>
  <c r="CR28" i="115"/>
  <c r="CM28" i="115"/>
  <c r="CN28" i="115" s="1"/>
  <c r="CO28" i="115"/>
  <c r="CI28" i="115"/>
  <c r="CD28" i="115"/>
  <c r="CE28" i="115" s="1"/>
  <c r="CF28" i="115" s="1"/>
  <c r="BZ28" i="115"/>
  <c r="BN28" i="115"/>
  <c r="AZ28" i="115"/>
  <c r="AY28" i="115"/>
  <c r="AW28" i="115"/>
  <c r="AU28" i="115"/>
  <c r="AS28" i="115"/>
  <c r="AP28" i="115"/>
  <c r="AO28" i="115"/>
  <c r="AM28" i="115"/>
  <c r="AK28" i="115"/>
  <c r="AI28" i="115"/>
  <c r="AF28" i="115"/>
  <c r="AE28" i="115"/>
  <c r="AC28" i="115"/>
  <c r="AA28" i="115"/>
  <c r="Y28" i="115"/>
  <c r="V28" i="115"/>
  <c r="Q28" i="115"/>
  <c r="O28" i="115"/>
  <c r="M28" i="115"/>
  <c r="I28" i="115"/>
  <c r="EC28" i="115" s="1"/>
  <c r="F28" i="115"/>
  <c r="EB28" i="115" s="1"/>
  <c r="C28" i="115"/>
  <c r="EA28" i="115" s="1"/>
  <c r="EQ27" i="115"/>
  <c r="EH27" i="115"/>
  <c r="DY27" i="115"/>
  <c r="DK27" i="115"/>
  <c r="DF27" i="115"/>
  <c r="DG27" i="115" s="1"/>
  <c r="DH27" i="115"/>
  <c r="DB27" i="115"/>
  <c r="CV27" i="115"/>
  <c r="CW27" i="115" s="1"/>
  <c r="CX27" i="115"/>
  <c r="CR27" i="115"/>
  <c r="CM27" i="115"/>
  <c r="CN27" i="115" s="1"/>
  <c r="CO27" i="115" s="1"/>
  <c r="CI27" i="115"/>
  <c r="CD27" i="115"/>
  <c r="CE27" i="115" s="1"/>
  <c r="CF27" i="115" s="1"/>
  <c r="BZ27" i="115"/>
  <c r="BN27" i="115"/>
  <c r="AZ27" i="115"/>
  <c r="AY27" i="115"/>
  <c r="AW27" i="115"/>
  <c r="AU27" i="115"/>
  <c r="AS27" i="115"/>
  <c r="AP27" i="115"/>
  <c r="AO27" i="115"/>
  <c r="AM27" i="115"/>
  <c r="AK27" i="115"/>
  <c r="AI27" i="115"/>
  <c r="AF27" i="115"/>
  <c r="AE27" i="115"/>
  <c r="AC27" i="115"/>
  <c r="AA27" i="115"/>
  <c r="Y27" i="115"/>
  <c r="V27" i="115"/>
  <c r="Q27" i="115"/>
  <c r="O27" i="115"/>
  <c r="M27" i="115"/>
  <c r="I27" i="115"/>
  <c r="EC27" i="115" s="1"/>
  <c r="F27" i="115"/>
  <c r="EB27" i="115" s="1"/>
  <c r="C27" i="115"/>
  <c r="EA27" i="115" s="1"/>
  <c r="EQ26" i="115"/>
  <c r="EH26" i="115"/>
  <c r="EB26" i="115"/>
  <c r="DY26" i="115"/>
  <c r="DK26" i="115"/>
  <c r="DF26" i="115"/>
  <c r="DG26" i="115"/>
  <c r="DH26" i="115" s="1"/>
  <c r="DB26" i="115"/>
  <c r="CV26" i="115"/>
  <c r="CW26" i="115"/>
  <c r="CX26" i="115" s="1"/>
  <c r="CR26" i="115"/>
  <c r="CM26" i="115"/>
  <c r="CN26" i="115"/>
  <c r="CO26" i="115" s="1"/>
  <c r="CI26" i="115"/>
  <c r="CD26" i="115"/>
  <c r="CE26" i="115"/>
  <c r="CF26" i="115" s="1"/>
  <c r="BZ26" i="115"/>
  <c r="BN26" i="115"/>
  <c r="AZ26" i="115"/>
  <c r="AY26" i="115"/>
  <c r="AW26" i="115"/>
  <c r="AU26" i="115"/>
  <c r="AS26" i="115"/>
  <c r="AP26" i="115"/>
  <c r="AO26" i="115"/>
  <c r="AM26" i="115"/>
  <c r="AK26" i="115"/>
  <c r="AI26" i="115"/>
  <c r="AF26" i="115"/>
  <c r="AE26" i="115"/>
  <c r="AC26" i="115"/>
  <c r="AA26" i="115"/>
  <c r="Y26" i="115"/>
  <c r="V26" i="115"/>
  <c r="Q26" i="115"/>
  <c r="O26" i="115"/>
  <c r="M26" i="115"/>
  <c r="I26" i="115"/>
  <c r="EC26" i="115"/>
  <c r="F26" i="115"/>
  <c r="C26" i="115"/>
  <c r="EA26" i="115" s="1"/>
  <c r="EQ25" i="115"/>
  <c r="EH25" i="115"/>
  <c r="DY25" i="115"/>
  <c r="DK25" i="115"/>
  <c r="DF25" i="115"/>
  <c r="DG25" i="115" s="1"/>
  <c r="DH25" i="115"/>
  <c r="DB25" i="115"/>
  <c r="CV25" i="115"/>
  <c r="CW25" i="115" s="1"/>
  <c r="CX25" i="115"/>
  <c r="CR25" i="115"/>
  <c r="CM25" i="115"/>
  <c r="CN25" i="115" s="1"/>
  <c r="CO25" i="115" s="1"/>
  <c r="CI25" i="115"/>
  <c r="CD25" i="115"/>
  <c r="CE25" i="115" s="1"/>
  <c r="CF25" i="115" s="1"/>
  <c r="BZ25" i="115"/>
  <c r="BN25" i="115"/>
  <c r="AZ25" i="115"/>
  <c r="AY25" i="115"/>
  <c r="AW25" i="115"/>
  <c r="AU25" i="115"/>
  <c r="AS25" i="115"/>
  <c r="AP25" i="115"/>
  <c r="AO25" i="115"/>
  <c r="AM25" i="115"/>
  <c r="AK25" i="115"/>
  <c r="AI25" i="115"/>
  <c r="AF25" i="115"/>
  <c r="AE25" i="115"/>
  <c r="AC25" i="115"/>
  <c r="AA25" i="115"/>
  <c r="Y25" i="115"/>
  <c r="V25" i="115"/>
  <c r="Q25" i="115"/>
  <c r="O25" i="115"/>
  <c r="M25" i="115"/>
  <c r="I25" i="115"/>
  <c r="EC25" i="115" s="1"/>
  <c r="F25" i="115"/>
  <c r="EB25" i="115" s="1"/>
  <c r="C25" i="115"/>
  <c r="EA25" i="115" s="1"/>
  <c r="EQ24" i="115"/>
  <c r="EH24" i="115"/>
  <c r="DY24" i="115"/>
  <c r="DK24" i="115"/>
  <c r="DF24" i="115"/>
  <c r="DG24" i="115" s="1"/>
  <c r="DB24" i="115"/>
  <c r="CV24" i="115"/>
  <c r="CW24" i="115"/>
  <c r="CR24" i="115"/>
  <c r="CM24" i="115"/>
  <c r="CN24" i="115" s="1"/>
  <c r="CI24" i="115"/>
  <c r="CD24" i="115"/>
  <c r="CE24" i="115"/>
  <c r="BZ24" i="115"/>
  <c r="BN24" i="115"/>
  <c r="AZ24" i="115"/>
  <c r="AY24" i="115"/>
  <c r="AW24" i="115"/>
  <c r="AU24" i="115"/>
  <c r="AS24" i="115"/>
  <c r="AP24" i="115"/>
  <c r="AO24" i="115"/>
  <c r="AM24" i="115"/>
  <c r="AK24" i="115"/>
  <c r="AI24" i="115"/>
  <c r="AF24" i="115"/>
  <c r="AE24" i="115"/>
  <c r="AC24" i="115"/>
  <c r="AA24" i="115"/>
  <c r="Y24" i="115"/>
  <c r="V24" i="115"/>
  <c r="Q24" i="115"/>
  <c r="O24" i="115"/>
  <c r="M24" i="115"/>
  <c r="I24" i="115"/>
  <c r="F24" i="115"/>
  <c r="EB24" i="115"/>
  <c r="C24" i="115"/>
  <c r="EA24" i="115"/>
  <c r="EQ23" i="115"/>
  <c r="EH23" i="115"/>
  <c r="DY23" i="115"/>
  <c r="DK23" i="115"/>
  <c r="DF23" i="115"/>
  <c r="DG23" i="115"/>
  <c r="DB23" i="115"/>
  <c r="CV23" i="115"/>
  <c r="CW23" i="115" s="1"/>
  <c r="CR23" i="115"/>
  <c r="CM23" i="115"/>
  <c r="CN23" i="115"/>
  <c r="CI23" i="115"/>
  <c r="CD23" i="115"/>
  <c r="CE23" i="115" s="1"/>
  <c r="BZ23" i="115"/>
  <c r="BN23" i="115"/>
  <c r="AZ23" i="115"/>
  <c r="AY23" i="115"/>
  <c r="AW23" i="115"/>
  <c r="AU23" i="115"/>
  <c r="AS23" i="115"/>
  <c r="AP23" i="115"/>
  <c r="AO23" i="115"/>
  <c r="AM23" i="115"/>
  <c r="AK23" i="115"/>
  <c r="AI23" i="115"/>
  <c r="AF23" i="115"/>
  <c r="AE23" i="115"/>
  <c r="AC23" i="115"/>
  <c r="AA23" i="115"/>
  <c r="Y23" i="115"/>
  <c r="V23" i="115"/>
  <c r="Q23" i="115"/>
  <c r="O23" i="115"/>
  <c r="M23" i="115"/>
  <c r="I23" i="115"/>
  <c r="F23" i="115"/>
  <c r="EB23" i="115" s="1"/>
  <c r="C23" i="115"/>
  <c r="EA23" i="115" s="1"/>
  <c r="EQ22" i="115"/>
  <c r="EH22" i="115"/>
  <c r="DY22" i="115"/>
  <c r="DK22" i="115"/>
  <c r="DF22" i="115"/>
  <c r="DG22" i="115" s="1"/>
  <c r="DH22" i="115"/>
  <c r="DB22" i="115"/>
  <c r="CV22" i="115"/>
  <c r="CW22" i="115" s="1"/>
  <c r="CR22" i="115"/>
  <c r="CM22" i="115"/>
  <c r="CN22" i="115" s="1"/>
  <c r="CO22" i="115" s="1"/>
  <c r="CI22" i="115"/>
  <c r="CD22" i="115"/>
  <c r="CE22" i="115"/>
  <c r="BZ22" i="115"/>
  <c r="BN22" i="115"/>
  <c r="AZ22" i="115"/>
  <c r="AY22" i="115"/>
  <c r="AW22" i="115"/>
  <c r="AU22" i="115"/>
  <c r="AS22" i="115"/>
  <c r="AP22" i="115"/>
  <c r="AO22" i="115"/>
  <c r="AM22" i="115"/>
  <c r="AK22" i="115"/>
  <c r="AI22" i="115"/>
  <c r="AF22" i="115"/>
  <c r="AE22" i="115"/>
  <c r="AC22" i="115"/>
  <c r="AA22" i="115"/>
  <c r="Y22" i="115"/>
  <c r="V22" i="115"/>
  <c r="Q22" i="115"/>
  <c r="O22" i="115"/>
  <c r="M22" i="115"/>
  <c r="I22" i="115"/>
  <c r="F22" i="115"/>
  <c r="EB22" i="115"/>
  <c r="C22" i="115"/>
  <c r="EA22" i="115"/>
  <c r="EQ21" i="115"/>
  <c r="EH21" i="115"/>
  <c r="DY21" i="115"/>
  <c r="DK21" i="115"/>
  <c r="DF21" i="115"/>
  <c r="DG21" i="115"/>
  <c r="DH21" i="115" s="1"/>
  <c r="DB21" i="115"/>
  <c r="CV21" i="115"/>
  <c r="CW21" i="115"/>
  <c r="CR21" i="115"/>
  <c r="CM21" i="115"/>
  <c r="CN21" i="115" s="1"/>
  <c r="CO21" i="115"/>
  <c r="CI21" i="115"/>
  <c r="CD21" i="115"/>
  <c r="CE21" i="115" s="1"/>
  <c r="CF21" i="115"/>
  <c r="BZ21" i="115"/>
  <c r="BN21" i="115"/>
  <c r="AZ21" i="115"/>
  <c r="AY21" i="115"/>
  <c r="AW21" i="115"/>
  <c r="AU21" i="115"/>
  <c r="AS21" i="115"/>
  <c r="AP21" i="115"/>
  <c r="AO21" i="115"/>
  <c r="AM21" i="115"/>
  <c r="AK21" i="115"/>
  <c r="AI21" i="115"/>
  <c r="AF21" i="115"/>
  <c r="AE21" i="115"/>
  <c r="AC21" i="115"/>
  <c r="AA21" i="115"/>
  <c r="Y21" i="115"/>
  <c r="V21" i="115"/>
  <c r="Q21" i="115"/>
  <c r="O21" i="115"/>
  <c r="M21" i="115"/>
  <c r="I21" i="115"/>
  <c r="EC21" i="115" s="1"/>
  <c r="F21" i="115"/>
  <c r="EB21" i="115" s="1"/>
  <c r="C21" i="115"/>
  <c r="EA21" i="115" s="1"/>
  <c r="EQ20" i="115"/>
  <c r="EH20" i="115"/>
  <c r="DY20" i="115"/>
  <c r="DK20" i="115"/>
  <c r="DF20" i="115"/>
  <c r="DG20" i="115" s="1"/>
  <c r="DH20" i="115"/>
  <c r="DB20" i="115"/>
  <c r="CV20" i="115"/>
  <c r="CW20" i="115" s="1"/>
  <c r="CR20" i="115"/>
  <c r="CM20" i="115"/>
  <c r="CN20" i="115" s="1"/>
  <c r="CO20" i="115" s="1"/>
  <c r="CI20" i="115"/>
  <c r="CD20" i="115"/>
  <c r="CE20" i="115" s="1"/>
  <c r="CF20" i="115" s="1"/>
  <c r="BZ20" i="115"/>
  <c r="BN20" i="115"/>
  <c r="AZ20" i="115"/>
  <c r="AY20" i="115"/>
  <c r="AW20" i="115"/>
  <c r="AU20" i="115"/>
  <c r="AS20" i="115"/>
  <c r="AP20" i="115"/>
  <c r="AO20" i="115"/>
  <c r="AM20" i="115"/>
  <c r="AK20" i="115"/>
  <c r="AI20" i="115"/>
  <c r="AF20" i="115"/>
  <c r="AE20" i="115"/>
  <c r="AC20" i="115"/>
  <c r="AA20" i="115"/>
  <c r="Y20" i="115"/>
  <c r="V20" i="115"/>
  <c r="Q20" i="115"/>
  <c r="O20" i="115"/>
  <c r="M20" i="115"/>
  <c r="I20" i="115"/>
  <c r="EC20" i="115" s="1"/>
  <c r="F20" i="115"/>
  <c r="EB20" i="115"/>
  <c r="C20" i="115"/>
  <c r="EA20" i="115" s="1"/>
  <c r="EQ19" i="115"/>
  <c r="EH19" i="115"/>
  <c r="DY19" i="115"/>
  <c r="DK19" i="115"/>
  <c r="DF19" i="115"/>
  <c r="DG19" i="115"/>
  <c r="DB19" i="115"/>
  <c r="CV19" i="115"/>
  <c r="CW19" i="115" s="1"/>
  <c r="CR19" i="115"/>
  <c r="CM19" i="115"/>
  <c r="CN19" i="115" s="1"/>
  <c r="CI19" i="115"/>
  <c r="CD19" i="115"/>
  <c r="CE19" i="115"/>
  <c r="BZ19" i="115"/>
  <c r="BN19" i="115"/>
  <c r="AZ19" i="115"/>
  <c r="AY19" i="115"/>
  <c r="AW19" i="115"/>
  <c r="AU19" i="115"/>
  <c r="AS19" i="115"/>
  <c r="AP19" i="115"/>
  <c r="AO19" i="115"/>
  <c r="AM19" i="115"/>
  <c r="AK19" i="115"/>
  <c r="AI19" i="115"/>
  <c r="AF19" i="115"/>
  <c r="AE19" i="115"/>
  <c r="AC19" i="115"/>
  <c r="AA19" i="115"/>
  <c r="Y19" i="115"/>
  <c r="V19" i="115"/>
  <c r="Q19" i="115"/>
  <c r="O19" i="115"/>
  <c r="M19" i="115"/>
  <c r="I19" i="115"/>
  <c r="F19" i="115"/>
  <c r="EB19" i="115"/>
  <c r="C19" i="115"/>
  <c r="EA19" i="115" s="1"/>
  <c r="EQ18" i="115"/>
  <c r="EH18" i="115"/>
  <c r="DY18" i="115"/>
  <c r="DK18" i="115"/>
  <c r="DF18" i="115"/>
  <c r="DG18" i="115"/>
  <c r="DB18" i="115"/>
  <c r="CV18" i="115"/>
  <c r="CW18" i="115"/>
  <c r="CR18" i="115"/>
  <c r="CM18" i="115"/>
  <c r="CN18" i="115" s="1"/>
  <c r="CI18" i="115"/>
  <c r="CD18" i="115"/>
  <c r="CE18" i="115" s="1"/>
  <c r="BZ18" i="115"/>
  <c r="BN18" i="115"/>
  <c r="AZ18" i="115"/>
  <c r="AY18" i="115"/>
  <c r="AW18" i="115"/>
  <c r="AU18" i="115"/>
  <c r="AS18" i="115"/>
  <c r="AP18" i="115"/>
  <c r="AO18" i="115"/>
  <c r="AM18" i="115"/>
  <c r="AK18" i="115"/>
  <c r="AI18" i="115"/>
  <c r="AF18" i="115"/>
  <c r="AE18" i="115"/>
  <c r="AC18" i="115"/>
  <c r="AA18" i="115"/>
  <c r="Y18" i="115"/>
  <c r="V18" i="115"/>
  <c r="Q18" i="115"/>
  <c r="O18" i="115"/>
  <c r="M18" i="115"/>
  <c r="I18" i="115"/>
  <c r="F18" i="115"/>
  <c r="EB18" i="115" s="1"/>
  <c r="C18" i="115"/>
  <c r="EA18" i="115"/>
  <c r="EQ17" i="115"/>
  <c r="EH17" i="115"/>
  <c r="DY17" i="115"/>
  <c r="DK17" i="115"/>
  <c r="DF17" i="115"/>
  <c r="DG17" i="115" s="1"/>
  <c r="DH17" i="115" s="1"/>
  <c r="DB17" i="115"/>
  <c r="CV17" i="115"/>
  <c r="CW17" i="115" s="1"/>
  <c r="CR17" i="115"/>
  <c r="CM17" i="115"/>
  <c r="CN17" i="115"/>
  <c r="CO17" i="115" s="1"/>
  <c r="CI17" i="115"/>
  <c r="CD17" i="115"/>
  <c r="CE17" i="115"/>
  <c r="CF17" i="115" s="1"/>
  <c r="BZ17" i="115"/>
  <c r="BN17" i="115"/>
  <c r="AZ17" i="115"/>
  <c r="AY17" i="115"/>
  <c r="AW17" i="115"/>
  <c r="AU17" i="115"/>
  <c r="AS17" i="115"/>
  <c r="AP17" i="115"/>
  <c r="AO17" i="115"/>
  <c r="AM17" i="115"/>
  <c r="AK17" i="115"/>
  <c r="AI17" i="115"/>
  <c r="AF17" i="115"/>
  <c r="AE17" i="115"/>
  <c r="AC17" i="115"/>
  <c r="AA17" i="115"/>
  <c r="Y17" i="115"/>
  <c r="V17" i="115"/>
  <c r="Q17" i="115"/>
  <c r="O17" i="115"/>
  <c r="M17" i="115"/>
  <c r="I17" i="115"/>
  <c r="EC17" i="115"/>
  <c r="F17" i="115"/>
  <c r="EB17" i="115" s="1"/>
  <c r="C17" i="115"/>
  <c r="EA17" i="115"/>
  <c r="EQ16" i="115"/>
  <c r="EH16" i="115"/>
  <c r="DY16" i="115"/>
  <c r="DK16" i="115"/>
  <c r="DF16" i="115"/>
  <c r="DG16" i="115" s="1"/>
  <c r="DH16" i="115" s="1"/>
  <c r="DB16" i="115"/>
  <c r="CV16" i="115"/>
  <c r="CW16" i="115" s="1"/>
  <c r="CR16" i="115"/>
  <c r="CM16" i="115"/>
  <c r="CN16" i="115" s="1"/>
  <c r="CO16" i="115" s="1"/>
  <c r="CI16" i="115"/>
  <c r="CD16" i="115"/>
  <c r="CE16" i="115" s="1"/>
  <c r="CF16" i="115" s="1"/>
  <c r="BZ16" i="115"/>
  <c r="BN16" i="115"/>
  <c r="AZ16" i="115"/>
  <c r="AY16" i="115"/>
  <c r="AW16" i="115"/>
  <c r="AU16" i="115"/>
  <c r="AS16" i="115"/>
  <c r="AP16" i="115"/>
  <c r="AO16" i="115"/>
  <c r="AM16" i="115"/>
  <c r="AK16" i="115"/>
  <c r="AI16" i="115"/>
  <c r="AF16" i="115"/>
  <c r="AE16" i="115"/>
  <c r="AC16" i="115"/>
  <c r="AA16" i="115"/>
  <c r="Y16" i="115"/>
  <c r="V16" i="115"/>
  <c r="Q16" i="115"/>
  <c r="O16" i="115"/>
  <c r="M16" i="115"/>
  <c r="I16" i="115"/>
  <c r="EC16" i="115" s="1"/>
  <c r="F16" i="115"/>
  <c r="EB16" i="115"/>
  <c r="C16" i="115"/>
  <c r="EA16" i="115" s="1"/>
  <c r="EQ15" i="115"/>
  <c r="EH15" i="115"/>
  <c r="DY15" i="115"/>
  <c r="DK15" i="115"/>
  <c r="DF15" i="115"/>
  <c r="DG15" i="115"/>
  <c r="DB15" i="115"/>
  <c r="CV15" i="115"/>
  <c r="CW15" i="115" s="1"/>
  <c r="CR15" i="115"/>
  <c r="CM15" i="115"/>
  <c r="CN15" i="115" s="1"/>
  <c r="CI15" i="115"/>
  <c r="CD15" i="115"/>
  <c r="CE15" i="115"/>
  <c r="BZ15" i="115"/>
  <c r="BN15" i="115"/>
  <c r="AZ15" i="115"/>
  <c r="AY15" i="115"/>
  <c r="AW15" i="115"/>
  <c r="AU15" i="115"/>
  <c r="AS15" i="115"/>
  <c r="AP15" i="115"/>
  <c r="AO15" i="115"/>
  <c r="AM15" i="115"/>
  <c r="AK15" i="115"/>
  <c r="AI15" i="115"/>
  <c r="AF15" i="115"/>
  <c r="AE15" i="115"/>
  <c r="AC15" i="115"/>
  <c r="AA15" i="115"/>
  <c r="Y15" i="115"/>
  <c r="V15" i="115"/>
  <c r="Q15" i="115"/>
  <c r="O15" i="115"/>
  <c r="M15" i="115"/>
  <c r="I15" i="115"/>
  <c r="F15" i="115"/>
  <c r="EB15" i="115"/>
  <c r="C15" i="115"/>
  <c r="EA15" i="115" s="1"/>
  <c r="EQ14" i="115"/>
  <c r="EH14" i="115"/>
  <c r="DY14" i="115"/>
  <c r="DK14" i="115"/>
  <c r="DF14" i="115"/>
  <c r="DG14" i="115"/>
  <c r="DB14" i="115"/>
  <c r="CV14" i="115"/>
  <c r="CW14" i="115"/>
  <c r="CR14" i="115"/>
  <c r="CM14" i="115"/>
  <c r="CN14" i="115" s="1"/>
  <c r="CI14" i="115"/>
  <c r="CD14" i="115"/>
  <c r="CE14" i="115" s="1"/>
  <c r="BZ14" i="115"/>
  <c r="BN14" i="115"/>
  <c r="AZ14" i="115"/>
  <c r="AY14" i="115"/>
  <c r="AW14" i="115"/>
  <c r="AU14" i="115"/>
  <c r="AS14" i="115"/>
  <c r="AP14" i="115"/>
  <c r="AO14" i="115"/>
  <c r="AM14" i="115"/>
  <c r="AK14" i="115"/>
  <c r="AI14" i="115"/>
  <c r="AF14" i="115"/>
  <c r="AE14" i="115"/>
  <c r="AC14" i="115"/>
  <c r="AA14" i="115"/>
  <c r="Y14" i="115"/>
  <c r="V14" i="115"/>
  <c r="Q14" i="115"/>
  <c r="O14" i="115"/>
  <c r="M14" i="115"/>
  <c r="I14" i="115"/>
  <c r="F14" i="115"/>
  <c r="EB14" i="115" s="1"/>
  <c r="C14" i="115"/>
  <c r="EA14" i="115"/>
  <c r="EQ13" i="115"/>
  <c r="EH13" i="115"/>
  <c r="DY13" i="115"/>
  <c r="DK13" i="115"/>
  <c r="DF13" i="115"/>
  <c r="DG13" i="115" s="1"/>
  <c r="DH13" i="115" s="1"/>
  <c r="DB13" i="115"/>
  <c r="CV13" i="115"/>
  <c r="CW13" i="115" s="1"/>
  <c r="CR13" i="115"/>
  <c r="CM13" i="115"/>
  <c r="CN13" i="115"/>
  <c r="CO13" i="115" s="1"/>
  <c r="CI13" i="115"/>
  <c r="CD13" i="115"/>
  <c r="CE13" i="115"/>
  <c r="CF13" i="115" s="1"/>
  <c r="BZ13" i="115"/>
  <c r="BN13" i="115"/>
  <c r="AZ13" i="115"/>
  <c r="AY13" i="115"/>
  <c r="AW13" i="115"/>
  <c r="AU13" i="115"/>
  <c r="AS13" i="115"/>
  <c r="AP13" i="115"/>
  <c r="AO13" i="115"/>
  <c r="AM13" i="115"/>
  <c r="AK13" i="115"/>
  <c r="AI13" i="115"/>
  <c r="AF13" i="115"/>
  <c r="AE13" i="115"/>
  <c r="AC13" i="115"/>
  <c r="AA13" i="115"/>
  <c r="Y13" i="115"/>
  <c r="V13" i="115"/>
  <c r="Q13" i="115"/>
  <c r="O13" i="115"/>
  <c r="M13" i="115"/>
  <c r="I13" i="115"/>
  <c r="EC13" i="115"/>
  <c r="F13" i="115"/>
  <c r="EB13" i="115" s="1"/>
  <c r="C13" i="115"/>
  <c r="EA13" i="115"/>
  <c r="EQ12" i="115"/>
  <c r="EH12" i="115"/>
  <c r="DY12" i="115"/>
  <c r="DK12" i="115"/>
  <c r="DF12" i="115"/>
  <c r="DG12" i="115" s="1"/>
  <c r="DH12" i="115" s="1"/>
  <c r="DB12" i="115"/>
  <c r="CV12" i="115"/>
  <c r="CW12" i="115" s="1"/>
  <c r="CR12" i="115"/>
  <c r="CM12" i="115"/>
  <c r="CN12" i="115" s="1"/>
  <c r="CO12" i="115" s="1"/>
  <c r="CI12" i="115"/>
  <c r="CD12" i="115"/>
  <c r="CE12" i="115" s="1"/>
  <c r="CF12" i="115" s="1"/>
  <c r="BZ12" i="115"/>
  <c r="BN12" i="115"/>
  <c r="AZ12" i="115"/>
  <c r="AY12" i="115"/>
  <c r="AW12" i="115"/>
  <c r="AU12" i="115"/>
  <c r="AS12" i="115"/>
  <c r="AP12" i="115"/>
  <c r="AO12" i="115"/>
  <c r="AM12" i="115"/>
  <c r="AK12" i="115"/>
  <c r="AI12" i="115"/>
  <c r="AF12" i="115"/>
  <c r="AE12" i="115"/>
  <c r="AC12" i="115"/>
  <c r="AA12" i="115"/>
  <c r="Y12" i="115"/>
  <c r="V12" i="115"/>
  <c r="Q12" i="115"/>
  <c r="O12" i="115"/>
  <c r="M12" i="115"/>
  <c r="I12" i="115"/>
  <c r="EC12" i="115" s="1"/>
  <c r="F12" i="115"/>
  <c r="EB12" i="115"/>
  <c r="C12" i="115"/>
  <c r="EA12" i="115" s="1"/>
  <c r="EQ11" i="115"/>
  <c r="EH11" i="115"/>
  <c r="DY11" i="115"/>
  <c r="DK11" i="115"/>
  <c r="DF11" i="115"/>
  <c r="DG11" i="115"/>
  <c r="DB11" i="115"/>
  <c r="CV11" i="115"/>
  <c r="CW11" i="115" s="1"/>
  <c r="CR11" i="115"/>
  <c r="CM11" i="115"/>
  <c r="CN11" i="115" s="1"/>
  <c r="CI11" i="115"/>
  <c r="CD11" i="115"/>
  <c r="CE11" i="115"/>
  <c r="BZ11" i="115"/>
  <c r="BN11" i="115"/>
  <c r="AZ11" i="115"/>
  <c r="AY11" i="115"/>
  <c r="AW11" i="115"/>
  <c r="AU11" i="115"/>
  <c r="AS11" i="115"/>
  <c r="AP11" i="115"/>
  <c r="AO11" i="115"/>
  <c r="AM11" i="115"/>
  <c r="AK11" i="115"/>
  <c r="AI11" i="115"/>
  <c r="AF11" i="115"/>
  <c r="AE11" i="115"/>
  <c r="AC11" i="115"/>
  <c r="AA11" i="115"/>
  <c r="Y11" i="115"/>
  <c r="V11" i="115"/>
  <c r="Q11" i="115"/>
  <c r="O11" i="115"/>
  <c r="M11" i="115"/>
  <c r="I11" i="115"/>
  <c r="F11" i="115"/>
  <c r="EB11" i="115"/>
  <c r="C11" i="115"/>
  <c r="EA11" i="115" s="1"/>
  <c r="EQ10" i="115"/>
  <c r="EH10" i="115"/>
  <c r="DY10" i="115"/>
  <c r="DK10" i="115"/>
  <c r="DF10" i="115"/>
  <c r="DG10" i="115"/>
  <c r="DB10" i="115"/>
  <c r="CV10" i="115"/>
  <c r="CW10" i="115"/>
  <c r="CR10" i="115"/>
  <c r="CM10" i="115"/>
  <c r="CN10" i="115" s="1"/>
  <c r="CI10" i="115"/>
  <c r="CD10" i="115"/>
  <c r="CE10" i="115" s="1"/>
  <c r="BZ10" i="115"/>
  <c r="BN10" i="115"/>
  <c r="AZ10" i="115"/>
  <c r="AY10" i="115"/>
  <c r="AW10" i="115"/>
  <c r="AU10" i="115"/>
  <c r="AS10" i="115"/>
  <c r="AP10" i="115"/>
  <c r="AO10" i="115"/>
  <c r="AM10" i="115"/>
  <c r="AK10" i="115"/>
  <c r="AI10" i="115"/>
  <c r="AF10" i="115"/>
  <c r="AE10" i="115"/>
  <c r="AC10" i="115"/>
  <c r="AA10" i="115"/>
  <c r="Y10" i="115"/>
  <c r="V10" i="115"/>
  <c r="Q10" i="115"/>
  <c r="O10" i="115"/>
  <c r="M10" i="115"/>
  <c r="I10" i="115"/>
  <c r="F10" i="115"/>
  <c r="EB10" i="115" s="1"/>
  <c r="C10" i="115"/>
  <c r="EA10" i="115"/>
  <c r="EQ9" i="115"/>
  <c r="EH9" i="115"/>
  <c r="DY9" i="115"/>
  <c r="DK9" i="115"/>
  <c r="DF9" i="115"/>
  <c r="DG9" i="115" s="1"/>
  <c r="DB9" i="115"/>
  <c r="CV9" i="115"/>
  <c r="CW9" i="115"/>
  <c r="CR9" i="115"/>
  <c r="CM9" i="115"/>
  <c r="CN9" i="115"/>
  <c r="CI9" i="115"/>
  <c r="CD9" i="115"/>
  <c r="CE9" i="115" s="1"/>
  <c r="CF9" i="115" s="1"/>
  <c r="BZ9" i="115"/>
  <c r="BN9" i="115"/>
  <c r="AZ9" i="115"/>
  <c r="AY9" i="115"/>
  <c r="AW9" i="115"/>
  <c r="AU9" i="115"/>
  <c r="AS9" i="115"/>
  <c r="AP9" i="115"/>
  <c r="AO9" i="115"/>
  <c r="AM9" i="115"/>
  <c r="AK9" i="115"/>
  <c r="AI9" i="115"/>
  <c r="AF9" i="115"/>
  <c r="AE9" i="115"/>
  <c r="AC9" i="115"/>
  <c r="AA9" i="115"/>
  <c r="Y9" i="115"/>
  <c r="V9" i="115"/>
  <c r="Q9" i="115"/>
  <c r="O9" i="115"/>
  <c r="M9" i="115"/>
  <c r="I9" i="115"/>
  <c r="F9" i="115"/>
  <c r="EB9" i="115"/>
  <c r="C9" i="115"/>
  <c r="EA9" i="115" s="1"/>
  <c r="EQ8" i="115"/>
  <c r="EH8" i="115"/>
  <c r="DY8" i="115"/>
  <c r="DK8" i="115"/>
  <c r="DF8" i="115"/>
  <c r="DG8" i="115"/>
  <c r="DB8" i="115"/>
  <c r="CV8" i="115"/>
  <c r="CW8" i="115" s="1"/>
  <c r="CR8" i="115"/>
  <c r="CM8" i="115"/>
  <c r="CN8" i="115" s="1"/>
  <c r="CI8" i="115"/>
  <c r="CD8" i="115"/>
  <c r="CE8" i="115"/>
  <c r="BZ8" i="115"/>
  <c r="BN8" i="115"/>
  <c r="AZ8" i="115"/>
  <c r="AY8" i="115"/>
  <c r="AW8" i="115"/>
  <c r="AU8" i="115"/>
  <c r="AS8" i="115"/>
  <c r="AP8" i="115"/>
  <c r="AO8" i="115"/>
  <c r="AM8" i="115"/>
  <c r="AK8" i="115"/>
  <c r="AI8" i="115"/>
  <c r="AF8" i="115"/>
  <c r="AE8" i="115"/>
  <c r="AC8" i="115"/>
  <c r="AA8" i="115"/>
  <c r="Y8" i="115"/>
  <c r="V8" i="115"/>
  <c r="Q8" i="115"/>
  <c r="O8" i="115"/>
  <c r="M8" i="115"/>
  <c r="I8" i="115"/>
  <c r="EC8" i="115"/>
  <c r="F8" i="115"/>
  <c r="C8" i="115"/>
  <c r="EI3" i="115"/>
  <c r="DZ3" i="115"/>
  <c r="DL3" i="115"/>
  <c r="DC3" i="115"/>
  <c r="CS3" i="115"/>
  <c r="CJ3" i="115"/>
  <c r="CA3" i="115"/>
  <c r="BO3" i="115"/>
  <c r="BA3" i="115"/>
  <c r="AQ3" i="115"/>
  <c r="AG3" i="115"/>
  <c r="W3" i="115"/>
  <c r="K3" i="115"/>
  <c r="EI1" i="115"/>
  <c r="DL1" i="115"/>
  <c r="DC1" i="115"/>
  <c r="CS1" i="115"/>
  <c r="CJ1" i="115"/>
  <c r="CA1" i="115"/>
  <c r="BO1" i="115"/>
  <c r="BA1" i="115"/>
  <c r="AQ1" i="115"/>
  <c r="AG1" i="115"/>
  <c r="W1" i="115"/>
  <c r="K1" i="115"/>
  <c r="DF38" i="113"/>
  <c r="CV38" i="113"/>
  <c r="CM38" i="113"/>
  <c r="CD38" i="113"/>
  <c r="AY38" i="113"/>
  <c r="AW38" i="113"/>
  <c r="AU38" i="113"/>
  <c r="AS38" i="113"/>
  <c r="AO38" i="113"/>
  <c r="AM38" i="113"/>
  <c r="AK38" i="113"/>
  <c r="AI38" i="113"/>
  <c r="AE38" i="113"/>
  <c r="AC38" i="113"/>
  <c r="AA38" i="113"/>
  <c r="Y38" i="113"/>
  <c r="Q38" i="113"/>
  <c r="O38" i="113"/>
  <c r="M38" i="113"/>
  <c r="I38" i="113"/>
  <c r="F38" i="113"/>
  <c r="C38" i="113"/>
  <c r="EI42" i="114"/>
  <c r="DZ42" i="114"/>
  <c r="DL42" i="114"/>
  <c r="DC42" i="114"/>
  <c r="CS42" i="114"/>
  <c r="CJ42" i="114"/>
  <c r="CA42" i="114"/>
  <c r="BO42" i="114"/>
  <c r="BA42" i="114"/>
  <c r="AQ42" i="114"/>
  <c r="AG42" i="114"/>
  <c r="W42" i="114"/>
  <c r="K42" i="114"/>
  <c r="EG41" i="114"/>
  <c r="EF41" i="114"/>
  <c r="EE41" i="114"/>
  <c r="DW41" i="114"/>
  <c r="DV41" i="114"/>
  <c r="DU41" i="114"/>
  <c r="DT41" i="114"/>
  <c r="DS41" i="114"/>
  <c r="DR41" i="114"/>
  <c r="DQ41" i="114"/>
  <c r="DP41" i="114"/>
  <c r="DO41" i="114"/>
  <c r="DN41" i="114"/>
  <c r="DM41" i="114"/>
  <c r="BW41" i="114"/>
  <c r="AX18" i="67" s="1"/>
  <c r="BV41" i="114"/>
  <c r="AW18" i="67"/>
  <c r="BU41" i="114"/>
  <c r="AU18" i="67" s="1"/>
  <c r="BT41" i="114"/>
  <c r="AT18" i="67"/>
  <c r="BS41" i="114"/>
  <c r="AS18" i="67" s="1"/>
  <c r="BR41" i="114"/>
  <c r="AR18" i="67"/>
  <c r="BQ41" i="114"/>
  <c r="AQ18" i="67" s="1"/>
  <c r="BP41" i="114"/>
  <c r="AP18" i="67"/>
  <c r="BM41" i="114"/>
  <c r="AN18" i="67" s="1"/>
  <c r="BL41" i="114"/>
  <c r="AM18" i="67"/>
  <c r="BK41" i="114"/>
  <c r="AL18" i="67" s="1"/>
  <c r="BJ41" i="114"/>
  <c r="AK18" i="67"/>
  <c r="BI41" i="114"/>
  <c r="AJ18" i="67" s="1"/>
  <c r="BH41" i="114"/>
  <c r="AI18" i="67"/>
  <c r="BG41" i="114"/>
  <c r="AH18" i="67" s="1"/>
  <c r="BF41" i="114"/>
  <c r="AG18" i="67"/>
  <c r="BE41" i="114"/>
  <c r="AF18" i="67" s="1"/>
  <c r="BD41" i="114"/>
  <c r="AE18" i="67"/>
  <c r="BC41" i="114"/>
  <c r="AD18" i="67" s="1"/>
  <c r="BB41" i="114"/>
  <c r="AC18" i="67"/>
  <c r="ED40" i="114"/>
  <c r="EQ37" i="114"/>
  <c r="EH37" i="114"/>
  <c r="DY37" i="114"/>
  <c r="DK37" i="114"/>
  <c r="DB37" i="114"/>
  <c r="CR37" i="114"/>
  <c r="CN37" i="114"/>
  <c r="CI37" i="114"/>
  <c r="BZ37" i="114"/>
  <c r="BN37" i="114"/>
  <c r="AZ37" i="114"/>
  <c r="AP37" i="114"/>
  <c r="AF37" i="114"/>
  <c r="V37" i="114"/>
  <c r="EQ36" i="114"/>
  <c r="EH36" i="114"/>
  <c r="DY36" i="114"/>
  <c r="DK36" i="114"/>
  <c r="DG36" i="114"/>
  <c r="DH36" i="114"/>
  <c r="DB36" i="114"/>
  <c r="CV36" i="114"/>
  <c r="CW36" i="114"/>
  <c r="CR36" i="114"/>
  <c r="CM36" i="114"/>
  <c r="CN36" i="114" s="1"/>
  <c r="CO36" i="114" s="1"/>
  <c r="CI36" i="114"/>
  <c r="CD36" i="114"/>
  <c r="CE36" i="114" s="1"/>
  <c r="BZ36" i="114"/>
  <c r="BN36" i="114"/>
  <c r="AZ36" i="114"/>
  <c r="AY36" i="114"/>
  <c r="AW36" i="114"/>
  <c r="AU36" i="114"/>
  <c r="AS36" i="114"/>
  <c r="AP36" i="114"/>
  <c r="AO36" i="114"/>
  <c r="AM36" i="114"/>
  <c r="AK36" i="114"/>
  <c r="AI36" i="114"/>
  <c r="AF36" i="114"/>
  <c r="AE36" i="114"/>
  <c r="AC36" i="114"/>
  <c r="AA36" i="114"/>
  <c r="Y36" i="114"/>
  <c r="V36" i="114"/>
  <c r="Q36" i="114"/>
  <c r="O36" i="114"/>
  <c r="M36" i="114"/>
  <c r="I36" i="114"/>
  <c r="F36" i="114"/>
  <c r="EB36" i="114" s="1"/>
  <c r="C36" i="114"/>
  <c r="EA36" i="114"/>
  <c r="EQ35" i="114"/>
  <c r="EH35" i="114"/>
  <c r="DY35" i="114"/>
  <c r="DK35" i="114"/>
  <c r="DF35" i="114"/>
  <c r="DG35" i="114" s="1"/>
  <c r="DH35" i="114" s="1"/>
  <c r="DB35" i="114"/>
  <c r="CV35" i="114"/>
  <c r="CW35" i="114" s="1"/>
  <c r="CR35" i="114"/>
  <c r="CM35" i="114"/>
  <c r="CN35" i="114" s="1"/>
  <c r="CO35" i="114" s="1"/>
  <c r="CI35" i="114"/>
  <c r="CD35" i="114"/>
  <c r="CE35" i="114" s="1"/>
  <c r="CF35" i="114" s="1"/>
  <c r="BZ35" i="114"/>
  <c r="BN35" i="114"/>
  <c r="AZ35" i="114"/>
  <c r="AY35" i="114"/>
  <c r="AW35" i="114"/>
  <c r="AU35" i="114"/>
  <c r="AS35" i="114"/>
  <c r="AP35" i="114"/>
  <c r="AO35" i="114"/>
  <c r="AM35" i="114"/>
  <c r="AK35" i="114"/>
  <c r="AI35" i="114"/>
  <c r="AF35" i="114"/>
  <c r="AE35" i="114"/>
  <c r="AC35" i="114"/>
  <c r="AA35" i="114"/>
  <c r="Y35" i="114"/>
  <c r="V35" i="114"/>
  <c r="Q35" i="114"/>
  <c r="O35" i="114"/>
  <c r="M35" i="114"/>
  <c r="I35" i="114"/>
  <c r="EC35" i="114" s="1"/>
  <c r="F35" i="114"/>
  <c r="EB35" i="114"/>
  <c r="C35" i="114"/>
  <c r="EA35" i="114" s="1"/>
  <c r="EQ34" i="114"/>
  <c r="EH34" i="114"/>
  <c r="DY34" i="114"/>
  <c r="DK34" i="114"/>
  <c r="DF34" i="114"/>
  <c r="DG34" i="114"/>
  <c r="DH34" i="114"/>
  <c r="DB34" i="114"/>
  <c r="CV34" i="114"/>
  <c r="CW34" i="114"/>
  <c r="CR34" i="114"/>
  <c r="CM34" i="114"/>
  <c r="CN34" i="114" s="1"/>
  <c r="CO34" i="114" s="1"/>
  <c r="CI34" i="114"/>
  <c r="CD34" i="114"/>
  <c r="CE34" i="114" s="1"/>
  <c r="CF34" i="114" s="1"/>
  <c r="BZ34" i="114"/>
  <c r="BN34" i="114"/>
  <c r="AZ34" i="114"/>
  <c r="AY34" i="114"/>
  <c r="AW34" i="114"/>
  <c r="AU34" i="114"/>
  <c r="AS34" i="114"/>
  <c r="AP34" i="114"/>
  <c r="AO34" i="114"/>
  <c r="AM34" i="114"/>
  <c r="AK34" i="114"/>
  <c r="AI34" i="114"/>
  <c r="AF34" i="114"/>
  <c r="AE34" i="114"/>
  <c r="AC34" i="114"/>
  <c r="AA34" i="114"/>
  <c r="Y34" i="114"/>
  <c r="V34" i="114"/>
  <c r="Q34" i="114"/>
  <c r="O34" i="114"/>
  <c r="M34" i="114"/>
  <c r="I34" i="114"/>
  <c r="EC34" i="114" s="1"/>
  <c r="F34" i="114"/>
  <c r="EB34" i="114"/>
  <c r="C34" i="114"/>
  <c r="EA34" i="114" s="1"/>
  <c r="EQ33" i="114"/>
  <c r="EH33" i="114"/>
  <c r="DY33" i="114"/>
  <c r="DK33" i="114"/>
  <c r="DF33" i="114"/>
  <c r="DG33" i="114" s="1"/>
  <c r="DH33" i="114" s="1"/>
  <c r="DB33" i="114"/>
  <c r="CV33" i="114"/>
  <c r="CW33" i="114" s="1"/>
  <c r="CR33" i="114"/>
  <c r="CM33" i="114"/>
  <c r="CN33" i="114"/>
  <c r="CO33" i="114" s="1"/>
  <c r="CI33" i="114"/>
  <c r="CD33" i="114"/>
  <c r="CE33" i="114"/>
  <c r="CF33" i="114" s="1"/>
  <c r="BZ33" i="114"/>
  <c r="BN33" i="114"/>
  <c r="AZ33" i="114"/>
  <c r="AY33" i="114"/>
  <c r="AW33" i="114"/>
  <c r="AU33" i="114"/>
  <c r="AS33" i="114"/>
  <c r="AP33" i="114"/>
  <c r="AO33" i="114"/>
  <c r="AM33" i="114"/>
  <c r="AK33" i="114"/>
  <c r="AI33" i="114"/>
  <c r="AF33" i="114"/>
  <c r="AE33" i="114"/>
  <c r="AC33" i="114"/>
  <c r="AA33" i="114"/>
  <c r="Y33" i="114"/>
  <c r="V33" i="114"/>
  <c r="Q33" i="114"/>
  <c r="O33" i="114"/>
  <c r="M33" i="114"/>
  <c r="I33" i="114"/>
  <c r="EC33" i="114" s="1"/>
  <c r="F33" i="114"/>
  <c r="EB33" i="114" s="1"/>
  <c r="C33" i="114"/>
  <c r="EA33" i="114"/>
  <c r="EQ32" i="114"/>
  <c r="EH32" i="114"/>
  <c r="DY32" i="114"/>
  <c r="DK32" i="114"/>
  <c r="DF32" i="114"/>
  <c r="DG32" i="114" s="1"/>
  <c r="DB32" i="114"/>
  <c r="CV32" i="114"/>
  <c r="CW32" i="114"/>
  <c r="CR32" i="114"/>
  <c r="CM32" i="114"/>
  <c r="CN32" i="114"/>
  <c r="CI32" i="114"/>
  <c r="CD32" i="114"/>
  <c r="CE32" i="114" s="1"/>
  <c r="BZ32" i="114"/>
  <c r="BN32" i="114"/>
  <c r="AZ32" i="114"/>
  <c r="AY32" i="114"/>
  <c r="AW32" i="114"/>
  <c r="AU32" i="114"/>
  <c r="AS32" i="114"/>
  <c r="AP32" i="114"/>
  <c r="AO32" i="114"/>
  <c r="AM32" i="114"/>
  <c r="AK32" i="114"/>
  <c r="AI32" i="114"/>
  <c r="AF32" i="114"/>
  <c r="AE32" i="114"/>
  <c r="AC32" i="114"/>
  <c r="AA32" i="114"/>
  <c r="Y32" i="114"/>
  <c r="V32" i="114"/>
  <c r="Q32" i="114"/>
  <c r="O32" i="114"/>
  <c r="M32" i="114"/>
  <c r="I32" i="114"/>
  <c r="F32" i="114"/>
  <c r="EB32" i="114" s="1"/>
  <c r="C32" i="114"/>
  <c r="EA32" i="114"/>
  <c r="EQ31" i="114"/>
  <c r="EH31" i="114"/>
  <c r="DY31" i="114"/>
  <c r="DK31" i="114"/>
  <c r="DF31" i="114"/>
  <c r="DG31" i="114" s="1"/>
  <c r="DB31" i="114"/>
  <c r="CV31" i="114"/>
  <c r="CW31" i="114" s="1"/>
  <c r="CR31" i="114"/>
  <c r="CM31" i="114"/>
  <c r="CN31" i="114"/>
  <c r="CI31" i="114"/>
  <c r="CD31" i="114"/>
  <c r="CE31" i="114"/>
  <c r="BZ31" i="114"/>
  <c r="BN31" i="114"/>
  <c r="AZ31" i="114"/>
  <c r="AY31" i="114"/>
  <c r="AW31" i="114"/>
  <c r="AU31" i="114"/>
  <c r="AS31" i="114"/>
  <c r="AP31" i="114"/>
  <c r="AO31" i="114"/>
  <c r="AM31" i="114"/>
  <c r="AK31" i="114"/>
  <c r="AI31" i="114"/>
  <c r="AF31" i="114"/>
  <c r="AE31" i="114"/>
  <c r="AC31" i="114"/>
  <c r="AA31" i="114"/>
  <c r="Y31" i="114"/>
  <c r="V31" i="114"/>
  <c r="Q31" i="114"/>
  <c r="O31" i="114"/>
  <c r="M31" i="114"/>
  <c r="I31" i="114"/>
  <c r="F31" i="114"/>
  <c r="EB31" i="114"/>
  <c r="C31" i="114"/>
  <c r="EA31" i="114" s="1"/>
  <c r="EQ30" i="114"/>
  <c r="EH30" i="114"/>
  <c r="DY30" i="114"/>
  <c r="DK30" i="114"/>
  <c r="DF30" i="114"/>
  <c r="DG30" i="114"/>
  <c r="DB30" i="114"/>
  <c r="CW30" i="114"/>
  <c r="CV30" i="114"/>
  <c r="CR30" i="114"/>
  <c r="CM30" i="114"/>
  <c r="CN30" i="114" s="1"/>
  <c r="CI30" i="114"/>
  <c r="CD30" i="114"/>
  <c r="CE30" i="114"/>
  <c r="BZ30" i="114"/>
  <c r="BN30" i="114"/>
  <c r="AZ30" i="114"/>
  <c r="AY30" i="114"/>
  <c r="AW30" i="114"/>
  <c r="AU30" i="114"/>
  <c r="AS30" i="114"/>
  <c r="AP30" i="114"/>
  <c r="AO30" i="114"/>
  <c r="AM30" i="114"/>
  <c r="AK30" i="114"/>
  <c r="AI30" i="114"/>
  <c r="AF30" i="114"/>
  <c r="AE30" i="114"/>
  <c r="AC30" i="114"/>
  <c r="AA30" i="114"/>
  <c r="Y30" i="114"/>
  <c r="V30" i="114"/>
  <c r="Q30" i="114"/>
  <c r="O30" i="114"/>
  <c r="M30" i="114"/>
  <c r="I30" i="114"/>
  <c r="F30" i="114"/>
  <c r="EB30" i="114"/>
  <c r="C30" i="114"/>
  <c r="EA30" i="114" s="1"/>
  <c r="EQ29" i="114"/>
  <c r="EH29" i="114"/>
  <c r="DY29" i="114"/>
  <c r="DK29" i="114"/>
  <c r="DF29" i="114"/>
  <c r="DG29" i="114"/>
  <c r="DB29" i="114"/>
  <c r="CV29" i="114"/>
  <c r="CW29" i="114"/>
  <c r="CX29" i="114"/>
  <c r="CR29" i="114"/>
  <c r="CM29" i="114"/>
  <c r="CN29" i="114"/>
  <c r="CI29" i="114"/>
  <c r="CD29" i="114"/>
  <c r="CE29" i="114" s="1"/>
  <c r="CF29" i="114" s="1"/>
  <c r="BZ29" i="114"/>
  <c r="BN29" i="114"/>
  <c r="AZ29" i="114"/>
  <c r="AY29" i="114"/>
  <c r="AW29" i="114"/>
  <c r="AU29" i="114"/>
  <c r="AP29" i="114"/>
  <c r="AO29" i="114"/>
  <c r="AM29" i="114"/>
  <c r="AK29" i="114"/>
  <c r="AI29" i="114"/>
  <c r="AF29" i="114"/>
  <c r="AE29" i="114"/>
  <c r="AC29" i="114"/>
  <c r="AA29" i="114"/>
  <c r="Y29" i="114"/>
  <c r="V29" i="114"/>
  <c r="Q29" i="114"/>
  <c r="O29" i="114"/>
  <c r="M29" i="114"/>
  <c r="I29" i="114"/>
  <c r="F29" i="114"/>
  <c r="EB29" i="114" s="1"/>
  <c r="C29" i="114"/>
  <c r="EA29" i="114"/>
  <c r="EQ28" i="114"/>
  <c r="EH28" i="114"/>
  <c r="DY28" i="114"/>
  <c r="DK28" i="114"/>
  <c r="DF28" i="114"/>
  <c r="DG28" i="114" s="1"/>
  <c r="DH28" i="114" s="1"/>
  <c r="DB28" i="114"/>
  <c r="CV28" i="114"/>
  <c r="CW28" i="114" s="1"/>
  <c r="CX28" i="114" s="1"/>
  <c r="CR28" i="114"/>
  <c r="CM28" i="114"/>
  <c r="CN28" i="114" s="1"/>
  <c r="CO28" i="114" s="1"/>
  <c r="CI28" i="114"/>
  <c r="CD28" i="114"/>
  <c r="CE28" i="114" s="1"/>
  <c r="BN28" i="114"/>
  <c r="AZ28" i="114"/>
  <c r="AY28" i="114"/>
  <c r="AW28" i="114"/>
  <c r="AU28" i="114"/>
  <c r="AS28" i="114"/>
  <c r="AP28" i="114"/>
  <c r="AO28" i="114"/>
  <c r="AM28" i="114"/>
  <c r="AK28" i="114"/>
  <c r="AI28" i="114"/>
  <c r="AF28" i="114"/>
  <c r="AE28" i="114"/>
  <c r="AC28" i="114"/>
  <c r="AA28" i="114"/>
  <c r="Y28" i="114"/>
  <c r="V28" i="114"/>
  <c r="Q28" i="114"/>
  <c r="O28" i="114"/>
  <c r="M28" i="114"/>
  <c r="I28" i="114"/>
  <c r="EC28" i="114"/>
  <c r="F28" i="114"/>
  <c r="EB28" i="114" s="1"/>
  <c r="C28" i="114"/>
  <c r="EA28" i="114"/>
  <c r="EQ27" i="114"/>
  <c r="EH27" i="114"/>
  <c r="DY27" i="114"/>
  <c r="DK27" i="114"/>
  <c r="DF27" i="114"/>
  <c r="DG27" i="114"/>
  <c r="DH27" i="114"/>
  <c r="DB27" i="114"/>
  <c r="CV27" i="114"/>
  <c r="CW27" i="114"/>
  <c r="CR27" i="114"/>
  <c r="CM27" i="114"/>
  <c r="CN27" i="114" s="1"/>
  <c r="CO27" i="114" s="1"/>
  <c r="CI27" i="114"/>
  <c r="CD27" i="114"/>
  <c r="CE27" i="114" s="1"/>
  <c r="BZ27" i="114"/>
  <c r="BN27" i="114"/>
  <c r="AZ27" i="114"/>
  <c r="AY27" i="114"/>
  <c r="AW27" i="114"/>
  <c r="AU27" i="114"/>
  <c r="AS27" i="114"/>
  <c r="AP27" i="114"/>
  <c r="AO27" i="114"/>
  <c r="AM27" i="114"/>
  <c r="AK27" i="114"/>
  <c r="AI27" i="114"/>
  <c r="AF27" i="114"/>
  <c r="AE27" i="114"/>
  <c r="AC27" i="114"/>
  <c r="AA27" i="114"/>
  <c r="Y27" i="114"/>
  <c r="V27" i="114"/>
  <c r="Q27" i="114"/>
  <c r="O27" i="114"/>
  <c r="M27" i="114"/>
  <c r="I27" i="114"/>
  <c r="EC27" i="114" s="1"/>
  <c r="F27" i="114"/>
  <c r="EB27" i="114" s="1"/>
  <c r="C27" i="114"/>
  <c r="EA27" i="114"/>
  <c r="EQ26" i="114"/>
  <c r="EH26" i="114"/>
  <c r="DY26" i="114"/>
  <c r="DK26" i="114"/>
  <c r="DF26" i="114"/>
  <c r="DG26" i="114" s="1"/>
  <c r="DH26" i="114"/>
  <c r="DB26" i="114"/>
  <c r="CV26" i="114"/>
  <c r="CW26" i="114" s="1"/>
  <c r="CX26" i="114" s="1"/>
  <c r="CR26" i="114"/>
  <c r="CM26" i="114"/>
  <c r="CN26" i="114" s="1"/>
  <c r="CO26" i="114" s="1"/>
  <c r="CI26" i="114"/>
  <c r="CE26" i="114"/>
  <c r="BZ26" i="114"/>
  <c r="BN26" i="114"/>
  <c r="AZ26" i="114"/>
  <c r="AY26" i="114"/>
  <c r="AW26" i="114"/>
  <c r="AU26" i="114"/>
  <c r="AS26" i="114"/>
  <c r="AP26" i="114"/>
  <c r="AO26" i="114"/>
  <c r="AM26" i="114"/>
  <c r="AK26" i="114"/>
  <c r="AI26" i="114"/>
  <c r="AF26" i="114"/>
  <c r="AE26" i="114"/>
  <c r="AC26" i="114"/>
  <c r="AA26" i="114"/>
  <c r="Y26" i="114"/>
  <c r="V26" i="114"/>
  <c r="Q26" i="114"/>
  <c r="O26" i="114"/>
  <c r="M26" i="114"/>
  <c r="I26" i="114"/>
  <c r="EC26" i="114"/>
  <c r="F26" i="114"/>
  <c r="EB26" i="114" s="1"/>
  <c r="C26" i="114"/>
  <c r="EA26" i="114" s="1"/>
  <c r="EQ25" i="114"/>
  <c r="EH25" i="114"/>
  <c r="EC25" i="114"/>
  <c r="DY25" i="114"/>
  <c r="DK25" i="114"/>
  <c r="DF25" i="114"/>
  <c r="DG25" i="114"/>
  <c r="DH25" i="114" s="1"/>
  <c r="DB25" i="114"/>
  <c r="CV25" i="114"/>
  <c r="CW25" i="114"/>
  <c r="CR25" i="114"/>
  <c r="CM25" i="114"/>
  <c r="CN25" i="114" s="1"/>
  <c r="CO25" i="114" s="1"/>
  <c r="CI25" i="114"/>
  <c r="CD25" i="114"/>
  <c r="CE25" i="114" s="1"/>
  <c r="BZ25" i="114"/>
  <c r="BN25" i="114"/>
  <c r="AZ25" i="114"/>
  <c r="AY25" i="114"/>
  <c r="AW25" i="114"/>
  <c r="AU25" i="114"/>
  <c r="AS25" i="114"/>
  <c r="AP25" i="114"/>
  <c r="AO25" i="114"/>
  <c r="AM25" i="114"/>
  <c r="AK25" i="114"/>
  <c r="AI25" i="114"/>
  <c r="AF25" i="114"/>
  <c r="AE25" i="114"/>
  <c r="AC25" i="114"/>
  <c r="AA25" i="114"/>
  <c r="Y25" i="114"/>
  <c r="V25" i="114"/>
  <c r="Q25" i="114"/>
  <c r="O25" i="114"/>
  <c r="M25" i="114"/>
  <c r="I25" i="114"/>
  <c r="F25" i="114"/>
  <c r="EB25" i="114" s="1"/>
  <c r="C25" i="114"/>
  <c r="EA25" i="114"/>
  <c r="EQ24" i="114"/>
  <c r="EH24" i="114"/>
  <c r="DY24" i="114"/>
  <c r="DK24" i="114"/>
  <c r="DF24" i="114"/>
  <c r="DG24" i="114" s="1"/>
  <c r="DB24" i="114"/>
  <c r="CV24" i="114"/>
  <c r="CW24" i="114" s="1"/>
  <c r="CR24" i="114"/>
  <c r="CM24" i="114"/>
  <c r="CN24" i="114"/>
  <c r="CI24" i="114"/>
  <c r="CD24" i="114"/>
  <c r="CE24" i="114"/>
  <c r="CF24" i="114"/>
  <c r="BZ24" i="114"/>
  <c r="BN24" i="114"/>
  <c r="AZ24" i="114"/>
  <c r="AY24" i="114"/>
  <c r="AW24" i="114"/>
  <c r="AU24" i="114"/>
  <c r="AS24" i="114"/>
  <c r="AP24" i="114"/>
  <c r="AO24" i="114"/>
  <c r="AM24" i="114"/>
  <c r="AK24" i="114"/>
  <c r="AI24" i="114"/>
  <c r="AF24" i="114"/>
  <c r="AE24" i="114"/>
  <c r="AC24" i="114"/>
  <c r="AA24" i="114"/>
  <c r="Y24" i="114"/>
  <c r="V24" i="114"/>
  <c r="Q24" i="114"/>
  <c r="O24" i="114"/>
  <c r="M24" i="114"/>
  <c r="I24" i="114"/>
  <c r="F24" i="114"/>
  <c r="EB24" i="114"/>
  <c r="C24" i="114"/>
  <c r="EA24" i="114" s="1"/>
  <c r="EQ23" i="114"/>
  <c r="EH23" i="114"/>
  <c r="DY23" i="114"/>
  <c r="DK23" i="114"/>
  <c r="DF23" i="114"/>
  <c r="DG23" i="114" s="1"/>
  <c r="DB23" i="114"/>
  <c r="CV23" i="114"/>
  <c r="CW23" i="114"/>
  <c r="CX23" i="114" s="1"/>
  <c r="CR23" i="114"/>
  <c r="CM23" i="114"/>
  <c r="CN23" i="114"/>
  <c r="CI23" i="114"/>
  <c r="CD23" i="114"/>
  <c r="CE23" i="114" s="1"/>
  <c r="BZ23" i="114"/>
  <c r="BN23" i="114"/>
  <c r="AZ23" i="114"/>
  <c r="AY23" i="114"/>
  <c r="AW23" i="114"/>
  <c r="AU23" i="114"/>
  <c r="AS23" i="114"/>
  <c r="AP23" i="114"/>
  <c r="AO23" i="114"/>
  <c r="AK23" i="114"/>
  <c r="AI23" i="114"/>
  <c r="AF23" i="114"/>
  <c r="AE23" i="114"/>
  <c r="AC23" i="114"/>
  <c r="AA23" i="114"/>
  <c r="Y23" i="114"/>
  <c r="V23" i="114"/>
  <c r="Q23" i="114"/>
  <c r="O23" i="114"/>
  <c r="M23" i="114"/>
  <c r="I23" i="114"/>
  <c r="F23" i="114"/>
  <c r="EB23" i="114" s="1"/>
  <c r="C23" i="114"/>
  <c r="EA23" i="114"/>
  <c r="EQ22" i="114"/>
  <c r="EH22" i="114"/>
  <c r="DY22" i="114"/>
  <c r="DK22" i="114"/>
  <c r="DF22" i="114"/>
  <c r="DG22" i="114" s="1"/>
  <c r="DH22" i="114" s="1"/>
  <c r="CV22" i="114"/>
  <c r="CW22" i="114" s="1"/>
  <c r="CR22" i="114"/>
  <c r="CM22" i="114"/>
  <c r="CN22" i="114"/>
  <c r="CO22" i="114" s="1"/>
  <c r="CI22" i="114"/>
  <c r="CD22" i="114"/>
  <c r="CE22" i="114"/>
  <c r="CF22" i="114" s="1"/>
  <c r="BZ22" i="114"/>
  <c r="BN22" i="114"/>
  <c r="AZ22" i="114"/>
  <c r="AY22" i="114"/>
  <c r="AW22" i="114"/>
  <c r="AU22" i="114"/>
  <c r="AS22" i="114"/>
  <c r="AP22" i="114"/>
  <c r="AO22" i="114"/>
  <c r="AM22" i="114"/>
  <c r="AK22" i="114"/>
  <c r="AI22" i="114"/>
  <c r="AF22" i="114"/>
  <c r="AE22" i="114"/>
  <c r="AC22" i="114"/>
  <c r="AA22" i="114"/>
  <c r="Y22" i="114"/>
  <c r="V22" i="114"/>
  <c r="Q22" i="114"/>
  <c r="O22" i="114"/>
  <c r="M22" i="114"/>
  <c r="I22" i="114"/>
  <c r="EC22" i="114"/>
  <c r="F22" i="114"/>
  <c r="EB22" i="114"/>
  <c r="C22" i="114"/>
  <c r="EA22" i="114"/>
  <c r="EQ21" i="114"/>
  <c r="EH21" i="114"/>
  <c r="DY21" i="114"/>
  <c r="DK21" i="114"/>
  <c r="DF21" i="114"/>
  <c r="DG21" i="114" s="1"/>
  <c r="DH21" i="114"/>
  <c r="DB21" i="114"/>
  <c r="CV21" i="114"/>
  <c r="CW21" i="114" s="1"/>
  <c r="CR21" i="114"/>
  <c r="CM21" i="114"/>
  <c r="CN21" i="114" s="1"/>
  <c r="CO21" i="114" s="1"/>
  <c r="CI21" i="114"/>
  <c r="CD21" i="114"/>
  <c r="CE21" i="114"/>
  <c r="CF21" i="114" s="1"/>
  <c r="BZ21" i="114"/>
  <c r="BN21" i="114"/>
  <c r="AZ21" i="114"/>
  <c r="AY21" i="114"/>
  <c r="AW21" i="114"/>
  <c r="AU21" i="114"/>
  <c r="AS21" i="114"/>
  <c r="AP21" i="114"/>
  <c r="AO21" i="114"/>
  <c r="AM21" i="114"/>
  <c r="AK21" i="114"/>
  <c r="AI21" i="114"/>
  <c r="AF21" i="114"/>
  <c r="AE21" i="114"/>
  <c r="AC21" i="114"/>
  <c r="AA21" i="114"/>
  <c r="Y21" i="114"/>
  <c r="V21" i="114"/>
  <c r="Q21" i="114"/>
  <c r="O21" i="114"/>
  <c r="M21" i="114"/>
  <c r="I21" i="114"/>
  <c r="EC21" i="114" s="1"/>
  <c r="F21" i="114"/>
  <c r="EB21" i="114" s="1"/>
  <c r="C21" i="114"/>
  <c r="EA21" i="114" s="1"/>
  <c r="EQ20" i="114"/>
  <c r="EH20" i="114"/>
  <c r="DY20" i="114"/>
  <c r="DK20" i="114"/>
  <c r="DF20" i="114"/>
  <c r="DG20" i="114" s="1"/>
  <c r="DB20" i="114"/>
  <c r="CV20" i="114"/>
  <c r="CW20" i="114" s="1"/>
  <c r="CR20" i="114"/>
  <c r="CM20" i="114"/>
  <c r="CN20" i="114"/>
  <c r="CI20" i="114"/>
  <c r="CD20" i="114"/>
  <c r="CE20" i="114"/>
  <c r="CF20" i="114"/>
  <c r="BZ20" i="114"/>
  <c r="BN20" i="114"/>
  <c r="AZ20" i="114"/>
  <c r="AY20" i="114"/>
  <c r="AW20" i="114"/>
  <c r="AU20" i="114"/>
  <c r="AS20" i="114"/>
  <c r="AP20" i="114"/>
  <c r="AO20" i="114"/>
  <c r="AK20" i="114"/>
  <c r="AI20" i="114"/>
  <c r="AF20" i="114"/>
  <c r="AE20" i="114"/>
  <c r="AC20" i="114"/>
  <c r="AA20" i="114"/>
  <c r="Y20" i="114"/>
  <c r="V20" i="114"/>
  <c r="Q20" i="114"/>
  <c r="O20" i="114"/>
  <c r="M20" i="114"/>
  <c r="I20" i="114"/>
  <c r="F20" i="114"/>
  <c r="EB20" i="114"/>
  <c r="C20" i="114"/>
  <c r="EA20" i="114" s="1"/>
  <c r="EQ19" i="114"/>
  <c r="EH19" i="114"/>
  <c r="DY19" i="114"/>
  <c r="DK19" i="114"/>
  <c r="DF19" i="114"/>
  <c r="DG19" i="114"/>
  <c r="DB19" i="114"/>
  <c r="CV19" i="114"/>
  <c r="CW19" i="114" s="1"/>
  <c r="CR19" i="114"/>
  <c r="CM19" i="114"/>
  <c r="CN19" i="114"/>
  <c r="CI19" i="114"/>
  <c r="CD19" i="114"/>
  <c r="CE19" i="114" s="1"/>
  <c r="BZ19" i="114"/>
  <c r="BN19" i="114"/>
  <c r="AZ19" i="114"/>
  <c r="AY19" i="114"/>
  <c r="AW19" i="114"/>
  <c r="AU19" i="114"/>
  <c r="AS19" i="114"/>
  <c r="AP19" i="114"/>
  <c r="AO19" i="114"/>
  <c r="AM19" i="114"/>
  <c r="AK19" i="114"/>
  <c r="AI19" i="114"/>
  <c r="AF19" i="114"/>
  <c r="AE19" i="114"/>
  <c r="AC19" i="114"/>
  <c r="AA19" i="114"/>
  <c r="Y19" i="114"/>
  <c r="V19" i="114"/>
  <c r="Q19" i="114"/>
  <c r="O19" i="114"/>
  <c r="M19" i="114"/>
  <c r="I19" i="114"/>
  <c r="F19" i="114"/>
  <c r="EB19" i="114" s="1"/>
  <c r="C19" i="114"/>
  <c r="EA19" i="114" s="1"/>
  <c r="EQ18" i="114"/>
  <c r="EH18" i="114"/>
  <c r="DY18" i="114"/>
  <c r="DK18" i="114"/>
  <c r="DF18" i="114"/>
  <c r="DG18" i="114"/>
  <c r="DB18" i="114"/>
  <c r="CV18" i="114"/>
  <c r="CW18" i="114"/>
  <c r="CR18" i="114"/>
  <c r="CM18" i="114"/>
  <c r="CN18" i="114" s="1"/>
  <c r="CI18" i="114"/>
  <c r="CD18" i="114"/>
  <c r="CE18" i="114"/>
  <c r="BZ18" i="114"/>
  <c r="BN18" i="114"/>
  <c r="AZ18" i="114"/>
  <c r="AY18" i="114"/>
  <c r="AW18" i="114"/>
  <c r="AU18" i="114"/>
  <c r="AS18" i="114"/>
  <c r="AP18" i="114"/>
  <c r="AO18" i="114"/>
  <c r="AM18" i="114"/>
  <c r="AK18" i="114"/>
  <c r="AI18" i="114"/>
  <c r="AF18" i="114"/>
  <c r="AE18" i="114"/>
  <c r="AC18" i="114"/>
  <c r="AA18" i="114"/>
  <c r="Y18" i="114"/>
  <c r="V18" i="114"/>
  <c r="Q18" i="114"/>
  <c r="O18" i="114"/>
  <c r="M18" i="114"/>
  <c r="I18" i="114"/>
  <c r="F18" i="114"/>
  <c r="EB18" i="114"/>
  <c r="C18" i="114"/>
  <c r="EA18" i="114"/>
  <c r="EQ17" i="114"/>
  <c r="EH17" i="114"/>
  <c r="DY17" i="114"/>
  <c r="DK17" i="114"/>
  <c r="DF17" i="114"/>
  <c r="DG17" i="114"/>
  <c r="DB17" i="114"/>
  <c r="CV17" i="114"/>
  <c r="CW17" i="114" s="1"/>
  <c r="CR17" i="114"/>
  <c r="CM17" i="114"/>
  <c r="CN17" i="114"/>
  <c r="CI17" i="114"/>
  <c r="CD17" i="114"/>
  <c r="CE17" i="114" s="1"/>
  <c r="BZ17" i="114"/>
  <c r="BN17" i="114"/>
  <c r="AZ17" i="114"/>
  <c r="AY17" i="114"/>
  <c r="AW17" i="114"/>
  <c r="AU17" i="114"/>
  <c r="AP17" i="114"/>
  <c r="AO17" i="114"/>
  <c r="AM17" i="114"/>
  <c r="AK17" i="114"/>
  <c r="AI17" i="114"/>
  <c r="AF17" i="114"/>
  <c r="AE17" i="114"/>
  <c r="AC17" i="114"/>
  <c r="AA17" i="114"/>
  <c r="V17" i="114"/>
  <c r="Q17" i="114"/>
  <c r="O17" i="114"/>
  <c r="M17" i="114"/>
  <c r="I17" i="114"/>
  <c r="F17" i="114"/>
  <c r="EB17" i="114"/>
  <c r="C17" i="114"/>
  <c r="EA17" i="114"/>
  <c r="EQ16" i="114"/>
  <c r="EH16" i="114"/>
  <c r="DY16" i="114"/>
  <c r="DK16" i="114"/>
  <c r="DF16" i="114"/>
  <c r="DG16" i="114"/>
  <c r="DB16" i="114"/>
  <c r="CV16" i="114"/>
  <c r="CW16" i="114" s="1"/>
  <c r="CR16" i="114"/>
  <c r="CM16" i="114"/>
  <c r="CN16" i="114"/>
  <c r="CI16" i="114"/>
  <c r="CD16" i="114"/>
  <c r="CE16" i="114" s="1"/>
  <c r="BZ16" i="114"/>
  <c r="BN16" i="114"/>
  <c r="AZ16" i="114"/>
  <c r="AY16" i="114"/>
  <c r="AW16" i="114"/>
  <c r="AU16" i="114"/>
  <c r="AS16" i="114"/>
  <c r="AP16" i="114"/>
  <c r="AO16" i="114"/>
  <c r="AM16" i="114"/>
  <c r="AK16" i="114"/>
  <c r="AI16" i="114"/>
  <c r="AF16" i="114"/>
  <c r="AE16" i="114"/>
  <c r="AC16" i="114"/>
  <c r="AA16" i="114"/>
  <c r="Y16" i="114"/>
  <c r="V16" i="114"/>
  <c r="Q16" i="114"/>
  <c r="O16" i="114"/>
  <c r="M16" i="114"/>
  <c r="I16" i="114"/>
  <c r="F16" i="114"/>
  <c r="EB16" i="114" s="1"/>
  <c r="C16" i="114"/>
  <c r="EA16" i="114" s="1"/>
  <c r="EQ15" i="114"/>
  <c r="EH15" i="114"/>
  <c r="DY15" i="114"/>
  <c r="DK15" i="114"/>
  <c r="DF15" i="114"/>
  <c r="DG15" i="114" s="1"/>
  <c r="DH15" i="114" s="1"/>
  <c r="DB15" i="114"/>
  <c r="CV15" i="114"/>
  <c r="CW15" i="114" s="1"/>
  <c r="CR15" i="114"/>
  <c r="CM15" i="114"/>
  <c r="CN15" i="114"/>
  <c r="CO15" i="114" s="1"/>
  <c r="CI15" i="114"/>
  <c r="CD15" i="114"/>
  <c r="CE15" i="114"/>
  <c r="CF15" i="114" s="1"/>
  <c r="BZ15" i="114"/>
  <c r="BN15" i="114"/>
  <c r="AZ15" i="114"/>
  <c r="AY15" i="114"/>
  <c r="AW15" i="114"/>
  <c r="AU15" i="114"/>
  <c r="AS15" i="114"/>
  <c r="AP15" i="114"/>
  <c r="AO15" i="114"/>
  <c r="AM15" i="114"/>
  <c r="AK15" i="114"/>
  <c r="AI15" i="114"/>
  <c r="AF15" i="114"/>
  <c r="AE15" i="114"/>
  <c r="AC15" i="114"/>
  <c r="AA15" i="114"/>
  <c r="Y15" i="114"/>
  <c r="V15" i="114"/>
  <c r="Q15" i="114"/>
  <c r="O15" i="114"/>
  <c r="M15" i="114"/>
  <c r="I15" i="114"/>
  <c r="EC15" i="114"/>
  <c r="F15" i="114"/>
  <c r="EB15" i="114"/>
  <c r="C15" i="114"/>
  <c r="EA15" i="114"/>
  <c r="EQ14" i="114"/>
  <c r="EH14" i="114"/>
  <c r="DY14" i="114"/>
  <c r="DK14" i="114"/>
  <c r="DF14" i="114"/>
  <c r="DG14" i="114"/>
  <c r="DH14" i="114" s="1"/>
  <c r="DB14" i="114"/>
  <c r="CV14" i="114"/>
  <c r="CW14" i="114"/>
  <c r="CR14" i="114"/>
  <c r="CM14" i="114"/>
  <c r="CN14" i="114" s="1"/>
  <c r="CO14" i="114" s="1"/>
  <c r="CI14" i="114"/>
  <c r="CD14" i="114"/>
  <c r="CE14" i="114" s="1"/>
  <c r="CF14" i="114" s="1"/>
  <c r="BZ14" i="114"/>
  <c r="BN14" i="114"/>
  <c r="AZ14" i="114"/>
  <c r="AY14" i="114"/>
  <c r="AW14" i="114"/>
  <c r="AU14" i="114"/>
  <c r="AS14" i="114"/>
  <c r="AP14" i="114"/>
  <c r="AO14" i="114"/>
  <c r="AM14" i="114"/>
  <c r="AK14" i="114"/>
  <c r="AI14" i="114"/>
  <c r="AF14" i="114"/>
  <c r="AE14" i="114"/>
  <c r="AC14" i="114"/>
  <c r="AA14" i="114"/>
  <c r="Y14" i="114"/>
  <c r="V14" i="114"/>
  <c r="Q14" i="114"/>
  <c r="O14" i="114"/>
  <c r="M14" i="114"/>
  <c r="I14" i="114"/>
  <c r="EC14" i="114" s="1"/>
  <c r="F14" i="114"/>
  <c r="EB14" i="114" s="1"/>
  <c r="C14" i="114"/>
  <c r="EA14" i="114" s="1"/>
  <c r="EQ13" i="114"/>
  <c r="EH13" i="114"/>
  <c r="DY13" i="114"/>
  <c r="DK13" i="114"/>
  <c r="DF13" i="114"/>
  <c r="DG13" i="114" s="1"/>
  <c r="DB13" i="114"/>
  <c r="CV13" i="114"/>
  <c r="CW13" i="114"/>
  <c r="CR13" i="114"/>
  <c r="CM13" i="114"/>
  <c r="CN13" i="114" s="1"/>
  <c r="CI13" i="114"/>
  <c r="CD13" i="114"/>
  <c r="CE13" i="114"/>
  <c r="BZ13" i="114"/>
  <c r="BN13" i="114"/>
  <c r="AZ13" i="114"/>
  <c r="AY13" i="114"/>
  <c r="AW13" i="114"/>
  <c r="AU13" i="114"/>
  <c r="AS13" i="114"/>
  <c r="AP13" i="114"/>
  <c r="AO13" i="114"/>
  <c r="AM13" i="114"/>
  <c r="AK13" i="114"/>
  <c r="AI13" i="114"/>
  <c r="AF13" i="114"/>
  <c r="AE13" i="114"/>
  <c r="AC13" i="114"/>
  <c r="AA13" i="114"/>
  <c r="Y13" i="114"/>
  <c r="V13" i="114"/>
  <c r="Q13" i="114"/>
  <c r="O13" i="114"/>
  <c r="M13" i="114"/>
  <c r="I13" i="114"/>
  <c r="F13" i="114"/>
  <c r="EB13" i="114"/>
  <c r="C13" i="114"/>
  <c r="EA13" i="114"/>
  <c r="EQ12" i="114"/>
  <c r="EH12" i="114"/>
  <c r="DY12" i="114"/>
  <c r="DK12" i="114"/>
  <c r="DF12" i="114"/>
  <c r="DG12" i="114"/>
  <c r="DB12" i="114"/>
  <c r="CV12" i="114"/>
  <c r="CW12" i="114" s="1"/>
  <c r="CR12" i="114"/>
  <c r="CM12" i="114"/>
  <c r="CN12" i="114"/>
  <c r="CI12" i="114"/>
  <c r="CD12" i="114"/>
  <c r="CE12" i="114" s="1"/>
  <c r="BZ12" i="114"/>
  <c r="BN12" i="114"/>
  <c r="AZ12" i="114"/>
  <c r="AY12" i="114"/>
  <c r="AW12" i="114"/>
  <c r="AU12" i="114"/>
  <c r="AS12" i="114"/>
  <c r="AP12" i="114"/>
  <c r="AO12" i="114"/>
  <c r="AM12" i="114"/>
  <c r="AK12" i="114"/>
  <c r="AI12" i="114"/>
  <c r="AF12" i="114"/>
  <c r="AE12" i="114"/>
  <c r="AC12" i="114"/>
  <c r="AA12" i="114"/>
  <c r="Y12" i="114"/>
  <c r="V12" i="114"/>
  <c r="Q12" i="114"/>
  <c r="O12" i="114"/>
  <c r="M12" i="114"/>
  <c r="I12" i="114"/>
  <c r="F12" i="114"/>
  <c r="EB12" i="114" s="1"/>
  <c r="C12" i="114"/>
  <c r="EA12" i="114" s="1"/>
  <c r="EQ11" i="114"/>
  <c r="EH11" i="114"/>
  <c r="DY11" i="114"/>
  <c r="DK11" i="114"/>
  <c r="DF11" i="114"/>
  <c r="DG11" i="114" s="1"/>
  <c r="DH11" i="114" s="1"/>
  <c r="DB11" i="114"/>
  <c r="CV11" i="114"/>
  <c r="CW11" i="114" s="1"/>
  <c r="CR11" i="114"/>
  <c r="CM11" i="114"/>
  <c r="CN11" i="114"/>
  <c r="CO11" i="114" s="1"/>
  <c r="CI11" i="114"/>
  <c r="CD11" i="114"/>
  <c r="CE11" i="114"/>
  <c r="CF11" i="114" s="1"/>
  <c r="BZ11" i="114"/>
  <c r="BN11" i="114"/>
  <c r="AZ11" i="114"/>
  <c r="AY11" i="114"/>
  <c r="AW11" i="114"/>
  <c r="AU11" i="114"/>
  <c r="AS11" i="114"/>
  <c r="AP11" i="114"/>
  <c r="AO11" i="114"/>
  <c r="AM11" i="114"/>
  <c r="AK11" i="114"/>
  <c r="AI11" i="114"/>
  <c r="AF11" i="114"/>
  <c r="AE11" i="114"/>
  <c r="AC11" i="114"/>
  <c r="AA11" i="114"/>
  <c r="Y11" i="114"/>
  <c r="V11" i="114"/>
  <c r="Q11" i="114"/>
  <c r="O11" i="114"/>
  <c r="M11" i="114"/>
  <c r="I11" i="114"/>
  <c r="EC11" i="114"/>
  <c r="F11" i="114"/>
  <c r="EB11" i="114"/>
  <c r="C11" i="114"/>
  <c r="EA11" i="114"/>
  <c r="EQ10" i="114"/>
  <c r="EH10" i="114"/>
  <c r="DY10" i="114"/>
  <c r="DK10" i="114"/>
  <c r="DF10" i="114"/>
  <c r="DG10" i="114"/>
  <c r="DH10" i="114" s="1"/>
  <c r="DB10" i="114"/>
  <c r="CV10" i="114"/>
  <c r="CW10" i="114"/>
  <c r="CR10" i="114"/>
  <c r="CM10" i="114"/>
  <c r="CN10" i="114" s="1"/>
  <c r="CO10" i="114" s="1"/>
  <c r="CI10" i="114"/>
  <c r="CD10" i="114"/>
  <c r="CE10" i="114" s="1"/>
  <c r="CF10" i="114" s="1"/>
  <c r="BZ10" i="114"/>
  <c r="BN10" i="114"/>
  <c r="AZ10" i="114"/>
  <c r="AY10" i="114"/>
  <c r="AW10" i="114"/>
  <c r="AU10" i="114"/>
  <c r="AS10" i="114"/>
  <c r="AP10" i="114"/>
  <c r="AO10" i="114"/>
  <c r="AM10" i="114"/>
  <c r="AK10" i="114"/>
  <c r="AI10" i="114"/>
  <c r="AF10" i="114"/>
  <c r="AE10" i="114"/>
  <c r="AC10" i="114"/>
  <c r="AA10" i="114"/>
  <c r="Y10" i="114"/>
  <c r="V10" i="114"/>
  <c r="Q10" i="114"/>
  <c r="O10" i="114"/>
  <c r="M10" i="114"/>
  <c r="I10" i="114"/>
  <c r="EC10" i="114" s="1"/>
  <c r="F10" i="114"/>
  <c r="EB10" i="114" s="1"/>
  <c r="C10" i="114"/>
  <c r="EA10" i="114" s="1"/>
  <c r="EQ9" i="114"/>
  <c r="EH9" i="114"/>
  <c r="DY9" i="114"/>
  <c r="DK9" i="114"/>
  <c r="DF9" i="114"/>
  <c r="DG9" i="114" s="1"/>
  <c r="DB9" i="114"/>
  <c r="CV9" i="114"/>
  <c r="CW9" i="114"/>
  <c r="CR9" i="114"/>
  <c r="CM9" i="114"/>
  <c r="CN9" i="114" s="1"/>
  <c r="CI9" i="114"/>
  <c r="CD9" i="114"/>
  <c r="CE9" i="114"/>
  <c r="BZ9" i="114"/>
  <c r="BN9" i="114"/>
  <c r="AZ9" i="114"/>
  <c r="AY9" i="114"/>
  <c r="AW9" i="114"/>
  <c r="AU9" i="114"/>
  <c r="AS9" i="114"/>
  <c r="AP9" i="114"/>
  <c r="AO9" i="114"/>
  <c r="AM9" i="114"/>
  <c r="AK9" i="114"/>
  <c r="AI9" i="114"/>
  <c r="AF9" i="114"/>
  <c r="AE9" i="114"/>
  <c r="AC9" i="114"/>
  <c r="AA9" i="114"/>
  <c r="Y9" i="114"/>
  <c r="V9" i="114"/>
  <c r="Q9" i="114"/>
  <c r="O9" i="114"/>
  <c r="M9" i="114"/>
  <c r="I9" i="114"/>
  <c r="F9" i="114"/>
  <c r="EB9" i="114"/>
  <c r="C9" i="114"/>
  <c r="EA9" i="114"/>
  <c r="EQ8" i="114"/>
  <c r="EH8" i="114"/>
  <c r="DY8" i="114"/>
  <c r="DK8" i="114"/>
  <c r="DF8" i="114"/>
  <c r="DG8" i="114"/>
  <c r="DB8" i="114"/>
  <c r="CV8" i="114"/>
  <c r="CW8" i="114" s="1"/>
  <c r="CR8" i="114"/>
  <c r="CM8" i="114"/>
  <c r="CN8" i="114"/>
  <c r="CI8" i="114"/>
  <c r="CD8" i="114"/>
  <c r="CE8" i="114" s="1"/>
  <c r="BZ8" i="114"/>
  <c r="BN8" i="114"/>
  <c r="AZ8" i="114"/>
  <c r="AY8" i="114"/>
  <c r="AW8" i="114"/>
  <c r="AU8" i="114"/>
  <c r="AS8" i="114"/>
  <c r="AP8" i="114"/>
  <c r="AO8" i="114"/>
  <c r="AM8" i="114"/>
  <c r="AK8" i="114"/>
  <c r="AI8" i="114"/>
  <c r="AF8" i="114"/>
  <c r="AE8" i="114"/>
  <c r="AC8" i="114"/>
  <c r="AA8" i="114"/>
  <c r="Y8" i="114"/>
  <c r="V8" i="114"/>
  <c r="Q8" i="114"/>
  <c r="O8" i="114"/>
  <c r="M8" i="114"/>
  <c r="I8" i="114"/>
  <c r="F8" i="114"/>
  <c r="C8" i="114"/>
  <c r="EI3" i="114"/>
  <c r="DZ3" i="114"/>
  <c r="DL3" i="114"/>
  <c r="DC3" i="114"/>
  <c r="CS3" i="114"/>
  <c r="CJ3" i="114"/>
  <c r="CA3" i="114"/>
  <c r="BO3" i="114"/>
  <c r="BA3" i="114"/>
  <c r="AQ3" i="114"/>
  <c r="AG3" i="114"/>
  <c r="W3" i="114"/>
  <c r="K3" i="114"/>
  <c r="EI1" i="114"/>
  <c r="DL1" i="114"/>
  <c r="DC1" i="114"/>
  <c r="CS1" i="114"/>
  <c r="CJ1" i="114"/>
  <c r="CA1" i="114"/>
  <c r="BO1" i="114"/>
  <c r="BA1" i="114"/>
  <c r="AQ1" i="114"/>
  <c r="AG1" i="114"/>
  <c r="W1" i="114"/>
  <c r="K1" i="114"/>
  <c r="DF37" i="112"/>
  <c r="CV37" i="112"/>
  <c r="CM37" i="112"/>
  <c r="CD37" i="112"/>
  <c r="CE37" i="112" s="1"/>
  <c r="CF37" i="112" s="1"/>
  <c r="AY37" i="112"/>
  <c r="AW37" i="112"/>
  <c r="AU37" i="112"/>
  <c r="AS37" i="112"/>
  <c r="AO37" i="112"/>
  <c r="AM37" i="112"/>
  <c r="AI37" i="112"/>
  <c r="AE37" i="112"/>
  <c r="AC37" i="112"/>
  <c r="AA37" i="112"/>
  <c r="Y37" i="112"/>
  <c r="Q37" i="112"/>
  <c r="O37" i="112"/>
  <c r="M37" i="112"/>
  <c r="I37" i="112"/>
  <c r="EC37" i="112" s="1"/>
  <c r="F37" i="112"/>
  <c r="EB37" i="112" s="1"/>
  <c r="C37" i="112"/>
  <c r="EA37" i="112" s="1"/>
  <c r="DZ42" i="113"/>
  <c r="DL42" i="113"/>
  <c r="DC42" i="113"/>
  <c r="CS42" i="113"/>
  <c r="CJ42" i="113"/>
  <c r="CA42" i="113"/>
  <c r="BO42" i="113"/>
  <c r="BA42" i="113"/>
  <c r="AQ42" i="113"/>
  <c r="AG42" i="113"/>
  <c r="W42" i="113"/>
  <c r="K42" i="113"/>
  <c r="EG41" i="113"/>
  <c r="EF41" i="113"/>
  <c r="EE41" i="113"/>
  <c r="DW41" i="113"/>
  <c r="DV41" i="113"/>
  <c r="DU41" i="113"/>
  <c r="DT41" i="113"/>
  <c r="DS41" i="113"/>
  <c r="DR41" i="113"/>
  <c r="DQ41" i="113"/>
  <c r="DP41" i="113"/>
  <c r="DO41" i="113"/>
  <c r="DN41" i="113"/>
  <c r="DM41" i="113"/>
  <c r="BW41" i="113"/>
  <c r="AX17" i="67" s="1"/>
  <c r="BV41" i="113"/>
  <c r="AW17" i="67" s="1"/>
  <c r="BU41" i="113"/>
  <c r="AU17" i="67" s="1"/>
  <c r="BT41" i="113"/>
  <c r="AT17" i="67" s="1"/>
  <c r="BS41" i="113"/>
  <c r="AS17" i="67" s="1"/>
  <c r="BR41" i="113"/>
  <c r="AR17" i="67" s="1"/>
  <c r="BQ41" i="113"/>
  <c r="AQ17" i="67" s="1"/>
  <c r="BP41" i="113"/>
  <c r="AP17" i="67" s="1"/>
  <c r="BM41" i="113"/>
  <c r="AN17" i="67" s="1"/>
  <c r="BL41" i="113"/>
  <c r="AM17" i="67" s="1"/>
  <c r="BK41" i="113"/>
  <c r="AL17" i="67" s="1"/>
  <c r="BJ41" i="113"/>
  <c r="AK17" i="67" s="1"/>
  <c r="BI41" i="113"/>
  <c r="AJ17" i="67" s="1"/>
  <c r="BH41" i="113"/>
  <c r="AI17" i="67" s="1"/>
  <c r="BG41" i="113"/>
  <c r="AH17" i="67" s="1"/>
  <c r="BF41" i="113"/>
  <c r="AG17" i="67" s="1"/>
  <c r="BE41" i="113"/>
  <c r="AF17" i="67" s="1"/>
  <c r="BD41" i="113"/>
  <c r="AE17" i="67" s="1"/>
  <c r="BC41" i="113"/>
  <c r="AD17" i="67" s="1"/>
  <c r="BB41" i="113"/>
  <c r="AC17" i="67" s="1"/>
  <c r="EH38" i="113"/>
  <c r="DY38" i="113"/>
  <c r="DK38" i="113"/>
  <c r="DB38" i="113"/>
  <c r="CR38" i="113"/>
  <c r="CI38" i="113"/>
  <c r="BZ38" i="113"/>
  <c r="BN38" i="113"/>
  <c r="AZ38" i="113"/>
  <c r="AP38" i="113"/>
  <c r="AF38" i="113"/>
  <c r="V38" i="113"/>
  <c r="EH37" i="113"/>
  <c r="DY37" i="113"/>
  <c r="DK37" i="113"/>
  <c r="DF37" i="113"/>
  <c r="DG37" i="113"/>
  <c r="DH37" i="113" s="1"/>
  <c r="DB37" i="113"/>
  <c r="CV37" i="113"/>
  <c r="CW37" i="113" s="1"/>
  <c r="CR37" i="113"/>
  <c r="CM37" i="113"/>
  <c r="CN37" i="113" s="1"/>
  <c r="CO37" i="113" s="1"/>
  <c r="CI37" i="113"/>
  <c r="CD37" i="113"/>
  <c r="CE37" i="113" s="1"/>
  <c r="CF37" i="113" s="1"/>
  <c r="BZ37" i="113"/>
  <c r="BN37" i="113"/>
  <c r="AZ37" i="113"/>
  <c r="AY37" i="113"/>
  <c r="AW37" i="113"/>
  <c r="AU37" i="113"/>
  <c r="AS37" i="113"/>
  <c r="AP37" i="113"/>
  <c r="AO37" i="113"/>
  <c r="AM37" i="113"/>
  <c r="AK37" i="113"/>
  <c r="AI37" i="113"/>
  <c r="AF37" i="113"/>
  <c r="AE37" i="113"/>
  <c r="AC37" i="113"/>
  <c r="AA37" i="113"/>
  <c r="Y37" i="113"/>
  <c r="V37" i="113"/>
  <c r="Q37" i="113"/>
  <c r="O37" i="113"/>
  <c r="M37" i="113"/>
  <c r="I37" i="113"/>
  <c r="EC37" i="113"/>
  <c r="F37" i="113"/>
  <c r="EB37" i="113"/>
  <c r="C37" i="113"/>
  <c r="EA37" i="113"/>
  <c r="EH36" i="113"/>
  <c r="EC36" i="113"/>
  <c r="DY36" i="113"/>
  <c r="DK36" i="113"/>
  <c r="DF36" i="113"/>
  <c r="DG36" i="113"/>
  <c r="DH36" i="113" s="1"/>
  <c r="DB36" i="113"/>
  <c r="CV36" i="113"/>
  <c r="CW36" i="113" s="1"/>
  <c r="CR36" i="113"/>
  <c r="CM36" i="113"/>
  <c r="CN36" i="113" s="1"/>
  <c r="CO36" i="113" s="1"/>
  <c r="CI36" i="113"/>
  <c r="CD36" i="113"/>
  <c r="CE36" i="113" s="1"/>
  <c r="CF36" i="113" s="1"/>
  <c r="BZ36" i="113"/>
  <c r="BN36" i="113"/>
  <c r="AZ36" i="113"/>
  <c r="AY36" i="113"/>
  <c r="AW36" i="113"/>
  <c r="AU36" i="113"/>
  <c r="AS36" i="113"/>
  <c r="AP36" i="113"/>
  <c r="AO36" i="113"/>
  <c r="AM36" i="113"/>
  <c r="AK36" i="113"/>
  <c r="AI36" i="113"/>
  <c r="AF36" i="113"/>
  <c r="AE36" i="113"/>
  <c r="AC36" i="113"/>
  <c r="AA36" i="113"/>
  <c r="Y36" i="113"/>
  <c r="V36" i="113"/>
  <c r="Q36" i="113"/>
  <c r="O36" i="113"/>
  <c r="M36" i="113"/>
  <c r="I36" i="113"/>
  <c r="F36" i="113"/>
  <c r="EB36" i="113" s="1"/>
  <c r="C36" i="113"/>
  <c r="EA36" i="113" s="1"/>
  <c r="EH35" i="113"/>
  <c r="DY35" i="113"/>
  <c r="DK35" i="113"/>
  <c r="DF35" i="113"/>
  <c r="DG35" i="113"/>
  <c r="DB35" i="113"/>
  <c r="CV35" i="113"/>
  <c r="CW35" i="113" s="1"/>
  <c r="CX35" i="113" s="1"/>
  <c r="CR35" i="113"/>
  <c r="CM35" i="113"/>
  <c r="CN35" i="113" s="1"/>
  <c r="CO35" i="113" s="1"/>
  <c r="CI35" i="113"/>
  <c r="CD35" i="113"/>
  <c r="CE35" i="113" s="1"/>
  <c r="CF35" i="113" s="1"/>
  <c r="BZ35" i="113"/>
  <c r="BN35" i="113"/>
  <c r="AZ35" i="113"/>
  <c r="AY35" i="113"/>
  <c r="AW35" i="113"/>
  <c r="AU35" i="113"/>
  <c r="AS35" i="113"/>
  <c r="AP35" i="113"/>
  <c r="AO35" i="113"/>
  <c r="AM35" i="113"/>
  <c r="AK35" i="113"/>
  <c r="AI35" i="113"/>
  <c r="AF35" i="113"/>
  <c r="AE35" i="113"/>
  <c r="AC35" i="113"/>
  <c r="AA35" i="113"/>
  <c r="Y35" i="113"/>
  <c r="V35" i="113"/>
  <c r="Q35" i="113"/>
  <c r="O35" i="113"/>
  <c r="M35" i="113"/>
  <c r="I35" i="113"/>
  <c r="EC35" i="113" s="1"/>
  <c r="F35" i="113"/>
  <c r="EB35" i="113" s="1"/>
  <c r="C35" i="113"/>
  <c r="EA35" i="113" s="1"/>
  <c r="EH34" i="113"/>
  <c r="DY34" i="113"/>
  <c r="DK34" i="113"/>
  <c r="DF34" i="113"/>
  <c r="DG34" i="113" s="1"/>
  <c r="DH34" i="113" s="1"/>
  <c r="DB34" i="113"/>
  <c r="CV34" i="113"/>
  <c r="CW34" i="113"/>
  <c r="CR34" i="113"/>
  <c r="CM34" i="113"/>
  <c r="CN34" i="113" s="1"/>
  <c r="CO34" i="113" s="1"/>
  <c r="CI34" i="113"/>
  <c r="CD34" i="113"/>
  <c r="CE34" i="113" s="1"/>
  <c r="CF34" i="113" s="1"/>
  <c r="BZ34" i="113"/>
  <c r="BN34" i="113"/>
  <c r="AZ34" i="113"/>
  <c r="AY34" i="113"/>
  <c r="AW34" i="113"/>
  <c r="AU34" i="113"/>
  <c r="AS34" i="113"/>
  <c r="AP34" i="113"/>
  <c r="AO34" i="113"/>
  <c r="AM34" i="113"/>
  <c r="AK34" i="113"/>
  <c r="AI34" i="113"/>
  <c r="AF34" i="113"/>
  <c r="AE34" i="113"/>
  <c r="AC34" i="113"/>
  <c r="AA34" i="113"/>
  <c r="Y34" i="113"/>
  <c r="V34" i="113"/>
  <c r="Q34" i="113"/>
  <c r="O34" i="113"/>
  <c r="M34" i="113"/>
  <c r="I34" i="113"/>
  <c r="EC34" i="113" s="1"/>
  <c r="F34" i="113"/>
  <c r="EB34" i="113" s="1"/>
  <c r="C34" i="113"/>
  <c r="EA34" i="113" s="1"/>
  <c r="EH33" i="113"/>
  <c r="DY33" i="113"/>
  <c r="DK33" i="113"/>
  <c r="DF33" i="113"/>
  <c r="DG33" i="113" s="1"/>
  <c r="DB33" i="113"/>
  <c r="CV33" i="113"/>
  <c r="CW33" i="113" s="1"/>
  <c r="CX33" i="113" s="1"/>
  <c r="CR33" i="113"/>
  <c r="CM33" i="113"/>
  <c r="CN33" i="113"/>
  <c r="CI33" i="113"/>
  <c r="CD33" i="113"/>
  <c r="CE33" i="113" s="1"/>
  <c r="CF33" i="113" s="1"/>
  <c r="BZ33" i="113"/>
  <c r="BN33" i="113"/>
  <c r="AZ33" i="113"/>
  <c r="AY33" i="113"/>
  <c r="AW33" i="113"/>
  <c r="AU33" i="113"/>
  <c r="AS33" i="113"/>
  <c r="AP33" i="113"/>
  <c r="AO33" i="113"/>
  <c r="AM33" i="113"/>
  <c r="AK33" i="113"/>
  <c r="AI33" i="113"/>
  <c r="AF33" i="113"/>
  <c r="AE33" i="113"/>
  <c r="AC33" i="113"/>
  <c r="AA33" i="113"/>
  <c r="Y33" i="113"/>
  <c r="V33" i="113"/>
  <c r="Q33" i="113"/>
  <c r="O33" i="113"/>
  <c r="M33" i="113"/>
  <c r="I33" i="113"/>
  <c r="F33" i="113"/>
  <c r="EB33" i="113"/>
  <c r="C33" i="113"/>
  <c r="EA33" i="113"/>
  <c r="EH32" i="113"/>
  <c r="DY32" i="113"/>
  <c r="DK32" i="113"/>
  <c r="DF32" i="113"/>
  <c r="DG32" i="113" s="1"/>
  <c r="DH32" i="113" s="1"/>
  <c r="DB32" i="113"/>
  <c r="CV32" i="113"/>
  <c r="CW32" i="113" s="1"/>
  <c r="CR32" i="113"/>
  <c r="CM32" i="113"/>
  <c r="CN32" i="113" s="1"/>
  <c r="CO32" i="113" s="1"/>
  <c r="CI32" i="113"/>
  <c r="CD32" i="113"/>
  <c r="CE32" i="113"/>
  <c r="CF32" i="113" s="1"/>
  <c r="BZ32" i="113"/>
  <c r="BN32" i="113"/>
  <c r="AZ32" i="113"/>
  <c r="AY32" i="113"/>
  <c r="AW32" i="113"/>
  <c r="AU32" i="113"/>
  <c r="AS32" i="113"/>
  <c r="AP32" i="113"/>
  <c r="AO32" i="113"/>
  <c r="AM32" i="113"/>
  <c r="AK32" i="113"/>
  <c r="AI32" i="113"/>
  <c r="AF32" i="113"/>
  <c r="AE32" i="113"/>
  <c r="AC32" i="113"/>
  <c r="AA32" i="113"/>
  <c r="Y32" i="113"/>
  <c r="V32" i="113"/>
  <c r="Q32" i="113"/>
  <c r="O32" i="113"/>
  <c r="M32" i="113"/>
  <c r="I32" i="113"/>
  <c r="F32" i="113"/>
  <c r="EB32" i="113" s="1"/>
  <c r="C32" i="113"/>
  <c r="EA32" i="113" s="1"/>
  <c r="EH31" i="113"/>
  <c r="DY31" i="113"/>
  <c r="DK31" i="113"/>
  <c r="DF31" i="113"/>
  <c r="DG31" i="113" s="1"/>
  <c r="DB31" i="113"/>
  <c r="CV31" i="113"/>
  <c r="CW31" i="113" s="1"/>
  <c r="CX31" i="113" s="1"/>
  <c r="CR31" i="113"/>
  <c r="CM31" i="113"/>
  <c r="CN31" i="113"/>
  <c r="CI31" i="113"/>
  <c r="CD31" i="113"/>
  <c r="CE31" i="113" s="1"/>
  <c r="CF31" i="113" s="1"/>
  <c r="BZ31" i="113"/>
  <c r="BN31" i="113"/>
  <c r="AZ31" i="113"/>
  <c r="AY31" i="113"/>
  <c r="AW31" i="113"/>
  <c r="AU31" i="113"/>
  <c r="AS31" i="113"/>
  <c r="AP31" i="113"/>
  <c r="AO31" i="113"/>
  <c r="AM31" i="113"/>
  <c r="AK31" i="113"/>
  <c r="AI31" i="113"/>
  <c r="AF31" i="113"/>
  <c r="AE31" i="113"/>
  <c r="AC31" i="113"/>
  <c r="AA31" i="113"/>
  <c r="Y31" i="113"/>
  <c r="V31" i="113"/>
  <c r="Q31" i="113"/>
  <c r="O31" i="113"/>
  <c r="M31" i="113"/>
  <c r="I31" i="113"/>
  <c r="F31" i="113"/>
  <c r="EB31" i="113" s="1"/>
  <c r="C31" i="113"/>
  <c r="EA31" i="113" s="1"/>
  <c r="EH30" i="113"/>
  <c r="DY30" i="113"/>
  <c r="DK30" i="113"/>
  <c r="DF30" i="113"/>
  <c r="DG30" i="113" s="1"/>
  <c r="DH30" i="113" s="1"/>
  <c r="DB30" i="113"/>
  <c r="CV30" i="113"/>
  <c r="CW30" i="113"/>
  <c r="CR30" i="113"/>
  <c r="CM30" i="113"/>
  <c r="CN30" i="113" s="1"/>
  <c r="CO30" i="113" s="1"/>
  <c r="CI30" i="113"/>
  <c r="CD30" i="113"/>
  <c r="CE30" i="113" s="1"/>
  <c r="CF30" i="113" s="1"/>
  <c r="BZ30" i="113"/>
  <c r="BN30" i="113"/>
  <c r="AZ30" i="113"/>
  <c r="AY30" i="113"/>
  <c r="AW30" i="113"/>
  <c r="AU30" i="113"/>
  <c r="AS30" i="113"/>
  <c r="AP30" i="113"/>
  <c r="AO30" i="113"/>
  <c r="AM30" i="113"/>
  <c r="AK30" i="113"/>
  <c r="AI30" i="113"/>
  <c r="AF30" i="113"/>
  <c r="AE30" i="113"/>
  <c r="AC30" i="113"/>
  <c r="AA30" i="113"/>
  <c r="Y30" i="113"/>
  <c r="V30" i="113"/>
  <c r="Q30" i="113"/>
  <c r="O30" i="113"/>
  <c r="M30" i="113"/>
  <c r="I30" i="113"/>
  <c r="EC30" i="113" s="1"/>
  <c r="F30" i="113"/>
  <c r="EB30" i="113" s="1"/>
  <c r="C30" i="113"/>
  <c r="EA30" i="113" s="1"/>
  <c r="EH29" i="113"/>
  <c r="DY29" i="113"/>
  <c r="DK29" i="113"/>
  <c r="DF29" i="113"/>
  <c r="DG29" i="113" s="1"/>
  <c r="DH29" i="113" s="1"/>
  <c r="DB29" i="113"/>
  <c r="CV29" i="113"/>
  <c r="CW29" i="113" s="1"/>
  <c r="CX29" i="113" s="1"/>
  <c r="CR29" i="113"/>
  <c r="CM29" i="113"/>
  <c r="CN29" i="113" s="1"/>
  <c r="CO29" i="113" s="1"/>
  <c r="CI29" i="113"/>
  <c r="CD29" i="113"/>
  <c r="CE29" i="113" s="1"/>
  <c r="CF29" i="113" s="1"/>
  <c r="BZ29" i="113"/>
  <c r="BN29" i="113"/>
  <c r="AZ29" i="113"/>
  <c r="AY29" i="113"/>
  <c r="AW29" i="113"/>
  <c r="AU29" i="113"/>
  <c r="AP29" i="113"/>
  <c r="AO29" i="113"/>
  <c r="AM29" i="113"/>
  <c r="AK29" i="113"/>
  <c r="AI29" i="113"/>
  <c r="AF29" i="113"/>
  <c r="AE29" i="113"/>
  <c r="AC29" i="113"/>
  <c r="AA29" i="113"/>
  <c r="Y29" i="113"/>
  <c r="V29" i="113"/>
  <c r="Q29" i="113"/>
  <c r="O29" i="113"/>
  <c r="M29" i="113"/>
  <c r="I29" i="113"/>
  <c r="EC29" i="113" s="1"/>
  <c r="F29" i="113"/>
  <c r="EB29" i="113" s="1"/>
  <c r="EA29" i="113"/>
  <c r="EH28" i="113"/>
  <c r="DY28" i="113"/>
  <c r="DK28" i="113"/>
  <c r="DF28" i="113"/>
  <c r="DG28" i="113" s="1"/>
  <c r="DB28" i="113"/>
  <c r="CV28" i="113"/>
  <c r="CW28" i="113" s="1"/>
  <c r="CX28" i="113" s="1"/>
  <c r="CR28" i="113"/>
  <c r="CM28" i="113"/>
  <c r="CN28" i="113"/>
  <c r="CI28" i="113"/>
  <c r="CD28" i="113"/>
  <c r="CE28" i="113" s="1"/>
  <c r="CF28" i="113" s="1"/>
  <c r="BZ28" i="113"/>
  <c r="BN28" i="113"/>
  <c r="AZ28" i="113"/>
  <c r="AY28" i="113"/>
  <c r="AW28" i="113"/>
  <c r="AU28" i="113"/>
  <c r="AS28" i="113"/>
  <c r="AP28" i="113"/>
  <c r="AO28" i="113"/>
  <c r="AM28" i="113"/>
  <c r="AK28" i="113"/>
  <c r="AI28" i="113"/>
  <c r="AF28" i="113"/>
  <c r="AE28" i="113"/>
  <c r="AC28" i="113"/>
  <c r="AA28" i="113"/>
  <c r="Y28" i="113"/>
  <c r="V28" i="113"/>
  <c r="Q28" i="113"/>
  <c r="O28" i="113"/>
  <c r="M28" i="113"/>
  <c r="I28" i="113"/>
  <c r="F28" i="113"/>
  <c r="EB28" i="113" s="1"/>
  <c r="C28" i="113"/>
  <c r="EA28" i="113" s="1"/>
  <c r="EH27" i="113"/>
  <c r="DY27" i="113"/>
  <c r="DK27" i="113"/>
  <c r="DF27" i="113"/>
  <c r="DG27" i="113" s="1"/>
  <c r="DB27" i="113"/>
  <c r="CV27" i="113"/>
  <c r="CW27" i="113" s="1"/>
  <c r="CX27" i="113" s="1"/>
  <c r="CR27" i="113"/>
  <c r="CM27" i="113"/>
  <c r="CN27" i="113"/>
  <c r="CI27" i="113"/>
  <c r="CD27" i="113"/>
  <c r="CE27" i="113" s="1"/>
  <c r="CF27" i="113" s="1"/>
  <c r="BZ27" i="113"/>
  <c r="BN27" i="113"/>
  <c r="AZ27" i="113"/>
  <c r="AY27" i="113"/>
  <c r="AW27" i="113"/>
  <c r="AU27" i="113"/>
  <c r="AS27" i="113"/>
  <c r="AP27" i="113"/>
  <c r="AO27" i="113"/>
  <c r="AM27" i="113"/>
  <c r="AK27" i="113"/>
  <c r="AI27" i="113"/>
  <c r="AF27" i="113"/>
  <c r="AE27" i="113"/>
  <c r="AC27" i="113"/>
  <c r="AA27" i="113"/>
  <c r="Y27" i="113"/>
  <c r="V27" i="113"/>
  <c r="Q27" i="113"/>
  <c r="O27" i="113"/>
  <c r="M27" i="113"/>
  <c r="I27" i="113"/>
  <c r="F27" i="113"/>
  <c r="EB27" i="113" s="1"/>
  <c r="C27" i="113"/>
  <c r="EA27" i="113" s="1"/>
  <c r="EH26" i="113"/>
  <c r="DY26" i="113"/>
  <c r="DK26" i="113"/>
  <c r="DF26" i="113"/>
  <c r="DG26" i="113" s="1"/>
  <c r="DH26" i="113" s="1"/>
  <c r="DB26" i="113"/>
  <c r="CV26" i="113"/>
  <c r="CW26" i="113"/>
  <c r="CR26" i="113"/>
  <c r="CM26" i="113"/>
  <c r="CN26" i="113" s="1"/>
  <c r="CO26" i="113" s="1"/>
  <c r="CI26" i="113"/>
  <c r="CD26" i="113"/>
  <c r="CE26" i="113" s="1"/>
  <c r="CF26" i="113" s="1"/>
  <c r="BZ26" i="113"/>
  <c r="BN26" i="113"/>
  <c r="AZ26" i="113"/>
  <c r="AY26" i="113"/>
  <c r="AW26" i="113"/>
  <c r="AU26" i="113"/>
  <c r="AP26" i="113"/>
  <c r="AO26" i="113"/>
  <c r="AM26" i="113"/>
  <c r="AK26" i="113"/>
  <c r="AI26" i="113"/>
  <c r="AF26" i="113"/>
  <c r="AE26" i="113"/>
  <c r="AC26" i="113"/>
  <c r="AA26" i="113"/>
  <c r="Y26" i="113"/>
  <c r="V26" i="113"/>
  <c r="Q26" i="113"/>
  <c r="O26" i="113"/>
  <c r="M26" i="113"/>
  <c r="I26" i="113"/>
  <c r="EC26" i="113"/>
  <c r="F26" i="113"/>
  <c r="EB26" i="113"/>
  <c r="C26" i="113"/>
  <c r="EA26" i="113"/>
  <c r="EH25" i="113"/>
  <c r="DY25" i="113"/>
  <c r="DK25" i="113"/>
  <c r="DF25" i="113"/>
  <c r="DG25" i="113" s="1"/>
  <c r="DH25" i="113" s="1"/>
  <c r="DB25" i="113"/>
  <c r="CV25" i="113"/>
  <c r="CW25" i="113" s="1"/>
  <c r="CR25" i="113"/>
  <c r="CM25" i="113"/>
  <c r="CN25" i="113" s="1"/>
  <c r="CO25" i="113" s="1"/>
  <c r="CI25" i="113"/>
  <c r="CD25" i="113"/>
  <c r="CE25" i="113"/>
  <c r="BZ25" i="113"/>
  <c r="BN25" i="113"/>
  <c r="AZ25" i="113"/>
  <c r="AY25" i="113"/>
  <c r="AW25" i="113"/>
  <c r="AU25" i="113"/>
  <c r="AS25" i="113"/>
  <c r="AP25" i="113"/>
  <c r="AO25" i="113"/>
  <c r="AM25" i="113"/>
  <c r="AK25" i="113"/>
  <c r="AI25" i="113"/>
  <c r="AF25" i="113"/>
  <c r="AE25" i="113"/>
  <c r="AC25" i="113"/>
  <c r="AA25" i="113"/>
  <c r="Y25" i="113"/>
  <c r="V25" i="113"/>
  <c r="Q25" i="113"/>
  <c r="O25" i="113"/>
  <c r="M25" i="113"/>
  <c r="I25" i="113"/>
  <c r="F25" i="113"/>
  <c r="EB25" i="113"/>
  <c r="C25" i="113"/>
  <c r="EA25" i="113"/>
  <c r="EH24" i="113"/>
  <c r="DY24" i="113"/>
  <c r="DK24" i="113"/>
  <c r="DF24" i="113"/>
  <c r="DG24" i="113" s="1"/>
  <c r="DH24" i="113" s="1"/>
  <c r="DB24" i="113"/>
  <c r="CV24" i="113"/>
  <c r="CW24" i="113" s="1"/>
  <c r="CR24" i="113"/>
  <c r="CM24" i="113"/>
  <c r="CN24" i="113" s="1"/>
  <c r="CO24" i="113" s="1"/>
  <c r="CI24" i="113"/>
  <c r="CD24" i="113"/>
  <c r="CE24" i="113"/>
  <c r="BZ24" i="113"/>
  <c r="BN24" i="113"/>
  <c r="AZ24" i="113"/>
  <c r="AY24" i="113"/>
  <c r="AW24" i="113"/>
  <c r="AU24" i="113"/>
  <c r="AS24" i="113"/>
  <c r="AP24" i="113"/>
  <c r="AO24" i="113"/>
  <c r="AM24" i="113"/>
  <c r="AK24" i="113"/>
  <c r="AI24" i="113"/>
  <c r="AF24" i="113"/>
  <c r="AE24" i="113"/>
  <c r="AC24" i="113"/>
  <c r="AA24" i="113"/>
  <c r="Y24" i="113"/>
  <c r="V24" i="113"/>
  <c r="Q24" i="113"/>
  <c r="O24" i="113"/>
  <c r="M24" i="113"/>
  <c r="I24" i="113"/>
  <c r="F24" i="113"/>
  <c r="EB24" i="113"/>
  <c r="C24" i="113"/>
  <c r="EA24" i="113"/>
  <c r="EH23" i="113"/>
  <c r="DY23" i="113"/>
  <c r="DK23" i="113"/>
  <c r="DF23" i="113"/>
  <c r="DG23" i="113" s="1"/>
  <c r="DH23" i="113" s="1"/>
  <c r="DB23" i="113"/>
  <c r="CV23" i="113"/>
  <c r="CW23" i="113" s="1"/>
  <c r="CR23" i="113"/>
  <c r="CM23" i="113"/>
  <c r="CN23" i="113" s="1"/>
  <c r="CO23" i="113" s="1"/>
  <c r="CI23" i="113"/>
  <c r="CD23" i="113"/>
  <c r="CE23" i="113"/>
  <c r="CF23" i="113" s="1"/>
  <c r="BZ23" i="113"/>
  <c r="BN23" i="113"/>
  <c r="AZ23" i="113"/>
  <c r="AY23" i="113"/>
  <c r="AW23" i="113"/>
  <c r="AU23" i="113"/>
  <c r="AS23" i="113"/>
  <c r="AP23" i="113"/>
  <c r="AO23" i="113"/>
  <c r="AM23" i="113"/>
  <c r="AK23" i="113"/>
  <c r="AI23" i="113"/>
  <c r="AF23" i="113"/>
  <c r="AE23" i="113"/>
  <c r="AC23" i="113"/>
  <c r="AA23" i="113"/>
  <c r="Y23" i="113"/>
  <c r="V23" i="113"/>
  <c r="Q23" i="113"/>
  <c r="O23" i="113"/>
  <c r="M23" i="113"/>
  <c r="I23" i="113"/>
  <c r="F23" i="113"/>
  <c r="EB23" i="113" s="1"/>
  <c r="C23" i="113"/>
  <c r="EA23" i="113" s="1"/>
  <c r="EH22" i="113"/>
  <c r="DY22" i="113"/>
  <c r="DK22" i="113"/>
  <c r="DF22" i="113"/>
  <c r="DG22" i="113" s="1"/>
  <c r="DH22" i="113" s="1"/>
  <c r="DB22" i="113"/>
  <c r="CV22" i="113"/>
  <c r="CW22" i="113"/>
  <c r="CR22" i="113"/>
  <c r="CM22" i="113"/>
  <c r="CN22" i="113" s="1"/>
  <c r="CO22" i="113" s="1"/>
  <c r="CI22" i="113"/>
  <c r="CD22" i="113"/>
  <c r="CE22" i="113" s="1"/>
  <c r="CF22" i="113" s="1"/>
  <c r="BZ22" i="113"/>
  <c r="BN22" i="113"/>
  <c r="AZ22" i="113"/>
  <c r="AY22" i="113"/>
  <c r="AW22" i="113"/>
  <c r="AU22" i="113"/>
  <c r="AS22" i="113"/>
  <c r="AP22" i="113"/>
  <c r="AO22" i="113"/>
  <c r="AM22" i="113"/>
  <c r="AK22" i="113"/>
  <c r="AI22" i="113"/>
  <c r="AF22" i="113"/>
  <c r="AE22" i="113"/>
  <c r="AC22" i="113"/>
  <c r="AA22" i="113"/>
  <c r="Y22" i="113"/>
  <c r="V22" i="113"/>
  <c r="Q22" i="113"/>
  <c r="O22" i="113"/>
  <c r="M22" i="113"/>
  <c r="I22" i="113"/>
  <c r="EC22" i="113" s="1"/>
  <c r="F22" i="113"/>
  <c r="EB22" i="113" s="1"/>
  <c r="C22" i="113"/>
  <c r="EA22" i="113" s="1"/>
  <c r="EH21" i="113"/>
  <c r="DY21" i="113"/>
  <c r="DK21" i="113"/>
  <c r="DF21" i="113"/>
  <c r="DG21" i="113" s="1"/>
  <c r="DH21" i="113" s="1"/>
  <c r="DB21" i="113"/>
  <c r="CV21" i="113"/>
  <c r="CW21" i="113"/>
  <c r="CR21" i="113"/>
  <c r="CM21" i="113"/>
  <c r="CN21" i="113" s="1"/>
  <c r="CO21" i="113" s="1"/>
  <c r="CI21" i="113"/>
  <c r="CD21" i="113"/>
  <c r="CE21" i="113" s="1"/>
  <c r="CF21" i="113" s="1"/>
  <c r="BZ21" i="113"/>
  <c r="BN21" i="113"/>
  <c r="AZ21" i="113"/>
  <c r="AY21" i="113"/>
  <c r="AW21" i="113"/>
  <c r="AU21" i="113"/>
  <c r="AS21" i="113"/>
  <c r="AP21" i="113"/>
  <c r="AO21" i="113"/>
  <c r="AM21" i="113"/>
  <c r="AK21" i="113"/>
  <c r="AI21" i="113"/>
  <c r="AF21" i="113"/>
  <c r="AE21" i="113"/>
  <c r="AC21" i="113"/>
  <c r="AA21" i="113"/>
  <c r="Y21" i="113"/>
  <c r="V21" i="113"/>
  <c r="Q21" i="113"/>
  <c r="O21" i="113"/>
  <c r="M21" i="113"/>
  <c r="I21" i="113"/>
  <c r="EC21" i="113" s="1"/>
  <c r="F21" i="113"/>
  <c r="EB21" i="113" s="1"/>
  <c r="C21" i="113"/>
  <c r="EA21" i="113" s="1"/>
  <c r="EH20" i="113"/>
  <c r="DY20" i="113"/>
  <c r="DK20" i="113"/>
  <c r="DF20" i="113"/>
  <c r="DG20" i="113" s="1"/>
  <c r="DH20" i="113" s="1"/>
  <c r="DB20" i="113"/>
  <c r="CV20" i="113"/>
  <c r="CW20" i="113"/>
  <c r="CR20" i="113"/>
  <c r="CM20" i="113"/>
  <c r="CN20" i="113" s="1"/>
  <c r="CO20" i="113" s="1"/>
  <c r="CI20" i="113"/>
  <c r="CD20" i="113"/>
  <c r="CE20" i="113" s="1"/>
  <c r="BZ20" i="113"/>
  <c r="BN20" i="113"/>
  <c r="AZ20" i="113"/>
  <c r="AY20" i="113"/>
  <c r="AW20" i="113"/>
  <c r="AU20" i="113"/>
  <c r="AS20" i="113"/>
  <c r="AP20" i="113"/>
  <c r="AO20" i="113"/>
  <c r="AM20" i="113"/>
  <c r="AK20" i="113"/>
  <c r="AI20" i="113"/>
  <c r="AF20" i="113"/>
  <c r="AE20" i="113"/>
  <c r="AC20" i="113"/>
  <c r="AA20" i="113"/>
  <c r="Y20" i="113"/>
  <c r="V20" i="113"/>
  <c r="Q20" i="113"/>
  <c r="O20" i="113"/>
  <c r="M20" i="113"/>
  <c r="I20" i="113"/>
  <c r="F20" i="113"/>
  <c r="EB20" i="113" s="1"/>
  <c r="C20" i="113"/>
  <c r="EA20" i="113" s="1"/>
  <c r="EH19" i="113"/>
  <c r="DY19" i="113"/>
  <c r="DK19" i="113"/>
  <c r="DF19" i="113"/>
  <c r="DG19" i="113" s="1"/>
  <c r="DH19" i="113" s="1"/>
  <c r="DB19" i="113"/>
  <c r="CV19" i="113"/>
  <c r="CW19" i="113"/>
  <c r="CR19" i="113"/>
  <c r="CM19" i="113"/>
  <c r="CN19" i="113" s="1"/>
  <c r="CO19" i="113" s="1"/>
  <c r="CI19" i="113"/>
  <c r="CD19" i="113"/>
  <c r="CE19" i="113" s="1"/>
  <c r="CF19" i="113" s="1"/>
  <c r="BZ19" i="113"/>
  <c r="BN19" i="113"/>
  <c r="AZ19" i="113"/>
  <c r="AY19" i="113"/>
  <c r="AW19" i="113"/>
  <c r="AU19" i="113"/>
  <c r="AS19" i="113"/>
  <c r="AP19" i="113"/>
  <c r="AO19" i="113"/>
  <c r="AM19" i="113"/>
  <c r="AK19" i="113"/>
  <c r="AI19" i="113"/>
  <c r="AF19" i="113"/>
  <c r="AE19" i="113"/>
  <c r="AC19" i="113"/>
  <c r="AA19" i="113"/>
  <c r="Y19" i="113"/>
  <c r="V19" i="113"/>
  <c r="Q19" i="113"/>
  <c r="O19" i="113"/>
  <c r="M19" i="113"/>
  <c r="I19" i="113"/>
  <c r="F19" i="113"/>
  <c r="EB19" i="113" s="1"/>
  <c r="C19" i="113"/>
  <c r="EA19" i="113" s="1"/>
  <c r="EH18" i="113"/>
  <c r="DY18" i="113"/>
  <c r="DK18" i="113"/>
  <c r="DF18" i="113"/>
  <c r="DG18" i="113"/>
  <c r="DB18" i="113"/>
  <c r="CV18" i="113"/>
  <c r="CW18" i="113" s="1"/>
  <c r="CX18" i="113" s="1"/>
  <c r="CR18" i="113"/>
  <c r="CM18" i="113"/>
  <c r="CN18" i="113" s="1"/>
  <c r="CI18" i="113"/>
  <c r="CD18" i="113"/>
  <c r="CE18" i="113" s="1"/>
  <c r="CF18" i="113" s="1"/>
  <c r="BZ18" i="113"/>
  <c r="BN18" i="113"/>
  <c r="AZ18" i="113"/>
  <c r="AY18" i="113"/>
  <c r="AW18" i="113"/>
  <c r="AU18" i="113"/>
  <c r="AS18" i="113"/>
  <c r="AP18" i="113"/>
  <c r="AO18" i="113"/>
  <c r="AM18" i="113"/>
  <c r="AK18" i="113"/>
  <c r="AI18" i="113"/>
  <c r="AF18" i="113"/>
  <c r="AE18" i="113"/>
  <c r="AC18" i="113"/>
  <c r="AA18" i="113"/>
  <c r="Y18" i="113"/>
  <c r="V18" i="113"/>
  <c r="Q18" i="113"/>
  <c r="O18" i="113"/>
  <c r="M18" i="113"/>
  <c r="I18" i="113"/>
  <c r="F18" i="113"/>
  <c r="EB18" i="113" s="1"/>
  <c r="C18" i="113"/>
  <c r="EA18" i="113" s="1"/>
  <c r="EH17" i="113"/>
  <c r="DY17" i="113"/>
  <c r="DK17" i="113"/>
  <c r="DF17" i="113"/>
  <c r="DG17" i="113" s="1"/>
  <c r="DH17" i="113" s="1"/>
  <c r="DB17" i="113"/>
  <c r="CV17" i="113"/>
  <c r="CW17" i="113" s="1"/>
  <c r="CX17" i="113" s="1"/>
  <c r="CR17" i="113"/>
  <c r="CM17" i="113"/>
  <c r="CN17" i="113"/>
  <c r="CO17" i="113" s="1"/>
  <c r="CI17" i="113"/>
  <c r="CD17" i="113"/>
  <c r="CE17" i="113" s="1"/>
  <c r="BZ17" i="113"/>
  <c r="BN17" i="113"/>
  <c r="AZ17" i="113"/>
  <c r="AY17" i="113"/>
  <c r="AW17" i="113"/>
  <c r="AU17" i="113"/>
  <c r="AS17" i="113"/>
  <c r="AP17" i="113"/>
  <c r="AO17" i="113"/>
  <c r="AM17" i="113"/>
  <c r="AK17" i="113"/>
  <c r="AI17" i="113"/>
  <c r="AF17" i="113"/>
  <c r="AE17" i="113"/>
  <c r="AC17" i="113"/>
  <c r="AA17" i="113"/>
  <c r="Y17" i="113"/>
  <c r="V17" i="113"/>
  <c r="Q17" i="113"/>
  <c r="O17" i="113"/>
  <c r="M17" i="113"/>
  <c r="I17" i="113"/>
  <c r="EC17" i="113" s="1"/>
  <c r="F17" i="113"/>
  <c r="EB17" i="113" s="1"/>
  <c r="C17" i="113"/>
  <c r="EA17" i="113" s="1"/>
  <c r="EH16" i="113"/>
  <c r="DY16" i="113"/>
  <c r="DK16" i="113"/>
  <c r="DF16" i="113"/>
  <c r="DG16" i="113"/>
  <c r="DH16" i="113" s="1"/>
  <c r="DB16" i="113"/>
  <c r="CV16" i="113"/>
  <c r="CW16" i="113" s="1"/>
  <c r="CR16" i="113"/>
  <c r="CM16" i="113"/>
  <c r="CN16" i="113" s="1"/>
  <c r="CO16" i="113" s="1"/>
  <c r="CI16" i="113"/>
  <c r="CD16" i="113"/>
  <c r="CE16" i="113" s="1"/>
  <c r="CF16" i="113" s="1"/>
  <c r="BZ16" i="113"/>
  <c r="BN16" i="113"/>
  <c r="AZ16" i="113"/>
  <c r="AY16" i="113"/>
  <c r="AW16" i="113"/>
  <c r="AU16" i="113"/>
  <c r="AS16" i="113"/>
  <c r="AP16" i="113"/>
  <c r="AO16" i="113"/>
  <c r="AM16" i="113"/>
  <c r="AK16" i="113"/>
  <c r="AI16" i="113"/>
  <c r="AF16" i="113"/>
  <c r="AE16" i="113"/>
  <c r="AC16" i="113"/>
  <c r="AA16" i="113"/>
  <c r="Y16" i="113"/>
  <c r="V16" i="113"/>
  <c r="Q16" i="113"/>
  <c r="O16" i="113"/>
  <c r="M16" i="113"/>
  <c r="I16" i="113"/>
  <c r="EC16" i="113"/>
  <c r="F16" i="113"/>
  <c r="EB16" i="113"/>
  <c r="C16" i="113"/>
  <c r="EA16" i="113"/>
  <c r="EH15" i="113"/>
  <c r="DY15" i="113"/>
  <c r="DK15" i="113"/>
  <c r="DF15" i="113"/>
  <c r="DG15" i="113" s="1"/>
  <c r="DH15" i="113" s="1"/>
  <c r="DB15" i="113"/>
  <c r="CV15" i="113"/>
  <c r="CW15" i="113" s="1"/>
  <c r="CX15" i="113" s="1"/>
  <c r="CR15" i="113"/>
  <c r="CM15" i="113"/>
  <c r="CN15" i="113"/>
  <c r="CI15" i="113"/>
  <c r="CD15" i="113"/>
  <c r="CE15" i="113" s="1"/>
  <c r="CF15" i="113" s="1"/>
  <c r="BZ15" i="113"/>
  <c r="BN15" i="113"/>
  <c r="AZ15" i="113"/>
  <c r="AY15" i="113"/>
  <c r="AW15" i="113"/>
  <c r="AU15" i="113"/>
  <c r="AS15" i="113"/>
  <c r="AP15" i="113"/>
  <c r="AO15" i="113"/>
  <c r="AM15" i="113"/>
  <c r="AK15" i="113"/>
  <c r="AI15" i="113"/>
  <c r="AF15" i="113"/>
  <c r="AE15" i="113"/>
  <c r="AC15" i="113"/>
  <c r="AA15" i="113"/>
  <c r="Y15" i="113"/>
  <c r="V15" i="113"/>
  <c r="Q15" i="113"/>
  <c r="O15" i="113"/>
  <c r="M15" i="113"/>
  <c r="I15" i="113"/>
  <c r="EC15" i="113" s="1"/>
  <c r="F15" i="113"/>
  <c r="EB15" i="113" s="1"/>
  <c r="C15" i="113"/>
  <c r="EA15" i="113" s="1"/>
  <c r="EH14" i="113"/>
  <c r="DY14" i="113"/>
  <c r="DK14" i="113"/>
  <c r="DF14" i="113"/>
  <c r="DG14" i="113" s="1"/>
  <c r="DH14" i="113" s="1"/>
  <c r="DB14" i="113"/>
  <c r="CV14" i="113"/>
  <c r="CW14" i="113"/>
  <c r="CR14" i="113"/>
  <c r="CM14" i="113"/>
  <c r="CN14" i="113" s="1"/>
  <c r="CO14" i="113" s="1"/>
  <c r="CI14" i="113"/>
  <c r="CD14" i="113"/>
  <c r="CE14" i="113" s="1"/>
  <c r="CF14" i="113" s="1"/>
  <c r="BZ14" i="113"/>
  <c r="BN14" i="113"/>
  <c r="AZ14" i="113"/>
  <c r="AY14" i="113"/>
  <c r="AW14" i="113"/>
  <c r="AU14" i="113"/>
  <c r="AS14" i="113"/>
  <c r="AP14" i="113"/>
  <c r="AO14" i="113"/>
  <c r="AM14" i="113"/>
  <c r="AK14" i="113"/>
  <c r="AI14" i="113"/>
  <c r="AF14" i="113"/>
  <c r="AE14" i="113"/>
  <c r="AC14" i="113"/>
  <c r="AA14" i="113"/>
  <c r="Y14" i="113"/>
  <c r="V14" i="113"/>
  <c r="Q14" i="113"/>
  <c r="O14" i="113"/>
  <c r="M14" i="113"/>
  <c r="I14" i="113"/>
  <c r="F14" i="113"/>
  <c r="EB14" i="113" s="1"/>
  <c r="C14" i="113"/>
  <c r="EA14" i="113" s="1"/>
  <c r="EH13" i="113"/>
  <c r="DY13" i="113"/>
  <c r="DK13" i="113"/>
  <c r="DF13" i="113"/>
  <c r="DG13" i="113"/>
  <c r="DB13" i="113"/>
  <c r="CV13" i="113"/>
  <c r="CW13" i="113" s="1"/>
  <c r="CX13" i="113" s="1"/>
  <c r="CR13" i="113"/>
  <c r="CM13" i="113"/>
  <c r="CN13" i="113" s="1"/>
  <c r="CI13" i="113"/>
  <c r="CD13" i="113"/>
  <c r="CE13" i="113" s="1"/>
  <c r="CF13" i="113" s="1"/>
  <c r="BZ13" i="113"/>
  <c r="BN13" i="113"/>
  <c r="AZ13" i="113"/>
  <c r="AY13" i="113"/>
  <c r="AW13" i="113"/>
  <c r="AU13" i="113"/>
  <c r="AS13" i="113"/>
  <c r="AP13" i="113"/>
  <c r="AO13" i="113"/>
  <c r="AM13" i="113"/>
  <c r="AK13" i="113"/>
  <c r="AI13" i="113"/>
  <c r="AF13" i="113"/>
  <c r="AE13" i="113"/>
  <c r="AC13" i="113"/>
  <c r="AA13" i="113"/>
  <c r="Y13" i="113"/>
  <c r="V13" i="113"/>
  <c r="Q13" i="113"/>
  <c r="O13" i="113"/>
  <c r="M13" i="113"/>
  <c r="I13" i="113"/>
  <c r="F13" i="113"/>
  <c r="EB13" i="113" s="1"/>
  <c r="C13" i="113"/>
  <c r="EA13" i="113" s="1"/>
  <c r="EH12" i="113"/>
  <c r="DY12" i="113"/>
  <c r="DK12" i="113"/>
  <c r="DF12" i="113"/>
  <c r="DG12" i="113" s="1"/>
  <c r="DH12" i="113" s="1"/>
  <c r="DB12" i="113"/>
  <c r="CV12" i="113"/>
  <c r="CW12" i="113" s="1"/>
  <c r="CX12" i="113" s="1"/>
  <c r="CR12" i="113"/>
  <c r="CM12" i="113"/>
  <c r="CN12" i="113"/>
  <c r="CO12" i="113" s="1"/>
  <c r="CI12" i="113"/>
  <c r="CD12" i="113"/>
  <c r="CE12" i="113" s="1"/>
  <c r="BZ12" i="113"/>
  <c r="BN12" i="113"/>
  <c r="AZ12" i="113"/>
  <c r="AY12" i="113"/>
  <c r="AW12" i="113"/>
  <c r="AU12" i="113"/>
  <c r="AS12" i="113"/>
  <c r="AP12" i="113"/>
  <c r="AO12" i="113"/>
  <c r="AM12" i="113"/>
  <c r="AK12" i="113"/>
  <c r="AI12" i="113"/>
  <c r="AF12" i="113"/>
  <c r="AE12" i="113"/>
  <c r="AC12" i="113"/>
  <c r="AA12" i="113"/>
  <c r="Y12" i="113"/>
  <c r="V12" i="113"/>
  <c r="Q12" i="113"/>
  <c r="O12" i="113"/>
  <c r="M12" i="113"/>
  <c r="I12" i="113"/>
  <c r="EC12" i="113" s="1"/>
  <c r="F12" i="113"/>
  <c r="EB12" i="113" s="1"/>
  <c r="C12" i="113"/>
  <c r="EA12" i="113" s="1"/>
  <c r="EH11" i="113"/>
  <c r="DY11" i="113"/>
  <c r="DK11" i="113"/>
  <c r="DF11" i="113"/>
  <c r="DG11" i="113" s="1"/>
  <c r="DH11" i="113" s="1"/>
  <c r="DB11" i="113"/>
  <c r="CV11" i="113"/>
  <c r="CW11" i="113" s="1"/>
  <c r="CX11" i="113" s="1"/>
  <c r="CR11" i="113"/>
  <c r="CM11" i="113"/>
  <c r="CN11" i="113" s="1"/>
  <c r="CO11" i="113" s="1"/>
  <c r="CI11" i="113"/>
  <c r="CD11" i="113"/>
  <c r="CE11" i="113" s="1"/>
  <c r="CF11" i="113" s="1"/>
  <c r="BZ11" i="113"/>
  <c r="BN11" i="113"/>
  <c r="AZ11" i="113"/>
  <c r="AY11" i="113"/>
  <c r="AW11" i="113"/>
  <c r="AU11" i="113"/>
  <c r="AS11" i="113"/>
  <c r="AP11" i="113"/>
  <c r="AO11" i="113"/>
  <c r="AM11" i="113"/>
  <c r="AK11" i="113"/>
  <c r="AI11" i="113"/>
  <c r="AF11" i="113"/>
  <c r="AE11" i="113"/>
  <c r="AC11" i="113"/>
  <c r="AA11" i="113"/>
  <c r="Y11" i="113"/>
  <c r="V11" i="113"/>
  <c r="Q11" i="113"/>
  <c r="O11" i="113"/>
  <c r="M11" i="113"/>
  <c r="I11" i="113"/>
  <c r="EC11" i="113" s="1"/>
  <c r="F11" i="113"/>
  <c r="EB11" i="113" s="1"/>
  <c r="C11" i="113"/>
  <c r="EA11" i="113" s="1"/>
  <c r="EH10" i="113"/>
  <c r="DY10" i="113"/>
  <c r="DK10" i="113"/>
  <c r="DF10" i="113"/>
  <c r="DG10" i="113" s="1"/>
  <c r="DB10" i="113"/>
  <c r="CV10" i="113"/>
  <c r="CW10" i="113" s="1"/>
  <c r="CR10" i="113"/>
  <c r="CM10" i="113"/>
  <c r="CN10" i="113" s="1"/>
  <c r="CI10" i="113"/>
  <c r="CD10" i="113"/>
  <c r="CE10" i="113" s="1"/>
  <c r="CF10" i="113" s="1"/>
  <c r="BZ10" i="113"/>
  <c r="BN10" i="113"/>
  <c r="AZ10" i="113"/>
  <c r="AY10" i="113"/>
  <c r="AW10" i="113"/>
  <c r="AU10" i="113"/>
  <c r="AS10" i="113"/>
  <c r="AP10" i="113"/>
  <c r="AO10" i="113"/>
  <c r="AM10" i="113"/>
  <c r="AK10" i="113"/>
  <c r="AI10" i="113"/>
  <c r="AF10" i="113"/>
  <c r="AE10" i="113"/>
  <c r="AC10" i="113"/>
  <c r="AA10" i="113"/>
  <c r="Y10" i="113"/>
  <c r="V10" i="113"/>
  <c r="Q10" i="113"/>
  <c r="O10" i="113"/>
  <c r="M10" i="113"/>
  <c r="I10" i="113"/>
  <c r="F10" i="113"/>
  <c r="EB10" i="113" s="1"/>
  <c r="C10" i="113"/>
  <c r="EA10" i="113" s="1"/>
  <c r="EH9" i="113"/>
  <c r="DY9" i="113"/>
  <c r="DK9" i="113"/>
  <c r="DF9" i="113"/>
  <c r="DG9" i="113" s="1"/>
  <c r="DB9" i="113"/>
  <c r="CV9" i="113"/>
  <c r="CW9" i="113" s="1"/>
  <c r="CR9" i="113"/>
  <c r="CM9" i="113"/>
  <c r="CN9" i="113"/>
  <c r="CI9" i="113"/>
  <c r="CD9" i="113"/>
  <c r="CE9" i="113" s="1"/>
  <c r="CF9" i="113" s="1"/>
  <c r="BZ9" i="113"/>
  <c r="BN9" i="113"/>
  <c r="AZ9" i="113"/>
  <c r="AY9" i="113"/>
  <c r="AW9" i="113"/>
  <c r="AU9" i="113"/>
  <c r="AS9" i="113"/>
  <c r="AP9" i="113"/>
  <c r="AO9" i="113"/>
  <c r="AM9" i="113"/>
  <c r="AK9" i="113"/>
  <c r="AI9" i="113"/>
  <c r="AF9" i="113"/>
  <c r="AE9" i="113"/>
  <c r="AC9" i="113"/>
  <c r="AA9" i="113"/>
  <c r="Y9" i="113"/>
  <c r="V9" i="113"/>
  <c r="Q9" i="113"/>
  <c r="O9" i="113"/>
  <c r="O41" i="113" s="1"/>
  <c r="M9" i="113"/>
  <c r="I9" i="113"/>
  <c r="F9" i="113"/>
  <c r="EB9" i="113" s="1"/>
  <c r="C9" i="113"/>
  <c r="EA9" i="113" s="1"/>
  <c r="EH8" i="113"/>
  <c r="DY8" i="113"/>
  <c r="DK8" i="113"/>
  <c r="DF8" i="113"/>
  <c r="DG8" i="113" s="1"/>
  <c r="DH8" i="113" s="1"/>
  <c r="DB8" i="113"/>
  <c r="CV8" i="113"/>
  <c r="CW8" i="113" s="1"/>
  <c r="CR8" i="113"/>
  <c r="CM8" i="113"/>
  <c r="CN8" i="113" s="1"/>
  <c r="CO8" i="113" s="1"/>
  <c r="CI8" i="113"/>
  <c r="CD8" i="113"/>
  <c r="CE8" i="113" s="1"/>
  <c r="BZ8" i="113"/>
  <c r="BN8" i="113"/>
  <c r="AZ8" i="113"/>
  <c r="AY8" i="113"/>
  <c r="AW8" i="113"/>
  <c r="AU8" i="113"/>
  <c r="AS8" i="113"/>
  <c r="AP8" i="113"/>
  <c r="AO8" i="113"/>
  <c r="AM8" i="113"/>
  <c r="AK8" i="113"/>
  <c r="AI8" i="113"/>
  <c r="AF8" i="113"/>
  <c r="AE8" i="113"/>
  <c r="AC8" i="113"/>
  <c r="AA8" i="113"/>
  <c r="Y8" i="113"/>
  <c r="V8" i="113"/>
  <c r="Q8" i="113"/>
  <c r="O8" i="113"/>
  <c r="M8" i="113"/>
  <c r="I8" i="113"/>
  <c r="EC8" i="113" s="1"/>
  <c r="F8" i="113"/>
  <c r="C8" i="113"/>
  <c r="D17" i="67" s="1"/>
  <c r="F17" i="67" s="1"/>
  <c r="DZ3" i="113"/>
  <c r="DL3" i="113"/>
  <c r="DC3" i="113"/>
  <c r="CS3" i="113"/>
  <c r="CJ3" i="113"/>
  <c r="CA3" i="113"/>
  <c r="BO3" i="113"/>
  <c r="BA3" i="113"/>
  <c r="AQ3" i="113"/>
  <c r="AG3" i="113"/>
  <c r="W3" i="113"/>
  <c r="K3" i="113"/>
  <c r="DL1" i="113"/>
  <c r="DC1" i="113"/>
  <c r="CS1" i="113"/>
  <c r="CJ1" i="113"/>
  <c r="CA1" i="113"/>
  <c r="BO1" i="113"/>
  <c r="BA1" i="113"/>
  <c r="AQ1" i="113"/>
  <c r="AG1" i="113"/>
  <c r="W1" i="113"/>
  <c r="K1" i="113"/>
  <c r="DF38" i="111"/>
  <c r="CV38" i="111"/>
  <c r="CM38" i="111"/>
  <c r="CD38" i="111"/>
  <c r="CE38" i="111" s="1"/>
  <c r="AY38" i="111"/>
  <c r="AW38" i="111"/>
  <c r="AU38" i="111"/>
  <c r="AS38" i="111"/>
  <c r="AO38" i="111"/>
  <c r="AM38" i="111"/>
  <c r="AK38" i="111"/>
  <c r="AI38" i="111"/>
  <c r="AE38" i="111"/>
  <c r="AC38" i="111"/>
  <c r="AA38" i="111"/>
  <c r="Y38" i="111"/>
  <c r="Q38" i="111"/>
  <c r="O38" i="111"/>
  <c r="M38" i="111"/>
  <c r="I38" i="111"/>
  <c r="F38" i="111"/>
  <c r="C38" i="111"/>
  <c r="EI42" i="112"/>
  <c r="DZ42" i="112"/>
  <c r="DL42" i="112"/>
  <c r="DC42" i="112"/>
  <c r="CS42" i="112"/>
  <c r="CJ42" i="112"/>
  <c r="CA42" i="112"/>
  <c r="BO42" i="112"/>
  <c r="BA42" i="112"/>
  <c r="AQ42" i="112"/>
  <c r="AG42" i="112"/>
  <c r="W42" i="112"/>
  <c r="K42" i="112"/>
  <c r="EG41" i="112"/>
  <c r="EF41" i="112"/>
  <c r="EE41" i="112"/>
  <c r="DW41" i="112"/>
  <c r="DV41" i="112"/>
  <c r="DU41" i="112"/>
  <c r="DT41" i="112"/>
  <c r="DS41" i="112"/>
  <c r="DR41" i="112"/>
  <c r="DQ41" i="112"/>
  <c r="DP41" i="112"/>
  <c r="DO41" i="112"/>
  <c r="DN41" i="112"/>
  <c r="DM41" i="112"/>
  <c r="BW41" i="112"/>
  <c r="AX16" i="67" s="1"/>
  <c r="BV41" i="112"/>
  <c r="AW16" i="67" s="1"/>
  <c r="BU41" i="112"/>
  <c r="AU16" i="67" s="1"/>
  <c r="BT41" i="112"/>
  <c r="AT16" i="67" s="1"/>
  <c r="BS41" i="112"/>
  <c r="AS16" i="67" s="1"/>
  <c r="BR41" i="112"/>
  <c r="AR16" i="67" s="1"/>
  <c r="BQ41" i="112"/>
  <c r="AQ16" i="67" s="1"/>
  <c r="BP41" i="112"/>
  <c r="AP16" i="67" s="1"/>
  <c r="BM41" i="112"/>
  <c r="AN16" i="67" s="1"/>
  <c r="BL41" i="112"/>
  <c r="AM16" i="67" s="1"/>
  <c r="BK41" i="112"/>
  <c r="AL16" i="67" s="1"/>
  <c r="BJ41" i="112"/>
  <c r="AK16" i="67" s="1"/>
  <c r="BI41" i="112"/>
  <c r="AJ16" i="67" s="1"/>
  <c r="BH41" i="112"/>
  <c r="AI16" i="67" s="1"/>
  <c r="BG41" i="112"/>
  <c r="AH16" i="67" s="1"/>
  <c r="BF41" i="112"/>
  <c r="AG16" i="67" s="1"/>
  <c r="BE41" i="112"/>
  <c r="AF16" i="67" s="1"/>
  <c r="BD41" i="112"/>
  <c r="AE16" i="67" s="1"/>
  <c r="BC41" i="112"/>
  <c r="AD16" i="67" s="1"/>
  <c r="BB41" i="112"/>
  <c r="AC16" i="67" s="1"/>
  <c r="ED40" i="112"/>
  <c r="EQ37" i="112"/>
  <c r="EH37" i="112"/>
  <c r="DY37" i="112"/>
  <c r="DK37" i="112"/>
  <c r="DB37" i="112"/>
  <c r="CR37" i="112"/>
  <c r="CI37" i="112"/>
  <c r="BZ37" i="112"/>
  <c r="BN37" i="112"/>
  <c r="AZ37" i="112"/>
  <c r="AP37" i="112"/>
  <c r="AF37" i="112"/>
  <c r="V37" i="112"/>
  <c r="EQ36" i="112"/>
  <c r="EH36" i="112"/>
  <c r="DY36" i="112"/>
  <c r="DK36" i="112"/>
  <c r="DF36" i="112"/>
  <c r="DG36" i="112" s="1"/>
  <c r="DB36" i="112"/>
  <c r="CV36" i="112"/>
  <c r="CW36" i="112" s="1"/>
  <c r="CR36" i="112"/>
  <c r="CM36" i="112"/>
  <c r="CN36" i="112" s="1"/>
  <c r="CI36" i="112"/>
  <c r="CD36" i="112"/>
  <c r="CE36" i="112" s="1"/>
  <c r="BZ36" i="112"/>
  <c r="BN36" i="112"/>
  <c r="AZ36" i="112"/>
  <c r="AY36" i="112"/>
  <c r="AW36" i="112"/>
  <c r="AU36" i="112"/>
  <c r="AS36" i="112"/>
  <c r="AP36" i="112"/>
  <c r="AO36" i="112"/>
  <c r="AM36" i="112"/>
  <c r="AI36" i="112"/>
  <c r="AF36" i="112"/>
  <c r="AE36" i="112"/>
  <c r="AC36" i="112"/>
  <c r="AA36" i="112"/>
  <c r="Y36" i="112"/>
  <c r="V36" i="112"/>
  <c r="Q36" i="112"/>
  <c r="O36" i="112"/>
  <c r="M36" i="112"/>
  <c r="I36" i="112"/>
  <c r="F36" i="112"/>
  <c r="EB36" i="112" s="1"/>
  <c r="C36" i="112"/>
  <c r="EA36" i="112" s="1"/>
  <c r="EQ35" i="112"/>
  <c r="EH35" i="112"/>
  <c r="DY35" i="112"/>
  <c r="DK35" i="112"/>
  <c r="DF35" i="112"/>
  <c r="DG35" i="112"/>
  <c r="DH35" i="112" s="1"/>
  <c r="DB35" i="112"/>
  <c r="CV35" i="112"/>
  <c r="CW35" i="112" s="1"/>
  <c r="CX35" i="112" s="1"/>
  <c r="CR35" i="112"/>
  <c r="CM35" i="112"/>
  <c r="CN35" i="112" s="1"/>
  <c r="CO35" i="112" s="1"/>
  <c r="CI35" i="112"/>
  <c r="CD35" i="112"/>
  <c r="CE35" i="112" s="1"/>
  <c r="CF35" i="112" s="1"/>
  <c r="BZ35" i="112"/>
  <c r="BN35" i="112"/>
  <c r="AZ35" i="112"/>
  <c r="AY35" i="112"/>
  <c r="AW35" i="112"/>
  <c r="AU35" i="112"/>
  <c r="AS35" i="112"/>
  <c r="AP35" i="112"/>
  <c r="AO35" i="112"/>
  <c r="AM35" i="112"/>
  <c r="AK35" i="112"/>
  <c r="AI35" i="112"/>
  <c r="AF35" i="112"/>
  <c r="AE35" i="112"/>
  <c r="AC35" i="112"/>
  <c r="AA35" i="112"/>
  <c r="Y35" i="112"/>
  <c r="V35" i="112"/>
  <c r="Q35" i="112"/>
  <c r="O35" i="112"/>
  <c r="M35" i="112"/>
  <c r="I35" i="112"/>
  <c r="EC35" i="112" s="1"/>
  <c r="F35" i="112"/>
  <c r="C35" i="112"/>
  <c r="EA35" i="112" s="1"/>
  <c r="EQ34" i="112"/>
  <c r="EH34" i="112"/>
  <c r="DK34" i="112"/>
  <c r="DF34" i="112"/>
  <c r="DG34" i="112" s="1"/>
  <c r="DB34" i="112"/>
  <c r="CV34" i="112"/>
  <c r="CW34" i="112" s="1"/>
  <c r="CR34" i="112"/>
  <c r="CM34" i="112"/>
  <c r="CN34" i="112"/>
  <c r="CI34" i="112"/>
  <c r="CD34" i="112"/>
  <c r="CE34" i="112" s="1"/>
  <c r="CF34" i="112" s="1"/>
  <c r="BZ34" i="112"/>
  <c r="BN34" i="112"/>
  <c r="AZ34" i="112"/>
  <c r="AY34" i="112"/>
  <c r="AW34" i="112"/>
  <c r="AU34" i="112"/>
  <c r="AS34" i="112"/>
  <c r="AP34" i="112"/>
  <c r="AO34" i="112"/>
  <c r="AM34" i="112"/>
  <c r="AK34" i="112"/>
  <c r="AI34" i="112"/>
  <c r="AF34" i="112"/>
  <c r="AE34" i="112"/>
  <c r="AC34" i="112"/>
  <c r="AA34" i="112"/>
  <c r="Y34" i="112"/>
  <c r="V34" i="112"/>
  <c r="Q34" i="112"/>
  <c r="O34" i="112"/>
  <c r="M34" i="112"/>
  <c r="I34" i="112"/>
  <c r="F34" i="112"/>
  <c r="EB34" i="112" s="1"/>
  <c r="C34" i="112"/>
  <c r="EA34" i="112" s="1"/>
  <c r="EQ33" i="112"/>
  <c r="EH33" i="112"/>
  <c r="DY33" i="112"/>
  <c r="DK33" i="112"/>
  <c r="DF33" i="112"/>
  <c r="DG33" i="112"/>
  <c r="DB33" i="112"/>
  <c r="CV33" i="112"/>
  <c r="CW33" i="112" s="1"/>
  <c r="CX33" i="112" s="1"/>
  <c r="CR33" i="112"/>
  <c r="CM33" i="112"/>
  <c r="CN33" i="112" s="1"/>
  <c r="CI33" i="112"/>
  <c r="CD33" i="112"/>
  <c r="CE33" i="112" s="1"/>
  <c r="BZ33" i="112"/>
  <c r="BN33" i="112"/>
  <c r="AZ33" i="112"/>
  <c r="AY33" i="112"/>
  <c r="AW33" i="112"/>
  <c r="AU33" i="112"/>
  <c r="AS33" i="112"/>
  <c r="AP33" i="112"/>
  <c r="AO33" i="112"/>
  <c r="AM33" i="112"/>
  <c r="AK33" i="112"/>
  <c r="AI33" i="112"/>
  <c r="AF33" i="112"/>
  <c r="AE33" i="112"/>
  <c r="AC33" i="112"/>
  <c r="AA33" i="112"/>
  <c r="Y33" i="112"/>
  <c r="V33" i="112"/>
  <c r="Q33" i="112"/>
  <c r="O33" i="112"/>
  <c r="M33" i="112"/>
  <c r="I33" i="112"/>
  <c r="F33" i="112"/>
  <c r="EB33" i="112" s="1"/>
  <c r="C33" i="112"/>
  <c r="EA33" i="112" s="1"/>
  <c r="EQ32" i="112"/>
  <c r="EH32" i="112"/>
  <c r="DY32" i="112"/>
  <c r="DK32" i="112"/>
  <c r="DF32" i="112"/>
  <c r="DG32" i="112" s="1"/>
  <c r="DH32" i="112" s="1"/>
  <c r="DB32" i="112"/>
  <c r="CV32" i="112"/>
  <c r="CW32" i="112" s="1"/>
  <c r="CR32" i="112"/>
  <c r="CM32" i="112"/>
  <c r="CN32" i="112" s="1"/>
  <c r="CO32" i="112" s="1"/>
  <c r="CI32" i="112"/>
  <c r="CD32" i="112"/>
  <c r="CE32" i="112" s="1"/>
  <c r="BZ32" i="112"/>
  <c r="BN32" i="112"/>
  <c r="AZ32" i="112"/>
  <c r="AY32" i="112"/>
  <c r="AW32" i="112"/>
  <c r="AU32" i="112"/>
  <c r="AS32" i="112"/>
  <c r="AP32" i="112"/>
  <c r="AO32" i="112"/>
  <c r="AM32" i="112"/>
  <c r="AK32" i="112"/>
  <c r="AI32" i="112"/>
  <c r="AF32" i="112"/>
  <c r="AE32" i="112"/>
  <c r="AC32" i="112"/>
  <c r="AA32" i="112"/>
  <c r="Y32" i="112"/>
  <c r="V32" i="112"/>
  <c r="Q32" i="112"/>
  <c r="O32" i="112"/>
  <c r="M32" i="112"/>
  <c r="I32" i="112"/>
  <c r="EC32" i="112" s="1"/>
  <c r="F32" i="112"/>
  <c r="EB32" i="112" s="1"/>
  <c r="C32" i="112"/>
  <c r="EA32" i="112" s="1"/>
  <c r="EQ31" i="112"/>
  <c r="EH31" i="112"/>
  <c r="DY31" i="112"/>
  <c r="DK31" i="112"/>
  <c r="DF31" i="112"/>
  <c r="DG31" i="112" s="1"/>
  <c r="DH31" i="112" s="1"/>
  <c r="DB31" i="112"/>
  <c r="CV31" i="112"/>
  <c r="CW31" i="112" s="1"/>
  <c r="CX31" i="112" s="1"/>
  <c r="CR31" i="112"/>
  <c r="CM31" i="112"/>
  <c r="CN31" i="112" s="1"/>
  <c r="CO31" i="112" s="1"/>
  <c r="CI31" i="112"/>
  <c r="CD31" i="112"/>
  <c r="CE31" i="112" s="1"/>
  <c r="CF31" i="112" s="1"/>
  <c r="BZ31" i="112"/>
  <c r="BN31" i="112"/>
  <c r="AZ31" i="112"/>
  <c r="AY31" i="112"/>
  <c r="AW31" i="112"/>
  <c r="AU31" i="112"/>
  <c r="AS31" i="112"/>
  <c r="AP31" i="112"/>
  <c r="AO31" i="112"/>
  <c r="AM31" i="112"/>
  <c r="AK31" i="112"/>
  <c r="AI31" i="112"/>
  <c r="AF31" i="112"/>
  <c r="AE31" i="112"/>
  <c r="AC31" i="112"/>
  <c r="AA31" i="112"/>
  <c r="Y31" i="112"/>
  <c r="V31" i="112"/>
  <c r="Q31" i="112"/>
  <c r="O31" i="112"/>
  <c r="M31" i="112"/>
  <c r="I31" i="112"/>
  <c r="EC31" i="112" s="1"/>
  <c r="F31" i="112"/>
  <c r="EB31" i="112" s="1"/>
  <c r="C31" i="112"/>
  <c r="EA31" i="112" s="1"/>
  <c r="EQ30" i="112"/>
  <c r="EH30" i="112"/>
  <c r="DY30" i="112"/>
  <c r="DK30" i="112"/>
  <c r="DF30" i="112"/>
  <c r="DG30" i="112" s="1"/>
  <c r="DB30" i="112"/>
  <c r="CV30" i="112"/>
  <c r="CW30" i="112" s="1"/>
  <c r="CR30" i="112"/>
  <c r="CM30" i="112"/>
  <c r="CN30" i="112" s="1"/>
  <c r="CI30" i="112"/>
  <c r="CD30" i="112"/>
  <c r="CE30" i="112" s="1"/>
  <c r="CF30" i="112" s="1"/>
  <c r="BZ30" i="112"/>
  <c r="BN30" i="112"/>
  <c r="AZ30" i="112"/>
  <c r="AY30" i="112"/>
  <c r="AW30" i="112"/>
  <c r="AU30" i="112"/>
  <c r="AS30" i="112"/>
  <c r="AP30" i="112"/>
  <c r="AO30" i="112"/>
  <c r="AM30" i="112"/>
  <c r="AK30" i="112"/>
  <c r="AI30" i="112"/>
  <c r="AF30" i="112"/>
  <c r="AE30" i="112"/>
  <c r="AC30" i="112"/>
  <c r="AA30" i="112"/>
  <c r="Y30" i="112"/>
  <c r="V30" i="112"/>
  <c r="Q30" i="112"/>
  <c r="O30" i="112"/>
  <c r="M30" i="112"/>
  <c r="I30" i="112"/>
  <c r="F30" i="112"/>
  <c r="EB30" i="112" s="1"/>
  <c r="C30" i="112"/>
  <c r="EA30" i="112" s="1"/>
  <c r="EQ29" i="112"/>
  <c r="EH29" i="112"/>
  <c r="DY29" i="112"/>
  <c r="DK29" i="112"/>
  <c r="DF29" i="112"/>
  <c r="DG29" i="112" s="1"/>
  <c r="DB29" i="112"/>
  <c r="CV29" i="112"/>
  <c r="CW29" i="112" s="1"/>
  <c r="CR29" i="112"/>
  <c r="CM29" i="112"/>
  <c r="CN29" i="112" s="1"/>
  <c r="CI29" i="112"/>
  <c r="CD29" i="112"/>
  <c r="CE29" i="112" s="1"/>
  <c r="CF29" i="112" s="1"/>
  <c r="BZ29" i="112"/>
  <c r="BN29" i="112"/>
  <c r="AZ29" i="112"/>
  <c r="AY29" i="112"/>
  <c r="AW29" i="112"/>
  <c r="AU29" i="112"/>
  <c r="AS29" i="112"/>
  <c r="AP29" i="112"/>
  <c r="AO29" i="112"/>
  <c r="AM29" i="112"/>
  <c r="AK29" i="112"/>
  <c r="AI29" i="112"/>
  <c r="AF29" i="112"/>
  <c r="AE29" i="112"/>
  <c r="AC29" i="112"/>
  <c r="AA29" i="112"/>
  <c r="Y29" i="112"/>
  <c r="V29" i="112"/>
  <c r="Q29" i="112"/>
  <c r="O29" i="112"/>
  <c r="M29" i="112"/>
  <c r="I29" i="112"/>
  <c r="F29" i="112"/>
  <c r="EB29" i="112" s="1"/>
  <c r="C29" i="112"/>
  <c r="EA29" i="112" s="1"/>
  <c r="EQ28" i="112"/>
  <c r="EH28" i="112"/>
  <c r="DY28" i="112"/>
  <c r="DK28" i="112"/>
  <c r="DF28" i="112"/>
  <c r="DG28" i="112" s="1"/>
  <c r="DH28" i="112" s="1"/>
  <c r="DB28" i="112"/>
  <c r="CV28" i="112"/>
  <c r="CW28" i="112" s="1"/>
  <c r="CR28" i="112"/>
  <c r="CM28" i="112"/>
  <c r="CN28" i="112" s="1"/>
  <c r="CO28" i="112" s="1"/>
  <c r="CI28" i="112"/>
  <c r="CD28" i="112"/>
  <c r="CE28" i="112" s="1"/>
  <c r="BZ28" i="112"/>
  <c r="BN28" i="112"/>
  <c r="AZ28" i="112"/>
  <c r="AY28" i="112"/>
  <c r="AW28" i="112"/>
  <c r="AU28" i="112"/>
  <c r="AS28" i="112"/>
  <c r="AP28" i="112"/>
  <c r="AO28" i="112"/>
  <c r="AM28" i="112"/>
  <c r="AK28" i="112"/>
  <c r="AI28" i="112"/>
  <c r="AF28" i="112"/>
  <c r="AE28" i="112"/>
  <c r="AC28" i="112"/>
  <c r="AA28" i="112"/>
  <c r="Y28" i="112"/>
  <c r="V28" i="112"/>
  <c r="Q28" i="112"/>
  <c r="O28" i="112"/>
  <c r="M28" i="112"/>
  <c r="I28" i="112"/>
  <c r="F28" i="112"/>
  <c r="EB28" i="112" s="1"/>
  <c r="C28" i="112"/>
  <c r="EA28" i="112" s="1"/>
  <c r="EQ27" i="112"/>
  <c r="EH27" i="112"/>
  <c r="DY27" i="112"/>
  <c r="DK27" i="112"/>
  <c r="DF27" i="112"/>
  <c r="DG27" i="112" s="1"/>
  <c r="DH27" i="112" s="1"/>
  <c r="DB27" i="112"/>
  <c r="CV27" i="112"/>
  <c r="CW27" i="112" s="1"/>
  <c r="CR27" i="112"/>
  <c r="CM27" i="112"/>
  <c r="CN27" i="112" s="1"/>
  <c r="CO27" i="112" s="1"/>
  <c r="CI27" i="112"/>
  <c r="CD27" i="112"/>
  <c r="CE27" i="112"/>
  <c r="CF27" i="112" s="1"/>
  <c r="BZ27" i="112"/>
  <c r="BN27" i="112"/>
  <c r="AZ27" i="112"/>
  <c r="AY27" i="112"/>
  <c r="AW27" i="112"/>
  <c r="AU27" i="112"/>
  <c r="AS27" i="112"/>
  <c r="AP27" i="112"/>
  <c r="AO27" i="112"/>
  <c r="AM27" i="112"/>
  <c r="AK27" i="112"/>
  <c r="AI27" i="112"/>
  <c r="AF27" i="112"/>
  <c r="AE27" i="112"/>
  <c r="AC27" i="112"/>
  <c r="AA27" i="112"/>
  <c r="Y27" i="112"/>
  <c r="V27" i="112"/>
  <c r="Q27" i="112"/>
  <c r="O27" i="112"/>
  <c r="M27" i="112"/>
  <c r="F27" i="112"/>
  <c r="C27" i="112"/>
  <c r="EA27" i="112" s="1"/>
  <c r="EQ26" i="112"/>
  <c r="EH26" i="112"/>
  <c r="DY26" i="112"/>
  <c r="DK26" i="112"/>
  <c r="DF26" i="112"/>
  <c r="DG26" i="112" s="1"/>
  <c r="DH26" i="112" s="1"/>
  <c r="DB26" i="112"/>
  <c r="CV26" i="112"/>
  <c r="CW26" i="112" s="1"/>
  <c r="CX26" i="112" s="1"/>
  <c r="CR26" i="112"/>
  <c r="CM26" i="112"/>
  <c r="CN26" i="112" s="1"/>
  <c r="CO26" i="112" s="1"/>
  <c r="CI26" i="112"/>
  <c r="CD26" i="112"/>
  <c r="CE26" i="112" s="1"/>
  <c r="CF26" i="112" s="1"/>
  <c r="BZ26" i="112"/>
  <c r="BN26" i="112"/>
  <c r="AZ26" i="112"/>
  <c r="AY26" i="112"/>
  <c r="AW26" i="112"/>
  <c r="AU26" i="112"/>
  <c r="AS26" i="112"/>
  <c r="AP26" i="112"/>
  <c r="AO26" i="112"/>
  <c r="AM26" i="112"/>
  <c r="AK26" i="112"/>
  <c r="AI26" i="112"/>
  <c r="AF26" i="112"/>
  <c r="AE26" i="112"/>
  <c r="AC26" i="112"/>
  <c r="AA26" i="112"/>
  <c r="Y26" i="112"/>
  <c r="V26" i="112"/>
  <c r="Q26" i="112"/>
  <c r="O26" i="112"/>
  <c r="M26" i="112"/>
  <c r="F26" i="112"/>
  <c r="EB26" i="112"/>
  <c r="C26" i="112"/>
  <c r="EA26" i="112" s="1"/>
  <c r="EQ25" i="112"/>
  <c r="EH25" i="112"/>
  <c r="DY25" i="112"/>
  <c r="DK25" i="112"/>
  <c r="DF25" i="112"/>
  <c r="DG25" i="112" s="1"/>
  <c r="DH25" i="112" s="1"/>
  <c r="DB25" i="112"/>
  <c r="CV25" i="112"/>
  <c r="CW25" i="112" s="1"/>
  <c r="CR25" i="112"/>
  <c r="CM25" i="112"/>
  <c r="CN25" i="112" s="1"/>
  <c r="CI25" i="112"/>
  <c r="CD25" i="112"/>
  <c r="CE25" i="112" s="1"/>
  <c r="BZ25" i="112"/>
  <c r="BN25" i="112"/>
  <c r="AZ25" i="112"/>
  <c r="AY25" i="112"/>
  <c r="AW25" i="112"/>
  <c r="AU25" i="112"/>
  <c r="AS25" i="112"/>
  <c r="AP25" i="112"/>
  <c r="AO25" i="112"/>
  <c r="AM25" i="112"/>
  <c r="AK25" i="112"/>
  <c r="AI25" i="112"/>
  <c r="AF25" i="112"/>
  <c r="AE25" i="112"/>
  <c r="AC25" i="112"/>
  <c r="AA25" i="112"/>
  <c r="Y25" i="112"/>
  <c r="V25" i="112"/>
  <c r="Q25" i="112"/>
  <c r="EB25" i="112" s="1"/>
  <c r="O25" i="112"/>
  <c r="M25" i="112"/>
  <c r="I25" i="112"/>
  <c r="EC25" i="112"/>
  <c r="F25" i="112"/>
  <c r="C25" i="112"/>
  <c r="EA25" i="112" s="1"/>
  <c r="EQ24" i="112"/>
  <c r="EH24" i="112"/>
  <c r="DY24" i="112"/>
  <c r="DK24" i="112"/>
  <c r="DF24" i="112"/>
  <c r="DG24" i="112" s="1"/>
  <c r="DH24" i="112" s="1"/>
  <c r="DB24" i="112"/>
  <c r="CV24" i="112"/>
  <c r="CW24" i="112" s="1"/>
  <c r="CR24" i="112"/>
  <c r="CM24" i="112"/>
  <c r="CN24" i="112"/>
  <c r="CI24" i="112"/>
  <c r="CD24" i="112"/>
  <c r="CE24" i="112" s="1"/>
  <c r="CF24" i="112" s="1"/>
  <c r="BZ24" i="112"/>
  <c r="BN24" i="112"/>
  <c r="AZ24" i="112"/>
  <c r="AY24" i="112"/>
  <c r="AW24" i="112"/>
  <c r="AU24" i="112"/>
  <c r="AS24" i="112"/>
  <c r="AP24" i="112"/>
  <c r="AO24" i="112"/>
  <c r="AM24" i="112"/>
  <c r="AK24" i="112"/>
  <c r="AI24" i="112"/>
  <c r="AF24" i="112"/>
  <c r="AE24" i="112"/>
  <c r="AC24" i="112"/>
  <c r="AA24" i="112"/>
  <c r="Y24" i="112"/>
  <c r="V24" i="112"/>
  <c r="Q24" i="112"/>
  <c r="O24" i="112"/>
  <c r="M24" i="112"/>
  <c r="I24" i="112"/>
  <c r="EC24" i="112" s="1"/>
  <c r="F24" i="112"/>
  <c r="EB24" i="112" s="1"/>
  <c r="C24" i="112"/>
  <c r="EA24" i="112" s="1"/>
  <c r="EQ23" i="112"/>
  <c r="EH23" i="112"/>
  <c r="DY23" i="112"/>
  <c r="DK23" i="112"/>
  <c r="DF23" i="112"/>
  <c r="DG23" i="112" s="1"/>
  <c r="DB23" i="112"/>
  <c r="CV23" i="112"/>
  <c r="CW23" i="112" s="1"/>
  <c r="CR23" i="112"/>
  <c r="CM23" i="112"/>
  <c r="CN23" i="112"/>
  <c r="CO23" i="112" s="1"/>
  <c r="CI23" i="112"/>
  <c r="CD23" i="112"/>
  <c r="CE23" i="112" s="1"/>
  <c r="BZ23" i="112"/>
  <c r="BN23" i="112"/>
  <c r="AZ23" i="112"/>
  <c r="AY23" i="112"/>
  <c r="AW23" i="112"/>
  <c r="AU23" i="112"/>
  <c r="AS23" i="112"/>
  <c r="AP23" i="112"/>
  <c r="AO23" i="112"/>
  <c r="AM23" i="112"/>
  <c r="AK23" i="112"/>
  <c r="AI23" i="112"/>
  <c r="AF23" i="112"/>
  <c r="AE23" i="112"/>
  <c r="AC23" i="112"/>
  <c r="AA23" i="112"/>
  <c r="Y23" i="112"/>
  <c r="V23" i="112"/>
  <c r="Q23" i="112"/>
  <c r="O23" i="112"/>
  <c r="M23" i="112"/>
  <c r="I23" i="112"/>
  <c r="F23" i="112"/>
  <c r="EB23" i="112"/>
  <c r="C23" i="112"/>
  <c r="EA23" i="112" s="1"/>
  <c r="EQ22" i="112"/>
  <c r="EH22" i="112"/>
  <c r="DY22" i="112"/>
  <c r="DK22" i="112"/>
  <c r="DF22" i="112"/>
  <c r="DG22" i="112" s="1"/>
  <c r="DB22" i="112"/>
  <c r="CV22" i="112"/>
  <c r="CW22" i="112" s="1"/>
  <c r="CR22" i="112"/>
  <c r="CM22" i="112"/>
  <c r="CN22" i="112" s="1"/>
  <c r="CI22" i="112"/>
  <c r="CD22" i="112"/>
  <c r="CE22" i="112" s="1"/>
  <c r="BZ22" i="112"/>
  <c r="BN22" i="112"/>
  <c r="AZ22" i="112"/>
  <c r="AY22" i="112"/>
  <c r="AW22" i="112"/>
  <c r="AU22" i="112"/>
  <c r="AS22" i="112"/>
  <c r="AP22" i="112"/>
  <c r="AO22" i="112"/>
  <c r="AM22" i="112"/>
  <c r="AK22" i="112"/>
  <c r="AI22" i="112"/>
  <c r="AF22" i="112"/>
  <c r="AE22" i="112"/>
  <c r="AC22" i="112"/>
  <c r="AA22" i="112"/>
  <c r="Y22" i="112"/>
  <c r="V22" i="112"/>
  <c r="Q22" i="112"/>
  <c r="O22" i="112"/>
  <c r="M22" i="112"/>
  <c r="I22" i="112"/>
  <c r="F22" i="112"/>
  <c r="EB22" i="112" s="1"/>
  <c r="C22" i="112"/>
  <c r="EA22" i="112" s="1"/>
  <c r="EQ21" i="112"/>
  <c r="EH21" i="112"/>
  <c r="DY21" i="112"/>
  <c r="DK21" i="112"/>
  <c r="DF21" i="112"/>
  <c r="DG21" i="112" s="1"/>
  <c r="DB21" i="112"/>
  <c r="CV21" i="112"/>
  <c r="CW21" i="112"/>
  <c r="CR21" i="112"/>
  <c r="CM21" i="112"/>
  <c r="CN21" i="112" s="1"/>
  <c r="CI21" i="112"/>
  <c r="CD21" i="112"/>
  <c r="CE21" i="112" s="1"/>
  <c r="BZ21" i="112"/>
  <c r="BN21" i="112"/>
  <c r="AZ21" i="112"/>
  <c r="AY21" i="112"/>
  <c r="AW21" i="112"/>
  <c r="AU21" i="112"/>
  <c r="AS21" i="112"/>
  <c r="AP21" i="112"/>
  <c r="AO21" i="112"/>
  <c r="AM21" i="112"/>
  <c r="AK21" i="112"/>
  <c r="AI21" i="112"/>
  <c r="AF21" i="112"/>
  <c r="AE21" i="112"/>
  <c r="AC21" i="112"/>
  <c r="AA21" i="112"/>
  <c r="Y21" i="112"/>
  <c r="V21" i="112"/>
  <c r="Q21" i="112"/>
  <c r="O21" i="112"/>
  <c r="M21" i="112"/>
  <c r="I21" i="112"/>
  <c r="F21" i="112"/>
  <c r="EB21" i="112" s="1"/>
  <c r="C21" i="112"/>
  <c r="EA21" i="112" s="1"/>
  <c r="EQ20" i="112"/>
  <c r="EH20" i="112"/>
  <c r="EA20" i="112"/>
  <c r="DY20" i="112"/>
  <c r="DK20" i="112"/>
  <c r="DF20" i="112"/>
  <c r="DG20" i="112" s="1"/>
  <c r="DH20" i="112" s="1"/>
  <c r="DB20" i="112"/>
  <c r="CV20" i="112"/>
  <c r="CW20" i="112" s="1"/>
  <c r="CX20" i="112" s="1"/>
  <c r="CR20" i="112"/>
  <c r="CM20" i="112"/>
  <c r="CN20" i="112"/>
  <c r="CO20" i="112" s="1"/>
  <c r="CI20" i="112"/>
  <c r="CD20" i="112"/>
  <c r="CE20" i="112" s="1"/>
  <c r="BZ20" i="112"/>
  <c r="BN20" i="112"/>
  <c r="AZ20" i="112"/>
  <c r="AY20" i="112"/>
  <c r="AW20" i="112"/>
  <c r="AU20" i="112"/>
  <c r="AS20" i="112"/>
  <c r="AP20" i="112"/>
  <c r="AO20" i="112"/>
  <c r="AM20" i="112"/>
  <c r="AK20" i="112"/>
  <c r="AI20" i="112"/>
  <c r="AF20" i="112"/>
  <c r="AE20" i="112"/>
  <c r="AC20" i="112"/>
  <c r="AA20" i="112"/>
  <c r="Y20" i="112"/>
  <c r="V20" i="112"/>
  <c r="Q20" i="112"/>
  <c r="O20" i="112"/>
  <c r="M20" i="112"/>
  <c r="I20" i="112"/>
  <c r="EC20" i="112" s="1"/>
  <c r="F20" i="112"/>
  <c r="EB20" i="112" s="1"/>
  <c r="EQ19" i="112"/>
  <c r="EH19" i="112"/>
  <c r="DY19" i="112"/>
  <c r="DK19" i="112"/>
  <c r="DF19" i="112"/>
  <c r="DG19" i="112" s="1"/>
  <c r="DH19" i="112" s="1"/>
  <c r="DB19" i="112"/>
  <c r="CV19" i="112"/>
  <c r="CW19" i="112" s="1"/>
  <c r="CX19" i="112" s="1"/>
  <c r="CR19" i="112"/>
  <c r="CM19" i="112"/>
  <c r="CN19" i="112" s="1"/>
  <c r="CO19" i="112" s="1"/>
  <c r="CI19" i="112"/>
  <c r="CD19" i="112"/>
  <c r="CE19" i="112" s="1"/>
  <c r="CF19" i="112" s="1"/>
  <c r="BZ19" i="112"/>
  <c r="BN19" i="112"/>
  <c r="AZ19" i="112"/>
  <c r="AY19" i="112"/>
  <c r="AW19" i="112"/>
  <c r="AU19" i="112"/>
  <c r="AS19" i="112"/>
  <c r="AP19" i="112"/>
  <c r="AO19" i="112"/>
  <c r="AM19" i="112"/>
  <c r="AK19" i="112"/>
  <c r="AI19" i="112"/>
  <c r="AF19" i="112"/>
  <c r="AE19" i="112"/>
  <c r="AC19" i="112"/>
  <c r="AA19" i="112"/>
  <c r="Y19" i="112"/>
  <c r="V19" i="112"/>
  <c r="Q19" i="112"/>
  <c r="O19" i="112"/>
  <c r="M19" i="112"/>
  <c r="I19" i="112"/>
  <c r="EC19" i="112" s="1"/>
  <c r="F19" i="112"/>
  <c r="EB19" i="112" s="1"/>
  <c r="EA19" i="112"/>
  <c r="EQ18" i="112"/>
  <c r="EH18" i="112"/>
  <c r="DY18" i="112"/>
  <c r="DK18" i="112"/>
  <c r="DF18" i="112"/>
  <c r="DG18" i="112" s="1"/>
  <c r="DH18" i="112" s="1"/>
  <c r="DB18" i="112"/>
  <c r="CV18" i="112"/>
  <c r="CW18" i="112" s="1"/>
  <c r="CX18" i="112" s="1"/>
  <c r="CR18" i="112"/>
  <c r="CM18" i="112"/>
  <c r="CN18" i="112" s="1"/>
  <c r="CO18" i="112" s="1"/>
  <c r="CI18" i="112"/>
  <c r="CD18" i="112"/>
  <c r="CE18" i="112" s="1"/>
  <c r="BZ18" i="112"/>
  <c r="BN18" i="112"/>
  <c r="AZ18" i="112"/>
  <c r="AY18" i="112"/>
  <c r="AW18" i="112"/>
  <c r="AU18" i="112"/>
  <c r="AS18" i="112"/>
  <c r="AP18" i="112"/>
  <c r="AO18" i="112"/>
  <c r="AM18" i="112"/>
  <c r="AK18" i="112"/>
  <c r="AI18" i="112"/>
  <c r="AF18" i="112"/>
  <c r="AE18" i="112"/>
  <c r="AC18" i="112"/>
  <c r="AA18" i="112"/>
  <c r="Y18" i="112"/>
  <c r="V18" i="112"/>
  <c r="Q18" i="112"/>
  <c r="O18" i="112"/>
  <c r="M18" i="112"/>
  <c r="I18" i="112"/>
  <c r="EC18" i="112" s="1"/>
  <c r="F18" i="112"/>
  <c r="EB18" i="112" s="1"/>
  <c r="EA18" i="112"/>
  <c r="EQ17" i="112"/>
  <c r="EH17" i="112"/>
  <c r="DY17" i="112"/>
  <c r="DK17" i="112"/>
  <c r="DF17" i="112"/>
  <c r="DG17" i="112"/>
  <c r="DH17" i="112" s="1"/>
  <c r="DB17" i="112"/>
  <c r="CV17" i="112"/>
  <c r="CW17" i="112" s="1"/>
  <c r="CX17" i="112" s="1"/>
  <c r="CR17" i="112"/>
  <c r="CM17" i="112"/>
  <c r="CN17" i="112" s="1"/>
  <c r="CO17" i="112" s="1"/>
  <c r="CI17" i="112"/>
  <c r="CD17" i="112"/>
  <c r="CE17" i="112"/>
  <c r="BZ17" i="112"/>
  <c r="BN17" i="112"/>
  <c r="AZ17" i="112"/>
  <c r="AY17" i="112"/>
  <c r="AW17" i="112"/>
  <c r="AU17" i="112"/>
  <c r="AS17" i="112"/>
  <c r="AO17" i="112"/>
  <c r="AM17" i="112"/>
  <c r="AK17" i="112"/>
  <c r="AI17" i="112"/>
  <c r="AF17" i="112"/>
  <c r="AE17" i="112"/>
  <c r="AC17" i="112"/>
  <c r="AA17" i="112"/>
  <c r="Y17" i="112"/>
  <c r="V17" i="112"/>
  <c r="Q17" i="112"/>
  <c r="O17" i="112"/>
  <c r="M17" i="112"/>
  <c r="I17" i="112"/>
  <c r="F17" i="112"/>
  <c r="C17" i="112"/>
  <c r="EA17" i="112" s="1"/>
  <c r="EQ16" i="112"/>
  <c r="EH16" i="112"/>
  <c r="DY16" i="112"/>
  <c r="DK16" i="112"/>
  <c r="DF16" i="112"/>
  <c r="DG16" i="112" s="1"/>
  <c r="DB16" i="112"/>
  <c r="CV16" i="112"/>
  <c r="CW16" i="112" s="1"/>
  <c r="CX16" i="112" s="1"/>
  <c r="CR16" i="112"/>
  <c r="CM16" i="112"/>
  <c r="CN16" i="112"/>
  <c r="CO16" i="112" s="1"/>
  <c r="CI16" i="112"/>
  <c r="CD16" i="112"/>
  <c r="CE16" i="112" s="1"/>
  <c r="BZ16" i="112"/>
  <c r="BN16" i="112"/>
  <c r="AZ16" i="112"/>
  <c r="AY16" i="112"/>
  <c r="AW16" i="112"/>
  <c r="AU16" i="112"/>
  <c r="AS16" i="112"/>
  <c r="AP16" i="112"/>
  <c r="AO16" i="112"/>
  <c r="AM16" i="112"/>
  <c r="AK16" i="112"/>
  <c r="AI16" i="112"/>
  <c r="AF16" i="112"/>
  <c r="AE16" i="112"/>
  <c r="AC16" i="112"/>
  <c r="AA16" i="112"/>
  <c r="Y16" i="112"/>
  <c r="V16" i="112"/>
  <c r="Q16" i="112"/>
  <c r="O16" i="112"/>
  <c r="M16" i="112"/>
  <c r="I16" i="112"/>
  <c r="EC16" i="112" s="1"/>
  <c r="F16" i="112"/>
  <c r="EB16" i="112"/>
  <c r="C16" i="112"/>
  <c r="EA16" i="112" s="1"/>
  <c r="EQ15" i="112"/>
  <c r="EH15" i="112"/>
  <c r="DY15" i="112"/>
  <c r="DK15" i="112"/>
  <c r="DF15" i="112"/>
  <c r="DG15" i="112" s="1"/>
  <c r="DB15" i="112"/>
  <c r="CV15" i="112"/>
  <c r="CW15" i="112" s="1"/>
  <c r="CR15" i="112"/>
  <c r="CM15" i="112"/>
  <c r="CN15" i="112" s="1"/>
  <c r="CI15" i="112"/>
  <c r="CD15" i="112"/>
  <c r="CE15" i="112" s="1"/>
  <c r="BZ15" i="112"/>
  <c r="BN15" i="112"/>
  <c r="AZ15" i="112"/>
  <c r="AY15" i="112"/>
  <c r="AW15" i="112"/>
  <c r="AU15" i="112"/>
  <c r="AS15" i="112"/>
  <c r="AP15" i="112"/>
  <c r="AO15" i="112"/>
  <c r="AM15" i="112"/>
  <c r="AK15" i="112"/>
  <c r="AI15" i="112"/>
  <c r="AF15" i="112"/>
  <c r="AE15" i="112"/>
  <c r="AC15" i="112"/>
  <c r="AA15" i="112"/>
  <c r="Y15" i="112"/>
  <c r="V15" i="112"/>
  <c r="Q15" i="112"/>
  <c r="O15" i="112"/>
  <c r="M15" i="112"/>
  <c r="I15" i="112"/>
  <c r="F15" i="112"/>
  <c r="EB15" i="112" s="1"/>
  <c r="C15" i="112"/>
  <c r="EA15" i="112" s="1"/>
  <c r="EQ14" i="112"/>
  <c r="EH14" i="112"/>
  <c r="DY14" i="112"/>
  <c r="DK14" i="112"/>
  <c r="DF14" i="112"/>
  <c r="DG14" i="112" s="1"/>
  <c r="DB14" i="112"/>
  <c r="CV14" i="112"/>
  <c r="CW14" i="112" s="1"/>
  <c r="CR14" i="112"/>
  <c r="CM14" i="112"/>
  <c r="CN14" i="112" s="1"/>
  <c r="CI14" i="112"/>
  <c r="CD14" i="112"/>
  <c r="CE14" i="112"/>
  <c r="BZ14" i="112"/>
  <c r="BN14" i="112"/>
  <c r="AZ14" i="112"/>
  <c r="AY14" i="112"/>
  <c r="AW14" i="112"/>
  <c r="AU14" i="112"/>
  <c r="AS14" i="112"/>
  <c r="AP14" i="112"/>
  <c r="AO14" i="112"/>
  <c r="AM14" i="112"/>
  <c r="AK14" i="112"/>
  <c r="AI14" i="112"/>
  <c r="AF14" i="112"/>
  <c r="AE14" i="112"/>
  <c r="AC14" i="112"/>
  <c r="AA14" i="112"/>
  <c r="Y14" i="112"/>
  <c r="V14" i="112"/>
  <c r="Q14" i="112"/>
  <c r="O14" i="112"/>
  <c r="M14" i="112"/>
  <c r="I14" i="112"/>
  <c r="F14" i="112"/>
  <c r="EB14" i="112" s="1"/>
  <c r="C14" i="112"/>
  <c r="EA14" i="112" s="1"/>
  <c r="EQ13" i="112"/>
  <c r="EH13" i="112"/>
  <c r="DY13" i="112"/>
  <c r="DK13" i="112"/>
  <c r="DF13" i="112"/>
  <c r="DG13" i="112" s="1"/>
  <c r="DB13" i="112"/>
  <c r="CV13" i="112"/>
  <c r="CW13" i="112" s="1"/>
  <c r="CR13" i="112"/>
  <c r="CM13" i="112"/>
  <c r="CN13" i="112" s="1"/>
  <c r="CI13" i="112"/>
  <c r="CD13" i="112"/>
  <c r="CE13" i="112" s="1"/>
  <c r="CF13" i="112" s="1"/>
  <c r="BZ13" i="112"/>
  <c r="BN13" i="112"/>
  <c r="AZ13" i="112"/>
  <c r="AY13" i="112"/>
  <c r="AW13" i="112"/>
  <c r="AU13" i="112"/>
  <c r="AS13" i="112"/>
  <c r="AP13" i="112"/>
  <c r="AO13" i="112"/>
  <c r="AM13" i="112"/>
  <c r="AK13" i="112"/>
  <c r="AI13" i="112"/>
  <c r="AF13" i="112"/>
  <c r="AE13" i="112"/>
  <c r="AC13" i="112"/>
  <c r="AA13" i="112"/>
  <c r="Y13" i="112"/>
  <c r="V13" i="112"/>
  <c r="Q13" i="112"/>
  <c r="O13" i="112"/>
  <c r="M13" i="112"/>
  <c r="I13" i="112"/>
  <c r="F13" i="112"/>
  <c r="EB13" i="112" s="1"/>
  <c r="C13" i="112"/>
  <c r="EA13" i="112" s="1"/>
  <c r="EQ12" i="112"/>
  <c r="EH12" i="112"/>
  <c r="DY12" i="112"/>
  <c r="DK12" i="112"/>
  <c r="DF12" i="112"/>
  <c r="DG12" i="112" s="1"/>
  <c r="DB12" i="112"/>
  <c r="CV12" i="112"/>
  <c r="CW12" i="112" s="1"/>
  <c r="CR12" i="112"/>
  <c r="CM12" i="112"/>
  <c r="CN12" i="112" s="1"/>
  <c r="CI12" i="112"/>
  <c r="CD12" i="112"/>
  <c r="CE12" i="112" s="1"/>
  <c r="CF12" i="112" s="1"/>
  <c r="BZ12" i="112"/>
  <c r="BN12" i="112"/>
  <c r="AZ12" i="112"/>
  <c r="AY12" i="112"/>
  <c r="AW12" i="112"/>
  <c r="AU12" i="112"/>
  <c r="AS12" i="112"/>
  <c r="AP12" i="112"/>
  <c r="AO12" i="112"/>
  <c r="AM12" i="112"/>
  <c r="AK12" i="112"/>
  <c r="AI12" i="112"/>
  <c r="AF12" i="112"/>
  <c r="AE12" i="112"/>
  <c r="AC12" i="112"/>
  <c r="AA12" i="112"/>
  <c r="Y12" i="112"/>
  <c r="V12" i="112"/>
  <c r="Q12" i="112"/>
  <c r="O12" i="112"/>
  <c r="M12" i="112"/>
  <c r="I12" i="112"/>
  <c r="F12" i="112"/>
  <c r="EB12" i="112" s="1"/>
  <c r="C12" i="112"/>
  <c r="EA12" i="112" s="1"/>
  <c r="EQ11" i="112"/>
  <c r="EH11" i="112"/>
  <c r="DY11" i="112"/>
  <c r="DK11" i="112"/>
  <c r="DF11" i="112"/>
  <c r="DG11" i="112" s="1"/>
  <c r="DB11" i="112"/>
  <c r="CV11" i="112"/>
  <c r="CW11" i="112" s="1"/>
  <c r="CR11" i="112"/>
  <c r="CM11" i="112"/>
  <c r="CN11" i="112" s="1"/>
  <c r="CI11" i="112"/>
  <c r="CD11" i="112"/>
  <c r="CE11" i="112" s="1"/>
  <c r="CF11" i="112" s="1"/>
  <c r="BZ11" i="112"/>
  <c r="BN11" i="112"/>
  <c r="AZ11" i="112"/>
  <c r="AY11" i="112"/>
  <c r="AW11" i="112"/>
  <c r="AU11" i="112"/>
  <c r="AS11" i="112"/>
  <c r="AP11" i="112"/>
  <c r="AO11" i="112"/>
  <c r="AM11" i="112"/>
  <c r="AK11" i="112"/>
  <c r="AI11" i="112"/>
  <c r="AF11" i="112"/>
  <c r="AE11" i="112"/>
  <c r="AC11" i="112"/>
  <c r="AA11" i="112"/>
  <c r="Y11" i="112"/>
  <c r="V11" i="112"/>
  <c r="Q11" i="112"/>
  <c r="O11" i="112"/>
  <c r="M11" i="112"/>
  <c r="I11" i="112"/>
  <c r="F11" i="112"/>
  <c r="EB11" i="112" s="1"/>
  <c r="C11" i="112"/>
  <c r="EA11" i="112" s="1"/>
  <c r="EQ10" i="112"/>
  <c r="EH10" i="112"/>
  <c r="DY10" i="112"/>
  <c r="DK10" i="112"/>
  <c r="DF10" i="112"/>
  <c r="DG10" i="112" s="1"/>
  <c r="DB10" i="112"/>
  <c r="CV10" i="112"/>
  <c r="CW10" i="112" s="1"/>
  <c r="CR10" i="112"/>
  <c r="CM10" i="112"/>
  <c r="CN10" i="112" s="1"/>
  <c r="CI10" i="112"/>
  <c r="CD10" i="112"/>
  <c r="CE10" i="112" s="1"/>
  <c r="CF10" i="112" s="1"/>
  <c r="BZ10" i="112"/>
  <c r="BN10" i="112"/>
  <c r="AZ10" i="112"/>
  <c r="AY10" i="112"/>
  <c r="AW10" i="112"/>
  <c r="AU10" i="112"/>
  <c r="AS10" i="112"/>
  <c r="AP10" i="112"/>
  <c r="AO10" i="112"/>
  <c r="AM10" i="112"/>
  <c r="AK10" i="112"/>
  <c r="AI10" i="112"/>
  <c r="AF10" i="112"/>
  <c r="AE10" i="112"/>
  <c r="AC10" i="112"/>
  <c r="AA10" i="112"/>
  <c r="Y10" i="112"/>
  <c r="V10" i="112"/>
  <c r="Q10" i="112"/>
  <c r="O10" i="112"/>
  <c r="M10" i="112"/>
  <c r="I10" i="112"/>
  <c r="F10" i="112"/>
  <c r="EB10" i="112" s="1"/>
  <c r="C10" i="112"/>
  <c r="EA10" i="112" s="1"/>
  <c r="EQ9" i="112"/>
  <c r="EH9" i="112"/>
  <c r="DY9" i="112"/>
  <c r="DK9" i="112"/>
  <c r="DF9" i="112"/>
  <c r="DG9" i="112" s="1"/>
  <c r="DB9" i="112"/>
  <c r="CV9" i="112"/>
  <c r="CW9" i="112" s="1"/>
  <c r="CR9" i="112"/>
  <c r="CM9" i="112"/>
  <c r="CN9" i="112" s="1"/>
  <c r="CO9" i="112" s="1"/>
  <c r="CI9" i="112"/>
  <c r="CD9" i="112"/>
  <c r="CE9" i="112" s="1"/>
  <c r="CF9" i="112" s="1"/>
  <c r="BZ9" i="112"/>
  <c r="BN9" i="112"/>
  <c r="AZ9" i="112"/>
  <c r="AY9" i="112"/>
  <c r="AW9" i="112"/>
  <c r="AU9" i="112"/>
  <c r="AS9" i="112"/>
  <c r="AP9" i="112"/>
  <c r="AO9" i="112"/>
  <c r="AM9" i="112"/>
  <c r="AK9" i="112"/>
  <c r="AI9" i="112"/>
  <c r="AF9" i="112"/>
  <c r="AE9" i="112"/>
  <c r="AC9" i="112"/>
  <c r="AA9" i="112"/>
  <c r="Y9" i="112"/>
  <c r="V9" i="112"/>
  <c r="Q9" i="112"/>
  <c r="O9" i="112"/>
  <c r="M9" i="112"/>
  <c r="I9" i="112"/>
  <c r="F9" i="112"/>
  <c r="EB9" i="112" s="1"/>
  <c r="C9" i="112"/>
  <c r="EA9" i="112" s="1"/>
  <c r="EQ8" i="112"/>
  <c r="EH8" i="112"/>
  <c r="DY8" i="112"/>
  <c r="DK8" i="112"/>
  <c r="DF8" i="112"/>
  <c r="DB8" i="112"/>
  <c r="CV8" i="112"/>
  <c r="CR8" i="112"/>
  <c r="CM8" i="112"/>
  <c r="CI8" i="112"/>
  <c r="CD8" i="112"/>
  <c r="BZ8" i="112"/>
  <c r="BN8" i="112"/>
  <c r="AZ8" i="112"/>
  <c r="AY8" i="112"/>
  <c r="AW8" i="112"/>
  <c r="AU8" i="112"/>
  <c r="AS8" i="112"/>
  <c r="AP8" i="112"/>
  <c r="AO8" i="112"/>
  <c r="AM8" i="112"/>
  <c r="AK8" i="112"/>
  <c r="AI8" i="112"/>
  <c r="AF8" i="112"/>
  <c r="AE8" i="112"/>
  <c r="AC8" i="112"/>
  <c r="AA8" i="112"/>
  <c r="Y8" i="112"/>
  <c r="V8" i="112"/>
  <c r="Q8" i="112"/>
  <c r="O8" i="112"/>
  <c r="M8" i="112"/>
  <c r="I8" i="112"/>
  <c r="F8" i="112"/>
  <c r="C8" i="112"/>
  <c r="EI3" i="112"/>
  <c r="DZ3" i="112"/>
  <c r="DL3" i="112"/>
  <c r="DC3" i="112"/>
  <c r="CS3" i="112"/>
  <c r="CJ3" i="112"/>
  <c r="CA3" i="112"/>
  <c r="BO3" i="112"/>
  <c r="BA3" i="112"/>
  <c r="AQ3" i="112"/>
  <c r="AG3" i="112"/>
  <c r="W3" i="112"/>
  <c r="K3" i="112"/>
  <c r="EI1" i="112"/>
  <c r="DL1" i="112"/>
  <c r="DC1" i="112"/>
  <c r="CS1" i="112"/>
  <c r="CJ1" i="112"/>
  <c r="CA1" i="112"/>
  <c r="BO1" i="112"/>
  <c r="BA1" i="112"/>
  <c r="AQ1" i="112"/>
  <c r="AG1" i="112"/>
  <c r="W1" i="112"/>
  <c r="K1" i="112"/>
  <c r="DF38" i="110"/>
  <c r="DG38" i="110" s="1"/>
  <c r="CV38" i="110"/>
  <c r="CW38" i="110" s="1"/>
  <c r="CM38" i="110"/>
  <c r="CN38" i="110" s="1"/>
  <c r="CD38" i="110"/>
  <c r="AY38" i="110"/>
  <c r="AW38" i="110"/>
  <c r="AU38" i="110"/>
  <c r="AS38" i="110"/>
  <c r="AO38" i="110"/>
  <c r="AK38" i="110"/>
  <c r="AI38" i="110"/>
  <c r="AE38" i="110"/>
  <c r="AC38" i="110"/>
  <c r="AA38" i="110"/>
  <c r="Q38" i="110"/>
  <c r="O38" i="110"/>
  <c r="M38" i="110"/>
  <c r="I38" i="110"/>
  <c r="F38" i="110"/>
  <c r="C38" i="110"/>
  <c r="EA38" i="110" s="1"/>
  <c r="EI42" i="111"/>
  <c r="DZ42" i="111"/>
  <c r="DL42" i="111"/>
  <c r="DC42" i="111"/>
  <c r="CS42" i="111"/>
  <c r="CJ42" i="111"/>
  <c r="CA42" i="111"/>
  <c r="BO42" i="111"/>
  <c r="BA42" i="111"/>
  <c r="AQ42" i="111"/>
  <c r="AG42" i="111"/>
  <c r="W42" i="111"/>
  <c r="K42" i="111"/>
  <c r="EG41" i="111"/>
  <c r="EF41" i="111"/>
  <c r="EE41" i="111"/>
  <c r="DW41" i="111"/>
  <c r="DV41" i="111"/>
  <c r="DU41" i="111"/>
  <c r="DT41" i="111"/>
  <c r="DS41" i="111"/>
  <c r="DR41" i="111"/>
  <c r="DQ41" i="111"/>
  <c r="DP41" i="111"/>
  <c r="DO41" i="111"/>
  <c r="DN41" i="111"/>
  <c r="DM41" i="111"/>
  <c r="BW41" i="111"/>
  <c r="AX15" i="67" s="1"/>
  <c r="BV41" i="111"/>
  <c r="AW15" i="67" s="1"/>
  <c r="BU41" i="111"/>
  <c r="AU15" i="67" s="1"/>
  <c r="BT41" i="111"/>
  <c r="AT15" i="67" s="1"/>
  <c r="BS41" i="111"/>
  <c r="AS15" i="67" s="1"/>
  <c r="BR41" i="111"/>
  <c r="AR15" i="67" s="1"/>
  <c r="BQ41" i="111"/>
  <c r="AQ15" i="67" s="1"/>
  <c r="BP41" i="111"/>
  <c r="AP15" i="67" s="1"/>
  <c r="BM41" i="111"/>
  <c r="AN15" i="67" s="1"/>
  <c r="BL41" i="111"/>
  <c r="AM15" i="67" s="1"/>
  <c r="BK41" i="111"/>
  <c r="AL15" i="67" s="1"/>
  <c r="BJ41" i="111"/>
  <c r="AK15" i="67" s="1"/>
  <c r="BI41" i="111"/>
  <c r="AJ15" i="67" s="1"/>
  <c r="BH41" i="111"/>
  <c r="AI15" i="67" s="1"/>
  <c r="BG41" i="111"/>
  <c r="AH15" i="67" s="1"/>
  <c r="BF41" i="111"/>
  <c r="AG15" i="67" s="1"/>
  <c r="BE41" i="111"/>
  <c r="AF15" i="67" s="1"/>
  <c r="BD41" i="111"/>
  <c r="AE15" i="67" s="1"/>
  <c r="BC41" i="111"/>
  <c r="AD15" i="67" s="1"/>
  <c r="BB41" i="111"/>
  <c r="AC15" i="67" s="1"/>
  <c r="ED40" i="111"/>
  <c r="EQ38" i="111"/>
  <c r="EH38" i="111"/>
  <c r="DY38" i="111"/>
  <c r="DK38" i="111"/>
  <c r="DB38" i="111"/>
  <c r="CR38" i="111"/>
  <c r="CI38" i="111"/>
  <c r="BZ38" i="111"/>
  <c r="BN38" i="111"/>
  <c r="AZ38" i="111"/>
  <c r="AP38" i="111"/>
  <c r="AF38" i="111"/>
  <c r="V38" i="111"/>
  <c r="EQ37" i="111"/>
  <c r="EH37" i="111"/>
  <c r="DY37" i="111"/>
  <c r="DK37" i="111"/>
  <c r="DF37" i="111"/>
  <c r="DG37" i="111" s="1"/>
  <c r="DB37" i="111"/>
  <c r="CV37" i="111"/>
  <c r="CW37" i="111" s="1"/>
  <c r="CR37" i="111"/>
  <c r="CM37" i="111"/>
  <c r="CN37" i="111" s="1"/>
  <c r="CI37" i="111"/>
  <c r="CD37" i="111"/>
  <c r="CE37" i="111" s="1"/>
  <c r="BZ37" i="111"/>
  <c r="BN37" i="111"/>
  <c r="AZ37" i="111"/>
  <c r="AY37" i="111"/>
  <c r="AW37" i="111"/>
  <c r="AU37" i="111"/>
  <c r="AS37" i="111"/>
  <c r="AP37" i="111"/>
  <c r="AO37" i="111"/>
  <c r="AM37" i="111"/>
  <c r="AK37" i="111"/>
  <c r="AI37" i="111"/>
  <c r="AF37" i="111"/>
  <c r="AE37" i="111"/>
  <c r="AC37" i="111"/>
  <c r="AA37" i="111"/>
  <c r="Y37" i="111"/>
  <c r="V37" i="111"/>
  <c r="Q37" i="111"/>
  <c r="O37" i="111"/>
  <c r="M37" i="111"/>
  <c r="I37" i="111"/>
  <c r="F37" i="111"/>
  <c r="EB37" i="111" s="1"/>
  <c r="C37" i="111"/>
  <c r="EA37" i="111" s="1"/>
  <c r="EQ36" i="111"/>
  <c r="EH36" i="111"/>
  <c r="DY36" i="111"/>
  <c r="DK36" i="111"/>
  <c r="DF36" i="111"/>
  <c r="DG36" i="111" s="1"/>
  <c r="DB36" i="111"/>
  <c r="CV36" i="111"/>
  <c r="CW36" i="111" s="1"/>
  <c r="CR36" i="111"/>
  <c r="CM36" i="111"/>
  <c r="CN36" i="111" s="1"/>
  <c r="CI36" i="111"/>
  <c r="CD36" i="111"/>
  <c r="CE36" i="111" s="1"/>
  <c r="CF36" i="111" s="1"/>
  <c r="BZ36" i="111"/>
  <c r="BN36" i="111"/>
  <c r="AZ36" i="111"/>
  <c r="AY36" i="111"/>
  <c r="AW36" i="111"/>
  <c r="AU36" i="111"/>
  <c r="AS36" i="111"/>
  <c r="AP36" i="111"/>
  <c r="AO36" i="111"/>
  <c r="AM36" i="111"/>
  <c r="AK36" i="111"/>
  <c r="AI36" i="111"/>
  <c r="AF36" i="111"/>
  <c r="AE36" i="111"/>
  <c r="AC36" i="111"/>
  <c r="AA36" i="111"/>
  <c r="Y36" i="111"/>
  <c r="V36" i="111"/>
  <c r="Q36" i="111"/>
  <c r="O36" i="111"/>
  <c r="M36" i="111"/>
  <c r="I36" i="111"/>
  <c r="F36" i="111"/>
  <c r="EB36" i="111" s="1"/>
  <c r="C36" i="111"/>
  <c r="EA36" i="111" s="1"/>
  <c r="EQ35" i="111"/>
  <c r="EH35" i="111"/>
  <c r="DY35" i="111"/>
  <c r="DK35" i="111"/>
  <c r="DF35" i="111"/>
  <c r="DG35" i="111" s="1"/>
  <c r="DB35" i="111"/>
  <c r="CV35" i="111"/>
  <c r="CW35" i="111" s="1"/>
  <c r="CR35" i="111"/>
  <c r="CM35" i="111"/>
  <c r="CN35" i="111" s="1"/>
  <c r="CI35" i="111"/>
  <c r="CD35" i="111"/>
  <c r="CE35" i="111" s="1"/>
  <c r="BZ35" i="111"/>
  <c r="BN35" i="111"/>
  <c r="AZ35" i="111"/>
  <c r="AY35" i="111"/>
  <c r="AW35" i="111"/>
  <c r="AU35" i="111"/>
  <c r="AS35" i="111"/>
  <c r="AP35" i="111"/>
  <c r="AO35" i="111"/>
  <c r="AM35" i="111"/>
  <c r="AK35" i="111"/>
  <c r="AI35" i="111"/>
  <c r="AF35" i="111"/>
  <c r="AE35" i="111"/>
  <c r="AC35" i="111"/>
  <c r="AA35" i="111"/>
  <c r="Y35" i="111"/>
  <c r="V35" i="111"/>
  <c r="Q35" i="111"/>
  <c r="O35" i="111"/>
  <c r="M35" i="111"/>
  <c r="I35" i="111"/>
  <c r="F35" i="111"/>
  <c r="EB35" i="111" s="1"/>
  <c r="C35" i="111"/>
  <c r="EA35" i="111" s="1"/>
  <c r="EQ34" i="111"/>
  <c r="EH34" i="111"/>
  <c r="DY34" i="111"/>
  <c r="DK34" i="111"/>
  <c r="DF34" i="111"/>
  <c r="DG34" i="111" s="1"/>
  <c r="DH34" i="111" s="1"/>
  <c r="DB34" i="111"/>
  <c r="CV34" i="111"/>
  <c r="CW34" i="111"/>
  <c r="CR34" i="111"/>
  <c r="CM34" i="111"/>
  <c r="CN34" i="111" s="1"/>
  <c r="CI34" i="111"/>
  <c r="CD34" i="111"/>
  <c r="CE34" i="111" s="1"/>
  <c r="BZ34" i="111"/>
  <c r="BN34" i="111"/>
  <c r="AZ34" i="111"/>
  <c r="AY34" i="111"/>
  <c r="AW34" i="111"/>
  <c r="AU34" i="111"/>
  <c r="AS34" i="111"/>
  <c r="AP34" i="111"/>
  <c r="AO34" i="111"/>
  <c r="AM34" i="111"/>
  <c r="AK34" i="111"/>
  <c r="AI34" i="111"/>
  <c r="AF34" i="111"/>
  <c r="AE34" i="111"/>
  <c r="AC34" i="111"/>
  <c r="AA34" i="111"/>
  <c r="Y34" i="111"/>
  <c r="V34" i="111"/>
  <c r="Q34" i="111"/>
  <c r="O34" i="111"/>
  <c r="M34" i="111"/>
  <c r="I34" i="111"/>
  <c r="F34" i="111"/>
  <c r="EB34" i="111" s="1"/>
  <c r="C34" i="111"/>
  <c r="EA34" i="111" s="1"/>
  <c r="EQ33" i="111"/>
  <c r="EH33" i="111"/>
  <c r="DY33" i="111"/>
  <c r="DK33" i="111"/>
  <c r="DF33" i="111"/>
  <c r="DG33" i="111" s="1"/>
  <c r="DH33" i="111" s="1"/>
  <c r="DB33" i="111"/>
  <c r="CV33" i="111"/>
  <c r="CW33" i="111" s="1"/>
  <c r="CR33" i="111"/>
  <c r="CM33" i="111"/>
  <c r="CN33" i="111" s="1"/>
  <c r="CO33" i="111" s="1"/>
  <c r="CI33" i="111"/>
  <c r="CD33" i="111"/>
  <c r="CE33" i="111" s="1"/>
  <c r="BZ33" i="111"/>
  <c r="BN33" i="111"/>
  <c r="AZ33" i="111"/>
  <c r="AY33" i="111"/>
  <c r="AW33" i="111"/>
  <c r="AU33" i="111"/>
  <c r="AS33" i="111"/>
  <c r="AP33" i="111"/>
  <c r="AO33" i="111"/>
  <c r="AM33" i="111"/>
  <c r="AK33" i="111"/>
  <c r="AF33" i="111"/>
  <c r="AE33" i="111"/>
  <c r="AC33" i="111"/>
  <c r="AA33" i="111"/>
  <c r="Y33" i="111"/>
  <c r="V33" i="111"/>
  <c r="Q33" i="111"/>
  <c r="O33" i="111"/>
  <c r="M33" i="111"/>
  <c r="I33" i="111"/>
  <c r="EC33" i="111" s="1"/>
  <c r="F33" i="111"/>
  <c r="EB33" i="111" s="1"/>
  <c r="C33" i="111"/>
  <c r="EA33" i="111" s="1"/>
  <c r="EQ32" i="111"/>
  <c r="EH32" i="111"/>
  <c r="DY32" i="111"/>
  <c r="DK32" i="111"/>
  <c r="DF32" i="111"/>
  <c r="DG32" i="111" s="1"/>
  <c r="DB32" i="111"/>
  <c r="CV32" i="111"/>
  <c r="CW32" i="111" s="1"/>
  <c r="CX32" i="111" s="1"/>
  <c r="CR32" i="111"/>
  <c r="CM32" i="111"/>
  <c r="CN32" i="111" s="1"/>
  <c r="CI32" i="111"/>
  <c r="CD32" i="111"/>
  <c r="CE32" i="111" s="1"/>
  <c r="CF32" i="111" s="1"/>
  <c r="BZ32" i="111"/>
  <c r="BN32" i="111"/>
  <c r="AZ32" i="111"/>
  <c r="AY32" i="111"/>
  <c r="AW32" i="111"/>
  <c r="AU32" i="111"/>
  <c r="AS32" i="111"/>
  <c r="AP32" i="111"/>
  <c r="AO32" i="111"/>
  <c r="AM32" i="111"/>
  <c r="AK32" i="111"/>
  <c r="AF32" i="111"/>
  <c r="AE32" i="111"/>
  <c r="AC32" i="111"/>
  <c r="AA32" i="111"/>
  <c r="Y32" i="111"/>
  <c r="V32" i="111"/>
  <c r="Q32" i="111"/>
  <c r="O32" i="111"/>
  <c r="M32" i="111"/>
  <c r="I32" i="111"/>
  <c r="F32" i="111"/>
  <c r="EB32" i="111" s="1"/>
  <c r="C32" i="111"/>
  <c r="EA32" i="111" s="1"/>
  <c r="EQ31" i="111"/>
  <c r="EH31" i="111"/>
  <c r="DY31" i="111"/>
  <c r="DK31" i="111"/>
  <c r="DF31" i="111"/>
  <c r="DG31" i="111" s="1"/>
  <c r="DB31" i="111"/>
  <c r="CV31" i="111"/>
  <c r="CW31" i="111" s="1"/>
  <c r="CR31" i="111"/>
  <c r="CM31" i="111"/>
  <c r="CN31" i="111" s="1"/>
  <c r="CI31" i="111"/>
  <c r="CD31" i="111"/>
  <c r="CE31" i="111" s="1"/>
  <c r="BZ31" i="111"/>
  <c r="BN31" i="111"/>
  <c r="AZ31" i="111"/>
  <c r="AY31" i="111"/>
  <c r="AW31" i="111"/>
  <c r="AU31" i="111"/>
  <c r="AS31" i="111"/>
  <c r="AP31" i="111"/>
  <c r="AO31" i="111"/>
  <c r="AM31" i="111"/>
  <c r="AK31" i="111"/>
  <c r="AF31" i="111"/>
  <c r="AE31" i="111"/>
  <c r="AC31" i="111"/>
  <c r="AA31" i="111"/>
  <c r="Y31" i="111"/>
  <c r="V31" i="111"/>
  <c r="Q31" i="111"/>
  <c r="M31" i="111"/>
  <c r="I31" i="111"/>
  <c r="F31" i="111"/>
  <c r="C31" i="111"/>
  <c r="EA31" i="111" s="1"/>
  <c r="EQ30" i="111"/>
  <c r="EH30" i="111"/>
  <c r="DY30" i="111"/>
  <c r="DK30" i="111"/>
  <c r="DF30" i="111"/>
  <c r="DG30" i="111" s="1"/>
  <c r="DB30" i="111"/>
  <c r="CV30" i="111"/>
  <c r="CW30" i="111" s="1"/>
  <c r="CR30" i="111"/>
  <c r="CM30" i="111"/>
  <c r="CN30" i="111" s="1"/>
  <c r="CI30" i="111"/>
  <c r="CD30" i="111"/>
  <c r="CE30" i="111" s="1"/>
  <c r="BZ30" i="111"/>
  <c r="BN30" i="111"/>
  <c r="AZ30" i="111"/>
  <c r="AY30" i="111"/>
  <c r="AW30" i="111"/>
  <c r="AU30" i="111"/>
  <c r="AS30" i="111"/>
  <c r="AP30" i="111"/>
  <c r="AO30" i="111"/>
  <c r="AM30" i="111"/>
  <c r="AI30" i="111"/>
  <c r="AF30" i="111"/>
  <c r="AE30" i="111"/>
  <c r="AC30" i="111"/>
  <c r="AA30" i="111"/>
  <c r="V30" i="111"/>
  <c r="Q30" i="111"/>
  <c r="I30" i="111"/>
  <c r="F30" i="111"/>
  <c r="C30" i="111"/>
  <c r="EA30" i="111" s="1"/>
  <c r="EQ29" i="111"/>
  <c r="EH29" i="111"/>
  <c r="DY29" i="111"/>
  <c r="DK29" i="111"/>
  <c r="DF29" i="111"/>
  <c r="DG29" i="111" s="1"/>
  <c r="DB29" i="111"/>
  <c r="CV29" i="111"/>
  <c r="CW29" i="111" s="1"/>
  <c r="CR29" i="111"/>
  <c r="CM29" i="111"/>
  <c r="CN29" i="111" s="1"/>
  <c r="CI29" i="111"/>
  <c r="CD29" i="111"/>
  <c r="CE29" i="111" s="1"/>
  <c r="BZ29" i="111"/>
  <c r="BN29" i="111"/>
  <c r="AZ29" i="111"/>
  <c r="AY29" i="111"/>
  <c r="AW29" i="111"/>
  <c r="AU29" i="111"/>
  <c r="AS29" i="111"/>
  <c r="AP29" i="111"/>
  <c r="AO29" i="111"/>
  <c r="AM29" i="111"/>
  <c r="AI29" i="111"/>
  <c r="AF29" i="111"/>
  <c r="AE29" i="111"/>
  <c r="AC29" i="111"/>
  <c r="AA29" i="111"/>
  <c r="V29" i="111"/>
  <c r="Q29" i="111"/>
  <c r="I29" i="111"/>
  <c r="F29" i="111"/>
  <c r="C29" i="111"/>
  <c r="EA29" i="111" s="1"/>
  <c r="EQ28" i="111"/>
  <c r="EH28" i="111"/>
  <c r="DY28" i="111"/>
  <c r="DK28" i="111"/>
  <c r="DF28" i="111"/>
  <c r="DG28" i="111" s="1"/>
  <c r="DB28" i="111"/>
  <c r="CV28" i="111"/>
  <c r="CW28" i="111" s="1"/>
  <c r="CR28" i="111"/>
  <c r="CM28" i="111"/>
  <c r="CN28" i="111" s="1"/>
  <c r="CI28" i="111"/>
  <c r="CD28" i="111"/>
  <c r="CE28" i="111" s="1"/>
  <c r="BZ28" i="111"/>
  <c r="BN28" i="111"/>
  <c r="AZ28" i="111"/>
  <c r="AY28" i="111"/>
  <c r="AW28" i="111"/>
  <c r="AP28" i="111"/>
  <c r="AO28" i="111"/>
  <c r="AM28" i="111"/>
  <c r="AF28" i="111"/>
  <c r="Y28" i="111"/>
  <c r="V28" i="111"/>
  <c r="Q28" i="111"/>
  <c r="M28" i="111"/>
  <c r="I28" i="111"/>
  <c r="F28" i="111"/>
  <c r="C28" i="111"/>
  <c r="EA28" i="111" s="1"/>
  <c r="EQ27" i="111"/>
  <c r="EH27" i="111"/>
  <c r="DY27" i="111"/>
  <c r="DK27" i="111"/>
  <c r="DF27" i="111"/>
  <c r="DG27" i="111" s="1"/>
  <c r="DB27" i="111"/>
  <c r="CV27" i="111"/>
  <c r="CW27" i="111" s="1"/>
  <c r="CR27" i="111"/>
  <c r="CM27" i="111"/>
  <c r="CN27" i="111" s="1"/>
  <c r="CI27" i="111"/>
  <c r="CD27" i="111"/>
  <c r="CE27" i="111" s="1"/>
  <c r="BZ27" i="111"/>
  <c r="BN27" i="111"/>
  <c r="AZ27" i="111"/>
  <c r="AY27" i="111"/>
  <c r="AW27" i="111"/>
  <c r="AU27" i="111"/>
  <c r="AS27" i="111"/>
  <c r="AP27" i="111"/>
  <c r="AO27" i="111"/>
  <c r="AM27" i="111"/>
  <c r="AK27" i="111"/>
  <c r="AI27" i="111"/>
  <c r="AF27" i="111"/>
  <c r="AE27" i="111"/>
  <c r="AC27" i="111"/>
  <c r="AA27" i="111"/>
  <c r="Y27" i="111"/>
  <c r="V27" i="111"/>
  <c r="Q27" i="111"/>
  <c r="O27" i="111"/>
  <c r="M27" i="111"/>
  <c r="I27" i="111"/>
  <c r="F27" i="111"/>
  <c r="EB27" i="111" s="1"/>
  <c r="C27" i="111"/>
  <c r="EA27" i="111" s="1"/>
  <c r="EQ26" i="111"/>
  <c r="EH26" i="111"/>
  <c r="DY26" i="111"/>
  <c r="DK26" i="111"/>
  <c r="DF26" i="111"/>
  <c r="DG26" i="111" s="1"/>
  <c r="DB26" i="111"/>
  <c r="CV26" i="111"/>
  <c r="CW26" i="111" s="1"/>
  <c r="CR26" i="111"/>
  <c r="CM26" i="111"/>
  <c r="CN26" i="111" s="1"/>
  <c r="CI26" i="111"/>
  <c r="CD26" i="111"/>
  <c r="CE26" i="111" s="1"/>
  <c r="BZ26" i="111"/>
  <c r="BN26" i="111"/>
  <c r="AZ26" i="111"/>
  <c r="AY26" i="111"/>
  <c r="AW26" i="111"/>
  <c r="AU26" i="111"/>
  <c r="AS26" i="111"/>
  <c r="AP26" i="111"/>
  <c r="AO26" i="111"/>
  <c r="AM26" i="111"/>
  <c r="AK26" i="111"/>
  <c r="AI26" i="111"/>
  <c r="AF26" i="111"/>
  <c r="AE26" i="111"/>
  <c r="AC26" i="111"/>
  <c r="AA26" i="111"/>
  <c r="Y26" i="111"/>
  <c r="V26" i="111"/>
  <c r="Q26" i="111"/>
  <c r="O26" i="111"/>
  <c r="M26" i="111"/>
  <c r="I26" i="111"/>
  <c r="F26" i="111"/>
  <c r="C26" i="111"/>
  <c r="EA26" i="111" s="1"/>
  <c r="EQ25" i="111"/>
  <c r="EH25" i="111"/>
  <c r="DY25" i="111"/>
  <c r="DK25" i="111"/>
  <c r="DF25" i="111"/>
  <c r="DG25" i="111" s="1"/>
  <c r="DB25" i="111"/>
  <c r="CV25" i="111"/>
  <c r="CW25" i="111" s="1"/>
  <c r="CX25" i="111" s="1"/>
  <c r="CR25" i="111"/>
  <c r="CM25" i="111"/>
  <c r="CN25" i="111" s="1"/>
  <c r="CI25" i="111"/>
  <c r="CD25" i="111"/>
  <c r="CE25" i="111" s="1"/>
  <c r="BZ25" i="111"/>
  <c r="BN25" i="111"/>
  <c r="AZ25" i="111"/>
  <c r="AW25" i="111"/>
  <c r="AU25" i="111"/>
  <c r="AS25" i="111"/>
  <c r="AP25" i="111"/>
  <c r="AO25" i="111"/>
  <c r="AM25" i="111"/>
  <c r="AK25" i="111"/>
  <c r="AI25" i="111"/>
  <c r="AF25" i="111"/>
  <c r="AE25" i="111"/>
  <c r="AC25" i="111"/>
  <c r="AA25" i="111"/>
  <c r="Y25" i="111"/>
  <c r="V25" i="111"/>
  <c r="Q25" i="111"/>
  <c r="O25" i="111"/>
  <c r="M25" i="111"/>
  <c r="I25" i="111"/>
  <c r="F25" i="111"/>
  <c r="EB25" i="111" s="1"/>
  <c r="C25" i="111"/>
  <c r="EA25" i="111" s="1"/>
  <c r="EQ24" i="111"/>
  <c r="EH24" i="111"/>
  <c r="DY24" i="111"/>
  <c r="DK24" i="111"/>
  <c r="DF24" i="111"/>
  <c r="DG24" i="111" s="1"/>
  <c r="DH24" i="111" s="1"/>
  <c r="DB24" i="111"/>
  <c r="CV24" i="111"/>
  <c r="CW24" i="111" s="1"/>
  <c r="CX24" i="111" s="1"/>
  <c r="CR24" i="111"/>
  <c r="CM24" i="111"/>
  <c r="CN24" i="111" s="1"/>
  <c r="CO24" i="111" s="1"/>
  <c r="CI24" i="111"/>
  <c r="CD24" i="111"/>
  <c r="CE24" i="111" s="1"/>
  <c r="BZ24" i="111"/>
  <c r="BN24" i="111"/>
  <c r="AZ24" i="111"/>
  <c r="AY24" i="111"/>
  <c r="AW24" i="111"/>
  <c r="AU24" i="111"/>
  <c r="AS24" i="111"/>
  <c r="AP24" i="111"/>
  <c r="AO24" i="111"/>
  <c r="AM24" i="111"/>
  <c r="AK24" i="111"/>
  <c r="AI24" i="111"/>
  <c r="AF24" i="111"/>
  <c r="AE24" i="111"/>
  <c r="AC24" i="111"/>
  <c r="AA24" i="111"/>
  <c r="Y24" i="111"/>
  <c r="V24" i="111"/>
  <c r="Q24" i="111"/>
  <c r="O24" i="111"/>
  <c r="M24" i="111"/>
  <c r="I24" i="111"/>
  <c r="F24" i="111"/>
  <c r="EB24" i="111" s="1"/>
  <c r="EA24" i="111"/>
  <c r="EQ23" i="111"/>
  <c r="EH23" i="111"/>
  <c r="DY23" i="111"/>
  <c r="DK23" i="111"/>
  <c r="DF23" i="111"/>
  <c r="DG23" i="111" s="1"/>
  <c r="DB23" i="111"/>
  <c r="CV23" i="111"/>
  <c r="CW23" i="111" s="1"/>
  <c r="CR23" i="111"/>
  <c r="CM23" i="111"/>
  <c r="CN23" i="111" s="1"/>
  <c r="CI23" i="111"/>
  <c r="CD23" i="111"/>
  <c r="CE23" i="111" s="1"/>
  <c r="BZ23" i="111"/>
  <c r="BN23" i="111"/>
  <c r="AZ23" i="111"/>
  <c r="AY23" i="111"/>
  <c r="AW23" i="111"/>
  <c r="AU23" i="111"/>
  <c r="AS23" i="111"/>
  <c r="AP23" i="111"/>
  <c r="AO23" i="111"/>
  <c r="AM23" i="111"/>
  <c r="AK23" i="111"/>
  <c r="AI23" i="111"/>
  <c r="AF23" i="111"/>
  <c r="AE23" i="111"/>
  <c r="AC23" i="111"/>
  <c r="AA23" i="111"/>
  <c r="Y23" i="111"/>
  <c r="V23" i="111"/>
  <c r="Q23" i="111"/>
  <c r="O23" i="111"/>
  <c r="M23" i="111"/>
  <c r="I23" i="111"/>
  <c r="F23" i="111"/>
  <c r="EB23" i="111" s="1"/>
  <c r="C23" i="111"/>
  <c r="EA23" i="111" s="1"/>
  <c r="EQ22" i="111"/>
  <c r="EH22" i="111"/>
  <c r="DY22" i="111"/>
  <c r="DK22" i="111"/>
  <c r="DF22" i="111"/>
  <c r="DG22" i="111" s="1"/>
  <c r="DB22" i="111"/>
  <c r="CV22" i="111"/>
  <c r="CW22" i="111" s="1"/>
  <c r="CR22" i="111"/>
  <c r="CM22" i="111"/>
  <c r="CN22" i="111" s="1"/>
  <c r="CI22" i="111"/>
  <c r="CD22" i="111"/>
  <c r="CE22" i="111" s="1"/>
  <c r="BZ22" i="111"/>
  <c r="BN22" i="111"/>
  <c r="AZ22" i="111"/>
  <c r="AY22" i="111"/>
  <c r="AW22" i="111"/>
  <c r="AU22" i="111"/>
  <c r="AS22" i="111"/>
  <c r="AP22" i="111"/>
  <c r="AO22" i="111"/>
  <c r="AM22" i="111"/>
  <c r="AK22" i="111"/>
  <c r="AI22" i="111"/>
  <c r="AF22" i="111"/>
  <c r="AE22" i="111"/>
  <c r="AC22" i="111"/>
  <c r="AA22" i="111"/>
  <c r="Y22" i="111"/>
  <c r="V22" i="111"/>
  <c r="Q22" i="111"/>
  <c r="O22" i="111"/>
  <c r="M22" i="111"/>
  <c r="I22" i="111"/>
  <c r="F22" i="111"/>
  <c r="EB22" i="111" s="1"/>
  <c r="C22" i="111"/>
  <c r="EA22" i="111" s="1"/>
  <c r="EQ21" i="111"/>
  <c r="DY21" i="111"/>
  <c r="DK21" i="111"/>
  <c r="DF21" i="111"/>
  <c r="DG21" i="111" s="1"/>
  <c r="DB21" i="111"/>
  <c r="CV21" i="111"/>
  <c r="CW21" i="111" s="1"/>
  <c r="CR21" i="111"/>
  <c r="CM21" i="111"/>
  <c r="CN21" i="111" s="1"/>
  <c r="CI21" i="111"/>
  <c r="CD21" i="111"/>
  <c r="CE21" i="111" s="1"/>
  <c r="BZ21" i="111"/>
  <c r="BN21" i="111"/>
  <c r="AZ21" i="111"/>
  <c r="AY21" i="111"/>
  <c r="AW21" i="111"/>
  <c r="AU21" i="111"/>
  <c r="AS21" i="111"/>
  <c r="AP21" i="111"/>
  <c r="AO21" i="111"/>
  <c r="AM21" i="111"/>
  <c r="AK21" i="111"/>
  <c r="AI21" i="111"/>
  <c r="AF21" i="111"/>
  <c r="AE21" i="111"/>
  <c r="AC21" i="111"/>
  <c r="AA21" i="111"/>
  <c r="Y21" i="111"/>
  <c r="V21" i="111"/>
  <c r="Q21" i="111"/>
  <c r="O21" i="111"/>
  <c r="M21" i="111"/>
  <c r="I21" i="111"/>
  <c r="F21" i="111"/>
  <c r="EB21" i="111" s="1"/>
  <c r="C21" i="111"/>
  <c r="EA21" i="111" s="1"/>
  <c r="EQ20" i="111"/>
  <c r="DY20" i="111"/>
  <c r="DK20" i="111"/>
  <c r="DF20" i="111"/>
  <c r="DG20" i="111" s="1"/>
  <c r="DB20" i="111"/>
  <c r="CV20" i="111"/>
  <c r="CW20" i="111" s="1"/>
  <c r="CR20" i="111"/>
  <c r="CM20" i="111"/>
  <c r="CN20" i="111" s="1"/>
  <c r="CI20" i="111"/>
  <c r="CD20" i="111"/>
  <c r="CE20" i="111" s="1"/>
  <c r="BZ20" i="111"/>
  <c r="BN20" i="111"/>
  <c r="AZ20" i="111"/>
  <c r="AY20" i="111"/>
  <c r="AW20" i="111"/>
  <c r="AU20" i="111"/>
  <c r="AS20" i="111"/>
  <c r="AP20" i="111"/>
  <c r="AO20" i="111"/>
  <c r="AM20" i="111"/>
  <c r="AK20" i="111"/>
  <c r="AI20" i="111"/>
  <c r="AF20" i="111"/>
  <c r="AE20" i="111"/>
  <c r="AC20" i="111"/>
  <c r="AA20" i="111"/>
  <c r="Y20" i="111"/>
  <c r="V20" i="111"/>
  <c r="Q20" i="111"/>
  <c r="O20" i="111"/>
  <c r="M20" i="111"/>
  <c r="I20" i="111"/>
  <c r="F20" i="111"/>
  <c r="EB20" i="111" s="1"/>
  <c r="C20" i="111"/>
  <c r="EA20" i="111" s="1"/>
  <c r="EQ19" i="111"/>
  <c r="EH19" i="111"/>
  <c r="DY19" i="111"/>
  <c r="DK19" i="111"/>
  <c r="DF19" i="111"/>
  <c r="DG19" i="111" s="1"/>
  <c r="DB19" i="111"/>
  <c r="CV19" i="111"/>
  <c r="CW19" i="111" s="1"/>
  <c r="CR19" i="111"/>
  <c r="CM19" i="111"/>
  <c r="CN19" i="111" s="1"/>
  <c r="CI19" i="111"/>
  <c r="CD19" i="111"/>
  <c r="CE19" i="111" s="1"/>
  <c r="BZ19" i="111"/>
  <c r="BN19" i="111"/>
  <c r="AZ19" i="111"/>
  <c r="AY19" i="111"/>
  <c r="AW19" i="111"/>
  <c r="AU19" i="111"/>
  <c r="AS19" i="111"/>
  <c r="AP19" i="111"/>
  <c r="AO19" i="111"/>
  <c r="AM19" i="111"/>
  <c r="AK19" i="111"/>
  <c r="AI19" i="111"/>
  <c r="AF19" i="111"/>
  <c r="AE19" i="111"/>
  <c r="AC19" i="111"/>
  <c r="AA19" i="111"/>
  <c r="Y19" i="111"/>
  <c r="V19" i="111"/>
  <c r="Q19" i="111"/>
  <c r="O19" i="111"/>
  <c r="M19" i="111"/>
  <c r="I19" i="111"/>
  <c r="F19" i="111"/>
  <c r="EB19" i="111" s="1"/>
  <c r="C19" i="111"/>
  <c r="EA19" i="111" s="1"/>
  <c r="EQ18" i="111"/>
  <c r="EH18" i="111"/>
  <c r="DY18" i="111"/>
  <c r="DK18" i="111"/>
  <c r="DF18" i="111"/>
  <c r="DG18" i="111" s="1"/>
  <c r="DB18" i="111"/>
  <c r="CV18" i="111"/>
  <c r="CW18" i="111" s="1"/>
  <c r="CR18" i="111"/>
  <c r="CM18" i="111"/>
  <c r="CN18" i="111" s="1"/>
  <c r="CI18" i="111"/>
  <c r="CD18" i="111"/>
  <c r="CE18" i="111" s="1"/>
  <c r="BZ18" i="111"/>
  <c r="BN18" i="111"/>
  <c r="AZ18" i="111"/>
  <c r="AY18" i="111"/>
  <c r="AW18" i="111"/>
  <c r="AU18" i="111"/>
  <c r="AS18" i="111"/>
  <c r="AP18" i="111"/>
  <c r="AO18" i="111"/>
  <c r="AM18" i="111"/>
  <c r="AK18" i="111"/>
  <c r="AI18" i="111"/>
  <c r="AF18" i="111"/>
  <c r="AE18" i="111"/>
  <c r="AC18" i="111"/>
  <c r="AA18" i="111"/>
  <c r="Y18" i="111"/>
  <c r="V18" i="111"/>
  <c r="O18" i="111"/>
  <c r="M18" i="111"/>
  <c r="I18" i="111"/>
  <c r="F18" i="111"/>
  <c r="EB18" i="111" s="1"/>
  <c r="C18" i="111"/>
  <c r="EA18" i="111" s="1"/>
  <c r="EQ17" i="111"/>
  <c r="EH17" i="111"/>
  <c r="DY17" i="111"/>
  <c r="DK17" i="111"/>
  <c r="DF17" i="111"/>
  <c r="DG17" i="111" s="1"/>
  <c r="DB17" i="111"/>
  <c r="CV17" i="111"/>
  <c r="CW17" i="111" s="1"/>
  <c r="CR17" i="111"/>
  <c r="CM17" i="111"/>
  <c r="CN17" i="111" s="1"/>
  <c r="CI17" i="111"/>
  <c r="CD17" i="111"/>
  <c r="CE17" i="111" s="1"/>
  <c r="BZ17" i="111"/>
  <c r="BN17" i="111"/>
  <c r="AZ17" i="111"/>
  <c r="AY17" i="111"/>
  <c r="AW17" i="111"/>
  <c r="AU17" i="111"/>
  <c r="AS17" i="111"/>
  <c r="AP17" i="111"/>
  <c r="AO17" i="111"/>
  <c r="AM17" i="111"/>
  <c r="AK17" i="111"/>
  <c r="AI17" i="111"/>
  <c r="AF17" i="111"/>
  <c r="AE17" i="111"/>
  <c r="AC17" i="111"/>
  <c r="AA17" i="111"/>
  <c r="Y17" i="111"/>
  <c r="V17" i="111"/>
  <c r="Q17" i="111"/>
  <c r="O17" i="111"/>
  <c r="M17" i="111"/>
  <c r="I17" i="111"/>
  <c r="F17" i="111"/>
  <c r="EB17" i="111" s="1"/>
  <c r="C17" i="111"/>
  <c r="EA17" i="111" s="1"/>
  <c r="EQ16" i="111"/>
  <c r="EH16" i="111"/>
  <c r="DY16" i="111"/>
  <c r="DK16" i="111"/>
  <c r="DF16" i="111"/>
  <c r="DG16" i="111" s="1"/>
  <c r="DB16" i="111"/>
  <c r="CV16" i="111"/>
  <c r="CW16" i="111" s="1"/>
  <c r="CR16" i="111"/>
  <c r="CM16" i="111"/>
  <c r="CN16" i="111" s="1"/>
  <c r="CI16" i="111"/>
  <c r="CD16" i="111"/>
  <c r="CE16" i="111" s="1"/>
  <c r="BZ16" i="111"/>
  <c r="BN16" i="111"/>
  <c r="AZ16" i="111"/>
  <c r="AY16" i="111"/>
  <c r="AW16" i="111"/>
  <c r="AU16" i="111"/>
  <c r="AS16" i="111"/>
  <c r="AP16" i="111"/>
  <c r="AO16" i="111"/>
  <c r="AM16" i="111"/>
  <c r="AK16" i="111"/>
  <c r="AI16" i="111"/>
  <c r="AF16" i="111"/>
  <c r="AE16" i="111"/>
  <c r="AC16" i="111"/>
  <c r="AA16" i="111"/>
  <c r="Y16" i="111"/>
  <c r="V16" i="111"/>
  <c r="Q16" i="111"/>
  <c r="O16" i="111"/>
  <c r="M16" i="111"/>
  <c r="I16" i="111"/>
  <c r="F16" i="111"/>
  <c r="EB16" i="111" s="1"/>
  <c r="C16" i="111"/>
  <c r="EA16" i="111" s="1"/>
  <c r="EQ15" i="111"/>
  <c r="EH15" i="111"/>
  <c r="DY15" i="111"/>
  <c r="DK15" i="111"/>
  <c r="DF15" i="111"/>
  <c r="DG15" i="111" s="1"/>
  <c r="DB15" i="111"/>
  <c r="CV15" i="111"/>
  <c r="CW15" i="111" s="1"/>
  <c r="CR15" i="111"/>
  <c r="CM15" i="111"/>
  <c r="CN15" i="111" s="1"/>
  <c r="CI15" i="111"/>
  <c r="CD15" i="111"/>
  <c r="CE15" i="111" s="1"/>
  <c r="BZ15" i="111"/>
  <c r="BN15" i="111"/>
  <c r="AZ15" i="111"/>
  <c r="AY15" i="111"/>
  <c r="AW15" i="111"/>
  <c r="AU15" i="111"/>
  <c r="AS15" i="111"/>
  <c r="AP15" i="111"/>
  <c r="AO15" i="111"/>
  <c r="AM15" i="111"/>
  <c r="AK15" i="111"/>
  <c r="AI15" i="111"/>
  <c r="AF15" i="111"/>
  <c r="AE15" i="111"/>
  <c r="AC15" i="111"/>
  <c r="AA15" i="111"/>
  <c r="Y15" i="111"/>
  <c r="V15" i="111"/>
  <c r="Q15" i="111"/>
  <c r="O15" i="111"/>
  <c r="M15" i="111"/>
  <c r="I15" i="111"/>
  <c r="F15" i="111"/>
  <c r="EB15" i="111" s="1"/>
  <c r="C15" i="111"/>
  <c r="EA15" i="111" s="1"/>
  <c r="EQ14" i="111"/>
  <c r="EH14" i="111"/>
  <c r="DY14" i="111"/>
  <c r="DK14" i="111"/>
  <c r="DF14" i="111"/>
  <c r="DG14" i="111" s="1"/>
  <c r="DB14" i="111"/>
  <c r="CV14" i="111"/>
  <c r="CW14" i="111" s="1"/>
  <c r="CR14" i="111"/>
  <c r="CM14" i="111"/>
  <c r="CN14" i="111" s="1"/>
  <c r="CI14" i="111"/>
  <c r="CD14" i="111"/>
  <c r="CE14" i="111" s="1"/>
  <c r="BZ14" i="111"/>
  <c r="BN14" i="111"/>
  <c r="AZ14" i="111"/>
  <c r="AY14" i="111"/>
  <c r="AW14" i="111"/>
  <c r="AU14" i="111"/>
  <c r="AS14" i="111"/>
  <c r="AP14" i="111"/>
  <c r="AO14" i="111"/>
  <c r="AM14" i="111"/>
  <c r="AK14" i="111"/>
  <c r="AI14" i="111"/>
  <c r="AF14" i="111"/>
  <c r="AE14" i="111"/>
  <c r="AC14" i="111"/>
  <c r="AA14" i="111"/>
  <c r="Y14" i="111"/>
  <c r="V14" i="111"/>
  <c r="Q14" i="111"/>
  <c r="O14" i="111"/>
  <c r="M14" i="111"/>
  <c r="I14" i="111"/>
  <c r="F14" i="111"/>
  <c r="EB14" i="111" s="1"/>
  <c r="C14" i="111"/>
  <c r="EA14" i="111" s="1"/>
  <c r="EQ13" i="111"/>
  <c r="EH13" i="111"/>
  <c r="DY13" i="111"/>
  <c r="DK13" i="111"/>
  <c r="DF13" i="111"/>
  <c r="DG13" i="111" s="1"/>
  <c r="DB13" i="111"/>
  <c r="CV13" i="111"/>
  <c r="CW13" i="111" s="1"/>
  <c r="CR13" i="111"/>
  <c r="CM13" i="111"/>
  <c r="CN13" i="111" s="1"/>
  <c r="CI13" i="111"/>
  <c r="CD13" i="111"/>
  <c r="CE13" i="111" s="1"/>
  <c r="BZ13" i="111"/>
  <c r="BN13" i="111"/>
  <c r="AZ13" i="111"/>
  <c r="AY13" i="111"/>
  <c r="AW13" i="111"/>
  <c r="AU13" i="111"/>
  <c r="AS13" i="111"/>
  <c r="AP13" i="111"/>
  <c r="AO13" i="111"/>
  <c r="AM13" i="111"/>
  <c r="AK13" i="111"/>
  <c r="AI13" i="111"/>
  <c r="AF13" i="111"/>
  <c r="AE13" i="111"/>
  <c r="AC13" i="111"/>
  <c r="AA13" i="111"/>
  <c r="Y13" i="111"/>
  <c r="V13" i="111"/>
  <c r="O13" i="111"/>
  <c r="M13" i="111"/>
  <c r="I13" i="111"/>
  <c r="F13" i="111"/>
  <c r="EB13" i="111" s="1"/>
  <c r="C13" i="111"/>
  <c r="EA13" i="111" s="1"/>
  <c r="EQ12" i="111"/>
  <c r="EH12" i="111"/>
  <c r="DY12" i="111"/>
  <c r="DK12" i="111"/>
  <c r="DF12" i="111"/>
  <c r="DG12" i="111" s="1"/>
  <c r="DB12" i="111"/>
  <c r="CV12" i="111"/>
  <c r="CW12" i="111" s="1"/>
  <c r="CR12" i="111"/>
  <c r="CM12" i="111"/>
  <c r="CN12" i="111" s="1"/>
  <c r="CI12" i="111"/>
  <c r="CD12" i="111"/>
  <c r="CE12" i="111" s="1"/>
  <c r="BZ12" i="111"/>
  <c r="BN12" i="111"/>
  <c r="AZ12" i="111"/>
  <c r="AY12" i="111"/>
  <c r="AW12" i="111"/>
  <c r="AU12" i="111"/>
  <c r="AS12" i="111"/>
  <c r="AP12" i="111"/>
  <c r="AO12" i="111"/>
  <c r="AM12" i="111"/>
  <c r="AK12" i="111"/>
  <c r="AI12" i="111"/>
  <c r="AE12" i="111"/>
  <c r="AC12" i="111"/>
  <c r="AA12" i="111"/>
  <c r="Y12" i="111"/>
  <c r="V12" i="111"/>
  <c r="Q12" i="111"/>
  <c r="O12" i="111"/>
  <c r="M12" i="111"/>
  <c r="I12" i="111"/>
  <c r="F12" i="111"/>
  <c r="EB12" i="111" s="1"/>
  <c r="C12" i="111"/>
  <c r="EA12" i="111" s="1"/>
  <c r="EQ11" i="111"/>
  <c r="EH11" i="111"/>
  <c r="DY11" i="111"/>
  <c r="DK11" i="111"/>
  <c r="DF11" i="111"/>
  <c r="DG11" i="111" s="1"/>
  <c r="DB11" i="111"/>
  <c r="CV11" i="111"/>
  <c r="CW11" i="111"/>
  <c r="CR11" i="111"/>
  <c r="CM11" i="111"/>
  <c r="CN11" i="111" s="1"/>
  <c r="CI11" i="111"/>
  <c r="CD11" i="111"/>
  <c r="CE11" i="111" s="1"/>
  <c r="BZ11" i="111"/>
  <c r="BN11" i="111"/>
  <c r="AZ11" i="111"/>
  <c r="AY11" i="111"/>
  <c r="AW11" i="111"/>
  <c r="AU11" i="111"/>
  <c r="AS11" i="111"/>
  <c r="AP11" i="111"/>
  <c r="AO11" i="111"/>
  <c r="AM11" i="111"/>
  <c r="AK11" i="111"/>
  <c r="AI11" i="111"/>
  <c r="AF11" i="111"/>
  <c r="AE11" i="111"/>
  <c r="AC11" i="111"/>
  <c r="AA11" i="111"/>
  <c r="Y11" i="111"/>
  <c r="V11" i="111"/>
  <c r="Q11" i="111"/>
  <c r="O11" i="111"/>
  <c r="M11" i="111"/>
  <c r="I11" i="111"/>
  <c r="F11" i="111"/>
  <c r="EB11" i="111" s="1"/>
  <c r="C11" i="111"/>
  <c r="EA11" i="111" s="1"/>
  <c r="EQ10" i="111"/>
  <c r="EH10" i="111"/>
  <c r="DY10" i="111"/>
  <c r="DK10" i="111"/>
  <c r="DF10" i="111"/>
  <c r="DG10" i="111" s="1"/>
  <c r="DB10" i="111"/>
  <c r="CV10" i="111"/>
  <c r="CW10" i="111" s="1"/>
  <c r="CR10" i="111"/>
  <c r="CM10" i="111"/>
  <c r="CN10" i="111" s="1"/>
  <c r="CI10" i="111"/>
  <c r="CD10" i="111"/>
  <c r="CE10" i="111" s="1"/>
  <c r="CF10" i="111" s="1"/>
  <c r="BZ10" i="111"/>
  <c r="BN10" i="111"/>
  <c r="AZ10" i="111"/>
  <c r="AY10" i="111"/>
  <c r="AW10" i="111"/>
  <c r="AU10" i="111"/>
  <c r="AS10" i="111"/>
  <c r="AP10" i="111"/>
  <c r="AO10" i="111"/>
  <c r="AM10" i="111"/>
  <c r="AK10" i="111"/>
  <c r="AI10" i="111"/>
  <c r="AF10" i="111"/>
  <c r="AE10" i="111"/>
  <c r="AC10" i="111"/>
  <c r="AA10" i="111"/>
  <c r="Y10" i="111"/>
  <c r="V10" i="111"/>
  <c r="Q10" i="111"/>
  <c r="O10" i="111"/>
  <c r="M10" i="111"/>
  <c r="I10" i="111"/>
  <c r="F10" i="111"/>
  <c r="EB10" i="111" s="1"/>
  <c r="C10" i="111"/>
  <c r="EA10" i="111" s="1"/>
  <c r="EQ9" i="111"/>
  <c r="EH9" i="111"/>
  <c r="DY9" i="111"/>
  <c r="DK9" i="111"/>
  <c r="DF9" i="111"/>
  <c r="DG9" i="111" s="1"/>
  <c r="DB9" i="111"/>
  <c r="CV9" i="111"/>
  <c r="CW9" i="111"/>
  <c r="CX9" i="111" s="1"/>
  <c r="CR9" i="111"/>
  <c r="CM9" i="111"/>
  <c r="CN9" i="111" s="1"/>
  <c r="CO9" i="111" s="1"/>
  <c r="CI9" i="111"/>
  <c r="CD9" i="111"/>
  <c r="CE9" i="111" s="1"/>
  <c r="BZ9" i="111"/>
  <c r="BN9" i="111"/>
  <c r="AZ9" i="111"/>
  <c r="AY9" i="111"/>
  <c r="AW9" i="111"/>
  <c r="AU9" i="111"/>
  <c r="AS9" i="111"/>
  <c r="AP9" i="111"/>
  <c r="AO9" i="111"/>
  <c r="AM9" i="111"/>
  <c r="AK9" i="111"/>
  <c r="AI9" i="111"/>
  <c r="AF9" i="111"/>
  <c r="AE9" i="111"/>
  <c r="AC9" i="111"/>
  <c r="AA9" i="111"/>
  <c r="Y9" i="111"/>
  <c r="V9" i="111"/>
  <c r="Q9" i="111"/>
  <c r="O9" i="111"/>
  <c r="M9" i="111"/>
  <c r="I9" i="111"/>
  <c r="F9" i="111"/>
  <c r="EB9" i="111" s="1"/>
  <c r="C9" i="111"/>
  <c r="EA9" i="111"/>
  <c r="EQ8" i="111"/>
  <c r="EH8" i="111"/>
  <c r="DY8" i="111"/>
  <c r="DK8" i="111"/>
  <c r="DF8" i="111"/>
  <c r="DB8" i="111"/>
  <c r="CV8" i="111"/>
  <c r="CW8" i="111"/>
  <c r="CR8" i="111"/>
  <c r="CM8" i="111"/>
  <c r="CN8" i="111" s="1"/>
  <c r="CI8" i="111"/>
  <c r="CD8" i="111"/>
  <c r="BZ8" i="111"/>
  <c r="BN8" i="111"/>
  <c r="AZ8" i="111"/>
  <c r="AY8" i="111"/>
  <c r="AW8" i="111"/>
  <c r="AU8" i="111"/>
  <c r="AS8" i="111"/>
  <c r="AP8" i="111"/>
  <c r="AO8" i="111"/>
  <c r="AM8" i="111"/>
  <c r="AK8" i="111"/>
  <c r="AI8" i="111"/>
  <c r="AF8" i="111"/>
  <c r="AE8" i="111"/>
  <c r="AC8" i="111"/>
  <c r="AA8" i="111"/>
  <c r="Y8" i="111"/>
  <c r="V8" i="111"/>
  <c r="Q8" i="111"/>
  <c r="O8" i="111"/>
  <c r="O41" i="111" s="1"/>
  <c r="M8" i="111"/>
  <c r="I8" i="111"/>
  <c r="F8" i="111"/>
  <c r="C8" i="111"/>
  <c r="EI3" i="111"/>
  <c r="DZ3" i="111"/>
  <c r="DL3" i="111"/>
  <c r="DC3" i="111"/>
  <c r="CS3" i="111"/>
  <c r="CJ3" i="111"/>
  <c r="CA3" i="111"/>
  <c r="BO3" i="111"/>
  <c r="BA3" i="111"/>
  <c r="AQ3" i="111"/>
  <c r="AG3" i="111"/>
  <c r="W3" i="111"/>
  <c r="K3" i="111"/>
  <c r="EI1" i="111"/>
  <c r="DL1" i="111"/>
  <c r="DC1" i="111"/>
  <c r="CS1" i="111"/>
  <c r="CJ1" i="111"/>
  <c r="CA1" i="111"/>
  <c r="BO1" i="111"/>
  <c r="BA1" i="111"/>
  <c r="AQ1" i="111"/>
  <c r="AG1" i="111"/>
  <c r="K1" i="111"/>
  <c r="DF37" i="109"/>
  <c r="CV37" i="109"/>
  <c r="CW37" i="109" s="1"/>
  <c r="CM37" i="109"/>
  <c r="CN37" i="109" s="1"/>
  <c r="CD37" i="109"/>
  <c r="CE37" i="109" s="1"/>
  <c r="AY37" i="109"/>
  <c r="AW37" i="109"/>
  <c r="AU37" i="109"/>
  <c r="AS37" i="109"/>
  <c r="AO37" i="109"/>
  <c r="AM37" i="109"/>
  <c r="AK37" i="109"/>
  <c r="AI37" i="109"/>
  <c r="AE37" i="109"/>
  <c r="AC37" i="109"/>
  <c r="AA37" i="109"/>
  <c r="Y37" i="109"/>
  <c r="Q37" i="109"/>
  <c r="O37" i="109"/>
  <c r="M37" i="109"/>
  <c r="I37" i="109"/>
  <c r="F37" i="109"/>
  <c r="EB37" i="109" s="1"/>
  <c r="C37" i="109"/>
  <c r="EA37" i="109" s="1"/>
  <c r="EI42" i="110"/>
  <c r="DZ42" i="110"/>
  <c r="DL42" i="110"/>
  <c r="DC42" i="110"/>
  <c r="CS42" i="110"/>
  <c r="CJ42" i="110"/>
  <c r="CA42" i="110"/>
  <c r="BO42" i="110"/>
  <c r="BA42" i="110"/>
  <c r="AQ42" i="110"/>
  <c r="AG42" i="110"/>
  <c r="W42" i="110"/>
  <c r="K42" i="110"/>
  <c r="EG41" i="110"/>
  <c r="EF41" i="110"/>
  <c r="EE41" i="110"/>
  <c r="DW41" i="110"/>
  <c r="DV41" i="110"/>
  <c r="DU41" i="110"/>
  <c r="DT41" i="110"/>
  <c r="DS41" i="110"/>
  <c r="DR41" i="110"/>
  <c r="DQ41" i="110"/>
  <c r="DP41" i="110"/>
  <c r="DO41" i="110"/>
  <c r="DN41" i="110"/>
  <c r="DM41" i="110"/>
  <c r="BW41" i="110"/>
  <c r="AX14" i="67" s="1"/>
  <c r="BV41" i="110"/>
  <c r="AW14" i="67" s="1"/>
  <c r="BU41" i="110"/>
  <c r="AU14" i="67" s="1"/>
  <c r="BT41" i="110"/>
  <c r="AT14" i="67" s="1"/>
  <c r="BS41" i="110"/>
  <c r="AS14" i="67" s="1"/>
  <c r="BR41" i="110"/>
  <c r="AR14" i="67" s="1"/>
  <c r="BQ41" i="110"/>
  <c r="AQ14" i="67" s="1"/>
  <c r="BP41" i="110"/>
  <c r="BM41" i="110"/>
  <c r="AN14" i="67"/>
  <c r="BL41" i="110"/>
  <c r="AM14" i="67"/>
  <c r="BK41" i="110"/>
  <c r="AL14" i="67"/>
  <c r="BJ41" i="110"/>
  <c r="AK14" i="67"/>
  <c r="BI41" i="110"/>
  <c r="AJ14" i="67" s="1"/>
  <c r="BH41" i="110"/>
  <c r="AI14" i="67"/>
  <c r="BG41" i="110"/>
  <c r="AH14" i="67" s="1"/>
  <c r="BF41" i="110"/>
  <c r="AG14" i="67"/>
  <c r="BE41" i="110"/>
  <c r="AF14" i="67" s="1"/>
  <c r="BD41" i="110"/>
  <c r="BC41" i="110"/>
  <c r="AD14" i="67" s="1"/>
  <c r="BB41" i="110"/>
  <c r="ED40" i="110"/>
  <c r="EQ38" i="110"/>
  <c r="EH38" i="110"/>
  <c r="DY38" i="110"/>
  <c r="DK38" i="110"/>
  <c r="DB38" i="110"/>
  <c r="CR38" i="110"/>
  <c r="CI38" i="110"/>
  <c r="CE38" i="110"/>
  <c r="BZ38" i="110"/>
  <c r="BN38" i="110"/>
  <c r="AZ38" i="110"/>
  <c r="AP38" i="110"/>
  <c r="AF38" i="110"/>
  <c r="V38" i="110"/>
  <c r="EQ37" i="110"/>
  <c r="EH37" i="110"/>
  <c r="DY37" i="110"/>
  <c r="DK37" i="110"/>
  <c r="DF37" i="110"/>
  <c r="DG37" i="110"/>
  <c r="DH37" i="110" s="1"/>
  <c r="DB37" i="110"/>
  <c r="CV37" i="110"/>
  <c r="CW37" i="110"/>
  <c r="CX37" i="110" s="1"/>
  <c r="CR37" i="110"/>
  <c r="CM37" i="110"/>
  <c r="CN37" i="110" s="1"/>
  <c r="CO37" i="110" s="1"/>
  <c r="CI37" i="110"/>
  <c r="CD37" i="110"/>
  <c r="CE37" i="110" s="1"/>
  <c r="CF37" i="110" s="1"/>
  <c r="BZ37" i="110"/>
  <c r="BN37" i="110"/>
  <c r="AZ37" i="110"/>
  <c r="AY37" i="110"/>
  <c r="AW37" i="110"/>
  <c r="AU37" i="110"/>
  <c r="AS37" i="110"/>
  <c r="AP37" i="110"/>
  <c r="AO37" i="110"/>
  <c r="AK37" i="110"/>
  <c r="AI37" i="110"/>
  <c r="AF37" i="110"/>
  <c r="AE37" i="110"/>
  <c r="AC37" i="110"/>
  <c r="AA37" i="110"/>
  <c r="V37" i="110"/>
  <c r="Q37" i="110"/>
  <c r="O37" i="110"/>
  <c r="M37" i="110"/>
  <c r="I37" i="110"/>
  <c r="F37" i="110"/>
  <c r="EB37" i="110" s="1"/>
  <c r="C37" i="110"/>
  <c r="EA37" i="110" s="1"/>
  <c r="EQ36" i="110"/>
  <c r="EH36" i="110"/>
  <c r="DY36" i="110"/>
  <c r="DK36" i="110"/>
  <c r="DF36" i="110"/>
  <c r="DG36" i="110" s="1"/>
  <c r="DH36" i="110" s="1"/>
  <c r="DB36" i="110"/>
  <c r="CV36" i="110"/>
  <c r="CW36" i="110" s="1"/>
  <c r="CX36" i="110" s="1"/>
  <c r="CR36" i="110"/>
  <c r="CM36" i="110"/>
  <c r="CN36" i="110" s="1"/>
  <c r="CO36" i="110" s="1"/>
  <c r="CI36" i="110"/>
  <c r="CD36" i="110"/>
  <c r="CE36" i="110" s="1"/>
  <c r="CF36" i="110" s="1"/>
  <c r="BZ36" i="110"/>
  <c r="BN36" i="110"/>
  <c r="AZ36" i="110"/>
  <c r="AY36" i="110"/>
  <c r="AW36" i="110"/>
  <c r="AU36" i="110"/>
  <c r="AS36" i="110"/>
  <c r="AP36" i="110"/>
  <c r="AO36" i="110"/>
  <c r="AK36" i="110"/>
  <c r="AI36" i="110"/>
  <c r="AF36" i="110"/>
  <c r="AE36" i="110"/>
  <c r="AC36" i="110"/>
  <c r="AA36" i="110"/>
  <c r="V36" i="110"/>
  <c r="Q36" i="110"/>
  <c r="O36" i="110"/>
  <c r="M36" i="110"/>
  <c r="I36" i="110"/>
  <c r="F36" i="110"/>
  <c r="EB36" i="110" s="1"/>
  <c r="C36" i="110"/>
  <c r="EC36" i="110" s="1"/>
  <c r="EA36" i="110"/>
  <c r="EQ35" i="110"/>
  <c r="EH35" i="110"/>
  <c r="DY35" i="110"/>
  <c r="DK35" i="110"/>
  <c r="DF35" i="110"/>
  <c r="DG35" i="110" s="1"/>
  <c r="DH35" i="110" s="1"/>
  <c r="DB35" i="110"/>
  <c r="CV35" i="110"/>
  <c r="CW35" i="110" s="1"/>
  <c r="CX35" i="110" s="1"/>
  <c r="CR35" i="110"/>
  <c r="CM35" i="110"/>
  <c r="CN35" i="110" s="1"/>
  <c r="CO35" i="110" s="1"/>
  <c r="CI35" i="110"/>
  <c r="CD35" i="110"/>
  <c r="CE35" i="110" s="1"/>
  <c r="CF35" i="110" s="1"/>
  <c r="BZ35" i="110"/>
  <c r="BN35" i="110"/>
  <c r="AZ35" i="110"/>
  <c r="AY35" i="110"/>
  <c r="AW35" i="110"/>
  <c r="AU35" i="110"/>
  <c r="AS35" i="110"/>
  <c r="AP35" i="110"/>
  <c r="AO35" i="110"/>
  <c r="AM35" i="110"/>
  <c r="AK35" i="110"/>
  <c r="AI35" i="110"/>
  <c r="AF35" i="110"/>
  <c r="AE35" i="110"/>
  <c r="AC35" i="110"/>
  <c r="AA35" i="110"/>
  <c r="V35" i="110"/>
  <c r="Q35" i="110"/>
  <c r="O35" i="110"/>
  <c r="M35" i="110"/>
  <c r="I35" i="110"/>
  <c r="F35" i="110"/>
  <c r="EB35" i="110" s="1"/>
  <c r="C35" i="110"/>
  <c r="EA35" i="110"/>
  <c r="EQ34" i="110"/>
  <c r="EH34" i="110"/>
  <c r="DK34" i="110"/>
  <c r="DF34" i="110"/>
  <c r="DG34" i="110" s="1"/>
  <c r="DB34" i="110"/>
  <c r="CV34" i="110"/>
  <c r="CW34" i="110"/>
  <c r="CX34" i="110" s="1"/>
  <c r="CR34" i="110"/>
  <c r="CM34" i="110"/>
  <c r="CN34" i="110"/>
  <c r="CO34" i="110" s="1"/>
  <c r="CI34" i="110"/>
  <c r="CD34" i="110"/>
  <c r="CE34" i="110"/>
  <c r="CF34" i="110" s="1"/>
  <c r="BZ34" i="110"/>
  <c r="BN34" i="110"/>
  <c r="AZ34" i="110"/>
  <c r="AY34" i="110"/>
  <c r="AW34" i="110"/>
  <c r="AU34" i="110"/>
  <c r="AS34" i="110"/>
  <c r="AP34" i="110"/>
  <c r="AO34" i="110"/>
  <c r="AK34" i="110"/>
  <c r="AI34" i="110"/>
  <c r="AF34" i="110"/>
  <c r="AE34" i="110"/>
  <c r="AC34" i="110"/>
  <c r="AA34" i="110"/>
  <c r="V34" i="110"/>
  <c r="Q34" i="110"/>
  <c r="O34" i="110"/>
  <c r="M34" i="110"/>
  <c r="I34" i="110"/>
  <c r="F34" i="110"/>
  <c r="EB34" i="110" s="1"/>
  <c r="C34" i="110"/>
  <c r="EA34" i="110" s="1"/>
  <c r="EQ33" i="110"/>
  <c r="EH33" i="110"/>
  <c r="DY33" i="110"/>
  <c r="DK33" i="110"/>
  <c r="DF33" i="110"/>
  <c r="DG33" i="110" s="1"/>
  <c r="DH33" i="110" s="1"/>
  <c r="DB33" i="110"/>
  <c r="CV33" i="110"/>
  <c r="CW33" i="110" s="1"/>
  <c r="CX33" i="110" s="1"/>
  <c r="CR33" i="110"/>
  <c r="CM33" i="110"/>
  <c r="CN33" i="110" s="1"/>
  <c r="CO33" i="110" s="1"/>
  <c r="CI33" i="110"/>
  <c r="CD33" i="110"/>
  <c r="CE33" i="110" s="1"/>
  <c r="CF33" i="110" s="1"/>
  <c r="BZ33" i="110"/>
  <c r="BN33" i="110"/>
  <c r="AZ33" i="110"/>
  <c r="AY33" i="110"/>
  <c r="AW33" i="110"/>
  <c r="AU33" i="110"/>
  <c r="AS33" i="110"/>
  <c r="AP33" i="110"/>
  <c r="AO33" i="110"/>
  <c r="AM33" i="110"/>
  <c r="AK33" i="110"/>
  <c r="AI33" i="110"/>
  <c r="AF33" i="110"/>
  <c r="AE33" i="110"/>
  <c r="AC33" i="110"/>
  <c r="AA33" i="110"/>
  <c r="V33" i="110"/>
  <c r="Q33" i="110"/>
  <c r="EB33" i="110" s="1"/>
  <c r="O33" i="110"/>
  <c r="M33" i="110"/>
  <c r="I33" i="110"/>
  <c r="EC33" i="110" s="1"/>
  <c r="F33" i="110"/>
  <c r="C33" i="110"/>
  <c r="EA33" i="110" s="1"/>
  <c r="EQ32" i="110"/>
  <c r="EH32" i="110"/>
  <c r="DY32" i="110"/>
  <c r="DK32" i="110"/>
  <c r="DF32" i="110"/>
  <c r="DG32" i="110"/>
  <c r="DB32" i="110"/>
  <c r="CV32" i="110"/>
  <c r="CW32" i="110"/>
  <c r="CR32" i="110"/>
  <c r="CM32" i="110"/>
  <c r="CN32" i="110"/>
  <c r="CI32" i="110"/>
  <c r="CD32" i="110"/>
  <c r="CE32" i="110" s="1"/>
  <c r="CF32" i="110" s="1"/>
  <c r="BZ32" i="110"/>
  <c r="BN32" i="110"/>
  <c r="AZ32" i="110"/>
  <c r="AY32" i="110"/>
  <c r="AW32" i="110"/>
  <c r="AU32" i="110"/>
  <c r="AS32" i="110"/>
  <c r="AP32" i="110"/>
  <c r="AO32" i="110"/>
  <c r="AM32" i="110"/>
  <c r="AK32" i="110"/>
  <c r="AI32" i="110"/>
  <c r="AF32" i="110"/>
  <c r="AE32" i="110"/>
  <c r="AC32" i="110"/>
  <c r="AA32" i="110"/>
  <c r="V32" i="110"/>
  <c r="Q32" i="110"/>
  <c r="O32" i="110"/>
  <c r="M32" i="110"/>
  <c r="I32" i="110"/>
  <c r="F32" i="110"/>
  <c r="EB32" i="110" s="1"/>
  <c r="C32" i="110"/>
  <c r="EA32" i="110" s="1"/>
  <c r="EQ31" i="110"/>
  <c r="EH31" i="110"/>
  <c r="DY31" i="110"/>
  <c r="DK31" i="110"/>
  <c r="DF31" i="110"/>
  <c r="DG31" i="110" s="1"/>
  <c r="DH31" i="110" s="1"/>
  <c r="DB31" i="110"/>
  <c r="CV31" i="110"/>
  <c r="CW31" i="110" s="1"/>
  <c r="CX31" i="110" s="1"/>
  <c r="CR31" i="110"/>
  <c r="CM31" i="110"/>
  <c r="CN31" i="110" s="1"/>
  <c r="CO31" i="110" s="1"/>
  <c r="CI31" i="110"/>
  <c r="CD31" i="110"/>
  <c r="CE31" i="110" s="1"/>
  <c r="CF31" i="110" s="1"/>
  <c r="BZ31" i="110"/>
  <c r="BN31" i="110"/>
  <c r="AZ31" i="110"/>
  <c r="AY31" i="110"/>
  <c r="AW31" i="110"/>
  <c r="AU31" i="110"/>
  <c r="AS31" i="110"/>
  <c r="AP31" i="110"/>
  <c r="AO31" i="110"/>
  <c r="AK31" i="110"/>
  <c r="AI31" i="110"/>
  <c r="AF31" i="110"/>
  <c r="AE31" i="110"/>
  <c r="AC31" i="110"/>
  <c r="AA31" i="110"/>
  <c r="V31" i="110"/>
  <c r="Q31" i="110"/>
  <c r="O31" i="110"/>
  <c r="M31" i="110"/>
  <c r="I31" i="110"/>
  <c r="F31" i="110"/>
  <c r="EB31" i="110" s="1"/>
  <c r="C31" i="110"/>
  <c r="EA31" i="110"/>
  <c r="EQ30" i="110"/>
  <c r="EH30" i="110"/>
  <c r="DY30" i="110"/>
  <c r="DK30" i="110"/>
  <c r="DF30" i="110"/>
  <c r="DG30" i="110" s="1"/>
  <c r="DH30" i="110" s="1"/>
  <c r="DB30" i="110"/>
  <c r="CV30" i="110"/>
  <c r="CW30" i="110" s="1"/>
  <c r="CR30" i="110"/>
  <c r="CM30" i="110"/>
  <c r="CN30" i="110" s="1"/>
  <c r="CI30" i="110"/>
  <c r="CD30" i="110"/>
  <c r="CE30" i="110"/>
  <c r="BZ30" i="110"/>
  <c r="BN30" i="110"/>
  <c r="AZ30" i="110"/>
  <c r="AY30" i="110"/>
  <c r="AW30" i="110"/>
  <c r="AU30" i="110"/>
  <c r="AS30" i="110"/>
  <c r="AP30" i="110"/>
  <c r="AO30" i="110"/>
  <c r="AM30" i="110"/>
  <c r="AK30" i="110"/>
  <c r="AI30" i="110"/>
  <c r="AF30" i="110"/>
  <c r="AE30" i="110"/>
  <c r="AC30" i="110"/>
  <c r="V30" i="110"/>
  <c r="Q30" i="110"/>
  <c r="O30" i="110"/>
  <c r="M30" i="110"/>
  <c r="I30" i="110"/>
  <c r="F30" i="110"/>
  <c r="EB30" i="110" s="1"/>
  <c r="C30" i="110"/>
  <c r="EA30" i="110"/>
  <c r="EQ29" i="110"/>
  <c r="EH29" i="110"/>
  <c r="DY29" i="110"/>
  <c r="DK29" i="110"/>
  <c r="DF29" i="110"/>
  <c r="DG29" i="110" s="1"/>
  <c r="DH29" i="110" s="1"/>
  <c r="DB29" i="110"/>
  <c r="CV29" i="110"/>
  <c r="CW29" i="110" s="1"/>
  <c r="CR29" i="110"/>
  <c r="CM29" i="110"/>
  <c r="CN29" i="110" s="1"/>
  <c r="CO29" i="110" s="1"/>
  <c r="CI29" i="110"/>
  <c r="CD29" i="110"/>
  <c r="CE29" i="110" s="1"/>
  <c r="BZ29" i="110"/>
  <c r="BN29" i="110"/>
  <c r="AZ29" i="110"/>
  <c r="AY29" i="110"/>
  <c r="AW29" i="110"/>
  <c r="AU29" i="110"/>
  <c r="AS29" i="110"/>
  <c r="AP29" i="110"/>
  <c r="AO29" i="110"/>
  <c r="AM29" i="110"/>
  <c r="AK29" i="110"/>
  <c r="AI29" i="110"/>
  <c r="AF29" i="110"/>
  <c r="AE29" i="110"/>
  <c r="AC29" i="110"/>
  <c r="AA29" i="110"/>
  <c r="V29" i="110"/>
  <c r="Q29" i="110"/>
  <c r="O29" i="110"/>
  <c r="M29" i="110"/>
  <c r="I29" i="110"/>
  <c r="F29" i="110"/>
  <c r="EB29" i="110"/>
  <c r="C29" i="110"/>
  <c r="EA29" i="110" s="1"/>
  <c r="EQ28" i="110"/>
  <c r="EH28" i="110"/>
  <c r="DY28" i="110"/>
  <c r="DK28" i="110"/>
  <c r="DF28" i="110"/>
  <c r="DG28" i="110"/>
  <c r="DB28" i="110"/>
  <c r="CV28" i="110"/>
  <c r="CW28" i="110"/>
  <c r="CR28" i="110"/>
  <c r="CM28" i="110"/>
  <c r="CN28" i="110"/>
  <c r="CI28" i="110"/>
  <c r="CD28" i="110"/>
  <c r="CE28" i="110" s="1"/>
  <c r="CF28" i="110" s="1"/>
  <c r="BZ28" i="110"/>
  <c r="BN28" i="110"/>
  <c r="AZ28" i="110"/>
  <c r="AY28" i="110"/>
  <c r="AW28" i="110"/>
  <c r="AU28" i="110"/>
  <c r="AS28" i="110"/>
  <c r="AP28" i="110"/>
  <c r="AO28" i="110"/>
  <c r="AM28" i="110"/>
  <c r="AK28" i="110"/>
  <c r="AI28" i="110"/>
  <c r="AF28" i="110"/>
  <c r="AE28" i="110"/>
  <c r="AC28" i="110"/>
  <c r="AA28" i="110"/>
  <c r="V28" i="110"/>
  <c r="Q28" i="110"/>
  <c r="O28" i="110"/>
  <c r="M28" i="110"/>
  <c r="I28" i="110"/>
  <c r="F28" i="110"/>
  <c r="EB28" i="110" s="1"/>
  <c r="C28" i="110"/>
  <c r="CX28" i="110" s="1"/>
  <c r="EA28" i="110"/>
  <c r="EQ27" i="110"/>
  <c r="EH27" i="110"/>
  <c r="DY27" i="110"/>
  <c r="DK27" i="110"/>
  <c r="DF27" i="110"/>
  <c r="DG27" i="110" s="1"/>
  <c r="DH27" i="110" s="1"/>
  <c r="DB27" i="110"/>
  <c r="CV27" i="110"/>
  <c r="CW27" i="110" s="1"/>
  <c r="CX27" i="110" s="1"/>
  <c r="CR27" i="110"/>
  <c r="CM27" i="110"/>
  <c r="CN27" i="110" s="1"/>
  <c r="CI27" i="110"/>
  <c r="CD27" i="110"/>
  <c r="CE27" i="110" s="1"/>
  <c r="BZ27" i="110"/>
  <c r="BN27" i="110"/>
  <c r="AZ27" i="110"/>
  <c r="AY27" i="110"/>
  <c r="AW27" i="110"/>
  <c r="AU27" i="110"/>
  <c r="AS27" i="110"/>
  <c r="AP27" i="110"/>
  <c r="AO27" i="110"/>
  <c r="AK27" i="110"/>
  <c r="AI27" i="110"/>
  <c r="AF27" i="110"/>
  <c r="AE27" i="110"/>
  <c r="AC27" i="110"/>
  <c r="AA27" i="110"/>
  <c r="V27" i="110"/>
  <c r="Q27" i="110"/>
  <c r="O27" i="110"/>
  <c r="M27" i="110"/>
  <c r="I27" i="110"/>
  <c r="F27" i="110"/>
  <c r="EB27" i="110"/>
  <c r="C27" i="110"/>
  <c r="EA27" i="110" s="1"/>
  <c r="EQ26" i="110"/>
  <c r="EH26" i="110"/>
  <c r="DY26" i="110"/>
  <c r="DK26" i="110"/>
  <c r="DF26" i="110"/>
  <c r="DG26" i="110"/>
  <c r="DB26" i="110"/>
  <c r="CV26" i="110"/>
  <c r="CW26" i="110" s="1"/>
  <c r="CR26" i="110"/>
  <c r="CM26" i="110"/>
  <c r="CN26" i="110" s="1"/>
  <c r="CO26" i="110" s="1"/>
  <c r="CI26" i="110"/>
  <c r="CD26" i="110"/>
  <c r="CE26" i="110" s="1"/>
  <c r="CF26" i="110" s="1"/>
  <c r="BZ26" i="110"/>
  <c r="BN26" i="110"/>
  <c r="AZ26" i="110"/>
  <c r="AY26" i="110"/>
  <c r="AW26" i="110"/>
  <c r="AU26" i="110"/>
  <c r="AS26" i="110"/>
  <c r="AP26" i="110"/>
  <c r="AO26" i="110"/>
  <c r="AK26" i="110"/>
  <c r="AI26" i="110"/>
  <c r="AF26" i="110"/>
  <c r="AE26" i="110"/>
  <c r="AC26" i="110"/>
  <c r="AA26" i="110"/>
  <c r="V26" i="110"/>
  <c r="Q26" i="110"/>
  <c r="O26" i="110"/>
  <c r="M26" i="110"/>
  <c r="I26" i="110"/>
  <c r="F26" i="110"/>
  <c r="EB26" i="110"/>
  <c r="C26" i="110"/>
  <c r="EA26" i="110" s="1"/>
  <c r="EQ25" i="110"/>
  <c r="EH25" i="110"/>
  <c r="DY25" i="110"/>
  <c r="DK25" i="110"/>
  <c r="DF25" i="110"/>
  <c r="DG25" i="110"/>
  <c r="DB25" i="110"/>
  <c r="CV25" i="110"/>
  <c r="CW25" i="110"/>
  <c r="CX25" i="110"/>
  <c r="CR25" i="110"/>
  <c r="CM25" i="110"/>
  <c r="CN25" i="110"/>
  <c r="CI25" i="110"/>
  <c r="CD25" i="110"/>
  <c r="CE25" i="110" s="1"/>
  <c r="CF25" i="110" s="1"/>
  <c r="BZ25" i="110"/>
  <c r="BN25" i="110"/>
  <c r="AZ25" i="110"/>
  <c r="AY25" i="110"/>
  <c r="AW25" i="110"/>
  <c r="AU25" i="110"/>
  <c r="AS25" i="110"/>
  <c r="AP25" i="110"/>
  <c r="AO25" i="110"/>
  <c r="AK25" i="110"/>
  <c r="AI25" i="110"/>
  <c r="AF25" i="110"/>
  <c r="AE25" i="110"/>
  <c r="AC25" i="110"/>
  <c r="AA25" i="110"/>
  <c r="V25" i="110"/>
  <c r="Q25" i="110"/>
  <c r="O25" i="110"/>
  <c r="M25" i="110"/>
  <c r="I25" i="110"/>
  <c r="F25" i="110"/>
  <c r="EB25" i="110" s="1"/>
  <c r="C25" i="110"/>
  <c r="EA25" i="110"/>
  <c r="EQ24" i="110"/>
  <c r="EH24" i="110"/>
  <c r="DY24" i="110"/>
  <c r="DK24" i="110"/>
  <c r="DF24" i="110"/>
  <c r="DG24" i="110" s="1"/>
  <c r="DB24" i="110"/>
  <c r="CV24" i="110"/>
  <c r="CW24" i="110"/>
  <c r="CR24" i="110"/>
  <c r="CM24" i="110"/>
  <c r="CN24" i="110"/>
  <c r="CI24" i="110"/>
  <c r="CD24" i="110"/>
  <c r="CE24" i="110" s="1"/>
  <c r="BZ24" i="110"/>
  <c r="BN24" i="110"/>
  <c r="AZ24" i="110"/>
  <c r="AY24" i="110"/>
  <c r="AW24" i="110"/>
  <c r="AU24" i="110"/>
  <c r="AS24" i="110"/>
  <c r="AP24" i="110"/>
  <c r="AO24" i="110"/>
  <c r="AM24" i="110"/>
  <c r="AK24" i="110"/>
  <c r="AI24" i="110"/>
  <c r="AF24" i="110"/>
  <c r="AE24" i="110"/>
  <c r="AC24" i="110"/>
  <c r="AA24" i="110"/>
  <c r="V24" i="110"/>
  <c r="Q24" i="110"/>
  <c r="O24" i="110"/>
  <c r="M24" i="110"/>
  <c r="I24" i="110"/>
  <c r="F24" i="110"/>
  <c r="EB24" i="110" s="1"/>
  <c r="C24" i="110"/>
  <c r="EA24" i="110"/>
  <c r="EQ23" i="110"/>
  <c r="EH23" i="110"/>
  <c r="DY23" i="110"/>
  <c r="DK23" i="110"/>
  <c r="DF23" i="110"/>
  <c r="DG23" i="110" s="1"/>
  <c r="DB23" i="110"/>
  <c r="CV23" i="110"/>
  <c r="CW23" i="110"/>
  <c r="CR23" i="110"/>
  <c r="CM23" i="110"/>
  <c r="CN23" i="110"/>
  <c r="CI23" i="110"/>
  <c r="CD23" i="110"/>
  <c r="CE23" i="110" s="1"/>
  <c r="BZ23" i="110"/>
  <c r="BN23" i="110"/>
  <c r="AZ23" i="110"/>
  <c r="AY23" i="110"/>
  <c r="AW23" i="110"/>
  <c r="AU23" i="110"/>
  <c r="AS23" i="110"/>
  <c r="AP23" i="110"/>
  <c r="AO23" i="110"/>
  <c r="AM23" i="110"/>
  <c r="AK23" i="110"/>
  <c r="AI23" i="110"/>
  <c r="AF23" i="110"/>
  <c r="AE23" i="110"/>
  <c r="AC23" i="110"/>
  <c r="AA23" i="110"/>
  <c r="V23" i="110"/>
  <c r="Q23" i="110"/>
  <c r="O23" i="110"/>
  <c r="M23" i="110"/>
  <c r="I23" i="110"/>
  <c r="F23" i="110"/>
  <c r="EB23" i="110" s="1"/>
  <c r="C23" i="110"/>
  <c r="EA23" i="110"/>
  <c r="EQ22" i="110"/>
  <c r="EH22" i="110"/>
  <c r="DY22" i="110"/>
  <c r="DK22" i="110"/>
  <c r="DF22" i="110"/>
  <c r="DG22" i="110" s="1"/>
  <c r="DB22" i="110"/>
  <c r="CV22" i="110"/>
  <c r="CW22" i="110"/>
  <c r="CR22" i="110"/>
  <c r="CM22" i="110"/>
  <c r="CN22" i="110"/>
  <c r="CI22" i="110"/>
  <c r="CD22" i="110"/>
  <c r="CE22" i="110" s="1"/>
  <c r="BZ22" i="110"/>
  <c r="BN22" i="110"/>
  <c r="AZ22" i="110"/>
  <c r="AY22" i="110"/>
  <c r="AW22" i="110"/>
  <c r="AU22" i="110"/>
  <c r="AS22" i="110"/>
  <c r="AP22" i="110"/>
  <c r="AO22" i="110"/>
  <c r="AM22" i="110"/>
  <c r="AK22" i="110"/>
  <c r="AI22" i="110"/>
  <c r="AF22" i="110"/>
  <c r="AE22" i="110"/>
  <c r="AC22" i="110"/>
  <c r="AA22" i="110"/>
  <c r="V22" i="110"/>
  <c r="Q22" i="110"/>
  <c r="O22" i="110"/>
  <c r="M22" i="110"/>
  <c r="I22" i="110"/>
  <c r="F22" i="110"/>
  <c r="EB22" i="110" s="1"/>
  <c r="C22" i="110"/>
  <c r="EA22" i="110"/>
  <c r="EQ21" i="110"/>
  <c r="EH21" i="110"/>
  <c r="DY21" i="110"/>
  <c r="DK21" i="110"/>
  <c r="DF21" i="110"/>
  <c r="DG21" i="110" s="1"/>
  <c r="DB21" i="110"/>
  <c r="CV21" i="110"/>
  <c r="CW21" i="110"/>
  <c r="CR21" i="110"/>
  <c r="CM21" i="110"/>
  <c r="CN21" i="110"/>
  <c r="CI21" i="110"/>
  <c r="CD21" i="110"/>
  <c r="CE21" i="110" s="1"/>
  <c r="BZ21" i="110"/>
  <c r="BN21" i="110"/>
  <c r="AZ21" i="110"/>
  <c r="AY21" i="110"/>
  <c r="AW21" i="110"/>
  <c r="AU21" i="110"/>
  <c r="AS21" i="110"/>
  <c r="AP21" i="110"/>
  <c r="AO21" i="110"/>
  <c r="AM21" i="110"/>
  <c r="AK21" i="110"/>
  <c r="AI21" i="110"/>
  <c r="AF21" i="110"/>
  <c r="AE21" i="110"/>
  <c r="AC21" i="110"/>
  <c r="AA21" i="110"/>
  <c r="V21" i="110"/>
  <c r="Q21" i="110"/>
  <c r="O21" i="110"/>
  <c r="M21" i="110"/>
  <c r="I21" i="110"/>
  <c r="F21" i="110"/>
  <c r="EB21" i="110" s="1"/>
  <c r="C21" i="110"/>
  <c r="EA21" i="110"/>
  <c r="EQ20" i="110"/>
  <c r="EH20" i="110"/>
  <c r="DY20" i="110"/>
  <c r="DK20" i="110"/>
  <c r="DF20" i="110"/>
  <c r="DG20" i="110" s="1"/>
  <c r="DB20" i="110"/>
  <c r="CV20" i="110"/>
  <c r="CW20" i="110"/>
  <c r="CR20" i="110"/>
  <c r="CM20" i="110"/>
  <c r="CN20" i="110"/>
  <c r="CI20" i="110"/>
  <c r="CD20" i="110"/>
  <c r="CE20" i="110" s="1"/>
  <c r="BZ20" i="110"/>
  <c r="BN20" i="110"/>
  <c r="AZ20" i="110"/>
  <c r="AY20" i="110"/>
  <c r="AW20" i="110"/>
  <c r="AU20" i="110"/>
  <c r="AS20" i="110"/>
  <c r="AP20" i="110"/>
  <c r="AO20" i="110"/>
  <c r="AM20" i="110"/>
  <c r="AK20" i="110"/>
  <c r="AI20" i="110"/>
  <c r="AF20" i="110"/>
  <c r="AE20" i="110"/>
  <c r="AC20" i="110"/>
  <c r="AA20" i="110"/>
  <c r="V20" i="110"/>
  <c r="Q20" i="110"/>
  <c r="O20" i="110"/>
  <c r="M20" i="110"/>
  <c r="I20" i="110"/>
  <c r="F20" i="110"/>
  <c r="EB20" i="110" s="1"/>
  <c r="C20" i="110"/>
  <c r="EA20" i="110"/>
  <c r="EQ19" i="110"/>
  <c r="EH19" i="110"/>
  <c r="DY19" i="110"/>
  <c r="DK19" i="110"/>
  <c r="DF19" i="110"/>
  <c r="DG19" i="110" s="1"/>
  <c r="DB19" i="110"/>
  <c r="CV19" i="110"/>
  <c r="CW19" i="110"/>
  <c r="CR19" i="110"/>
  <c r="CM19" i="110"/>
  <c r="CN19" i="110"/>
  <c r="CI19" i="110"/>
  <c r="CD19" i="110"/>
  <c r="CE19" i="110"/>
  <c r="BZ19" i="110"/>
  <c r="BN19" i="110"/>
  <c r="AZ19" i="110"/>
  <c r="AY19" i="110"/>
  <c r="AW19" i="110"/>
  <c r="AU19" i="110"/>
  <c r="AS19" i="110"/>
  <c r="AP19" i="110"/>
  <c r="AO19" i="110"/>
  <c r="AM19" i="110"/>
  <c r="AK19" i="110"/>
  <c r="AI19" i="110"/>
  <c r="AF19" i="110"/>
  <c r="AE19" i="110"/>
  <c r="AC19" i="110"/>
  <c r="AA19" i="110"/>
  <c r="V19" i="110"/>
  <c r="Q19" i="110"/>
  <c r="O19" i="110"/>
  <c r="M19" i="110"/>
  <c r="I19" i="110"/>
  <c r="F19" i="110"/>
  <c r="EB19" i="110" s="1"/>
  <c r="C19" i="110"/>
  <c r="EA19" i="110"/>
  <c r="EQ18" i="110"/>
  <c r="EH18" i="110"/>
  <c r="DY18" i="110"/>
  <c r="DK18" i="110"/>
  <c r="DF18" i="110"/>
  <c r="DG18" i="110" s="1"/>
  <c r="DB18" i="110"/>
  <c r="CV18" i="110"/>
  <c r="CW18" i="110"/>
  <c r="CR18" i="110"/>
  <c r="CM18" i="110"/>
  <c r="CN18" i="110"/>
  <c r="CI18" i="110"/>
  <c r="CD18" i="110"/>
  <c r="CE18" i="110"/>
  <c r="BZ18" i="110"/>
  <c r="BN18" i="110"/>
  <c r="AZ18" i="110"/>
  <c r="AY18" i="110"/>
  <c r="AW18" i="110"/>
  <c r="AU18" i="110"/>
  <c r="AS18" i="110"/>
  <c r="AP18" i="110"/>
  <c r="AO18" i="110"/>
  <c r="AM18" i="110"/>
  <c r="AK18" i="110"/>
  <c r="AI18" i="110"/>
  <c r="AF18" i="110"/>
  <c r="AE18" i="110"/>
  <c r="AC18" i="110"/>
  <c r="AA18" i="110"/>
  <c r="V18" i="110"/>
  <c r="Q18" i="110"/>
  <c r="O18" i="110"/>
  <c r="M18" i="110"/>
  <c r="I18" i="110"/>
  <c r="F18" i="110"/>
  <c r="EB18" i="110" s="1"/>
  <c r="C18" i="110"/>
  <c r="EA18" i="110"/>
  <c r="EQ17" i="110"/>
  <c r="EH17" i="110"/>
  <c r="DY17" i="110"/>
  <c r="DK17" i="110"/>
  <c r="DF17" i="110"/>
  <c r="DG17" i="110" s="1"/>
  <c r="CV17" i="110"/>
  <c r="CW17" i="110"/>
  <c r="CR17" i="110"/>
  <c r="CM17" i="110"/>
  <c r="CN17" i="110"/>
  <c r="CI17" i="110"/>
  <c r="CD17" i="110"/>
  <c r="CE17" i="110" s="1"/>
  <c r="BZ17" i="110"/>
  <c r="BN17" i="110"/>
  <c r="AZ17" i="110"/>
  <c r="AY17" i="110"/>
  <c r="AW17" i="110"/>
  <c r="AU17" i="110"/>
  <c r="AS17" i="110"/>
  <c r="AP17" i="110"/>
  <c r="AO17" i="110"/>
  <c r="AM17" i="110"/>
  <c r="AK17" i="110"/>
  <c r="AI17" i="110"/>
  <c r="AF17" i="110"/>
  <c r="AE17" i="110"/>
  <c r="AC17" i="110"/>
  <c r="AA17" i="110"/>
  <c r="V17" i="110"/>
  <c r="Q17" i="110"/>
  <c r="O17" i="110"/>
  <c r="M17" i="110"/>
  <c r="I17" i="110"/>
  <c r="F17" i="110"/>
  <c r="EB17" i="110"/>
  <c r="C17" i="110"/>
  <c r="EA17" i="110"/>
  <c r="EQ16" i="110"/>
  <c r="EH16" i="110"/>
  <c r="DY16" i="110"/>
  <c r="DK16" i="110"/>
  <c r="DF16" i="110"/>
  <c r="DG16" i="110"/>
  <c r="DB16" i="110"/>
  <c r="CV16" i="110"/>
  <c r="CW16" i="110"/>
  <c r="CR16" i="110"/>
  <c r="CM16" i="110"/>
  <c r="CN16" i="110"/>
  <c r="CI16" i="110"/>
  <c r="CD16" i="110"/>
  <c r="CE16" i="110" s="1"/>
  <c r="BZ16" i="110"/>
  <c r="BN16" i="110"/>
  <c r="AZ16" i="110"/>
  <c r="AY16" i="110"/>
  <c r="AW16" i="110"/>
  <c r="AU16" i="110"/>
  <c r="AS16" i="110"/>
  <c r="AP16" i="110"/>
  <c r="AO16" i="110"/>
  <c r="AM16" i="110"/>
  <c r="AK16" i="110"/>
  <c r="AI16" i="110"/>
  <c r="AF16" i="110"/>
  <c r="AE16" i="110"/>
  <c r="AC16" i="110"/>
  <c r="AA16" i="110"/>
  <c r="V16" i="110"/>
  <c r="Q16" i="110"/>
  <c r="O16" i="110"/>
  <c r="M16" i="110"/>
  <c r="I16" i="110"/>
  <c r="F16" i="110"/>
  <c r="EB16" i="110"/>
  <c r="C16" i="110"/>
  <c r="EA16" i="110"/>
  <c r="EQ15" i="110"/>
  <c r="EH15" i="110"/>
  <c r="DY15" i="110"/>
  <c r="DK15" i="110"/>
  <c r="DF15" i="110"/>
  <c r="DG15" i="110"/>
  <c r="DB15" i="110"/>
  <c r="CV15" i="110"/>
  <c r="CW15" i="110"/>
  <c r="CR15" i="110"/>
  <c r="CM15" i="110"/>
  <c r="CN15" i="110"/>
  <c r="CI15" i="110"/>
  <c r="CD15" i="110"/>
  <c r="CE15" i="110" s="1"/>
  <c r="BZ15" i="110"/>
  <c r="BN15" i="110"/>
  <c r="AZ15" i="110"/>
  <c r="AY15" i="110"/>
  <c r="AW15" i="110"/>
  <c r="AU15" i="110"/>
  <c r="AS15" i="110"/>
  <c r="AP15" i="110"/>
  <c r="AO15" i="110"/>
  <c r="AK15" i="110"/>
  <c r="AI15" i="110"/>
  <c r="AF15" i="110"/>
  <c r="AE15" i="110"/>
  <c r="AC15" i="110"/>
  <c r="AA15" i="110"/>
  <c r="V15" i="110"/>
  <c r="Q15" i="110"/>
  <c r="O15" i="110"/>
  <c r="M15" i="110"/>
  <c r="I15" i="110"/>
  <c r="F15" i="110"/>
  <c r="EB15" i="110"/>
  <c r="C15" i="110"/>
  <c r="EA15" i="110" s="1"/>
  <c r="EQ14" i="110"/>
  <c r="EH14" i="110"/>
  <c r="DY14" i="110"/>
  <c r="DK14" i="110"/>
  <c r="DF14" i="110"/>
  <c r="DG14" i="110"/>
  <c r="DB14" i="110"/>
  <c r="CV14" i="110"/>
  <c r="CW14" i="110"/>
  <c r="CR14" i="110"/>
  <c r="CM14" i="110"/>
  <c r="CN14" i="110" s="1"/>
  <c r="CI14" i="110"/>
  <c r="CD14" i="110"/>
  <c r="CE14" i="110"/>
  <c r="BZ14" i="110"/>
  <c r="BN14" i="110"/>
  <c r="AZ14" i="110"/>
  <c r="AY14" i="110"/>
  <c r="AW14" i="110"/>
  <c r="AU14" i="110"/>
  <c r="AS14" i="110"/>
  <c r="AP14" i="110"/>
  <c r="AO14" i="110"/>
  <c r="AM14" i="110"/>
  <c r="AK14" i="110"/>
  <c r="AI14" i="110"/>
  <c r="AF14" i="110"/>
  <c r="AE14" i="110"/>
  <c r="AC14" i="110"/>
  <c r="AA14" i="110"/>
  <c r="V14" i="110"/>
  <c r="Q14" i="110"/>
  <c r="O14" i="110"/>
  <c r="M14" i="110"/>
  <c r="I14" i="110"/>
  <c r="F14" i="110"/>
  <c r="EB14" i="110"/>
  <c r="C14" i="110"/>
  <c r="EA14" i="110" s="1"/>
  <c r="EQ13" i="110"/>
  <c r="EH13" i="110"/>
  <c r="DY13" i="110"/>
  <c r="DK13" i="110"/>
  <c r="DF13" i="110"/>
  <c r="DG13" i="110"/>
  <c r="DB13" i="110"/>
  <c r="CV13" i="110"/>
  <c r="CW13" i="110"/>
  <c r="CR13" i="110"/>
  <c r="CM13" i="110"/>
  <c r="CN13" i="110" s="1"/>
  <c r="CI13" i="110"/>
  <c r="CD13" i="110"/>
  <c r="CE13" i="110"/>
  <c r="BZ13" i="110"/>
  <c r="BN13" i="110"/>
  <c r="AZ13" i="110"/>
  <c r="AY13" i="110"/>
  <c r="AW13" i="110"/>
  <c r="AU13" i="110"/>
  <c r="AS13" i="110"/>
  <c r="AP13" i="110"/>
  <c r="AO13" i="110"/>
  <c r="AM13" i="110"/>
  <c r="AK13" i="110"/>
  <c r="AI13" i="110"/>
  <c r="AF13" i="110"/>
  <c r="AE13" i="110"/>
  <c r="AC13" i="110"/>
  <c r="AA13" i="110"/>
  <c r="V13" i="110"/>
  <c r="Q13" i="110"/>
  <c r="O13" i="110"/>
  <c r="M13" i="110"/>
  <c r="I13" i="110"/>
  <c r="F13" i="110"/>
  <c r="EB13" i="110"/>
  <c r="C13" i="110"/>
  <c r="EA13" i="110" s="1"/>
  <c r="EQ12" i="110"/>
  <c r="EH12" i="110"/>
  <c r="DY12" i="110"/>
  <c r="DK12" i="110"/>
  <c r="DF12" i="110"/>
  <c r="DG12" i="110"/>
  <c r="DB12" i="110"/>
  <c r="CV12" i="110"/>
  <c r="CW12" i="110"/>
  <c r="CR12" i="110"/>
  <c r="CM12" i="110"/>
  <c r="CN12" i="110" s="1"/>
  <c r="CI12" i="110"/>
  <c r="CD12" i="110"/>
  <c r="CE12" i="110"/>
  <c r="BZ12" i="110"/>
  <c r="BN12" i="110"/>
  <c r="AZ12" i="110"/>
  <c r="AY12" i="110"/>
  <c r="AW12" i="110"/>
  <c r="AU12" i="110"/>
  <c r="AS12" i="110"/>
  <c r="AP12" i="110"/>
  <c r="AO12" i="110"/>
  <c r="AM12" i="110"/>
  <c r="AK12" i="110"/>
  <c r="AI12" i="110"/>
  <c r="AF12" i="110"/>
  <c r="AE12" i="110"/>
  <c r="AC12" i="110"/>
  <c r="AA12" i="110"/>
  <c r="V12" i="110"/>
  <c r="Q12" i="110"/>
  <c r="O12" i="110"/>
  <c r="M12" i="110"/>
  <c r="I12" i="110"/>
  <c r="F12" i="110"/>
  <c r="EB12" i="110" s="1"/>
  <c r="C12" i="110"/>
  <c r="EA12" i="110" s="1"/>
  <c r="EQ11" i="110"/>
  <c r="EH11" i="110"/>
  <c r="DY11" i="110"/>
  <c r="DK11" i="110"/>
  <c r="DF11" i="110"/>
  <c r="DG11" i="110" s="1"/>
  <c r="DB11" i="110"/>
  <c r="CV11" i="110"/>
  <c r="CW11" i="110"/>
  <c r="CR11" i="110"/>
  <c r="CM11" i="110"/>
  <c r="CN11" i="110" s="1"/>
  <c r="CI11" i="110"/>
  <c r="CD11" i="110"/>
  <c r="CE11" i="110"/>
  <c r="BZ11" i="110"/>
  <c r="BN11" i="110"/>
  <c r="AZ11" i="110"/>
  <c r="AY11" i="110"/>
  <c r="AW11" i="110"/>
  <c r="AU11" i="110"/>
  <c r="AS11" i="110"/>
  <c r="AP11" i="110"/>
  <c r="AO11" i="110"/>
  <c r="AM11" i="110"/>
  <c r="AK11" i="110"/>
  <c r="AI11" i="110"/>
  <c r="AF11" i="110"/>
  <c r="AE11" i="110"/>
  <c r="AC11" i="110"/>
  <c r="AA11" i="110"/>
  <c r="V11" i="110"/>
  <c r="Q11" i="110"/>
  <c r="O11" i="110"/>
  <c r="M11" i="110"/>
  <c r="I11" i="110"/>
  <c r="F11" i="110"/>
  <c r="EB11" i="110" s="1"/>
  <c r="C11" i="110"/>
  <c r="EA11" i="110" s="1"/>
  <c r="EQ10" i="110"/>
  <c r="EH10" i="110"/>
  <c r="DY10" i="110"/>
  <c r="DK10" i="110"/>
  <c r="DF10" i="110"/>
  <c r="DG10" i="110" s="1"/>
  <c r="DB10" i="110"/>
  <c r="CV10" i="110"/>
  <c r="CW10" i="110"/>
  <c r="CR10" i="110"/>
  <c r="CM10" i="110"/>
  <c r="CN10" i="110" s="1"/>
  <c r="CI10" i="110"/>
  <c r="CD10" i="110"/>
  <c r="CE10" i="110"/>
  <c r="BZ10" i="110"/>
  <c r="BN10" i="110"/>
  <c r="AZ10" i="110"/>
  <c r="AY10" i="110"/>
  <c r="AW10" i="110"/>
  <c r="AU10" i="110"/>
  <c r="AS10" i="110"/>
  <c r="AP10" i="110"/>
  <c r="AO10" i="110"/>
  <c r="AM10" i="110"/>
  <c r="AK10" i="110"/>
  <c r="AI10" i="110"/>
  <c r="AF10" i="110"/>
  <c r="AE10" i="110"/>
  <c r="AC10" i="110"/>
  <c r="AA10" i="110"/>
  <c r="V10" i="110"/>
  <c r="Q10" i="110"/>
  <c r="O10" i="110"/>
  <c r="M10" i="110"/>
  <c r="I10" i="110"/>
  <c r="F10" i="110"/>
  <c r="EB10" i="110" s="1"/>
  <c r="C10" i="110"/>
  <c r="EA10" i="110" s="1"/>
  <c r="EQ9" i="110"/>
  <c r="EH9" i="110"/>
  <c r="DY9" i="110"/>
  <c r="DK9" i="110"/>
  <c r="DF9" i="110"/>
  <c r="DG9" i="110" s="1"/>
  <c r="DB9" i="110"/>
  <c r="CV9" i="110"/>
  <c r="CW9" i="110"/>
  <c r="CR9" i="110"/>
  <c r="CM9" i="110"/>
  <c r="CN9" i="110" s="1"/>
  <c r="CI9" i="110"/>
  <c r="CD9" i="110"/>
  <c r="CE9" i="110"/>
  <c r="BZ9" i="110"/>
  <c r="BN9" i="110"/>
  <c r="AZ9" i="110"/>
  <c r="AY9" i="110"/>
  <c r="AW9" i="110"/>
  <c r="AU9" i="110"/>
  <c r="AS9" i="110"/>
  <c r="AP9" i="110"/>
  <c r="AO9" i="110"/>
  <c r="AM9" i="110"/>
  <c r="AK9" i="110"/>
  <c r="AI9" i="110"/>
  <c r="AF9" i="110"/>
  <c r="AE9" i="110"/>
  <c r="AC9" i="110"/>
  <c r="AA9" i="110"/>
  <c r="V9" i="110"/>
  <c r="Q9" i="110"/>
  <c r="O9" i="110"/>
  <c r="M9" i="110"/>
  <c r="I9" i="110"/>
  <c r="F9" i="110"/>
  <c r="EB9" i="110" s="1"/>
  <c r="C9" i="110"/>
  <c r="EA9" i="110" s="1"/>
  <c r="EQ8" i="110"/>
  <c r="EH8" i="110"/>
  <c r="DY8" i="110"/>
  <c r="DK8" i="110"/>
  <c r="DF8" i="110"/>
  <c r="DB8" i="110"/>
  <c r="CV8" i="110"/>
  <c r="CR8" i="110"/>
  <c r="CM8" i="110"/>
  <c r="CI8" i="110"/>
  <c r="CD8" i="110"/>
  <c r="BZ8" i="110"/>
  <c r="BN8" i="110"/>
  <c r="AZ8" i="110"/>
  <c r="AY8" i="110"/>
  <c r="AW8" i="110"/>
  <c r="AU8" i="110"/>
  <c r="AS8" i="110"/>
  <c r="AP8" i="110"/>
  <c r="AO8" i="110"/>
  <c r="AM8" i="110"/>
  <c r="AK8" i="110"/>
  <c r="AI8" i="110"/>
  <c r="AF8" i="110"/>
  <c r="AE8" i="110"/>
  <c r="AC8" i="110"/>
  <c r="AA8" i="110"/>
  <c r="V8" i="110"/>
  <c r="Q8" i="110"/>
  <c r="O8" i="110"/>
  <c r="M8" i="110"/>
  <c r="I8" i="110"/>
  <c r="F8" i="110"/>
  <c r="C8" i="110"/>
  <c r="EI3" i="110"/>
  <c r="DZ3" i="110"/>
  <c r="DL3" i="110"/>
  <c r="DC3" i="110"/>
  <c r="CS3" i="110"/>
  <c r="CJ3" i="110"/>
  <c r="CA3" i="110"/>
  <c r="BO3" i="110"/>
  <c r="BA3" i="110"/>
  <c r="AQ3" i="110"/>
  <c r="AG3" i="110"/>
  <c r="W3" i="110"/>
  <c r="K3" i="110"/>
  <c r="EI1" i="110"/>
  <c r="DL1" i="110"/>
  <c r="DC1" i="110"/>
  <c r="CS1" i="110"/>
  <c r="CJ1" i="110"/>
  <c r="CA1" i="110"/>
  <c r="BO1" i="110"/>
  <c r="BA1" i="110"/>
  <c r="AQ1" i="110"/>
  <c r="AG1" i="110"/>
  <c r="W1" i="110"/>
  <c r="K1" i="110"/>
  <c r="CV38" i="108"/>
  <c r="CM38" i="108"/>
  <c r="CD38" i="108"/>
  <c r="AY38" i="108"/>
  <c r="AW38" i="108"/>
  <c r="AU38" i="108"/>
  <c r="AS38" i="108"/>
  <c r="AO38" i="108"/>
  <c r="AM38" i="108"/>
  <c r="AK38" i="108"/>
  <c r="AI38" i="108"/>
  <c r="AE38" i="108"/>
  <c r="AC38" i="108"/>
  <c r="AA38" i="108"/>
  <c r="Y38" i="108"/>
  <c r="Q38" i="108"/>
  <c r="O38" i="108"/>
  <c r="M38" i="108"/>
  <c r="I38" i="108"/>
  <c r="F38" i="108"/>
  <c r="C38" i="108"/>
  <c r="EI42" i="109"/>
  <c r="DZ42" i="109"/>
  <c r="DL42" i="109"/>
  <c r="DC42" i="109"/>
  <c r="CS42" i="109"/>
  <c r="CJ42" i="109"/>
  <c r="CA42" i="109"/>
  <c r="BO42" i="109"/>
  <c r="BA42" i="109"/>
  <c r="AQ42" i="109"/>
  <c r="AG42" i="109"/>
  <c r="W42" i="109"/>
  <c r="K42" i="109"/>
  <c r="EG41" i="109"/>
  <c r="EF41" i="109"/>
  <c r="EE41" i="109"/>
  <c r="DW41" i="109"/>
  <c r="DV41" i="109"/>
  <c r="DU41" i="109"/>
  <c r="DT41" i="109"/>
  <c r="DS41" i="109"/>
  <c r="DR41" i="109"/>
  <c r="DQ41" i="109"/>
  <c r="DP41" i="109"/>
  <c r="DO41" i="109"/>
  <c r="DN41" i="109"/>
  <c r="DM41" i="109"/>
  <c r="BW41" i="109"/>
  <c r="BV41" i="109"/>
  <c r="BU41" i="109"/>
  <c r="AU13" i="67"/>
  <c r="BT41" i="109"/>
  <c r="AT13" i="67" s="1"/>
  <c r="BS41" i="109"/>
  <c r="AS13" i="67"/>
  <c r="BR41" i="109"/>
  <c r="BQ41" i="109"/>
  <c r="AQ13" i="67" s="1"/>
  <c r="BP41" i="109"/>
  <c r="BM41" i="109"/>
  <c r="AN13" i="67" s="1"/>
  <c r="BL41" i="109"/>
  <c r="AM13" i="67" s="1"/>
  <c r="BK41" i="109"/>
  <c r="AL13" i="67" s="1"/>
  <c r="BJ41" i="109"/>
  <c r="AK13" i="67" s="1"/>
  <c r="BI41" i="109"/>
  <c r="AJ13" i="67" s="1"/>
  <c r="BH41" i="109"/>
  <c r="AI13" i="67" s="1"/>
  <c r="BG41" i="109"/>
  <c r="AH13" i="67" s="1"/>
  <c r="BF41" i="109"/>
  <c r="AG13" i="67" s="1"/>
  <c r="BE41" i="109"/>
  <c r="AF13" i="67" s="1"/>
  <c r="BD41" i="109"/>
  <c r="BC41" i="109"/>
  <c r="AD13" i="67"/>
  <c r="BB41" i="109"/>
  <c r="ED40" i="109"/>
  <c r="EQ37" i="109"/>
  <c r="EH37" i="109"/>
  <c r="DY37" i="109"/>
  <c r="DK37" i="109"/>
  <c r="DG37" i="109"/>
  <c r="DB37" i="109"/>
  <c r="CR37" i="109"/>
  <c r="CI37" i="109"/>
  <c r="BZ37" i="109"/>
  <c r="BN37" i="109"/>
  <c r="AZ37" i="109"/>
  <c r="AP37" i="109"/>
  <c r="AF37" i="109"/>
  <c r="V37" i="109"/>
  <c r="EQ36" i="109"/>
  <c r="EH36" i="109"/>
  <c r="DY36" i="109"/>
  <c r="DK36" i="109"/>
  <c r="DF36" i="109"/>
  <c r="DG36" i="109"/>
  <c r="DB36" i="109"/>
  <c r="CV36" i="109"/>
  <c r="CW36" i="109" s="1"/>
  <c r="CR36" i="109"/>
  <c r="CM36" i="109"/>
  <c r="CN36" i="109"/>
  <c r="CI36" i="109"/>
  <c r="BZ36" i="109"/>
  <c r="BN36" i="109"/>
  <c r="AZ36" i="109"/>
  <c r="AY36" i="109"/>
  <c r="AU36" i="109"/>
  <c r="AS36" i="109"/>
  <c r="AP36" i="109"/>
  <c r="AO36" i="109"/>
  <c r="AM36" i="109"/>
  <c r="AK36" i="109"/>
  <c r="AI36" i="109"/>
  <c r="AF36" i="109"/>
  <c r="AE36" i="109"/>
  <c r="AC36" i="109"/>
  <c r="Y36" i="109"/>
  <c r="V36" i="109"/>
  <c r="Q36" i="109"/>
  <c r="O36" i="109"/>
  <c r="M36" i="109"/>
  <c r="I36" i="109"/>
  <c r="F36" i="109"/>
  <c r="EB36" i="109" s="1"/>
  <c r="C36" i="109"/>
  <c r="EA36" i="109" s="1"/>
  <c r="EQ35" i="109"/>
  <c r="EH35" i="109"/>
  <c r="DY35" i="109"/>
  <c r="DK35" i="109"/>
  <c r="DF35" i="109"/>
  <c r="DG35" i="109" s="1"/>
  <c r="DB35" i="109"/>
  <c r="CV35" i="109"/>
  <c r="CW35" i="109"/>
  <c r="CR35" i="109"/>
  <c r="CM35" i="109"/>
  <c r="CN35" i="109" s="1"/>
  <c r="CI35" i="109"/>
  <c r="CD35" i="109"/>
  <c r="CE35" i="109"/>
  <c r="BZ35" i="109"/>
  <c r="BN35" i="109"/>
  <c r="AZ35" i="109"/>
  <c r="AY35" i="109"/>
  <c r="AW35" i="109"/>
  <c r="AU35" i="109"/>
  <c r="AS35" i="109"/>
  <c r="AP35" i="109"/>
  <c r="AO35" i="109"/>
  <c r="AM35" i="109"/>
  <c r="AK35" i="109"/>
  <c r="AI35" i="109"/>
  <c r="AF35" i="109"/>
  <c r="AE35" i="109"/>
  <c r="AC35" i="109"/>
  <c r="AA35" i="109"/>
  <c r="Y35" i="109"/>
  <c r="V35" i="109"/>
  <c r="Q35" i="109"/>
  <c r="O35" i="109"/>
  <c r="M35" i="109"/>
  <c r="I35" i="109"/>
  <c r="F35" i="109"/>
  <c r="EB35" i="109" s="1"/>
  <c r="C35" i="109"/>
  <c r="EA35" i="109" s="1"/>
  <c r="EQ34" i="109"/>
  <c r="EH34" i="109"/>
  <c r="DY34" i="109"/>
  <c r="DK34" i="109"/>
  <c r="DF34" i="109"/>
  <c r="DG34" i="109" s="1"/>
  <c r="DB34" i="109"/>
  <c r="CV34" i="109"/>
  <c r="CW34" i="109"/>
  <c r="CR34" i="109"/>
  <c r="CM34" i="109"/>
  <c r="CN34" i="109" s="1"/>
  <c r="CI34" i="109"/>
  <c r="CD34" i="109"/>
  <c r="CE34" i="109" s="1"/>
  <c r="BZ34" i="109"/>
  <c r="BN34" i="109"/>
  <c r="AZ34" i="109"/>
  <c r="AY34" i="109"/>
  <c r="AW34" i="109"/>
  <c r="AU34" i="109"/>
  <c r="AS34" i="109"/>
  <c r="AP34" i="109"/>
  <c r="AO34" i="109"/>
  <c r="AM34" i="109"/>
  <c r="AK34" i="109"/>
  <c r="AI34" i="109"/>
  <c r="AF34" i="109"/>
  <c r="AE34" i="109"/>
  <c r="AC34" i="109"/>
  <c r="AA34" i="109"/>
  <c r="Y34" i="109"/>
  <c r="V34" i="109"/>
  <c r="Q34" i="109"/>
  <c r="O34" i="109"/>
  <c r="M34" i="109"/>
  <c r="I34" i="109"/>
  <c r="F34" i="109"/>
  <c r="EB34" i="109" s="1"/>
  <c r="C34" i="109"/>
  <c r="EA34" i="109"/>
  <c r="EQ33" i="109"/>
  <c r="EH33" i="109"/>
  <c r="DY33" i="109"/>
  <c r="DK33" i="109"/>
  <c r="DF33" i="109"/>
  <c r="DG33" i="109" s="1"/>
  <c r="DH33" i="109" s="1"/>
  <c r="DB33" i="109"/>
  <c r="CV33" i="109"/>
  <c r="CW33" i="109" s="1"/>
  <c r="CR33" i="109"/>
  <c r="CM33" i="109"/>
  <c r="CN33" i="109" s="1"/>
  <c r="CO33" i="109" s="1"/>
  <c r="CI33" i="109"/>
  <c r="CD33" i="109"/>
  <c r="CE33" i="109" s="1"/>
  <c r="BZ33" i="109"/>
  <c r="BN33" i="109"/>
  <c r="AZ33" i="109"/>
  <c r="AY33" i="109"/>
  <c r="AW33" i="109"/>
  <c r="AU33" i="109"/>
  <c r="AS33" i="109"/>
  <c r="AP33" i="109"/>
  <c r="AO33" i="109"/>
  <c r="AM33" i="109"/>
  <c r="AK33" i="109"/>
  <c r="AI33" i="109"/>
  <c r="AF33" i="109"/>
  <c r="AE33" i="109"/>
  <c r="AC33" i="109"/>
  <c r="AA33" i="109"/>
  <c r="Y33" i="109"/>
  <c r="V33" i="109"/>
  <c r="Q33" i="109"/>
  <c r="O33" i="109"/>
  <c r="M33" i="109"/>
  <c r="I33" i="109"/>
  <c r="EC33" i="109"/>
  <c r="F33" i="109"/>
  <c r="EB33" i="109" s="1"/>
  <c r="C33" i="109"/>
  <c r="EA33" i="109"/>
  <c r="EQ32" i="109"/>
  <c r="EH32" i="109"/>
  <c r="DY32" i="109"/>
  <c r="DK32" i="109"/>
  <c r="DF32" i="109"/>
  <c r="DG32" i="109" s="1"/>
  <c r="DH32" i="109" s="1"/>
  <c r="DB32" i="109"/>
  <c r="CV32" i="109"/>
  <c r="CW32" i="109" s="1"/>
  <c r="CX32" i="109" s="1"/>
  <c r="CR32" i="109"/>
  <c r="CM32" i="109"/>
  <c r="CN32" i="109" s="1"/>
  <c r="CO32" i="109" s="1"/>
  <c r="CI32" i="109"/>
  <c r="CD32" i="109"/>
  <c r="CE32" i="109" s="1"/>
  <c r="BZ32" i="109"/>
  <c r="BN32" i="109"/>
  <c r="AZ32" i="109"/>
  <c r="AY32" i="109"/>
  <c r="AW32" i="109"/>
  <c r="AU32" i="109"/>
  <c r="AS32" i="109"/>
  <c r="AP32" i="109"/>
  <c r="AO32" i="109"/>
  <c r="AM32" i="109"/>
  <c r="AK32" i="109"/>
  <c r="AI32" i="109"/>
  <c r="AF32" i="109"/>
  <c r="AE32" i="109"/>
  <c r="AC32" i="109"/>
  <c r="AA32" i="109"/>
  <c r="Y32" i="109"/>
  <c r="V32" i="109"/>
  <c r="Q32" i="109"/>
  <c r="O32" i="109"/>
  <c r="M32" i="109"/>
  <c r="I32" i="109"/>
  <c r="EC32" i="109" s="1"/>
  <c r="F32" i="109"/>
  <c r="EB32" i="109" s="1"/>
  <c r="EA32" i="109"/>
  <c r="EQ31" i="109"/>
  <c r="EH31" i="109"/>
  <c r="DY31" i="109"/>
  <c r="DK31" i="109"/>
  <c r="DF31" i="109"/>
  <c r="DG31" i="109" s="1"/>
  <c r="DB31" i="109"/>
  <c r="CV31" i="109"/>
  <c r="CW31" i="109" s="1"/>
  <c r="CR31" i="109"/>
  <c r="CM31" i="109"/>
  <c r="CN31" i="109"/>
  <c r="CI31" i="109"/>
  <c r="CD31" i="109"/>
  <c r="CE31" i="109" s="1"/>
  <c r="CF31" i="109" s="1"/>
  <c r="BZ31" i="109"/>
  <c r="BN31" i="109"/>
  <c r="AZ31" i="109"/>
  <c r="AY31" i="109"/>
  <c r="AW31" i="109"/>
  <c r="AU31" i="109"/>
  <c r="AS31" i="109"/>
  <c r="AP31" i="109"/>
  <c r="AO31" i="109"/>
  <c r="AM31" i="109"/>
  <c r="AK31" i="109"/>
  <c r="AI31" i="109"/>
  <c r="AF31" i="109"/>
  <c r="AE31" i="109"/>
  <c r="AC31" i="109"/>
  <c r="AA31" i="109"/>
  <c r="Y31" i="109"/>
  <c r="V31" i="109"/>
  <c r="Q31" i="109"/>
  <c r="O31" i="109"/>
  <c r="M31" i="109"/>
  <c r="I31" i="109"/>
  <c r="F31" i="109"/>
  <c r="EB31" i="109"/>
  <c r="C31" i="109"/>
  <c r="EA31" i="109" s="1"/>
  <c r="EQ30" i="109"/>
  <c r="EH30" i="109"/>
  <c r="DY30" i="109"/>
  <c r="DK30" i="109"/>
  <c r="DF30" i="109"/>
  <c r="DG30" i="109"/>
  <c r="DB30" i="109"/>
  <c r="CV30" i="109"/>
  <c r="CW30" i="109" s="1"/>
  <c r="CR30" i="109"/>
  <c r="CM30" i="109"/>
  <c r="CN30" i="109" s="1"/>
  <c r="CI30" i="109"/>
  <c r="CD30" i="109"/>
  <c r="CE30" i="109" s="1"/>
  <c r="BZ30" i="109"/>
  <c r="BN30" i="109"/>
  <c r="AZ30" i="109"/>
  <c r="AY30" i="109"/>
  <c r="AW30" i="109"/>
  <c r="AU30" i="109"/>
  <c r="AS30" i="109"/>
  <c r="AP30" i="109"/>
  <c r="AO30" i="109"/>
  <c r="AM30" i="109"/>
  <c r="AK30" i="109"/>
  <c r="AI30" i="109"/>
  <c r="AF30" i="109"/>
  <c r="AE30" i="109"/>
  <c r="AC30" i="109"/>
  <c r="AA30" i="109"/>
  <c r="Y30" i="109"/>
  <c r="V30" i="109"/>
  <c r="Q30" i="109"/>
  <c r="O30" i="109"/>
  <c r="M30" i="109"/>
  <c r="I30" i="109"/>
  <c r="F30" i="109"/>
  <c r="EB30" i="109" s="1"/>
  <c r="C30" i="109"/>
  <c r="EA30" i="109" s="1"/>
  <c r="EQ29" i="109"/>
  <c r="EH29" i="109"/>
  <c r="DY29" i="109"/>
  <c r="DK29" i="109"/>
  <c r="DF29" i="109"/>
  <c r="DG29" i="109" s="1"/>
  <c r="DH29" i="109" s="1"/>
  <c r="DB29" i="109"/>
  <c r="CV29" i="109"/>
  <c r="CW29" i="109" s="1"/>
  <c r="CR29" i="109"/>
  <c r="CM29" i="109"/>
  <c r="CN29" i="109"/>
  <c r="CO29" i="109" s="1"/>
  <c r="CI29" i="109"/>
  <c r="CD29" i="109"/>
  <c r="CE29" i="109"/>
  <c r="BZ29" i="109"/>
  <c r="BN29" i="109"/>
  <c r="AZ29" i="109"/>
  <c r="AY29" i="109"/>
  <c r="AW29" i="109"/>
  <c r="AU29" i="109"/>
  <c r="AS29" i="109"/>
  <c r="AP29" i="109"/>
  <c r="AO29" i="109"/>
  <c r="AM29" i="109"/>
  <c r="AK29" i="109"/>
  <c r="AI29" i="109"/>
  <c r="AF29" i="109"/>
  <c r="AE29" i="109"/>
  <c r="AC29" i="109"/>
  <c r="AA29" i="109"/>
  <c r="Y29" i="109"/>
  <c r="V29" i="109"/>
  <c r="Q29" i="109"/>
  <c r="O29" i="109"/>
  <c r="M29" i="109"/>
  <c r="I29" i="109"/>
  <c r="EC29" i="109" s="1"/>
  <c r="F29" i="109"/>
  <c r="EB29" i="109" s="1"/>
  <c r="C29" i="109"/>
  <c r="EA29" i="109" s="1"/>
  <c r="EQ28" i="109"/>
  <c r="EH28" i="109"/>
  <c r="DY28" i="109"/>
  <c r="DK28" i="109"/>
  <c r="DF28" i="109"/>
  <c r="DG28" i="109" s="1"/>
  <c r="DB28" i="109"/>
  <c r="CV28" i="109"/>
  <c r="CW28" i="109"/>
  <c r="CR28" i="109"/>
  <c r="CM28" i="109"/>
  <c r="CN28" i="109" s="1"/>
  <c r="CI28" i="109"/>
  <c r="CD28" i="109"/>
  <c r="CE28" i="109" s="1"/>
  <c r="BZ28" i="109"/>
  <c r="BN28" i="109"/>
  <c r="AZ28" i="109"/>
  <c r="AY28" i="109"/>
  <c r="AW28" i="109"/>
  <c r="AU28" i="109"/>
  <c r="AS28" i="109"/>
  <c r="AP28" i="109"/>
  <c r="AO28" i="109"/>
  <c r="AM28" i="109"/>
  <c r="AK28" i="109"/>
  <c r="AI28" i="109"/>
  <c r="AF28" i="109"/>
  <c r="AE28" i="109"/>
  <c r="AC28" i="109"/>
  <c r="AA28" i="109"/>
  <c r="Y28" i="109"/>
  <c r="V28" i="109"/>
  <c r="Q28" i="109"/>
  <c r="O28" i="109"/>
  <c r="M28" i="109"/>
  <c r="I28" i="109"/>
  <c r="F28" i="109"/>
  <c r="EB28" i="109" s="1"/>
  <c r="C28" i="109"/>
  <c r="EA28" i="109"/>
  <c r="EQ27" i="109"/>
  <c r="EH27" i="109"/>
  <c r="DY27" i="109"/>
  <c r="DK27" i="109"/>
  <c r="DF27" i="109"/>
  <c r="DG27" i="109" s="1"/>
  <c r="DB27" i="109"/>
  <c r="CV27" i="109"/>
  <c r="CW27" i="109" s="1"/>
  <c r="CR27" i="109"/>
  <c r="CM27" i="109"/>
  <c r="CN27" i="109"/>
  <c r="CI27" i="109"/>
  <c r="CD27" i="109"/>
  <c r="CE27" i="109" s="1"/>
  <c r="CF27" i="109" s="1"/>
  <c r="BZ27" i="109"/>
  <c r="BN27" i="109"/>
  <c r="AZ27" i="109"/>
  <c r="AY27" i="109"/>
  <c r="AW27" i="109"/>
  <c r="AU27" i="109"/>
  <c r="AS27" i="109"/>
  <c r="AP27" i="109"/>
  <c r="AO27" i="109"/>
  <c r="AM27" i="109"/>
  <c r="AK27" i="109"/>
  <c r="AI27" i="109"/>
  <c r="AF27" i="109"/>
  <c r="AE27" i="109"/>
  <c r="AC27" i="109"/>
  <c r="AA27" i="109"/>
  <c r="Y27" i="109"/>
  <c r="V27" i="109"/>
  <c r="Q27" i="109"/>
  <c r="O27" i="109"/>
  <c r="M27" i="109"/>
  <c r="I27" i="109"/>
  <c r="F27" i="109"/>
  <c r="C27" i="109"/>
  <c r="EA27" i="109" s="1"/>
  <c r="EQ26" i="109"/>
  <c r="EH26" i="109"/>
  <c r="DY26" i="109"/>
  <c r="DK26" i="109"/>
  <c r="DF26" i="109"/>
  <c r="DG26" i="109" s="1"/>
  <c r="DB26" i="109"/>
  <c r="CV26" i="109"/>
  <c r="CW26" i="109" s="1"/>
  <c r="CR26" i="109"/>
  <c r="CM26" i="109"/>
  <c r="CN26" i="109" s="1"/>
  <c r="CI26" i="109"/>
  <c r="CD26" i="109"/>
  <c r="CE26" i="109"/>
  <c r="BZ26" i="109"/>
  <c r="BN26" i="109"/>
  <c r="AZ26" i="109"/>
  <c r="AY26" i="109"/>
  <c r="AW26" i="109"/>
  <c r="AU26" i="109"/>
  <c r="AS26" i="109"/>
  <c r="AP26" i="109"/>
  <c r="AO26" i="109"/>
  <c r="AM26" i="109"/>
  <c r="AK26" i="109"/>
  <c r="AI26" i="109"/>
  <c r="AF26" i="109"/>
  <c r="AE26" i="109"/>
  <c r="AC26" i="109"/>
  <c r="AA26" i="109"/>
  <c r="Y26" i="109"/>
  <c r="V26" i="109"/>
  <c r="Q26" i="109"/>
  <c r="O26" i="109"/>
  <c r="M26" i="109"/>
  <c r="I26" i="109"/>
  <c r="F26" i="109"/>
  <c r="EB26" i="109"/>
  <c r="C26" i="109"/>
  <c r="EA26" i="109" s="1"/>
  <c r="EQ25" i="109"/>
  <c r="EH25" i="109"/>
  <c r="DY25" i="109"/>
  <c r="DK25" i="109"/>
  <c r="DF25" i="109"/>
  <c r="DG25" i="109"/>
  <c r="DH25" i="109" s="1"/>
  <c r="DB25" i="109"/>
  <c r="CV25" i="109"/>
  <c r="CW25" i="109"/>
  <c r="CR25" i="109"/>
  <c r="CM25" i="109"/>
  <c r="CN25" i="109" s="1"/>
  <c r="CO25" i="109" s="1"/>
  <c r="CI25" i="109"/>
  <c r="CD25" i="109"/>
  <c r="CE25" i="109" s="1"/>
  <c r="BZ25" i="109"/>
  <c r="BN25" i="109"/>
  <c r="AZ25" i="109"/>
  <c r="AY25" i="109"/>
  <c r="AW25" i="109"/>
  <c r="AU25" i="109"/>
  <c r="AS25" i="109"/>
  <c r="AP25" i="109"/>
  <c r="AO25" i="109"/>
  <c r="AM25" i="109"/>
  <c r="AK25" i="109"/>
  <c r="AI25" i="109"/>
  <c r="AF25" i="109"/>
  <c r="AE25" i="109"/>
  <c r="AC25" i="109"/>
  <c r="AA25" i="109"/>
  <c r="Y25" i="109"/>
  <c r="V25" i="109"/>
  <c r="Q25" i="109"/>
  <c r="O25" i="109"/>
  <c r="M25" i="109"/>
  <c r="I25" i="109"/>
  <c r="EC25" i="109" s="1"/>
  <c r="F25" i="109"/>
  <c r="EB25" i="109"/>
  <c r="C25" i="109"/>
  <c r="EA25" i="109" s="1"/>
  <c r="EQ24" i="109"/>
  <c r="EH24" i="109"/>
  <c r="DY24" i="109"/>
  <c r="DK24" i="109"/>
  <c r="DF24" i="109"/>
  <c r="DG24" i="109"/>
  <c r="DB24" i="109"/>
  <c r="CV24" i="109"/>
  <c r="CW24" i="109" s="1"/>
  <c r="CR24" i="109"/>
  <c r="CM24" i="109"/>
  <c r="CN24" i="109" s="1"/>
  <c r="CI24" i="109"/>
  <c r="CD24" i="109"/>
  <c r="CE24" i="109"/>
  <c r="BZ24" i="109"/>
  <c r="BN24" i="109"/>
  <c r="AZ24" i="109"/>
  <c r="AY24" i="109"/>
  <c r="AW24" i="109"/>
  <c r="AU24" i="109"/>
  <c r="AS24" i="109"/>
  <c r="AP24" i="109"/>
  <c r="AO24" i="109"/>
  <c r="AM24" i="109"/>
  <c r="AK24" i="109"/>
  <c r="AI24" i="109"/>
  <c r="AF24" i="109"/>
  <c r="AE24" i="109"/>
  <c r="AC24" i="109"/>
  <c r="AA24" i="109"/>
  <c r="Y24" i="109"/>
  <c r="V24" i="109"/>
  <c r="Q24" i="109"/>
  <c r="O24" i="109"/>
  <c r="M24" i="109"/>
  <c r="I24" i="109"/>
  <c r="F24" i="109"/>
  <c r="EB24" i="109"/>
  <c r="C24" i="109"/>
  <c r="EA24" i="109" s="1"/>
  <c r="EQ23" i="109"/>
  <c r="EH23" i="109"/>
  <c r="DY23" i="109"/>
  <c r="DK23" i="109"/>
  <c r="DF23" i="109"/>
  <c r="DG23" i="109"/>
  <c r="DB23" i="109"/>
  <c r="CV23" i="109"/>
  <c r="CW23" i="109"/>
  <c r="CR23" i="109"/>
  <c r="CM23" i="109"/>
  <c r="CN23" i="109" s="1"/>
  <c r="CI23" i="109"/>
  <c r="CD23" i="109"/>
  <c r="CE23" i="109" s="1"/>
  <c r="CF23" i="109" s="1"/>
  <c r="BZ23" i="109"/>
  <c r="BN23" i="109"/>
  <c r="AZ23" i="109"/>
  <c r="AY23" i="109"/>
  <c r="AW23" i="109"/>
  <c r="AU23" i="109"/>
  <c r="AS23" i="109"/>
  <c r="AP23" i="109"/>
  <c r="AO23" i="109"/>
  <c r="AM23" i="109"/>
  <c r="AK23" i="109"/>
  <c r="AI23" i="109"/>
  <c r="AF23" i="109"/>
  <c r="AE23" i="109"/>
  <c r="AC23" i="109"/>
  <c r="AA23" i="109"/>
  <c r="Y23" i="109"/>
  <c r="V23" i="109"/>
  <c r="Q23" i="109"/>
  <c r="O23" i="109"/>
  <c r="M23" i="109"/>
  <c r="I23" i="109"/>
  <c r="F23" i="109"/>
  <c r="EB23" i="109" s="1"/>
  <c r="C23" i="109"/>
  <c r="EA23" i="109"/>
  <c r="EQ22" i="109"/>
  <c r="EH22" i="109"/>
  <c r="DY22" i="109"/>
  <c r="DK22" i="109"/>
  <c r="DF22" i="109"/>
  <c r="DG22" i="109" s="1"/>
  <c r="DB22" i="109"/>
  <c r="CV22" i="109"/>
  <c r="CW22" i="109" s="1"/>
  <c r="CR22" i="109"/>
  <c r="CM22" i="109"/>
  <c r="CN22" i="109"/>
  <c r="CI22" i="109"/>
  <c r="CD22" i="109"/>
  <c r="CE22" i="109"/>
  <c r="BZ22" i="109"/>
  <c r="BN22" i="109"/>
  <c r="AZ22" i="109"/>
  <c r="AY22" i="109"/>
  <c r="AW22" i="109"/>
  <c r="AU22" i="109"/>
  <c r="AS22" i="109"/>
  <c r="AP22" i="109"/>
  <c r="AO22" i="109"/>
  <c r="AM22" i="109"/>
  <c r="AK22" i="109"/>
  <c r="AI22" i="109"/>
  <c r="AF22" i="109"/>
  <c r="AE22" i="109"/>
  <c r="AC22" i="109"/>
  <c r="AA22" i="109"/>
  <c r="Y22" i="109"/>
  <c r="V22" i="109"/>
  <c r="Q22" i="109"/>
  <c r="O22" i="109"/>
  <c r="M22" i="109"/>
  <c r="I22" i="109"/>
  <c r="F22" i="109"/>
  <c r="EB22" i="109"/>
  <c r="C22" i="109"/>
  <c r="EA22" i="109" s="1"/>
  <c r="EQ21" i="109"/>
  <c r="EH21" i="109"/>
  <c r="DY21" i="109"/>
  <c r="DK21" i="109"/>
  <c r="DF21" i="109"/>
  <c r="DG21" i="109"/>
  <c r="DB21" i="109"/>
  <c r="CV21" i="109"/>
  <c r="CW21" i="109"/>
  <c r="CR21" i="109"/>
  <c r="CM21" i="109"/>
  <c r="CN21" i="109" s="1"/>
  <c r="CO21" i="109" s="1"/>
  <c r="CI21" i="109"/>
  <c r="CD21" i="109"/>
  <c r="CE21" i="109" s="1"/>
  <c r="BZ21" i="109"/>
  <c r="BN21" i="109"/>
  <c r="AZ21" i="109"/>
  <c r="AY21" i="109"/>
  <c r="AW21" i="109"/>
  <c r="AU21" i="109"/>
  <c r="AS21" i="109"/>
  <c r="AP21" i="109"/>
  <c r="AO21" i="109"/>
  <c r="AM21" i="109"/>
  <c r="AK21" i="109"/>
  <c r="AI21" i="109"/>
  <c r="AF21" i="109"/>
  <c r="AE21" i="109"/>
  <c r="AC21" i="109"/>
  <c r="AA21" i="109"/>
  <c r="Y21" i="109"/>
  <c r="V21" i="109"/>
  <c r="Q21" i="109"/>
  <c r="O21" i="109"/>
  <c r="M21" i="109"/>
  <c r="I21" i="109"/>
  <c r="EC21" i="109" s="1"/>
  <c r="F21" i="109"/>
  <c r="EB21" i="109"/>
  <c r="C21" i="109"/>
  <c r="DH21" i="109" s="1"/>
  <c r="EQ20" i="109"/>
  <c r="EH20" i="109"/>
  <c r="DY20" i="109"/>
  <c r="DK20" i="109"/>
  <c r="DF20" i="109"/>
  <c r="DG20" i="109"/>
  <c r="DB20" i="109"/>
  <c r="CV20" i="109"/>
  <c r="CW20" i="109" s="1"/>
  <c r="CR20" i="109"/>
  <c r="CM20" i="109"/>
  <c r="CN20" i="109" s="1"/>
  <c r="CI20" i="109"/>
  <c r="CD20" i="109"/>
  <c r="CE20" i="109"/>
  <c r="BZ20" i="109"/>
  <c r="BN20" i="109"/>
  <c r="AZ20" i="109"/>
  <c r="AY20" i="109"/>
  <c r="AW20" i="109"/>
  <c r="AU20" i="109"/>
  <c r="AS20" i="109"/>
  <c r="AP20" i="109"/>
  <c r="AO20" i="109"/>
  <c r="AM20" i="109"/>
  <c r="AK20" i="109"/>
  <c r="AI20" i="109"/>
  <c r="AF20" i="109"/>
  <c r="AE20" i="109"/>
  <c r="AC20" i="109"/>
  <c r="AA20" i="109"/>
  <c r="Y20" i="109"/>
  <c r="V20" i="109"/>
  <c r="Q20" i="109"/>
  <c r="O20" i="109"/>
  <c r="M20" i="109"/>
  <c r="I20" i="109"/>
  <c r="F20" i="109"/>
  <c r="EB20" i="109"/>
  <c r="C20" i="109"/>
  <c r="EA20" i="109" s="1"/>
  <c r="EQ19" i="109"/>
  <c r="EH19" i="109"/>
  <c r="DY19" i="109"/>
  <c r="DK19" i="109"/>
  <c r="DF19" i="109"/>
  <c r="DG19" i="109"/>
  <c r="DB19" i="109"/>
  <c r="CV19" i="109"/>
  <c r="CW19" i="109"/>
  <c r="CR19" i="109"/>
  <c r="CM19" i="109"/>
  <c r="CN19" i="109" s="1"/>
  <c r="CI19" i="109"/>
  <c r="CD19" i="109"/>
  <c r="CE19" i="109" s="1"/>
  <c r="CF19" i="109" s="1"/>
  <c r="BZ19" i="109"/>
  <c r="BN19" i="109"/>
  <c r="AZ19" i="109"/>
  <c r="AY19" i="109"/>
  <c r="AW19" i="109"/>
  <c r="AU19" i="109"/>
  <c r="AS19" i="109"/>
  <c r="AP19" i="109"/>
  <c r="AO19" i="109"/>
  <c r="AM19" i="109"/>
  <c r="AK19" i="109"/>
  <c r="AI19" i="109"/>
  <c r="AF19" i="109"/>
  <c r="AE19" i="109"/>
  <c r="AC19" i="109"/>
  <c r="AA19" i="109"/>
  <c r="Y19" i="109"/>
  <c r="V19" i="109"/>
  <c r="Q19" i="109"/>
  <c r="O19" i="109"/>
  <c r="M19" i="109"/>
  <c r="I19" i="109"/>
  <c r="F19" i="109"/>
  <c r="EB19" i="109" s="1"/>
  <c r="C19" i="109"/>
  <c r="EA19" i="109"/>
  <c r="EQ18" i="109"/>
  <c r="EH18" i="109"/>
  <c r="DY18" i="109"/>
  <c r="DK18" i="109"/>
  <c r="DF18" i="109"/>
  <c r="DG18" i="109" s="1"/>
  <c r="DB18" i="109"/>
  <c r="CV18" i="109"/>
  <c r="CW18" i="109" s="1"/>
  <c r="CR18" i="109"/>
  <c r="CM18" i="109"/>
  <c r="CN18" i="109"/>
  <c r="CI18" i="109"/>
  <c r="CD18" i="109"/>
  <c r="CE18" i="109"/>
  <c r="BZ18" i="109"/>
  <c r="BN18" i="109"/>
  <c r="AZ18" i="109"/>
  <c r="AY18" i="109"/>
  <c r="AU18" i="109"/>
  <c r="AS18" i="109"/>
  <c r="AP18" i="109"/>
  <c r="AO18" i="109"/>
  <c r="AM18" i="109"/>
  <c r="AK18" i="109"/>
  <c r="AI18" i="109"/>
  <c r="AF18" i="109"/>
  <c r="AE18" i="109"/>
  <c r="AC18" i="109"/>
  <c r="AA18" i="109"/>
  <c r="Y18" i="109"/>
  <c r="V18" i="109"/>
  <c r="Q18" i="109"/>
  <c r="O18" i="109"/>
  <c r="M18" i="109"/>
  <c r="I18" i="109"/>
  <c r="F18" i="109"/>
  <c r="EB18" i="109" s="1"/>
  <c r="C18" i="109"/>
  <c r="EA18" i="109"/>
  <c r="EQ17" i="109"/>
  <c r="EH17" i="109"/>
  <c r="DY17" i="109"/>
  <c r="DK17" i="109"/>
  <c r="DF17" i="109"/>
  <c r="DG17" i="109" s="1"/>
  <c r="DH17" i="109" s="1"/>
  <c r="DB17" i="109"/>
  <c r="CV17" i="109"/>
  <c r="CW17" i="109" s="1"/>
  <c r="CR17" i="109"/>
  <c r="CM17" i="109"/>
  <c r="CN17" i="109" s="1"/>
  <c r="CO17" i="109" s="1"/>
  <c r="CI17" i="109"/>
  <c r="CD17" i="109"/>
  <c r="CE17" i="109" s="1"/>
  <c r="BZ17" i="109"/>
  <c r="BN17" i="109"/>
  <c r="AZ17" i="109"/>
  <c r="AY17" i="109"/>
  <c r="AW17" i="109"/>
  <c r="AU17" i="109"/>
  <c r="AS17" i="109"/>
  <c r="AP17" i="109"/>
  <c r="AO17" i="109"/>
  <c r="AM17" i="109"/>
  <c r="AK17" i="109"/>
  <c r="AI17" i="109"/>
  <c r="AF17" i="109"/>
  <c r="AE17" i="109"/>
  <c r="AC17" i="109"/>
  <c r="AA17" i="109"/>
  <c r="Y17" i="109"/>
  <c r="V17" i="109"/>
  <c r="Q17" i="109"/>
  <c r="O17" i="109"/>
  <c r="M17" i="109"/>
  <c r="I17" i="109"/>
  <c r="EC17" i="109"/>
  <c r="F17" i="109"/>
  <c r="EB17" i="109" s="1"/>
  <c r="C17" i="109"/>
  <c r="EA17" i="109"/>
  <c r="EQ16" i="109"/>
  <c r="EH16" i="109"/>
  <c r="DY16" i="109"/>
  <c r="DK16" i="109"/>
  <c r="DF16" i="109"/>
  <c r="DG16" i="109" s="1"/>
  <c r="DB16" i="109"/>
  <c r="CV16" i="109"/>
  <c r="CW16" i="109" s="1"/>
  <c r="CR16" i="109"/>
  <c r="CM16" i="109"/>
  <c r="CN16" i="109"/>
  <c r="CI16" i="109"/>
  <c r="CD16" i="109"/>
  <c r="CE16" i="109"/>
  <c r="BZ16" i="109"/>
  <c r="BN16" i="109"/>
  <c r="AZ16" i="109"/>
  <c r="AY16" i="109"/>
  <c r="AW16" i="109"/>
  <c r="AU16" i="109"/>
  <c r="AS16" i="109"/>
  <c r="AP16" i="109"/>
  <c r="AO16" i="109"/>
  <c r="AM16" i="109"/>
  <c r="AK16" i="109"/>
  <c r="AI16" i="109"/>
  <c r="AF16" i="109"/>
  <c r="AE16" i="109"/>
  <c r="AC16" i="109"/>
  <c r="AA16" i="109"/>
  <c r="Y16" i="109"/>
  <c r="V16" i="109"/>
  <c r="Q16" i="109"/>
  <c r="O16" i="109"/>
  <c r="M16" i="109"/>
  <c r="I16" i="109"/>
  <c r="F16" i="109"/>
  <c r="EB16" i="109"/>
  <c r="C16" i="109"/>
  <c r="EA16" i="109" s="1"/>
  <c r="EQ15" i="109"/>
  <c r="EH15" i="109"/>
  <c r="DY15" i="109"/>
  <c r="DK15" i="109"/>
  <c r="DF15" i="109"/>
  <c r="DG15" i="109"/>
  <c r="DB15" i="109"/>
  <c r="CV15" i="109"/>
  <c r="CW15" i="109" s="1"/>
  <c r="CR15" i="109"/>
  <c r="CM15" i="109"/>
  <c r="CN15" i="109" s="1"/>
  <c r="CI15" i="109"/>
  <c r="CD15" i="109"/>
  <c r="CE15" i="109"/>
  <c r="CF15" i="109" s="1"/>
  <c r="BZ15" i="109"/>
  <c r="BN15" i="109"/>
  <c r="AZ15" i="109"/>
  <c r="AY15" i="109"/>
  <c r="AW15" i="109"/>
  <c r="AU15" i="109"/>
  <c r="AS15" i="109"/>
  <c r="AP15" i="109"/>
  <c r="AO15" i="109"/>
  <c r="AM15" i="109"/>
  <c r="AK15" i="109"/>
  <c r="AI15" i="109"/>
  <c r="AF15" i="109"/>
  <c r="AE15" i="109"/>
  <c r="AC15" i="109"/>
  <c r="AA15" i="109"/>
  <c r="Y15" i="109"/>
  <c r="V15" i="109"/>
  <c r="Q15" i="109"/>
  <c r="O15" i="109"/>
  <c r="M15" i="109"/>
  <c r="I15" i="109"/>
  <c r="F15" i="109"/>
  <c r="EB15" i="109" s="1"/>
  <c r="C15" i="109"/>
  <c r="EA15" i="109"/>
  <c r="EQ14" i="109"/>
  <c r="EH14" i="109"/>
  <c r="DY14" i="109"/>
  <c r="DK14" i="109"/>
  <c r="DF14" i="109"/>
  <c r="DG14" i="109" s="1"/>
  <c r="DB14" i="109"/>
  <c r="CV14" i="109"/>
  <c r="CW14" i="109"/>
  <c r="CR14" i="109"/>
  <c r="CM14" i="109"/>
  <c r="CN14" i="109"/>
  <c r="CI14" i="109"/>
  <c r="CD14" i="109"/>
  <c r="CE14" i="109" s="1"/>
  <c r="BZ14" i="109"/>
  <c r="BN14" i="109"/>
  <c r="AZ14" i="109"/>
  <c r="AY14" i="109"/>
  <c r="AW14" i="109"/>
  <c r="AU14" i="109"/>
  <c r="AS14" i="109"/>
  <c r="AP14" i="109"/>
  <c r="AO14" i="109"/>
  <c r="AM14" i="109"/>
  <c r="AK14" i="109"/>
  <c r="AI14" i="109"/>
  <c r="AF14" i="109"/>
  <c r="AE14" i="109"/>
  <c r="AC14" i="109"/>
  <c r="AA14" i="109"/>
  <c r="Y14" i="109"/>
  <c r="V14" i="109"/>
  <c r="Q14" i="109"/>
  <c r="O14" i="109"/>
  <c r="M14" i="109"/>
  <c r="I14" i="109"/>
  <c r="F14" i="109"/>
  <c r="EB14" i="109" s="1"/>
  <c r="C14" i="109"/>
  <c r="EA14" i="109"/>
  <c r="EQ13" i="109"/>
  <c r="EH13" i="109"/>
  <c r="DY13" i="109"/>
  <c r="DK13" i="109"/>
  <c r="DF13" i="109"/>
  <c r="DG13" i="109" s="1"/>
  <c r="DH13" i="109" s="1"/>
  <c r="DB13" i="109"/>
  <c r="CV13" i="109"/>
  <c r="CW13" i="109" s="1"/>
  <c r="CR13" i="109"/>
  <c r="CM13" i="109"/>
  <c r="CN13" i="109" s="1"/>
  <c r="CO13" i="109" s="1"/>
  <c r="CI13" i="109"/>
  <c r="CD13" i="109"/>
  <c r="CE13" i="109" s="1"/>
  <c r="BZ13" i="109"/>
  <c r="BN13" i="109"/>
  <c r="AZ13" i="109"/>
  <c r="AY13" i="109"/>
  <c r="AW13" i="109"/>
  <c r="AU13" i="109"/>
  <c r="AS13" i="109"/>
  <c r="AP13" i="109"/>
  <c r="AO13" i="109"/>
  <c r="AM13" i="109"/>
  <c r="AK13" i="109"/>
  <c r="AI13" i="109"/>
  <c r="AF13" i="109"/>
  <c r="AE13" i="109"/>
  <c r="AC13" i="109"/>
  <c r="AA13" i="109"/>
  <c r="Y13" i="109"/>
  <c r="V13" i="109"/>
  <c r="Q13" i="109"/>
  <c r="O13" i="109"/>
  <c r="M13" i="109"/>
  <c r="I13" i="109"/>
  <c r="EC13" i="109"/>
  <c r="F13" i="109"/>
  <c r="EB13" i="109" s="1"/>
  <c r="C13" i="109"/>
  <c r="EA13" i="109"/>
  <c r="EQ12" i="109"/>
  <c r="EH12" i="109"/>
  <c r="DY12" i="109"/>
  <c r="DK12" i="109"/>
  <c r="DF12" i="109"/>
  <c r="DG12" i="109" s="1"/>
  <c r="DB12" i="109"/>
  <c r="CV12" i="109"/>
  <c r="CW12" i="109" s="1"/>
  <c r="CR12" i="109"/>
  <c r="CM12" i="109"/>
  <c r="CN12" i="109"/>
  <c r="CI12" i="109"/>
  <c r="CD12" i="109"/>
  <c r="CE12" i="109"/>
  <c r="BZ12" i="109"/>
  <c r="BN12" i="109"/>
  <c r="AZ12" i="109"/>
  <c r="AY12" i="109"/>
  <c r="AW12" i="109"/>
  <c r="AU12" i="109"/>
  <c r="AS12" i="109"/>
  <c r="AP12" i="109"/>
  <c r="AO12" i="109"/>
  <c r="AM12" i="109"/>
  <c r="AK12" i="109"/>
  <c r="AI12" i="109"/>
  <c r="AF12" i="109"/>
  <c r="AE12" i="109"/>
  <c r="AC12" i="109"/>
  <c r="AA12" i="109"/>
  <c r="Y12" i="109"/>
  <c r="V12" i="109"/>
  <c r="Q12" i="109"/>
  <c r="O12" i="109"/>
  <c r="I12" i="109"/>
  <c r="F12" i="109"/>
  <c r="C12" i="109"/>
  <c r="EA12" i="109"/>
  <c r="EQ11" i="109"/>
  <c r="EH11" i="109"/>
  <c r="DY11" i="109"/>
  <c r="DK11" i="109"/>
  <c r="DF11" i="109"/>
  <c r="DG11" i="109" s="1"/>
  <c r="DB11" i="109"/>
  <c r="CV11" i="109"/>
  <c r="CW11" i="109"/>
  <c r="CR11" i="109"/>
  <c r="CM11" i="109"/>
  <c r="CN11" i="109"/>
  <c r="CI11" i="109"/>
  <c r="CD11" i="109"/>
  <c r="CE11" i="109" s="1"/>
  <c r="BZ11" i="109"/>
  <c r="BN11" i="109"/>
  <c r="AZ11" i="109"/>
  <c r="AY11" i="109"/>
  <c r="AW11" i="109"/>
  <c r="AU11" i="109"/>
  <c r="AS11" i="109"/>
  <c r="AP11" i="109"/>
  <c r="AO11" i="109"/>
  <c r="AM11" i="109"/>
  <c r="AK11" i="109"/>
  <c r="AI11" i="109"/>
  <c r="AF11" i="109"/>
  <c r="AE11" i="109"/>
  <c r="AC11" i="109"/>
  <c r="AA11" i="109"/>
  <c r="Y11" i="109"/>
  <c r="V11" i="109"/>
  <c r="Q11" i="109"/>
  <c r="O11" i="109"/>
  <c r="I11" i="109"/>
  <c r="EC11" i="109"/>
  <c r="F11" i="109"/>
  <c r="C11" i="109"/>
  <c r="EA11" i="109"/>
  <c r="EQ10" i="109"/>
  <c r="EH10" i="109"/>
  <c r="DY10" i="109"/>
  <c r="DK10" i="109"/>
  <c r="DF10" i="109"/>
  <c r="DG10" i="109" s="1"/>
  <c r="DB10" i="109"/>
  <c r="CV10" i="109"/>
  <c r="CW10" i="109"/>
  <c r="CR10" i="109"/>
  <c r="CM10" i="109"/>
  <c r="CN10" i="109"/>
  <c r="CI10" i="109"/>
  <c r="CD10" i="109"/>
  <c r="CE10" i="109" s="1"/>
  <c r="BZ10" i="109"/>
  <c r="BN10" i="109"/>
  <c r="AZ10" i="109"/>
  <c r="AY10" i="109"/>
  <c r="AW10" i="109"/>
  <c r="AU10" i="109"/>
  <c r="AS10" i="109"/>
  <c r="AP10" i="109"/>
  <c r="AO10" i="109"/>
  <c r="AM10" i="109"/>
  <c r="AK10" i="109"/>
  <c r="AI10" i="109"/>
  <c r="AF10" i="109"/>
  <c r="AE10" i="109"/>
  <c r="AC10" i="109"/>
  <c r="AA10" i="109"/>
  <c r="Y10" i="109"/>
  <c r="V10" i="109"/>
  <c r="Q10" i="109"/>
  <c r="O10" i="109"/>
  <c r="I10" i="109"/>
  <c r="F10" i="109"/>
  <c r="C10" i="109"/>
  <c r="EA10" i="109" s="1"/>
  <c r="EQ9" i="109"/>
  <c r="EH9" i="109"/>
  <c r="DY9" i="109"/>
  <c r="DK9" i="109"/>
  <c r="DF9" i="109"/>
  <c r="DG9" i="109"/>
  <c r="DB9" i="109"/>
  <c r="CV9" i="109"/>
  <c r="CW9" i="109"/>
  <c r="CR9" i="109"/>
  <c r="CM9" i="109"/>
  <c r="CN9" i="109" s="1"/>
  <c r="CI9" i="109"/>
  <c r="CD9" i="109"/>
  <c r="CE9" i="109" s="1"/>
  <c r="BZ9" i="109"/>
  <c r="BN9" i="109"/>
  <c r="AZ9" i="109"/>
  <c r="AY9" i="109"/>
  <c r="AW9" i="109"/>
  <c r="AU9" i="109"/>
  <c r="AS9" i="109"/>
  <c r="AP9" i="109"/>
  <c r="AO9" i="109"/>
  <c r="AM9" i="109"/>
  <c r="AK9" i="109"/>
  <c r="AI9" i="109"/>
  <c r="AF9" i="109"/>
  <c r="AE9" i="109"/>
  <c r="AC9" i="109"/>
  <c r="AA9" i="109"/>
  <c r="Y9" i="109"/>
  <c r="V9" i="109"/>
  <c r="Q9" i="109"/>
  <c r="O9" i="109"/>
  <c r="I9" i="109"/>
  <c r="EC9" i="109"/>
  <c r="F9" i="109"/>
  <c r="C9" i="109"/>
  <c r="EA9" i="109" s="1"/>
  <c r="EQ8" i="109"/>
  <c r="EH8" i="109"/>
  <c r="DY8" i="109"/>
  <c r="DK8" i="109"/>
  <c r="DF8" i="109"/>
  <c r="DG8" i="109"/>
  <c r="DB8" i="109"/>
  <c r="CV8" i="109"/>
  <c r="CW8" i="109"/>
  <c r="CR8" i="109"/>
  <c r="CM8" i="109"/>
  <c r="CN8" i="109" s="1"/>
  <c r="CI8" i="109"/>
  <c r="CD8" i="109"/>
  <c r="CE8" i="109" s="1"/>
  <c r="BZ8" i="109"/>
  <c r="BN8" i="109"/>
  <c r="AZ8" i="109"/>
  <c r="AY8" i="109"/>
  <c r="AW8" i="109"/>
  <c r="AU8" i="109"/>
  <c r="AS8" i="109"/>
  <c r="AP8" i="109"/>
  <c r="AO8" i="109"/>
  <c r="AM8" i="109"/>
  <c r="AK8" i="109"/>
  <c r="AI8" i="109"/>
  <c r="AF8" i="109"/>
  <c r="AE8" i="109"/>
  <c r="AC8" i="109"/>
  <c r="AA8" i="109"/>
  <c r="Y8" i="109"/>
  <c r="V8" i="109"/>
  <c r="Q8" i="109"/>
  <c r="O8" i="109"/>
  <c r="I8" i="109"/>
  <c r="F8" i="109"/>
  <c r="C8" i="109"/>
  <c r="EI3" i="109"/>
  <c r="DZ3" i="109"/>
  <c r="DL3" i="109"/>
  <c r="DC3" i="109"/>
  <c r="CS3" i="109"/>
  <c r="CJ3" i="109"/>
  <c r="CA3" i="109"/>
  <c r="BO3" i="109"/>
  <c r="BA3" i="109"/>
  <c r="AQ3" i="109"/>
  <c r="AG3" i="109"/>
  <c r="W3" i="109"/>
  <c r="K3" i="109"/>
  <c r="EI1" i="109"/>
  <c r="DL1" i="109"/>
  <c r="DC1" i="109"/>
  <c r="CS1" i="109"/>
  <c r="CJ1" i="109"/>
  <c r="CA1" i="109"/>
  <c r="BO1" i="109"/>
  <c r="BA1" i="109"/>
  <c r="AQ1" i="109"/>
  <c r="AG1" i="109"/>
  <c r="W1" i="109"/>
  <c r="K1" i="109"/>
  <c r="DF37" i="107"/>
  <c r="DG37" i="107" s="1"/>
  <c r="CV37" i="107"/>
  <c r="CW37" i="107" s="1"/>
  <c r="CM37" i="107"/>
  <c r="CN37" i="107" s="1"/>
  <c r="CD37" i="107"/>
  <c r="CE37" i="107" s="1"/>
  <c r="AU37" i="107"/>
  <c r="AW37" i="107"/>
  <c r="AY37" i="107"/>
  <c r="AS37" i="107"/>
  <c r="AK37" i="107"/>
  <c r="AM37" i="107"/>
  <c r="AO37" i="107"/>
  <c r="AI37" i="107"/>
  <c r="AA37" i="107"/>
  <c r="AC37" i="107"/>
  <c r="AE37" i="107"/>
  <c r="Y37" i="107"/>
  <c r="O37" i="107"/>
  <c r="Q37" i="107"/>
  <c r="M37" i="107"/>
  <c r="I37" i="107"/>
  <c r="F37" i="107"/>
  <c r="C37" i="107"/>
  <c r="EI42" i="108"/>
  <c r="DZ42" i="108"/>
  <c r="DL42" i="108"/>
  <c r="DC42" i="108"/>
  <c r="CS42" i="108"/>
  <c r="CJ42" i="108"/>
  <c r="CA42" i="108"/>
  <c r="BO42" i="108"/>
  <c r="BA42" i="108"/>
  <c r="AQ42" i="108"/>
  <c r="AG42" i="108"/>
  <c r="W42" i="108"/>
  <c r="K42" i="108"/>
  <c r="EG41" i="108"/>
  <c r="EF41" i="108"/>
  <c r="EE41" i="108"/>
  <c r="DW41" i="108"/>
  <c r="DV41" i="108"/>
  <c r="DU41" i="108"/>
  <c r="DT41" i="108"/>
  <c r="DS41" i="108"/>
  <c r="DR41" i="108"/>
  <c r="DQ41" i="108"/>
  <c r="DP41" i="108"/>
  <c r="DO41" i="108"/>
  <c r="DN41" i="108"/>
  <c r="DM41" i="108"/>
  <c r="BW41" i="108"/>
  <c r="BV41" i="108"/>
  <c r="BU41" i="108"/>
  <c r="AU12" i="67" s="1"/>
  <c r="BT41" i="108"/>
  <c r="AT12" i="67" s="1"/>
  <c r="BS41" i="108"/>
  <c r="AS12" i="67" s="1"/>
  <c r="BR41" i="108"/>
  <c r="BQ41" i="108"/>
  <c r="AQ12" i="67" s="1"/>
  <c r="BP41" i="108"/>
  <c r="BM41" i="108"/>
  <c r="AN12" i="67" s="1"/>
  <c r="BL41" i="108"/>
  <c r="AM12" i="67" s="1"/>
  <c r="BK41" i="108"/>
  <c r="AL12" i="67" s="1"/>
  <c r="BJ41" i="108"/>
  <c r="AK12" i="67" s="1"/>
  <c r="BI41" i="108"/>
  <c r="AJ12" i="67" s="1"/>
  <c r="BH41" i="108"/>
  <c r="AI12" i="67" s="1"/>
  <c r="BG41" i="108"/>
  <c r="AH12" i="67" s="1"/>
  <c r="BF41" i="108"/>
  <c r="AG12" i="67" s="1"/>
  <c r="BE41" i="108"/>
  <c r="AF12" i="67" s="1"/>
  <c r="BD41" i="108"/>
  <c r="BC41" i="108"/>
  <c r="AD12" i="67"/>
  <c r="BB41" i="108"/>
  <c r="EQ38" i="108"/>
  <c r="EH38" i="108"/>
  <c r="DY38" i="108"/>
  <c r="DK38" i="108"/>
  <c r="DB38" i="108"/>
  <c r="CR38" i="108"/>
  <c r="CI38" i="108"/>
  <c r="BZ38" i="108"/>
  <c r="BN38" i="108"/>
  <c r="AZ38" i="108"/>
  <c r="AP38" i="108"/>
  <c r="AF38" i="108"/>
  <c r="V38" i="108"/>
  <c r="EQ37" i="108"/>
  <c r="EH37" i="108"/>
  <c r="DY37" i="108"/>
  <c r="DK37" i="108"/>
  <c r="DF37" i="108"/>
  <c r="DG37" i="108"/>
  <c r="DB37" i="108"/>
  <c r="CV37" i="108"/>
  <c r="CW37" i="108" s="1"/>
  <c r="CR37" i="108"/>
  <c r="CM37" i="108"/>
  <c r="CN37" i="108" s="1"/>
  <c r="CI37" i="108"/>
  <c r="CD37" i="108"/>
  <c r="CE37" i="108" s="1"/>
  <c r="BZ37" i="108"/>
  <c r="BN37" i="108"/>
  <c r="AZ37" i="108"/>
  <c r="AY37" i="108"/>
  <c r="AW37" i="108"/>
  <c r="AU37" i="108"/>
  <c r="AS37" i="108"/>
  <c r="AP37" i="108"/>
  <c r="AO37" i="108"/>
  <c r="AM37" i="108"/>
  <c r="AK37" i="108"/>
  <c r="AI37" i="108"/>
  <c r="AF37" i="108"/>
  <c r="AE37" i="108"/>
  <c r="AC37" i="108"/>
  <c r="AA37" i="108"/>
  <c r="Y37" i="108"/>
  <c r="V37" i="108"/>
  <c r="Q37" i="108"/>
  <c r="O37" i="108"/>
  <c r="M37" i="108"/>
  <c r="I37" i="108"/>
  <c r="F37" i="108"/>
  <c r="EB37" i="108" s="1"/>
  <c r="C37" i="108"/>
  <c r="EA37" i="108" s="1"/>
  <c r="EQ36" i="108"/>
  <c r="EH36" i="108"/>
  <c r="DY36" i="108"/>
  <c r="DK36" i="108"/>
  <c r="DF36" i="108"/>
  <c r="DG36" i="108" s="1"/>
  <c r="DB36" i="108"/>
  <c r="CV36" i="108"/>
  <c r="CW36" i="108"/>
  <c r="CR36" i="108"/>
  <c r="CM36" i="108"/>
  <c r="CN36" i="108" s="1"/>
  <c r="CI36" i="108"/>
  <c r="CD36" i="108"/>
  <c r="CE36" i="108" s="1"/>
  <c r="BZ36" i="108"/>
  <c r="BN36" i="108"/>
  <c r="AZ36" i="108"/>
  <c r="AY36" i="108"/>
  <c r="AW36" i="108"/>
  <c r="AU36" i="108"/>
  <c r="AS36" i="108"/>
  <c r="AP36" i="108"/>
  <c r="AO36" i="108"/>
  <c r="AM36" i="108"/>
  <c r="AK36" i="108"/>
  <c r="AI36" i="108"/>
  <c r="AF36" i="108"/>
  <c r="AE36" i="108"/>
  <c r="AC36" i="108"/>
  <c r="AA36" i="108"/>
  <c r="Y36" i="108"/>
  <c r="V36" i="108"/>
  <c r="Q36" i="108"/>
  <c r="O36" i="108"/>
  <c r="M36" i="108"/>
  <c r="I36" i="108"/>
  <c r="F36" i="108"/>
  <c r="EB36" i="108" s="1"/>
  <c r="C36" i="108"/>
  <c r="EA36" i="108"/>
  <c r="EQ35" i="108"/>
  <c r="EH35" i="108"/>
  <c r="DY35" i="108"/>
  <c r="DK35" i="108"/>
  <c r="DF35" i="108"/>
  <c r="DG35" i="108" s="1"/>
  <c r="DB35" i="108"/>
  <c r="CV35" i="108"/>
  <c r="CW35" i="108" s="1"/>
  <c r="CR35" i="108"/>
  <c r="CM35" i="108"/>
  <c r="CN35" i="108"/>
  <c r="CI35" i="108"/>
  <c r="CD35" i="108"/>
  <c r="CE35" i="108" s="1"/>
  <c r="BZ35" i="108"/>
  <c r="BN35" i="108"/>
  <c r="AZ35" i="108"/>
  <c r="AY35" i="108"/>
  <c r="AW35" i="108"/>
  <c r="AU35" i="108"/>
  <c r="AS35" i="108"/>
  <c r="AP35" i="108"/>
  <c r="AO35" i="108"/>
  <c r="AM35" i="108"/>
  <c r="AK35" i="108"/>
  <c r="AI35" i="108"/>
  <c r="AF35" i="108"/>
  <c r="AE35" i="108"/>
  <c r="AC35" i="108"/>
  <c r="AA35" i="108"/>
  <c r="Y35" i="108"/>
  <c r="V35" i="108"/>
  <c r="Q35" i="108"/>
  <c r="O35" i="108"/>
  <c r="M35" i="108"/>
  <c r="I35" i="108"/>
  <c r="F35" i="108"/>
  <c r="EB35" i="108" s="1"/>
  <c r="C35" i="108"/>
  <c r="EA35" i="108" s="1"/>
  <c r="EQ34" i="108"/>
  <c r="EH34" i="108"/>
  <c r="DY34" i="108"/>
  <c r="DK34" i="108"/>
  <c r="DF34" i="108"/>
  <c r="DG34" i="108" s="1"/>
  <c r="DB34" i="108"/>
  <c r="CV34" i="108"/>
  <c r="CW34" i="108" s="1"/>
  <c r="CR34" i="108"/>
  <c r="CM34" i="108"/>
  <c r="CN34" i="108" s="1"/>
  <c r="CI34" i="108"/>
  <c r="CD34" i="108"/>
  <c r="CE34" i="108"/>
  <c r="BZ34" i="108"/>
  <c r="BN34" i="108"/>
  <c r="AZ34" i="108"/>
  <c r="AY34" i="108"/>
  <c r="AW34" i="108"/>
  <c r="AU34" i="108"/>
  <c r="AS34" i="108"/>
  <c r="AP34" i="108"/>
  <c r="AO34" i="108"/>
  <c r="AM34" i="108"/>
  <c r="AK34" i="108"/>
  <c r="AI34" i="108"/>
  <c r="AF34" i="108"/>
  <c r="AE34" i="108"/>
  <c r="AC34" i="108"/>
  <c r="AA34" i="108"/>
  <c r="Y34" i="108"/>
  <c r="V34" i="108"/>
  <c r="O34" i="108"/>
  <c r="M34" i="108"/>
  <c r="I34" i="108"/>
  <c r="F34" i="108"/>
  <c r="EB34" i="108" s="1"/>
  <c r="C34" i="108"/>
  <c r="EA34" i="108" s="1"/>
  <c r="EQ33" i="108"/>
  <c r="EH33" i="108"/>
  <c r="DY33" i="108"/>
  <c r="DK33" i="108"/>
  <c r="DF33" i="108"/>
  <c r="DG33" i="108" s="1"/>
  <c r="DB33" i="108"/>
  <c r="CV33" i="108"/>
  <c r="CW33" i="108" s="1"/>
  <c r="CR33" i="108"/>
  <c r="CM33" i="108"/>
  <c r="CN33" i="108" s="1"/>
  <c r="CI33" i="108"/>
  <c r="CD33" i="108"/>
  <c r="CE33" i="108"/>
  <c r="BZ33" i="108"/>
  <c r="BN33" i="108"/>
  <c r="AZ33" i="108"/>
  <c r="AY33" i="108"/>
  <c r="AW33" i="108"/>
  <c r="AU33" i="108"/>
  <c r="AS33" i="108"/>
  <c r="AP33" i="108"/>
  <c r="AO33" i="108"/>
  <c r="AM33" i="108"/>
  <c r="AK33" i="108"/>
  <c r="AI33" i="108"/>
  <c r="AF33" i="108"/>
  <c r="AE33" i="108"/>
  <c r="AC33" i="108"/>
  <c r="AA33" i="108"/>
  <c r="Y33" i="108"/>
  <c r="V33" i="108"/>
  <c r="Q33" i="108"/>
  <c r="O33" i="108"/>
  <c r="M33" i="108"/>
  <c r="I33" i="108"/>
  <c r="F33" i="108"/>
  <c r="EB33" i="108"/>
  <c r="C33" i="108"/>
  <c r="EA33" i="108" s="1"/>
  <c r="EQ32" i="108"/>
  <c r="EH32" i="108"/>
  <c r="DY32" i="108"/>
  <c r="DK32" i="108"/>
  <c r="DF32" i="108"/>
  <c r="DG32" i="108"/>
  <c r="DB32" i="108"/>
  <c r="CV32" i="108"/>
  <c r="CW32" i="108" s="1"/>
  <c r="CR32" i="108"/>
  <c r="CM32" i="108"/>
  <c r="CN32" i="108" s="1"/>
  <c r="CI32" i="108"/>
  <c r="CD32" i="108"/>
  <c r="CE32" i="108" s="1"/>
  <c r="BZ32" i="108"/>
  <c r="BN32" i="108"/>
  <c r="AZ32" i="108"/>
  <c r="AY32" i="108"/>
  <c r="AW32" i="108"/>
  <c r="AU32" i="108"/>
  <c r="AS32" i="108"/>
  <c r="AP32" i="108"/>
  <c r="AO32" i="108"/>
  <c r="AM32" i="108"/>
  <c r="AK32" i="108"/>
  <c r="AI32" i="108"/>
  <c r="AF32" i="108"/>
  <c r="AE32" i="108"/>
  <c r="AC32" i="108"/>
  <c r="AA32" i="108"/>
  <c r="Y32" i="108"/>
  <c r="V32" i="108"/>
  <c r="Q32" i="108"/>
  <c r="O32" i="108"/>
  <c r="M32" i="108"/>
  <c r="I32" i="108"/>
  <c r="F32" i="108"/>
  <c r="EB32" i="108" s="1"/>
  <c r="C32" i="108"/>
  <c r="EA32" i="108" s="1"/>
  <c r="EH31" i="108"/>
  <c r="DY31" i="108"/>
  <c r="DK31" i="108"/>
  <c r="DF31" i="108"/>
  <c r="DG31" i="108"/>
  <c r="DB31" i="108"/>
  <c r="CV31" i="108"/>
  <c r="CW31" i="108" s="1"/>
  <c r="CR31" i="108"/>
  <c r="CM31" i="108"/>
  <c r="CN31" i="108" s="1"/>
  <c r="CI31" i="108"/>
  <c r="CD31" i="108"/>
  <c r="CE31" i="108" s="1"/>
  <c r="BZ31" i="108"/>
  <c r="BN31" i="108"/>
  <c r="AZ31" i="108"/>
  <c r="AY31" i="108"/>
  <c r="AW31" i="108"/>
  <c r="AU31" i="108"/>
  <c r="AS31" i="108"/>
  <c r="AP31" i="108"/>
  <c r="AO31" i="108"/>
  <c r="AM31" i="108"/>
  <c r="AK31" i="108"/>
  <c r="AI31" i="108"/>
  <c r="AF31" i="108"/>
  <c r="AE31" i="108"/>
  <c r="AC31" i="108"/>
  <c r="AA31" i="108"/>
  <c r="Y31" i="108"/>
  <c r="V31" i="108"/>
  <c r="Q31" i="108"/>
  <c r="O31" i="108"/>
  <c r="M31" i="108"/>
  <c r="I31" i="108"/>
  <c r="F31" i="108"/>
  <c r="EB31" i="108" s="1"/>
  <c r="C31" i="108"/>
  <c r="EA31" i="108" s="1"/>
  <c r="EQ30" i="108"/>
  <c r="EH30" i="108"/>
  <c r="DY30" i="108"/>
  <c r="DK30" i="108"/>
  <c r="DF30" i="108"/>
  <c r="DG30" i="108" s="1"/>
  <c r="DB30" i="108"/>
  <c r="CV30" i="108"/>
  <c r="CW30" i="108"/>
  <c r="CR30" i="108"/>
  <c r="CM30" i="108"/>
  <c r="CN30" i="108" s="1"/>
  <c r="CI30" i="108"/>
  <c r="CD30" i="108"/>
  <c r="CE30" i="108" s="1"/>
  <c r="BZ30" i="108"/>
  <c r="BN30" i="108"/>
  <c r="AZ30" i="108"/>
  <c r="AY30" i="108"/>
  <c r="AW30" i="108"/>
  <c r="AU30" i="108"/>
  <c r="AS30" i="108"/>
  <c r="AP30" i="108"/>
  <c r="AO30" i="108"/>
  <c r="AM30" i="108"/>
  <c r="AK30" i="108"/>
  <c r="AI30" i="108"/>
  <c r="AF30" i="108"/>
  <c r="AE30" i="108"/>
  <c r="AC30" i="108"/>
  <c r="AA30" i="108"/>
  <c r="Y30" i="108"/>
  <c r="V30" i="108"/>
  <c r="Q30" i="108"/>
  <c r="O30" i="108"/>
  <c r="M30" i="108"/>
  <c r="I30" i="108"/>
  <c r="F30" i="108"/>
  <c r="EB30" i="108" s="1"/>
  <c r="C30" i="108"/>
  <c r="EA30" i="108"/>
  <c r="EQ29" i="108"/>
  <c r="EH29" i="108"/>
  <c r="DY29" i="108"/>
  <c r="DK29" i="108"/>
  <c r="DF29" i="108"/>
  <c r="DG29" i="108" s="1"/>
  <c r="DB29" i="108"/>
  <c r="CV29" i="108"/>
  <c r="CW29" i="108" s="1"/>
  <c r="CR29" i="108"/>
  <c r="CM29" i="108"/>
  <c r="CN29" i="108"/>
  <c r="CO29" i="108" s="1"/>
  <c r="CI29" i="108"/>
  <c r="CD29" i="108"/>
  <c r="CE29" i="108"/>
  <c r="BZ29" i="108"/>
  <c r="BN29" i="108"/>
  <c r="AZ29" i="108"/>
  <c r="AY29" i="108"/>
  <c r="AW29" i="108"/>
  <c r="AU29" i="108"/>
  <c r="AS29" i="108"/>
  <c r="AP29" i="108"/>
  <c r="AO29" i="108"/>
  <c r="AM29" i="108"/>
  <c r="AK29" i="108"/>
  <c r="AI29" i="108"/>
  <c r="AF29" i="108"/>
  <c r="AE29" i="108"/>
  <c r="AC29" i="108"/>
  <c r="AA29" i="108"/>
  <c r="Y29" i="108"/>
  <c r="V29" i="108"/>
  <c r="Q29" i="108"/>
  <c r="O29" i="108"/>
  <c r="M29" i="108"/>
  <c r="I29" i="108"/>
  <c r="EC29" i="108" s="1"/>
  <c r="F29" i="108"/>
  <c r="EB29" i="108" s="1"/>
  <c r="C29" i="108"/>
  <c r="EA29" i="108" s="1"/>
  <c r="EQ28" i="108"/>
  <c r="EH28" i="108"/>
  <c r="DY28" i="108"/>
  <c r="DK28" i="108"/>
  <c r="DF28" i="108"/>
  <c r="DG28" i="108" s="1"/>
  <c r="DB28" i="108"/>
  <c r="CV28" i="108"/>
  <c r="CW28" i="108"/>
  <c r="CR28" i="108"/>
  <c r="CM28" i="108"/>
  <c r="CN28" i="108" s="1"/>
  <c r="CI28" i="108"/>
  <c r="CD28" i="108"/>
  <c r="CE28" i="108" s="1"/>
  <c r="BZ28" i="108"/>
  <c r="BN28" i="108"/>
  <c r="AZ28" i="108"/>
  <c r="AY28" i="108"/>
  <c r="AW28" i="108"/>
  <c r="AU28" i="108"/>
  <c r="AS28" i="108"/>
  <c r="AP28" i="108"/>
  <c r="AO28" i="108"/>
  <c r="AM28" i="108"/>
  <c r="AK28" i="108"/>
  <c r="AI28" i="108"/>
  <c r="AF28" i="108"/>
  <c r="AE28" i="108"/>
  <c r="AC28" i="108"/>
  <c r="AA28" i="108"/>
  <c r="Y28" i="108"/>
  <c r="V28" i="108"/>
  <c r="Q28" i="108"/>
  <c r="O28" i="108"/>
  <c r="M28" i="108"/>
  <c r="I28" i="108"/>
  <c r="F28" i="108"/>
  <c r="EB28" i="108" s="1"/>
  <c r="C28" i="108"/>
  <c r="EA28" i="108"/>
  <c r="EQ27" i="108"/>
  <c r="EH27" i="108"/>
  <c r="DY27" i="108"/>
  <c r="DK27" i="108"/>
  <c r="DF27" i="108"/>
  <c r="DG27" i="108" s="1"/>
  <c r="DB27" i="108"/>
  <c r="CV27" i="108"/>
  <c r="CW27" i="108" s="1"/>
  <c r="CR27" i="108"/>
  <c r="CM27" i="108"/>
  <c r="CN27" i="108"/>
  <c r="CI27" i="108"/>
  <c r="CD27" i="108"/>
  <c r="CE27" i="108" s="1"/>
  <c r="CF27" i="108" s="1"/>
  <c r="BZ27" i="108"/>
  <c r="BN27" i="108"/>
  <c r="AZ27" i="108"/>
  <c r="AY27" i="108"/>
  <c r="AW27" i="108"/>
  <c r="AU27" i="108"/>
  <c r="AS27" i="108"/>
  <c r="AP27" i="108"/>
  <c r="AO27" i="108"/>
  <c r="AM27" i="108"/>
  <c r="AK27" i="108"/>
  <c r="AI27" i="108"/>
  <c r="AF27" i="108"/>
  <c r="AE27" i="108"/>
  <c r="AC27" i="108"/>
  <c r="AA27" i="108"/>
  <c r="Y27" i="108"/>
  <c r="V27" i="108"/>
  <c r="Q27" i="108"/>
  <c r="O27" i="108"/>
  <c r="M27" i="108"/>
  <c r="I27" i="108"/>
  <c r="F27" i="108"/>
  <c r="C27" i="108"/>
  <c r="EA27" i="108" s="1"/>
  <c r="EQ26" i="108"/>
  <c r="EH26" i="108"/>
  <c r="DY26" i="108"/>
  <c r="DK26" i="108"/>
  <c r="DF26" i="108"/>
  <c r="DG26" i="108" s="1"/>
  <c r="DB26" i="108"/>
  <c r="CV26" i="108"/>
  <c r="CW26" i="108" s="1"/>
  <c r="CR26" i="108"/>
  <c r="CM26" i="108"/>
  <c r="CN26" i="108" s="1"/>
  <c r="CI26" i="108"/>
  <c r="CD26" i="108"/>
  <c r="CE26" i="108"/>
  <c r="BZ26" i="108"/>
  <c r="BN26" i="108"/>
  <c r="AZ26" i="108"/>
  <c r="AY26" i="108"/>
  <c r="AW26" i="108"/>
  <c r="AU26" i="108"/>
  <c r="AS26" i="108"/>
  <c r="AP26" i="108"/>
  <c r="AO26" i="108"/>
  <c r="AM26" i="108"/>
  <c r="AK26" i="108"/>
  <c r="AI26" i="108"/>
  <c r="AF26" i="108"/>
  <c r="AE26" i="108"/>
  <c r="AC26" i="108"/>
  <c r="AA26" i="108"/>
  <c r="Y26" i="108"/>
  <c r="V26" i="108"/>
  <c r="Q26" i="108"/>
  <c r="O26" i="108"/>
  <c r="M26" i="108"/>
  <c r="I26" i="108"/>
  <c r="F26" i="108"/>
  <c r="EB26" i="108"/>
  <c r="C26" i="108"/>
  <c r="EA26" i="108" s="1"/>
  <c r="EQ25" i="108"/>
  <c r="EH25" i="108"/>
  <c r="DY25" i="108"/>
  <c r="DK25" i="108"/>
  <c r="DF25" i="108"/>
  <c r="DG25" i="108"/>
  <c r="DH25" i="108" s="1"/>
  <c r="DB25" i="108"/>
  <c r="CV25" i="108"/>
  <c r="CW25" i="108"/>
  <c r="CR25" i="108"/>
  <c r="CM25" i="108"/>
  <c r="CN25" i="108" s="1"/>
  <c r="CO25" i="108" s="1"/>
  <c r="CI25" i="108"/>
  <c r="CD25" i="108"/>
  <c r="CE25" i="108" s="1"/>
  <c r="BZ25" i="108"/>
  <c r="BN25" i="108"/>
  <c r="AZ25" i="108"/>
  <c r="AY25" i="108"/>
  <c r="AW25" i="108"/>
  <c r="AU25" i="108"/>
  <c r="AS25" i="108"/>
  <c r="AP25" i="108"/>
  <c r="AO25" i="108"/>
  <c r="AM25" i="108"/>
  <c r="AK25" i="108"/>
  <c r="AI25" i="108"/>
  <c r="AF25" i="108"/>
  <c r="AE25" i="108"/>
  <c r="AC25" i="108"/>
  <c r="AA25" i="108"/>
  <c r="Y25" i="108"/>
  <c r="V25" i="108"/>
  <c r="Q25" i="108"/>
  <c r="O25" i="108"/>
  <c r="M25" i="108"/>
  <c r="I25" i="108"/>
  <c r="EC25" i="108" s="1"/>
  <c r="F25" i="108"/>
  <c r="EB25" i="108"/>
  <c r="C25" i="108"/>
  <c r="EA25" i="108" s="1"/>
  <c r="EQ24" i="108"/>
  <c r="EH24" i="108"/>
  <c r="DY24" i="108"/>
  <c r="DK24" i="108"/>
  <c r="DF24" i="108"/>
  <c r="DG24" i="108"/>
  <c r="DB24" i="108"/>
  <c r="CV24" i="108"/>
  <c r="CW24" i="108" s="1"/>
  <c r="CR24" i="108"/>
  <c r="CM24" i="108"/>
  <c r="CN24" i="108" s="1"/>
  <c r="CI24" i="108"/>
  <c r="CD24" i="108"/>
  <c r="CE24" i="108" s="1"/>
  <c r="BZ24" i="108"/>
  <c r="BN24" i="108"/>
  <c r="AZ24" i="108"/>
  <c r="AY24" i="108"/>
  <c r="AW24" i="108"/>
  <c r="AU24" i="108"/>
  <c r="AS24" i="108"/>
  <c r="AP24" i="108"/>
  <c r="AO24" i="108"/>
  <c r="AM24" i="108"/>
  <c r="AK24" i="108"/>
  <c r="AI24" i="108"/>
  <c r="AF24" i="108"/>
  <c r="AE24" i="108"/>
  <c r="AC24" i="108"/>
  <c r="AA24" i="108"/>
  <c r="Y24" i="108"/>
  <c r="V24" i="108"/>
  <c r="Q24" i="108"/>
  <c r="O24" i="108"/>
  <c r="M24" i="108"/>
  <c r="I24" i="108"/>
  <c r="F24" i="108"/>
  <c r="EB24" i="108" s="1"/>
  <c r="C24" i="108"/>
  <c r="EA24" i="108" s="1"/>
  <c r="EQ23" i="108"/>
  <c r="EH23" i="108"/>
  <c r="DY23" i="108"/>
  <c r="DK23" i="108"/>
  <c r="DF23" i="108"/>
  <c r="DG23" i="108" s="1"/>
  <c r="DB23" i="108"/>
  <c r="CV23" i="108"/>
  <c r="CW23" i="108"/>
  <c r="CR23" i="108"/>
  <c r="CM23" i="108"/>
  <c r="CN23" i="108" s="1"/>
  <c r="CI23" i="108"/>
  <c r="CD23" i="108"/>
  <c r="CE23" i="108" s="1"/>
  <c r="CF23" i="108" s="1"/>
  <c r="BZ23" i="108"/>
  <c r="BN23" i="108"/>
  <c r="AZ23" i="108"/>
  <c r="AY23" i="108"/>
  <c r="AW23" i="108"/>
  <c r="AS23" i="108"/>
  <c r="AP23" i="108"/>
  <c r="AO23" i="108"/>
  <c r="AM23" i="108"/>
  <c r="AK23" i="108"/>
  <c r="AI23" i="108"/>
  <c r="AF23" i="108"/>
  <c r="AE23" i="108"/>
  <c r="AC23" i="108"/>
  <c r="AA23" i="108"/>
  <c r="Y23" i="108"/>
  <c r="V23" i="108"/>
  <c r="Q23" i="108"/>
  <c r="O23" i="108"/>
  <c r="M23" i="108"/>
  <c r="I23" i="108"/>
  <c r="F23" i="108"/>
  <c r="EB23" i="108" s="1"/>
  <c r="C23" i="108"/>
  <c r="EA23" i="108"/>
  <c r="EQ22" i="108"/>
  <c r="EH22" i="108"/>
  <c r="DY22" i="108"/>
  <c r="DK22" i="108"/>
  <c r="DF22" i="108"/>
  <c r="DG22" i="108" s="1"/>
  <c r="DB22" i="108"/>
  <c r="CV22" i="108"/>
  <c r="CW22" i="108" s="1"/>
  <c r="CR22" i="108"/>
  <c r="CM22" i="108"/>
  <c r="CN22" i="108"/>
  <c r="CI22" i="108"/>
  <c r="CD22" i="108"/>
  <c r="CE22" i="108" s="1"/>
  <c r="BZ22" i="108"/>
  <c r="BN22" i="108"/>
  <c r="AZ22" i="108"/>
  <c r="AY22" i="108"/>
  <c r="AW22" i="108"/>
  <c r="AS22" i="108"/>
  <c r="AP22" i="108"/>
  <c r="AO22" i="108"/>
  <c r="AM22" i="108"/>
  <c r="AK22" i="108"/>
  <c r="AI22" i="108"/>
  <c r="AF22" i="108"/>
  <c r="AE22" i="108"/>
  <c r="AC22" i="108"/>
  <c r="AA22" i="108"/>
  <c r="Y22" i="108"/>
  <c r="V22" i="108"/>
  <c r="Q22" i="108"/>
  <c r="O22" i="108"/>
  <c r="M22" i="108"/>
  <c r="I22" i="108"/>
  <c r="F22" i="108"/>
  <c r="C22" i="108"/>
  <c r="EA22" i="108" s="1"/>
  <c r="EQ21" i="108"/>
  <c r="EH21" i="108"/>
  <c r="DY21" i="108"/>
  <c r="DK21" i="108"/>
  <c r="DF21" i="108"/>
  <c r="DG21" i="108" s="1"/>
  <c r="DB21" i="108"/>
  <c r="CV21" i="108"/>
  <c r="CW21" i="108"/>
  <c r="CR21" i="108"/>
  <c r="CM21" i="108"/>
  <c r="CN21" i="108" s="1"/>
  <c r="CI21" i="108"/>
  <c r="CD21" i="108"/>
  <c r="CE21" i="108" s="1"/>
  <c r="BZ21" i="108"/>
  <c r="BN21" i="108"/>
  <c r="AZ21" i="108"/>
  <c r="AY21" i="108"/>
  <c r="AW21" i="108"/>
  <c r="AU21" i="108"/>
  <c r="AS21" i="108"/>
  <c r="AP21" i="108"/>
  <c r="AO21" i="108"/>
  <c r="AM21" i="108"/>
  <c r="AK21" i="108"/>
  <c r="AI21" i="108"/>
  <c r="AF21" i="108"/>
  <c r="AE21" i="108"/>
  <c r="AC21" i="108"/>
  <c r="AA21" i="108"/>
  <c r="Y21" i="108"/>
  <c r="V21" i="108"/>
  <c r="Q21" i="108"/>
  <c r="O21" i="108"/>
  <c r="M21" i="108"/>
  <c r="I21" i="108"/>
  <c r="F21" i="108"/>
  <c r="C21" i="108"/>
  <c r="EA21" i="108" s="1"/>
  <c r="EQ20" i="108"/>
  <c r="EH20" i="108"/>
  <c r="DY20" i="108"/>
  <c r="DK20" i="108"/>
  <c r="DF20" i="108"/>
  <c r="DG20" i="108" s="1"/>
  <c r="DB20" i="108"/>
  <c r="CV20" i="108"/>
  <c r="CW20" i="108"/>
  <c r="CR20" i="108"/>
  <c r="CM20" i="108"/>
  <c r="CN20" i="108" s="1"/>
  <c r="CI20" i="108"/>
  <c r="CD20" i="108"/>
  <c r="CE20" i="108" s="1"/>
  <c r="BZ20" i="108"/>
  <c r="BN20" i="108"/>
  <c r="AZ20" i="108"/>
  <c r="AY20" i="108"/>
  <c r="AW20" i="108"/>
  <c r="AU20" i="108"/>
  <c r="AS20" i="108"/>
  <c r="AP20" i="108"/>
  <c r="AO20" i="108"/>
  <c r="AM20" i="108"/>
  <c r="AK20" i="108"/>
  <c r="AI20" i="108"/>
  <c r="AF20" i="108"/>
  <c r="AE20" i="108"/>
  <c r="AC20" i="108"/>
  <c r="AA20" i="108"/>
  <c r="Y20" i="108"/>
  <c r="V20" i="108"/>
  <c r="Q20" i="108"/>
  <c r="O20" i="108"/>
  <c r="M20" i="108"/>
  <c r="I20" i="108"/>
  <c r="F20" i="108"/>
  <c r="EB20" i="108" s="1"/>
  <c r="C20" i="108"/>
  <c r="EA20" i="108"/>
  <c r="EQ19" i="108"/>
  <c r="EH19" i="108"/>
  <c r="DY19" i="108"/>
  <c r="DK19" i="108"/>
  <c r="DF19" i="108"/>
  <c r="DG19" i="108" s="1"/>
  <c r="DB19" i="108"/>
  <c r="CV19" i="108"/>
  <c r="CW19" i="108" s="1"/>
  <c r="CR19" i="108"/>
  <c r="CM19" i="108"/>
  <c r="CN19" i="108"/>
  <c r="CI19" i="108"/>
  <c r="CD19" i="108"/>
  <c r="CE19" i="108" s="1"/>
  <c r="BZ19" i="108"/>
  <c r="BN19" i="108"/>
  <c r="AZ19" i="108"/>
  <c r="AY19" i="108"/>
  <c r="AW19" i="108"/>
  <c r="AU19" i="108"/>
  <c r="AS19" i="108"/>
  <c r="AP19" i="108"/>
  <c r="AO19" i="108"/>
  <c r="AM19" i="108"/>
  <c r="AK19" i="108"/>
  <c r="AI19" i="108"/>
  <c r="AF19" i="108"/>
  <c r="AE19" i="108"/>
  <c r="AC19" i="108"/>
  <c r="AA19" i="108"/>
  <c r="Y19" i="108"/>
  <c r="V19" i="108"/>
  <c r="Q19" i="108"/>
  <c r="O19" i="108"/>
  <c r="M19" i="108"/>
  <c r="I19" i="108"/>
  <c r="F19" i="108"/>
  <c r="EB19" i="108" s="1"/>
  <c r="C19" i="108"/>
  <c r="EA19" i="108"/>
  <c r="EQ18" i="108"/>
  <c r="EH18" i="108"/>
  <c r="DY18" i="108"/>
  <c r="DK18" i="108"/>
  <c r="DF18" i="108"/>
  <c r="DG18" i="108" s="1"/>
  <c r="DB18" i="108"/>
  <c r="CV18" i="108"/>
  <c r="CW18" i="108" s="1"/>
  <c r="CR18" i="108"/>
  <c r="CM18" i="108"/>
  <c r="CN18" i="108"/>
  <c r="CI18" i="108"/>
  <c r="CD18" i="108"/>
  <c r="CE18" i="108"/>
  <c r="BZ18" i="108"/>
  <c r="BN18" i="108"/>
  <c r="AZ18" i="108"/>
  <c r="AY18" i="108"/>
  <c r="AW18" i="108"/>
  <c r="AU18" i="108"/>
  <c r="AS18" i="108"/>
  <c r="AP18" i="108"/>
  <c r="AO18" i="108"/>
  <c r="AM18" i="108"/>
  <c r="AK18" i="108"/>
  <c r="AI18" i="108"/>
  <c r="AF18" i="108"/>
  <c r="AE18" i="108"/>
  <c r="AC18" i="108"/>
  <c r="AA18" i="108"/>
  <c r="Y18" i="108"/>
  <c r="V18" i="108"/>
  <c r="Q18" i="108"/>
  <c r="O18" i="108"/>
  <c r="M18" i="108"/>
  <c r="I18" i="108"/>
  <c r="F18" i="108"/>
  <c r="EB18" i="108"/>
  <c r="C18" i="108"/>
  <c r="EA18" i="108" s="1"/>
  <c r="EQ17" i="108"/>
  <c r="EH17" i="108"/>
  <c r="DY17" i="108"/>
  <c r="DK17" i="108"/>
  <c r="DF17" i="108"/>
  <c r="DG17" i="108"/>
  <c r="DB17" i="108"/>
  <c r="CV17" i="108"/>
  <c r="CW17" i="108" s="1"/>
  <c r="CR17" i="108"/>
  <c r="CM17" i="108"/>
  <c r="CN17" i="108" s="1"/>
  <c r="CI17" i="108"/>
  <c r="CD17" i="108"/>
  <c r="CE17" i="108"/>
  <c r="BZ17" i="108"/>
  <c r="BN17" i="108"/>
  <c r="AZ17" i="108"/>
  <c r="AY17" i="108"/>
  <c r="AW17" i="108"/>
  <c r="AU17" i="108"/>
  <c r="AS17" i="108"/>
  <c r="AP17" i="108"/>
  <c r="AO17" i="108"/>
  <c r="AM17" i="108"/>
  <c r="AK17" i="108"/>
  <c r="AI17" i="108"/>
  <c r="AF17" i="108"/>
  <c r="AE17" i="108"/>
  <c r="AC17" i="108"/>
  <c r="AA17" i="108"/>
  <c r="Y17" i="108"/>
  <c r="V17" i="108"/>
  <c r="Q17" i="108"/>
  <c r="O17" i="108"/>
  <c r="M17" i="108"/>
  <c r="I17" i="108"/>
  <c r="F17" i="108"/>
  <c r="EB17" i="108"/>
  <c r="C17" i="108"/>
  <c r="EA17" i="108" s="1"/>
  <c r="EQ16" i="108"/>
  <c r="EH16" i="108"/>
  <c r="DY16" i="108"/>
  <c r="DK16" i="108"/>
  <c r="DF16" i="108"/>
  <c r="DG16" i="108"/>
  <c r="DB16" i="108"/>
  <c r="CV16" i="108"/>
  <c r="CW16" i="108"/>
  <c r="CR16" i="108"/>
  <c r="CM16" i="108"/>
  <c r="CN16" i="108" s="1"/>
  <c r="CI16" i="108"/>
  <c r="CD16" i="108"/>
  <c r="CE16" i="108" s="1"/>
  <c r="BZ16" i="108"/>
  <c r="BN16" i="108"/>
  <c r="AZ16" i="108"/>
  <c r="AY16" i="108"/>
  <c r="AW16" i="108"/>
  <c r="AU16" i="108"/>
  <c r="AS16" i="108"/>
  <c r="AP16" i="108"/>
  <c r="AO16" i="108"/>
  <c r="AM16" i="108"/>
  <c r="AK16" i="108"/>
  <c r="AI16" i="108"/>
  <c r="AF16" i="108"/>
  <c r="AE16" i="108"/>
  <c r="AC16" i="108"/>
  <c r="AA16" i="108"/>
  <c r="Y16" i="108"/>
  <c r="V16" i="108"/>
  <c r="Q16" i="108"/>
  <c r="O16" i="108"/>
  <c r="M16" i="108"/>
  <c r="I16" i="108"/>
  <c r="F16" i="108"/>
  <c r="EB16" i="108" s="1"/>
  <c r="C16" i="108"/>
  <c r="EA16" i="108"/>
  <c r="EQ15" i="108"/>
  <c r="EH15" i="108"/>
  <c r="DY15" i="108"/>
  <c r="DK15" i="108"/>
  <c r="DF15" i="108"/>
  <c r="DG15" i="108" s="1"/>
  <c r="DB15" i="108"/>
  <c r="CV15" i="108"/>
  <c r="CW15" i="108"/>
  <c r="CR15" i="108"/>
  <c r="CM15" i="108"/>
  <c r="CN15" i="108"/>
  <c r="CI15" i="108"/>
  <c r="CD15" i="108"/>
  <c r="CE15" i="108" s="1"/>
  <c r="BZ15" i="108"/>
  <c r="BN15" i="108"/>
  <c r="AZ15" i="108"/>
  <c r="AY15" i="108"/>
  <c r="AW15" i="108"/>
  <c r="AU15" i="108"/>
  <c r="AS15" i="108"/>
  <c r="AP15" i="108"/>
  <c r="AO15" i="108"/>
  <c r="AM15" i="108"/>
  <c r="AK15" i="108"/>
  <c r="AI15" i="108"/>
  <c r="AF15" i="108"/>
  <c r="AE15" i="108"/>
  <c r="AC15" i="108"/>
  <c r="AA15" i="108"/>
  <c r="Y15" i="108"/>
  <c r="V15" i="108"/>
  <c r="Q15" i="108"/>
  <c r="O15" i="108"/>
  <c r="M15" i="108"/>
  <c r="I15" i="108"/>
  <c r="F15" i="108"/>
  <c r="EB15" i="108" s="1"/>
  <c r="C15" i="108"/>
  <c r="EA15" i="108"/>
  <c r="EQ14" i="108"/>
  <c r="EH14" i="108"/>
  <c r="DY14" i="108"/>
  <c r="DK14" i="108"/>
  <c r="DF14" i="108"/>
  <c r="DG14" i="108" s="1"/>
  <c r="DB14" i="108"/>
  <c r="CV14" i="108"/>
  <c r="CW14" i="108" s="1"/>
  <c r="CR14" i="108"/>
  <c r="CM14" i="108"/>
  <c r="CN14" i="108"/>
  <c r="CI14" i="108"/>
  <c r="CD14" i="108"/>
  <c r="CE14" i="108"/>
  <c r="BZ14" i="108"/>
  <c r="BN14" i="108"/>
  <c r="AZ14" i="108"/>
  <c r="AY14" i="108"/>
  <c r="AW14" i="108"/>
  <c r="AU14" i="108"/>
  <c r="AS14" i="108"/>
  <c r="AP14" i="108"/>
  <c r="AO14" i="108"/>
  <c r="AM14" i="108"/>
  <c r="AK14" i="108"/>
  <c r="AI14" i="108"/>
  <c r="AF14" i="108"/>
  <c r="AE14" i="108"/>
  <c r="AC14" i="108"/>
  <c r="AA14" i="108"/>
  <c r="Y14" i="108"/>
  <c r="V14" i="108"/>
  <c r="Q14" i="108"/>
  <c r="O14" i="108"/>
  <c r="M14" i="108"/>
  <c r="I14" i="108"/>
  <c r="F14" i="108"/>
  <c r="EB14" i="108"/>
  <c r="C14" i="108"/>
  <c r="EA14" i="108" s="1"/>
  <c r="EQ13" i="108"/>
  <c r="EH13" i="108"/>
  <c r="DY13" i="108"/>
  <c r="DK13" i="108"/>
  <c r="DF13" i="108"/>
  <c r="DG13" i="108"/>
  <c r="DB13" i="108"/>
  <c r="CV13" i="108"/>
  <c r="CW13" i="108" s="1"/>
  <c r="CR13" i="108"/>
  <c r="CM13" i="108"/>
  <c r="CN13" i="108" s="1"/>
  <c r="CI13" i="108"/>
  <c r="CD13" i="108"/>
  <c r="CE13" i="108"/>
  <c r="BZ13" i="108"/>
  <c r="BN13" i="108"/>
  <c r="AZ13" i="108"/>
  <c r="AY13" i="108"/>
  <c r="AW13" i="108"/>
  <c r="AU13" i="108"/>
  <c r="AS13" i="108"/>
  <c r="AP13" i="108"/>
  <c r="AO13" i="108"/>
  <c r="AM13" i="108"/>
  <c r="AK13" i="108"/>
  <c r="AI13" i="108"/>
  <c r="AF13" i="108"/>
  <c r="AE13" i="108"/>
  <c r="AC13" i="108"/>
  <c r="AA13" i="108"/>
  <c r="Y13" i="108"/>
  <c r="V13" i="108"/>
  <c r="Q13" i="108"/>
  <c r="O13" i="108"/>
  <c r="M13" i="108"/>
  <c r="I13" i="108"/>
  <c r="F13" i="108"/>
  <c r="EB13" i="108"/>
  <c r="C13" i="108"/>
  <c r="EA13" i="108" s="1"/>
  <c r="EQ12" i="108"/>
  <c r="EH12" i="108"/>
  <c r="DY12" i="108"/>
  <c r="DK12" i="108"/>
  <c r="DF12" i="108"/>
  <c r="DG12" i="108"/>
  <c r="DB12" i="108"/>
  <c r="CV12" i="108"/>
  <c r="CW12" i="108"/>
  <c r="CR12" i="108"/>
  <c r="CM12" i="108"/>
  <c r="CN12" i="108" s="1"/>
  <c r="CI12" i="108"/>
  <c r="CD12" i="108"/>
  <c r="CE12" i="108" s="1"/>
  <c r="BZ12" i="108"/>
  <c r="BN12" i="108"/>
  <c r="AZ12" i="108"/>
  <c r="AY12" i="108"/>
  <c r="AW12" i="108"/>
  <c r="AU12" i="108"/>
  <c r="AS12" i="108"/>
  <c r="AP12" i="108"/>
  <c r="AO12" i="108"/>
  <c r="AM12" i="108"/>
  <c r="AK12" i="108"/>
  <c r="AI12" i="108"/>
  <c r="AF12" i="108"/>
  <c r="AE12" i="108"/>
  <c r="AC12" i="108"/>
  <c r="AA12" i="108"/>
  <c r="Y12" i="108"/>
  <c r="V12" i="108"/>
  <c r="Q12" i="108"/>
  <c r="O12" i="108"/>
  <c r="M12" i="108"/>
  <c r="I12" i="108"/>
  <c r="F12" i="108"/>
  <c r="EB12" i="108" s="1"/>
  <c r="C12" i="108"/>
  <c r="EA12" i="108"/>
  <c r="EQ11" i="108"/>
  <c r="EH11" i="108"/>
  <c r="DY11" i="108"/>
  <c r="DK11" i="108"/>
  <c r="DF11" i="108"/>
  <c r="DG11" i="108" s="1"/>
  <c r="DB11" i="108"/>
  <c r="CV11" i="108"/>
  <c r="CW11" i="108"/>
  <c r="CR11" i="108"/>
  <c r="CM11" i="108"/>
  <c r="CN11" i="108"/>
  <c r="CI11" i="108"/>
  <c r="CD11" i="108"/>
  <c r="CE11" i="108" s="1"/>
  <c r="BZ11" i="108"/>
  <c r="BN11" i="108"/>
  <c r="AZ11" i="108"/>
  <c r="AY11" i="108"/>
  <c r="AW11" i="108"/>
  <c r="AU11" i="108"/>
  <c r="AS11" i="108"/>
  <c r="AP11" i="108"/>
  <c r="AO11" i="108"/>
  <c r="AM11" i="108"/>
  <c r="AK11" i="108"/>
  <c r="AI11" i="108"/>
  <c r="AF11" i="108"/>
  <c r="AE11" i="108"/>
  <c r="AC11" i="108"/>
  <c r="AA11" i="108"/>
  <c r="Y11" i="108"/>
  <c r="V11" i="108"/>
  <c r="Q11" i="108"/>
  <c r="O11" i="108"/>
  <c r="M11" i="108"/>
  <c r="I11" i="108"/>
  <c r="F11" i="108"/>
  <c r="EB11" i="108" s="1"/>
  <c r="C11" i="108"/>
  <c r="EA11" i="108"/>
  <c r="EQ10" i="108"/>
  <c r="EH10" i="108"/>
  <c r="DY10" i="108"/>
  <c r="DK10" i="108"/>
  <c r="DF10" i="108"/>
  <c r="DG10" i="108" s="1"/>
  <c r="DB10" i="108"/>
  <c r="CV10" i="108"/>
  <c r="CW10" i="108" s="1"/>
  <c r="CR10" i="108"/>
  <c r="CM10" i="108"/>
  <c r="CN10" i="108"/>
  <c r="CI10" i="108"/>
  <c r="CD10" i="108"/>
  <c r="CE10" i="108"/>
  <c r="BZ10" i="108"/>
  <c r="BN10" i="108"/>
  <c r="AZ10" i="108"/>
  <c r="AY10" i="108"/>
  <c r="AW10" i="108"/>
  <c r="AU10" i="108"/>
  <c r="AS10" i="108"/>
  <c r="AP10" i="108"/>
  <c r="AO10" i="108"/>
  <c r="AM10" i="108"/>
  <c r="AK10" i="108"/>
  <c r="AI10" i="108"/>
  <c r="AF10" i="108"/>
  <c r="AE10" i="108"/>
  <c r="AC10" i="108"/>
  <c r="AA10" i="108"/>
  <c r="Y10" i="108"/>
  <c r="V10" i="108"/>
  <c r="Q10" i="108"/>
  <c r="O10" i="108"/>
  <c r="M10" i="108"/>
  <c r="I10" i="108"/>
  <c r="F10" i="108"/>
  <c r="EB10" i="108"/>
  <c r="C10" i="108"/>
  <c r="EA10" i="108" s="1"/>
  <c r="EQ9" i="108"/>
  <c r="EH9" i="108"/>
  <c r="DY9" i="108"/>
  <c r="DK9" i="108"/>
  <c r="DF9" i="108"/>
  <c r="DG9" i="108"/>
  <c r="DB9" i="108"/>
  <c r="CV9" i="108"/>
  <c r="CW9" i="108" s="1"/>
  <c r="CR9" i="108"/>
  <c r="CM9" i="108"/>
  <c r="CN9" i="108" s="1"/>
  <c r="CI9" i="108"/>
  <c r="CD9" i="108"/>
  <c r="CE9" i="108"/>
  <c r="BZ9" i="108"/>
  <c r="BN9" i="108"/>
  <c r="AZ9" i="108"/>
  <c r="AY9" i="108"/>
  <c r="AW9" i="108"/>
  <c r="AU9" i="108"/>
  <c r="AS9" i="108"/>
  <c r="AP9" i="108"/>
  <c r="AO9" i="108"/>
  <c r="AM9" i="108"/>
  <c r="AK9" i="108"/>
  <c r="AI9" i="108"/>
  <c r="AF9" i="108"/>
  <c r="AE9" i="108"/>
  <c r="AC9" i="108"/>
  <c r="AA9" i="108"/>
  <c r="Y9" i="108"/>
  <c r="V9" i="108"/>
  <c r="Q9" i="108"/>
  <c r="O9" i="108"/>
  <c r="M9" i="108"/>
  <c r="I9" i="108"/>
  <c r="F9" i="108"/>
  <c r="EB9" i="108"/>
  <c r="C9" i="108"/>
  <c r="EA9" i="108" s="1"/>
  <c r="EQ8" i="108"/>
  <c r="EH8" i="108"/>
  <c r="DY8" i="108"/>
  <c r="DK8" i="108"/>
  <c r="DF8" i="108"/>
  <c r="DB8" i="108"/>
  <c r="CV8" i="108"/>
  <c r="CR8" i="108"/>
  <c r="CM8" i="108"/>
  <c r="CI8" i="108"/>
  <c r="CD8" i="108"/>
  <c r="BZ8" i="108"/>
  <c r="BN8" i="108"/>
  <c r="AZ8" i="108"/>
  <c r="AY8" i="108"/>
  <c r="AW8" i="108"/>
  <c r="AU8" i="108"/>
  <c r="AS8" i="108"/>
  <c r="AP8" i="108"/>
  <c r="AO8" i="108"/>
  <c r="AM8" i="108"/>
  <c r="AK8" i="108"/>
  <c r="AI8" i="108"/>
  <c r="AF8" i="108"/>
  <c r="AE8" i="108"/>
  <c r="AC8" i="108"/>
  <c r="AA8" i="108"/>
  <c r="Y8" i="108"/>
  <c r="V8" i="108"/>
  <c r="Q8" i="108"/>
  <c r="O8" i="108"/>
  <c r="M8" i="108"/>
  <c r="I8" i="108"/>
  <c r="F8" i="108"/>
  <c r="C8" i="108"/>
  <c r="EI3" i="108"/>
  <c r="DZ3" i="108"/>
  <c r="DL3" i="108"/>
  <c r="DC3" i="108"/>
  <c r="CS3" i="108"/>
  <c r="CJ3" i="108"/>
  <c r="CA3" i="108"/>
  <c r="BO3" i="108"/>
  <c r="BA3" i="108"/>
  <c r="AQ3" i="108"/>
  <c r="AG3" i="108"/>
  <c r="W3" i="108"/>
  <c r="K3" i="108"/>
  <c r="EI1" i="108"/>
  <c r="DL1" i="108"/>
  <c r="DC1" i="108"/>
  <c r="CS1" i="108"/>
  <c r="CJ1" i="108"/>
  <c r="CA1" i="108"/>
  <c r="BO1" i="108"/>
  <c r="BA1" i="108"/>
  <c r="AQ1" i="108"/>
  <c r="AG1" i="108"/>
  <c r="W1" i="108"/>
  <c r="K1" i="108"/>
  <c r="DF38" i="106"/>
  <c r="DG38" i="106" s="1"/>
  <c r="CV38" i="106"/>
  <c r="CW38" i="106" s="1"/>
  <c r="CM38" i="106"/>
  <c r="CN38" i="106" s="1"/>
  <c r="CD38" i="106"/>
  <c r="CE38" i="106" s="1"/>
  <c r="AY38" i="106"/>
  <c r="AW38" i="106"/>
  <c r="AU38" i="106"/>
  <c r="AS38" i="106"/>
  <c r="AO38" i="106"/>
  <c r="AM38" i="106"/>
  <c r="AK38" i="106"/>
  <c r="AE38" i="106"/>
  <c r="AC38" i="106"/>
  <c r="AA38" i="106"/>
  <c r="Y38" i="106"/>
  <c r="Q38" i="106"/>
  <c r="O38" i="106"/>
  <c r="M38" i="106"/>
  <c r="I38" i="106"/>
  <c r="EC38" i="106" s="1"/>
  <c r="F38" i="106"/>
  <c r="EB38" i="106" s="1"/>
  <c r="EI42" i="107"/>
  <c r="DZ42" i="107"/>
  <c r="DL42" i="107"/>
  <c r="DC42" i="107"/>
  <c r="CS42" i="107"/>
  <c r="CJ42" i="107"/>
  <c r="CA42" i="107"/>
  <c r="BO42" i="107"/>
  <c r="BA42" i="107"/>
  <c r="AQ42" i="107"/>
  <c r="AG42" i="107"/>
  <c r="W42" i="107"/>
  <c r="K42" i="107"/>
  <c r="EG41" i="107"/>
  <c r="EF41" i="107"/>
  <c r="EE41" i="107"/>
  <c r="DW41" i="107"/>
  <c r="DV41" i="107"/>
  <c r="DU41" i="107"/>
  <c r="DT41" i="107"/>
  <c r="DS41" i="107"/>
  <c r="DR41" i="107"/>
  <c r="DQ41" i="107"/>
  <c r="DP41" i="107"/>
  <c r="DO41" i="107"/>
  <c r="DN41" i="107"/>
  <c r="DM41" i="107"/>
  <c r="BW41" i="107"/>
  <c r="BV41" i="107"/>
  <c r="BU41" i="107"/>
  <c r="AU11" i="67" s="1"/>
  <c r="BT41" i="107"/>
  <c r="AT11" i="67"/>
  <c r="BS41" i="107"/>
  <c r="AS11" i="67" s="1"/>
  <c r="BR41" i="107"/>
  <c r="BQ41" i="107"/>
  <c r="AQ11" i="67"/>
  <c r="BP41" i="107"/>
  <c r="BM41" i="107"/>
  <c r="AN11" i="67"/>
  <c r="BL41" i="107"/>
  <c r="AM11" i="67" s="1"/>
  <c r="BK41" i="107"/>
  <c r="AL11" i="67"/>
  <c r="BJ41" i="107"/>
  <c r="AK11" i="67" s="1"/>
  <c r="BI41" i="107"/>
  <c r="AJ11" i="67"/>
  <c r="BH41" i="107"/>
  <c r="AI11" i="67" s="1"/>
  <c r="BG41" i="107"/>
  <c r="AH11" i="67"/>
  <c r="BF41" i="107"/>
  <c r="AG11" i="67" s="1"/>
  <c r="BE41" i="107"/>
  <c r="AF11" i="67"/>
  <c r="BD41" i="107"/>
  <c r="BC41" i="107"/>
  <c r="AD11" i="67" s="1"/>
  <c r="BB41" i="107"/>
  <c r="EQ37" i="107"/>
  <c r="EH37" i="107"/>
  <c r="DY37" i="107"/>
  <c r="DK37" i="107"/>
  <c r="DB37" i="107"/>
  <c r="CR37" i="107"/>
  <c r="CI37" i="107"/>
  <c r="BZ37" i="107"/>
  <c r="BN37" i="107"/>
  <c r="AZ37" i="107"/>
  <c r="AP37" i="107"/>
  <c r="AF37" i="107"/>
  <c r="V37" i="107"/>
  <c r="EQ36" i="107"/>
  <c r="EH36" i="107"/>
  <c r="DY36" i="107"/>
  <c r="DK36" i="107"/>
  <c r="DF36" i="107"/>
  <c r="DG36" i="107" s="1"/>
  <c r="DB36" i="107"/>
  <c r="CV36" i="107"/>
  <c r="CW36" i="107" s="1"/>
  <c r="CR36" i="107"/>
  <c r="CM36" i="107"/>
  <c r="CN36" i="107"/>
  <c r="CI36" i="107"/>
  <c r="CD36" i="107"/>
  <c r="CE36" i="107"/>
  <c r="CF36" i="107"/>
  <c r="BZ36" i="107"/>
  <c r="BN36" i="107"/>
  <c r="AZ36" i="107"/>
  <c r="AY36" i="107"/>
  <c r="AW36" i="107"/>
  <c r="AU36" i="107"/>
  <c r="AS36" i="107"/>
  <c r="AP36" i="107"/>
  <c r="AO36" i="107"/>
  <c r="AM36" i="107"/>
  <c r="AK36" i="107"/>
  <c r="AI36" i="107"/>
  <c r="AF36" i="107"/>
  <c r="AE36" i="107"/>
  <c r="AC36" i="107"/>
  <c r="AA36" i="107"/>
  <c r="Y36" i="107"/>
  <c r="V36" i="107"/>
  <c r="Q36" i="107"/>
  <c r="EB36" i="107"/>
  <c r="M36" i="107"/>
  <c r="I36" i="107"/>
  <c r="C36" i="107"/>
  <c r="EA36" i="107"/>
  <c r="EQ35" i="107"/>
  <c r="EH35" i="107"/>
  <c r="DY35" i="107"/>
  <c r="DK35" i="107"/>
  <c r="DF35" i="107"/>
  <c r="DG35" i="107" s="1"/>
  <c r="DH35" i="107" s="1"/>
  <c r="DB35" i="107"/>
  <c r="CV35" i="107"/>
  <c r="CW35" i="107" s="1"/>
  <c r="CR35" i="107"/>
  <c r="CM35" i="107"/>
  <c r="CN35" i="107" s="1"/>
  <c r="CO35" i="107" s="1"/>
  <c r="CI35" i="107"/>
  <c r="CD35" i="107"/>
  <c r="CE35" i="107" s="1"/>
  <c r="BZ35" i="107"/>
  <c r="BN35" i="107"/>
  <c r="AZ35" i="107"/>
  <c r="AY35" i="107"/>
  <c r="AW35" i="107"/>
  <c r="AU35" i="107"/>
  <c r="AS35" i="107"/>
  <c r="AP35" i="107"/>
  <c r="AO35" i="107"/>
  <c r="AM35" i="107"/>
  <c r="AK35" i="107"/>
  <c r="AI35" i="107"/>
  <c r="AF35" i="107"/>
  <c r="AE35" i="107"/>
  <c r="AC35" i="107"/>
  <c r="AA35" i="107"/>
  <c r="Y35" i="107"/>
  <c r="V35" i="107"/>
  <c r="Q35" i="107"/>
  <c r="O35" i="107"/>
  <c r="M35" i="107"/>
  <c r="I35" i="107"/>
  <c r="EC35" i="107"/>
  <c r="F35" i="107"/>
  <c r="EB35" i="107" s="1"/>
  <c r="C35" i="107"/>
  <c r="EA35" i="107"/>
  <c r="EQ34" i="107"/>
  <c r="EH34" i="107"/>
  <c r="DY34" i="107"/>
  <c r="DK34" i="107"/>
  <c r="DF34" i="107"/>
  <c r="DG34" i="107" s="1"/>
  <c r="DH34" i="107" s="1"/>
  <c r="DB34" i="107"/>
  <c r="CV34" i="107"/>
  <c r="CW34" i="107" s="1"/>
  <c r="CR34" i="107"/>
  <c r="CM34" i="107"/>
  <c r="CN34" i="107" s="1"/>
  <c r="CO34" i="107" s="1"/>
  <c r="CI34" i="107"/>
  <c r="CD34" i="107"/>
  <c r="CE34" i="107" s="1"/>
  <c r="BZ34" i="107"/>
  <c r="BN34" i="107"/>
  <c r="AZ34" i="107"/>
  <c r="AY34" i="107"/>
  <c r="AW34" i="107"/>
  <c r="AU34" i="107"/>
  <c r="AS34" i="107"/>
  <c r="AP34" i="107"/>
  <c r="AO34" i="107"/>
  <c r="AM34" i="107"/>
  <c r="AK34" i="107"/>
  <c r="AI34" i="107"/>
  <c r="AF34" i="107"/>
  <c r="AE34" i="107"/>
  <c r="AC34" i="107"/>
  <c r="AA34" i="107"/>
  <c r="Y34" i="107"/>
  <c r="V34" i="107"/>
  <c r="Q34" i="107"/>
  <c r="O34" i="107"/>
  <c r="M34" i="107"/>
  <c r="I34" i="107"/>
  <c r="EC34" i="107"/>
  <c r="F34" i="107"/>
  <c r="EB34" i="107" s="1"/>
  <c r="C34" i="107"/>
  <c r="EA34" i="107"/>
  <c r="EQ33" i="107"/>
  <c r="EH33" i="107"/>
  <c r="DY33" i="107"/>
  <c r="DK33" i="107"/>
  <c r="DF33" i="107"/>
  <c r="DG33" i="107" s="1"/>
  <c r="DB33" i="107"/>
  <c r="CV33" i="107"/>
  <c r="CW33" i="107" s="1"/>
  <c r="CR33" i="107"/>
  <c r="CM33" i="107"/>
  <c r="CN33" i="107"/>
  <c r="CI33" i="107"/>
  <c r="CD33" i="107"/>
  <c r="CE33" i="107"/>
  <c r="BZ33" i="107"/>
  <c r="BN33" i="107"/>
  <c r="AZ33" i="107"/>
  <c r="AY33" i="107"/>
  <c r="AW33" i="107"/>
  <c r="AU33" i="107"/>
  <c r="AS33" i="107"/>
  <c r="AP33" i="107"/>
  <c r="AO33" i="107"/>
  <c r="AM33" i="107"/>
  <c r="AK33" i="107"/>
  <c r="AI33" i="107"/>
  <c r="AF33" i="107"/>
  <c r="AE33" i="107"/>
  <c r="AC33" i="107"/>
  <c r="AA33" i="107"/>
  <c r="Y33" i="107"/>
  <c r="V33" i="107"/>
  <c r="Q33" i="107"/>
  <c r="O33" i="107"/>
  <c r="M33" i="107"/>
  <c r="I33" i="107"/>
  <c r="F33" i="107"/>
  <c r="EB33" i="107"/>
  <c r="C33" i="107"/>
  <c r="EA33" i="107" s="1"/>
  <c r="EQ32" i="107"/>
  <c r="EH32" i="107"/>
  <c r="DY32" i="107"/>
  <c r="DK32" i="107"/>
  <c r="DF32" i="107"/>
  <c r="DG32" i="107"/>
  <c r="DB32" i="107"/>
  <c r="CV32" i="107"/>
  <c r="CW32" i="107" s="1"/>
  <c r="CR32" i="107"/>
  <c r="CM32" i="107"/>
  <c r="CN32" i="107" s="1"/>
  <c r="CI32" i="107"/>
  <c r="CD32" i="107"/>
  <c r="CE32" i="107"/>
  <c r="CF32" i="107" s="1"/>
  <c r="BZ32" i="107"/>
  <c r="BN32" i="107"/>
  <c r="AZ32" i="107"/>
  <c r="AY32" i="107"/>
  <c r="AW32" i="107"/>
  <c r="AU32" i="107"/>
  <c r="AS32" i="107"/>
  <c r="AP32" i="107"/>
  <c r="AO32" i="107"/>
  <c r="AM32" i="107"/>
  <c r="AK32" i="107"/>
  <c r="AI32" i="107"/>
  <c r="AF32" i="107"/>
  <c r="AE32" i="107"/>
  <c r="AC32" i="107"/>
  <c r="AA32" i="107"/>
  <c r="Y32" i="107"/>
  <c r="V32" i="107"/>
  <c r="Q32" i="107"/>
  <c r="O32" i="107"/>
  <c r="M32" i="107"/>
  <c r="I32" i="107"/>
  <c r="F32" i="107"/>
  <c r="EB32" i="107" s="1"/>
  <c r="C32" i="107"/>
  <c r="EA32" i="107"/>
  <c r="EQ31" i="107"/>
  <c r="EH31" i="107"/>
  <c r="DY31" i="107"/>
  <c r="DK31" i="107"/>
  <c r="DF31" i="107"/>
  <c r="DG31" i="107" s="1"/>
  <c r="DH31" i="107" s="1"/>
  <c r="DB31" i="107"/>
  <c r="CV31" i="107"/>
  <c r="CW31" i="107" s="1"/>
  <c r="CR31" i="107"/>
  <c r="CM31" i="107"/>
  <c r="CN31" i="107"/>
  <c r="CO31" i="107" s="1"/>
  <c r="CI31" i="107"/>
  <c r="CD31" i="107"/>
  <c r="CE31" i="107"/>
  <c r="BZ31" i="107"/>
  <c r="BN31" i="107"/>
  <c r="AZ31" i="107"/>
  <c r="AY31" i="107"/>
  <c r="AW31" i="107"/>
  <c r="AU31" i="107"/>
  <c r="AS31" i="107"/>
  <c r="AP31" i="107"/>
  <c r="AO31" i="107"/>
  <c r="AM31" i="107"/>
  <c r="AK31" i="107"/>
  <c r="AI31" i="107"/>
  <c r="AF31" i="107"/>
  <c r="AE31" i="107"/>
  <c r="AC31" i="107"/>
  <c r="AA31" i="107"/>
  <c r="Y31" i="107"/>
  <c r="V31" i="107"/>
  <c r="Q31" i="107"/>
  <c r="O31" i="107"/>
  <c r="M31" i="107"/>
  <c r="I31" i="107"/>
  <c r="EC31" i="107"/>
  <c r="F31" i="107"/>
  <c r="EB31" i="107" s="1"/>
  <c r="C31" i="107"/>
  <c r="EA31" i="107"/>
  <c r="EQ30" i="107"/>
  <c r="EH30" i="107"/>
  <c r="DY30" i="107"/>
  <c r="DK30" i="107"/>
  <c r="DF30" i="107"/>
  <c r="DG30" i="107" s="1"/>
  <c r="DH30" i="107" s="1"/>
  <c r="DB30" i="107"/>
  <c r="CV30" i="107"/>
  <c r="CW30" i="107" s="1"/>
  <c r="CR30" i="107"/>
  <c r="CM30" i="107"/>
  <c r="CN30" i="107"/>
  <c r="CO30" i="107" s="1"/>
  <c r="CI30" i="107"/>
  <c r="CD30" i="107"/>
  <c r="CE30" i="107"/>
  <c r="BZ30" i="107"/>
  <c r="BN30" i="107"/>
  <c r="AZ30" i="107"/>
  <c r="AY30" i="107"/>
  <c r="AW30" i="107"/>
  <c r="AU30" i="107"/>
  <c r="AS30" i="107"/>
  <c r="AP30" i="107"/>
  <c r="AO30" i="107"/>
  <c r="AM30" i="107"/>
  <c r="AK30" i="107"/>
  <c r="AI30" i="107"/>
  <c r="AF30" i="107"/>
  <c r="AE30" i="107"/>
  <c r="AC30" i="107"/>
  <c r="AA30" i="107"/>
  <c r="Y30" i="107"/>
  <c r="V30" i="107"/>
  <c r="Q30" i="107"/>
  <c r="O30" i="107"/>
  <c r="M30" i="107"/>
  <c r="I30" i="107"/>
  <c r="EC30" i="107"/>
  <c r="F30" i="107"/>
  <c r="EB30" i="107" s="1"/>
  <c r="C30" i="107"/>
  <c r="EA30" i="107"/>
  <c r="EQ29" i="107"/>
  <c r="EH29" i="107"/>
  <c r="DY29" i="107"/>
  <c r="DK29" i="107"/>
  <c r="DF29" i="107"/>
  <c r="DG29" i="107" s="1"/>
  <c r="DB29" i="107"/>
  <c r="CV29" i="107"/>
  <c r="CW29" i="107"/>
  <c r="CR29" i="107"/>
  <c r="CM29" i="107"/>
  <c r="CN29" i="107"/>
  <c r="CI29" i="107"/>
  <c r="CD29" i="107"/>
  <c r="CE29" i="107" s="1"/>
  <c r="BZ29" i="107"/>
  <c r="BN29" i="107"/>
  <c r="AZ29" i="107"/>
  <c r="AY29" i="107"/>
  <c r="AW29" i="107"/>
  <c r="AU29" i="107"/>
  <c r="AS29" i="107"/>
  <c r="AP29" i="107"/>
  <c r="AO29" i="107"/>
  <c r="AM29" i="107"/>
  <c r="AK29" i="107"/>
  <c r="AI29" i="107"/>
  <c r="AF29" i="107"/>
  <c r="AE29" i="107"/>
  <c r="AC29" i="107"/>
  <c r="AA29" i="107"/>
  <c r="Y29" i="107"/>
  <c r="V29" i="107"/>
  <c r="Q29" i="107"/>
  <c r="O29" i="107"/>
  <c r="M29" i="107"/>
  <c r="I29" i="107"/>
  <c r="F29" i="107"/>
  <c r="EB29" i="107" s="1"/>
  <c r="C29" i="107"/>
  <c r="EA29" i="107"/>
  <c r="EQ28" i="107"/>
  <c r="EH28" i="107"/>
  <c r="DY28" i="107"/>
  <c r="DK28" i="107"/>
  <c r="DF28" i="107"/>
  <c r="DG28" i="107" s="1"/>
  <c r="DB28" i="107"/>
  <c r="CV28" i="107"/>
  <c r="CW28" i="107" s="1"/>
  <c r="CR28" i="107"/>
  <c r="CM28" i="107"/>
  <c r="CN28" i="107"/>
  <c r="CI28" i="107"/>
  <c r="CD28" i="107"/>
  <c r="CE28" i="107"/>
  <c r="CF28" i="107"/>
  <c r="BZ28" i="107"/>
  <c r="BN28" i="107"/>
  <c r="AZ28" i="107"/>
  <c r="AY28" i="107"/>
  <c r="AW28" i="107"/>
  <c r="AU28" i="107"/>
  <c r="AS28" i="107"/>
  <c r="AP28" i="107"/>
  <c r="AO28" i="107"/>
  <c r="AM28" i="107"/>
  <c r="AK28" i="107"/>
  <c r="AI28" i="107"/>
  <c r="AF28" i="107"/>
  <c r="AE28" i="107"/>
  <c r="AC28" i="107"/>
  <c r="AA28" i="107"/>
  <c r="Y28" i="107"/>
  <c r="V28" i="107"/>
  <c r="Q28" i="107"/>
  <c r="O28" i="107"/>
  <c r="M28" i="107"/>
  <c r="I28" i="107"/>
  <c r="F28" i="107"/>
  <c r="EB28" i="107"/>
  <c r="C28" i="107"/>
  <c r="EA28" i="107" s="1"/>
  <c r="EQ27" i="107"/>
  <c r="EH27" i="107"/>
  <c r="DY27" i="107"/>
  <c r="DK27" i="107"/>
  <c r="DF27" i="107"/>
  <c r="DG27" i="107"/>
  <c r="DH27" i="107" s="1"/>
  <c r="DB27" i="107"/>
  <c r="CV27" i="107"/>
  <c r="CW27" i="107"/>
  <c r="CR27" i="107"/>
  <c r="CM27" i="107"/>
  <c r="CN27" i="107"/>
  <c r="CO27" i="107"/>
  <c r="CI27" i="107"/>
  <c r="CD27" i="107"/>
  <c r="CE27" i="107"/>
  <c r="BZ27" i="107"/>
  <c r="BN27" i="107"/>
  <c r="AZ27" i="107"/>
  <c r="AY27" i="107"/>
  <c r="AW27" i="107"/>
  <c r="AU27" i="107"/>
  <c r="AS27" i="107"/>
  <c r="AP27" i="107"/>
  <c r="AO27" i="107"/>
  <c r="AM27" i="107"/>
  <c r="AK27" i="107"/>
  <c r="AI27" i="107"/>
  <c r="AF27" i="107"/>
  <c r="AE27" i="107"/>
  <c r="AC27" i="107"/>
  <c r="AA27" i="107"/>
  <c r="Y27" i="107"/>
  <c r="V27" i="107"/>
  <c r="Q27" i="107"/>
  <c r="O27" i="107"/>
  <c r="M27" i="107"/>
  <c r="I27" i="107"/>
  <c r="EC27" i="107" s="1"/>
  <c r="F27" i="107"/>
  <c r="EB27" i="107"/>
  <c r="C27" i="107"/>
  <c r="EA27" i="107" s="1"/>
  <c r="EQ26" i="107"/>
  <c r="EH26" i="107"/>
  <c r="DY26" i="107"/>
  <c r="DK26" i="107"/>
  <c r="DF26" i="107"/>
  <c r="DG26" i="107"/>
  <c r="DH26" i="107" s="1"/>
  <c r="DB26" i="107"/>
  <c r="CV26" i="107"/>
  <c r="CW26" i="107"/>
  <c r="CR26" i="107"/>
  <c r="CM26" i="107"/>
  <c r="CN26" i="107"/>
  <c r="CO26" i="107"/>
  <c r="CI26" i="107"/>
  <c r="CD26" i="107"/>
  <c r="CE26" i="107"/>
  <c r="BZ26" i="107"/>
  <c r="BN26" i="107"/>
  <c r="AZ26" i="107"/>
  <c r="AY26" i="107"/>
  <c r="AW26" i="107"/>
  <c r="AU26" i="107"/>
  <c r="AS26" i="107"/>
  <c r="AP26" i="107"/>
  <c r="AO26" i="107"/>
  <c r="AM26" i="107"/>
  <c r="AK26" i="107"/>
  <c r="AI26" i="107"/>
  <c r="AF26" i="107"/>
  <c r="AE26" i="107"/>
  <c r="AC26" i="107"/>
  <c r="AA26" i="107"/>
  <c r="Y26" i="107"/>
  <c r="V26" i="107"/>
  <c r="Q26" i="107"/>
  <c r="O26" i="107"/>
  <c r="M26" i="107"/>
  <c r="I26" i="107"/>
  <c r="EC26" i="107" s="1"/>
  <c r="F26" i="107"/>
  <c r="EB26" i="107"/>
  <c r="C26" i="107"/>
  <c r="EA26" i="107" s="1"/>
  <c r="EQ25" i="107"/>
  <c r="EH25" i="107"/>
  <c r="DY25" i="107"/>
  <c r="DK25" i="107"/>
  <c r="DF25" i="107"/>
  <c r="DG25" i="107"/>
  <c r="DB25" i="107"/>
  <c r="CV25" i="107"/>
  <c r="CW25" i="107"/>
  <c r="CR25" i="107"/>
  <c r="CM25" i="107"/>
  <c r="CN25" i="107" s="1"/>
  <c r="CI25" i="107"/>
  <c r="CD25" i="107"/>
  <c r="CE25" i="107" s="1"/>
  <c r="BZ25" i="107"/>
  <c r="BN25" i="107"/>
  <c r="AZ25" i="107"/>
  <c r="AY25" i="107"/>
  <c r="AW25" i="107"/>
  <c r="AU25" i="107"/>
  <c r="AS25" i="107"/>
  <c r="AP25" i="107"/>
  <c r="AO25" i="107"/>
  <c r="AM25" i="107"/>
  <c r="AK25" i="107"/>
  <c r="AI25" i="107"/>
  <c r="AF25" i="107"/>
  <c r="AE25" i="107"/>
  <c r="AC25" i="107"/>
  <c r="AA25" i="107"/>
  <c r="Y25" i="107"/>
  <c r="V25" i="107"/>
  <c r="Q25" i="107"/>
  <c r="O25" i="107"/>
  <c r="M25" i="107"/>
  <c r="I25" i="107"/>
  <c r="F25" i="107"/>
  <c r="EB25" i="107" s="1"/>
  <c r="C25" i="107"/>
  <c r="EA25" i="107"/>
  <c r="EQ24" i="107"/>
  <c r="EH24" i="107"/>
  <c r="DY24" i="107"/>
  <c r="DK24" i="107"/>
  <c r="DF24" i="107"/>
  <c r="DG24" i="107" s="1"/>
  <c r="DB24" i="107"/>
  <c r="CV24" i="107"/>
  <c r="CW24" i="107"/>
  <c r="CR24" i="107"/>
  <c r="CM24" i="107"/>
  <c r="CN24" i="107"/>
  <c r="CI24" i="107"/>
  <c r="CD24" i="107"/>
  <c r="CE24" i="107" s="1"/>
  <c r="CF24" i="107" s="1"/>
  <c r="BZ24" i="107"/>
  <c r="BN24" i="107"/>
  <c r="AZ24" i="107"/>
  <c r="AY24" i="107"/>
  <c r="AW24" i="107"/>
  <c r="AU24" i="107"/>
  <c r="AS24" i="107"/>
  <c r="AP24" i="107"/>
  <c r="AO24" i="107"/>
  <c r="AM24" i="107"/>
  <c r="AK24" i="107"/>
  <c r="AI24" i="107"/>
  <c r="AF24" i="107"/>
  <c r="AE24" i="107"/>
  <c r="AC24" i="107"/>
  <c r="AA24" i="107"/>
  <c r="Y24" i="107"/>
  <c r="V24" i="107"/>
  <c r="Q24" i="107"/>
  <c r="O24" i="107"/>
  <c r="M24" i="107"/>
  <c r="I24" i="107"/>
  <c r="F24" i="107"/>
  <c r="EB24" i="107"/>
  <c r="C24" i="107"/>
  <c r="EA24" i="107" s="1"/>
  <c r="EQ23" i="107"/>
  <c r="EH23" i="107"/>
  <c r="DY23" i="107"/>
  <c r="DK23" i="107"/>
  <c r="DF23" i="107"/>
  <c r="DG23" i="107"/>
  <c r="DB23" i="107"/>
  <c r="CV23" i="107"/>
  <c r="CW23" i="107" s="1"/>
  <c r="CR23" i="107"/>
  <c r="CM23" i="107"/>
  <c r="CN23" i="107" s="1"/>
  <c r="CI23" i="107"/>
  <c r="CD23" i="107"/>
  <c r="CE23" i="107"/>
  <c r="CF23" i="107" s="1"/>
  <c r="BZ23" i="107"/>
  <c r="BN23" i="107"/>
  <c r="AZ23" i="107"/>
  <c r="AY23" i="107"/>
  <c r="AW23" i="107"/>
  <c r="AU23" i="107"/>
  <c r="AS23" i="107"/>
  <c r="AP23" i="107"/>
  <c r="AO23" i="107"/>
  <c r="AM23" i="107"/>
  <c r="AK23" i="107"/>
  <c r="AI23" i="107"/>
  <c r="AF23" i="107"/>
  <c r="AE23" i="107"/>
  <c r="AC23" i="107"/>
  <c r="AA23" i="107"/>
  <c r="Y23" i="107"/>
  <c r="V23" i="107"/>
  <c r="Q23" i="107"/>
  <c r="O23" i="107"/>
  <c r="M23" i="107"/>
  <c r="I23" i="107"/>
  <c r="F23" i="107"/>
  <c r="EB23" i="107" s="1"/>
  <c r="C23" i="107"/>
  <c r="EA23" i="107"/>
  <c r="EQ22" i="107"/>
  <c r="EH22" i="107"/>
  <c r="DY22" i="107"/>
  <c r="DK22" i="107"/>
  <c r="DF22" i="107"/>
  <c r="DG22" i="107" s="1"/>
  <c r="DH22" i="107" s="1"/>
  <c r="DB22" i="107"/>
  <c r="CV22" i="107"/>
  <c r="CW22" i="107" s="1"/>
  <c r="CR22" i="107"/>
  <c r="CM22" i="107"/>
  <c r="CN22" i="107"/>
  <c r="CO22" i="107" s="1"/>
  <c r="CI22" i="107"/>
  <c r="CD22" i="107"/>
  <c r="CE22" i="107"/>
  <c r="BZ22" i="107"/>
  <c r="BN22" i="107"/>
  <c r="AZ22" i="107"/>
  <c r="AY22" i="107"/>
  <c r="AW22" i="107"/>
  <c r="AU22" i="107"/>
  <c r="AS22" i="107"/>
  <c r="AP22" i="107"/>
  <c r="AO22" i="107"/>
  <c r="AM22" i="107"/>
  <c r="AK22" i="107"/>
  <c r="AI22" i="107"/>
  <c r="AF22" i="107"/>
  <c r="AE22" i="107"/>
  <c r="AC22" i="107"/>
  <c r="AA22" i="107"/>
  <c r="Y22" i="107"/>
  <c r="V22" i="107"/>
  <c r="Q22" i="107"/>
  <c r="O22" i="107"/>
  <c r="M22" i="107"/>
  <c r="I22" i="107"/>
  <c r="EC22" i="107"/>
  <c r="F22" i="107"/>
  <c r="EB22" i="107" s="1"/>
  <c r="C22" i="107"/>
  <c r="EA22" i="107"/>
  <c r="EQ21" i="107"/>
  <c r="EH21" i="107"/>
  <c r="DY21" i="107"/>
  <c r="DK21" i="107"/>
  <c r="DF21" i="107"/>
  <c r="DG21" i="107" s="1"/>
  <c r="DB21" i="107"/>
  <c r="CV21" i="107"/>
  <c r="CW21" i="107"/>
  <c r="CX21" i="107" s="1"/>
  <c r="CR21" i="107"/>
  <c r="CM21" i="107"/>
  <c r="CN21" i="107"/>
  <c r="CI21" i="107"/>
  <c r="CD21" i="107"/>
  <c r="CE21" i="107"/>
  <c r="BZ21" i="107"/>
  <c r="BN21" i="107"/>
  <c r="AZ21" i="107"/>
  <c r="AY21" i="107"/>
  <c r="AW21" i="107"/>
  <c r="AU21" i="107"/>
  <c r="AS21" i="107"/>
  <c r="AP21" i="107"/>
  <c r="AO21" i="107"/>
  <c r="AM21" i="107"/>
  <c r="AK21" i="107"/>
  <c r="AF21" i="107"/>
  <c r="AE21" i="107"/>
  <c r="AC21" i="107"/>
  <c r="AA21" i="107"/>
  <c r="Y21" i="107"/>
  <c r="V21" i="107"/>
  <c r="Q21" i="107"/>
  <c r="O21" i="107"/>
  <c r="M21" i="107"/>
  <c r="I21" i="107"/>
  <c r="F21" i="107"/>
  <c r="C21" i="107"/>
  <c r="EA21" i="107"/>
  <c r="EQ20" i="107"/>
  <c r="EH20" i="107"/>
  <c r="DY20" i="107"/>
  <c r="DK20" i="107"/>
  <c r="DF20" i="107"/>
  <c r="DG20" i="107" s="1"/>
  <c r="DB20" i="107"/>
  <c r="CV20" i="107"/>
  <c r="CW20" i="107"/>
  <c r="CR20" i="107"/>
  <c r="CM20" i="107"/>
  <c r="CN20" i="107"/>
  <c r="CI20" i="107"/>
  <c r="CD20" i="107"/>
  <c r="CE20" i="107" s="1"/>
  <c r="CF20" i="107" s="1"/>
  <c r="BZ20" i="107"/>
  <c r="BN20" i="107"/>
  <c r="AZ20" i="107"/>
  <c r="AY20" i="107"/>
  <c r="AW20" i="107"/>
  <c r="AU20" i="107"/>
  <c r="AS20" i="107"/>
  <c r="AP20" i="107"/>
  <c r="AO20" i="107"/>
  <c r="AM20" i="107"/>
  <c r="AK20" i="107"/>
  <c r="AI20" i="107"/>
  <c r="AF20" i="107"/>
  <c r="AE20" i="107"/>
  <c r="AC20" i="107"/>
  <c r="AA20" i="107"/>
  <c r="Y20" i="107"/>
  <c r="V20" i="107"/>
  <c r="Q20" i="107"/>
  <c r="O20" i="107"/>
  <c r="M20" i="107"/>
  <c r="I20" i="107"/>
  <c r="F20" i="107"/>
  <c r="EB20" i="107"/>
  <c r="C20" i="107"/>
  <c r="EA20" i="107" s="1"/>
  <c r="EQ19" i="107"/>
  <c r="EH19" i="107"/>
  <c r="DY19" i="107"/>
  <c r="DK19" i="107"/>
  <c r="DF19" i="107"/>
  <c r="DG19" i="107"/>
  <c r="DB19" i="107"/>
  <c r="CV19" i="107"/>
  <c r="CW19" i="107"/>
  <c r="CR19" i="107"/>
  <c r="CM19" i="107"/>
  <c r="CN19" i="107" s="1"/>
  <c r="CO19" i="107" s="1"/>
  <c r="CI19" i="107"/>
  <c r="CD19" i="107"/>
  <c r="CE19" i="107" s="1"/>
  <c r="BZ19" i="107"/>
  <c r="BN19" i="107"/>
  <c r="AZ19" i="107"/>
  <c r="AY19" i="107"/>
  <c r="AW19" i="107"/>
  <c r="AU19" i="107"/>
  <c r="AS19" i="107"/>
  <c r="AP19" i="107"/>
  <c r="AO19" i="107"/>
  <c r="AM19" i="107"/>
  <c r="AK19" i="107"/>
  <c r="AI19" i="107"/>
  <c r="AF19" i="107"/>
  <c r="AE19" i="107"/>
  <c r="AC19" i="107"/>
  <c r="AA19" i="107"/>
  <c r="Y19" i="107"/>
  <c r="V19" i="107"/>
  <c r="Q19" i="107"/>
  <c r="O19" i="107"/>
  <c r="M19" i="107"/>
  <c r="I19" i="107"/>
  <c r="EC19" i="107" s="1"/>
  <c r="F19" i="107"/>
  <c r="EB19" i="107"/>
  <c r="C19" i="107"/>
  <c r="DH19" i="107" s="1"/>
  <c r="EQ18" i="107"/>
  <c r="EH18" i="107"/>
  <c r="DY18" i="107"/>
  <c r="DK18" i="107"/>
  <c r="DF18" i="107"/>
  <c r="DG18" i="107"/>
  <c r="DB18" i="107"/>
  <c r="CV18" i="107"/>
  <c r="CW18" i="107" s="1"/>
  <c r="CR18" i="107"/>
  <c r="CM18" i="107"/>
  <c r="CN18" i="107" s="1"/>
  <c r="CI18" i="107"/>
  <c r="CD18" i="107"/>
  <c r="CE18" i="107"/>
  <c r="BZ18" i="107"/>
  <c r="BN18" i="107"/>
  <c r="AZ18" i="107"/>
  <c r="AY18" i="107"/>
  <c r="AW18" i="107"/>
  <c r="AU18" i="107"/>
  <c r="AS18" i="107"/>
  <c r="AP18" i="107"/>
  <c r="AO18" i="107"/>
  <c r="AK18" i="107"/>
  <c r="AI18" i="107"/>
  <c r="AF18" i="107"/>
  <c r="AE18" i="107"/>
  <c r="AC18" i="107"/>
  <c r="AA18" i="107"/>
  <c r="Y18" i="107"/>
  <c r="V18" i="107"/>
  <c r="Q18" i="107"/>
  <c r="O18" i="107"/>
  <c r="M18" i="107"/>
  <c r="I18" i="107"/>
  <c r="F18" i="107"/>
  <c r="EB18" i="107"/>
  <c r="C18" i="107"/>
  <c r="EA18" i="107" s="1"/>
  <c r="EQ17" i="107"/>
  <c r="EH17" i="107"/>
  <c r="DY17" i="107"/>
  <c r="DK17" i="107"/>
  <c r="DF17" i="107"/>
  <c r="DG17" i="107"/>
  <c r="DB17" i="107"/>
  <c r="CV17" i="107"/>
  <c r="CW17" i="107" s="1"/>
  <c r="CR17" i="107"/>
  <c r="CM17" i="107"/>
  <c r="CN17" i="107" s="1"/>
  <c r="CI17" i="107"/>
  <c r="CD17" i="107"/>
  <c r="CE17" i="107"/>
  <c r="CF17" i="107" s="1"/>
  <c r="BZ17" i="107"/>
  <c r="BN17" i="107"/>
  <c r="AZ17" i="107"/>
  <c r="AY17" i="107"/>
  <c r="AW17" i="107"/>
  <c r="AU17" i="107"/>
  <c r="AS17" i="107"/>
  <c r="AP17" i="107"/>
  <c r="AO17" i="107"/>
  <c r="AM17" i="107"/>
  <c r="AK17" i="107"/>
  <c r="AI17" i="107"/>
  <c r="AF17" i="107"/>
  <c r="AE17" i="107"/>
  <c r="AC17" i="107"/>
  <c r="AA17" i="107"/>
  <c r="Y17" i="107"/>
  <c r="V17" i="107"/>
  <c r="Q17" i="107"/>
  <c r="O17" i="107"/>
  <c r="M17" i="107"/>
  <c r="I17" i="107"/>
  <c r="F17" i="107"/>
  <c r="EB17" i="107" s="1"/>
  <c r="C17" i="107"/>
  <c r="EA17" i="107"/>
  <c r="EQ16" i="107"/>
  <c r="DY16" i="107"/>
  <c r="DK16" i="107"/>
  <c r="DF16" i="107"/>
  <c r="DG16" i="107"/>
  <c r="DH16" i="107" s="1"/>
  <c r="DB16" i="107"/>
  <c r="CV16" i="107"/>
  <c r="CW16" i="107"/>
  <c r="CX16" i="107" s="1"/>
  <c r="CR16" i="107"/>
  <c r="CM16" i="107"/>
  <c r="CN16" i="107"/>
  <c r="CO16" i="107" s="1"/>
  <c r="CI16" i="107"/>
  <c r="CD16" i="107"/>
  <c r="CE16" i="107"/>
  <c r="BN16" i="107"/>
  <c r="AZ16" i="107"/>
  <c r="AY16" i="107"/>
  <c r="AW16" i="107"/>
  <c r="AU16" i="107"/>
  <c r="AS16" i="107"/>
  <c r="AP16" i="107"/>
  <c r="AO16" i="107"/>
  <c r="AM16" i="107"/>
  <c r="AK16" i="107"/>
  <c r="AI16" i="107"/>
  <c r="AF16" i="107"/>
  <c r="AE16" i="107"/>
  <c r="AC16" i="107"/>
  <c r="AA16" i="107"/>
  <c r="Y16" i="107"/>
  <c r="V16" i="107"/>
  <c r="Q16" i="107"/>
  <c r="O16" i="107"/>
  <c r="M16" i="107"/>
  <c r="I16" i="107"/>
  <c r="EC16" i="107" s="1"/>
  <c r="F16" i="107"/>
  <c r="EB16" i="107"/>
  <c r="C16" i="107"/>
  <c r="EA16" i="107" s="1"/>
  <c r="EQ15" i="107"/>
  <c r="EH15" i="107"/>
  <c r="DY15" i="107"/>
  <c r="DK15" i="107"/>
  <c r="DF15" i="107"/>
  <c r="DG15" i="107"/>
  <c r="DB15" i="107"/>
  <c r="CV15" i="107"/>
  <c r="CW15" i="107"/>
  <c r="CR15" i="107"/>
  <c r="CM15" i="107"/>
  <c r="CN15" i="107" s="1"/>
  <c r="CI15" i="107"/>
  <c r="CD15" i="107"/>
  <c r="CE15" i="107" s="1"/>
  <c r="BZ15" i="107"/>
  <c r="BN15" i="107"/>
  <c r="AZ15" i="107"/>
  <c r="AY15" i="107"/>
  <c r="AW15" i="107"/>
  <c r="AU15" i="107"/>
  <c r="AS15" i="107"/>
  <c r="AP15" i="107"/>
  <c r="AO15" i="107"/>
  <c r="AM15" i="107"/>
  <c r="AK15" i="107"/>
  <c r="AI15" i="107"/>
  <c r="AF15" i="107"/>
  <c r="AE15" i="107"/>
  <c r="AC15" i="107"/>
  <c r="AA15" i="107"/>
  <c r="Y15" i="107"/>
  <c r="V15" i="107"/>
  <c r="Q15" i="107"/>
  <c r="O15" i="107"/>
  <c r="M15" i="107"/>
  <c r="I15" i="107"/>
  <c r="F15" i="107"/>
  <c r="EB15" i="107" s="1"/>
  <c r="C15" i="107"/>
  <c r="EA15" i="107"/>
  <c r="EQ14" i="107"/>
  <c r="EH14" i="107"/>
  <c r="DY14" i="107"/>
  <c r="DK14" i="107"/>
  <c r="DF14" i="107"/>
  <c r="DG14" i="107" s="1"/>
  <c r="DB14" i="107"/>
  <c r="CV14" i="107"/>
  <c r="CW14" i="107"/>
  <c r="CR14" i="107"/>
  <c r="CM14" i="107"/>
  <c r="CN14" i="107"/>
  <c r="CI14" i="107"/>
  <c r="CD14" i="107"/>
  <c r="CE14" i="107" s="1"/>
  <c r="BZ14" i="107"/>
  <c r="BN14" i="107"/>
  <c r="AZ14" i="107"/>
  <c r="AY14" i="107"/>
  <c r="AU14" i="107"/>
  <c r="AP14" i="107"/>
  <c r="AO14" i="107"/>
  <c r="AM14" i="107"/>
  <c r="AK14" i="107"/>
  <c r="AI14" i="107"/>
  <c r="AF14" i="107"/>
  <c r="AE14" i="107"/>
  <c r="AC14" i="107"/>
  <c r="AA14" i="107"/>
  <c r="Y14" i="107"/>
  <c r="V14" i="107"/>
  <c r="Q14" i="107"/>
  <c r="O14" i="107"/>
  <c r="M14" i="107"/>
  <c r="I14" i="107"/>
  <c r="F14" i="107"/>
  <c r="EB14" i="107"/>
  <c r="C14" i="107"/>
  <c r="EA14" i="107" s="1"/>
  <c r="EQ13" i="107"/>
  <c r="EH13" i="107"/>
  <c r="DY13" i="107"/>
  <c r="DK13" i="107"/>
  <c r="DF13" i="107"/>
  <c r="DG13" i="107" s="1"/>
  <c r="DH13" i="107" s="1"/>
  <c r="DB13" i="107"/>
  <c r="CV13" i="107"/>
  <c r="CW13" i="107" s="1"/>
  <c r="CR13" i="107"/>
  <c r="CM13" i="107"/>
  <c r="CN13" i="107"/>
  <c r="CO13" i="107" s="1"/>
  <c r="CI13" i="107"/>
  <c r="CD13" i="107"/>
  <c r="CE13" i="107"/>
  <c r="BZ13" i="107"/>
  <c r="BN13" i="107"/>
  <c r="AZ13" i="107"/>
  <c r="AY13" i="107"/>
  <c r="AW13" i="107"/>
  <c r="AU13" i="107"/>
  <c r="AS13" i="107"/>
  <c r="AP13" i="107"/>
  <c r="AO13" i="107"/>
  <c r="AM13" i="107"/>
  <c r="AK13" i="107"/>
  <c r="AI13" i="107"/>
  <c r="AF13" i="107"/>
  <c r="AE13" i="107"/>
  <c r="AC13" i="107"/>
  <c r="AA13" i="107"/>
  <c r="Y13" i="107"/>
  <c r="V13" i="107"/>
  <c r="Q13" i="107"/>
  <c r="O13" i="107"/>
  <c r="M13" i="107"/>
  <c r="I13" i="107"/>
  <c r="EC13" i="107" s="1"/>
  <c r="F13" i="107"/>
  <c r="EB13" i="107" s="1"/>
  <c r="C13" i="107"/>
  <c r="EA13" i="107" s="1"/>
  <c r="EQ12" i="107"/>
  <c r="EH12" i="107"/>
  <c r="DY12" i="107"/>
  <c r="DK12" i="107"/>
  <c r="DB12" i="107"/>
  <c r="CV12" i="107"/>
  <c r="CW12" i="107" s="1"/>
  <c r="CR12" i="107"/>
  <c r="CM12" i="107"/>
  <c r="CN12" i="107" s="1"/>
  <c r="CI12" i="107"/>
  <c r="CD12" i="107"/>
  <c r="CE12" i="107"/>
  <c r="BZ12" i="107"/>
  <c r="BN12" i="107"/>
  <c r="AZ12" i="107"/>
  <c r="AY12" i="107"/>
  <c r="AW12" i="107"/>
  <c r="AU12" i="107"/>
  <c r="AS12" i="107"/>
  <c r="AP12" i="107"/>
  <c r="AO12" i="107"/>
  <c r="AM12" i="107"/>
  <c r="AK12" i="107"/>
  <c r="AI12" i="107"/>
  <c r="AF12" i="107"/>
  <c r="AE12" i="107"/>
  <c r="AC12" i="107"/>
  <c r="AA12" i="107"/>
  <c r="Y12" i="107"/>
  <c r="V12" i="107"/>
  <c r="Q12" i="107"/>
  <c r="O12" i="107"/>
  <c r="M12" i="107"/>
  <c r="I12" i="107"/>
  <c r="F12" i="107"/>
  <c r="EB12" i="107"/>
  <c r="C12" i="107"/>
  <c r="EA12" i="107" s="1"/>
  <c r="EQ11" i="107"/>
  <c r="EH11" i="107"/>
  <c r="DY11" i="107"/>
  <c r="DK11" i="107"/>
  <c r="DB11" i="107"/>
  <c r="CV11" i="107"/>
  <c r="CW11" i="107" s="1"/>
  <c r="CR11" i="107"/>
  <c r="CM11" i="107"/>
  <c r="CN11" i="107"/>
  <c r="CI11" i="107"/>
  <c r="CD11" i="107"/>
  <c r="CE11" i="107" s="1"/>
  <c r="CF11" i="107" s="1"/>
  <c r="BZ11" i="107"/>
  <c r="BN11" i="107"/>
  <c r="AZ11" i="107"/>
  <c r="AY11" i="107"/>
  <c r="AW11" i="107"/>
  <c r="AU11" i="107"/>
  <c r="AS11" i="107"/>
  <c r="AP11" i="107"/>
  <c r="AO11" i="107"/>
  <c r="AM11" i="107"/>
  <c r="AK11" i="107"/>
  <c r="AI11" i="107"/>
  <c r="AF11" i="107"/>
  <c r="AE11" i="107"/>
  <c r="AC11" i="107"/>
  <c r="AA11" i="107"/>
  <c r="Y11" i="107"/>
  <c r="V11" i="107"/>
  <c r="Q11" i="107"/>
  <c r="O11" i="107"/>
  <c r="M11" i="107"/>
  <c r="I11" i="107"/>
  <c r="F11" i="107"/>
  <c r="EB11" i="107"/>
  <c r="C11" i="107"/>
  <c r="EA11" i="107" s="1"/>
  <c r="EQ10" i="107"/>
  <c r="EH10" i="107"/>
  <c r="DY10" i="107"/>
  <c r="DK10" i="107"/>
  <c r="DB10" i="107"/>
  <c r="CV10" i="107"/>
  <c r="CW10" i="107" s="1"/>
  <c r="CR10" i="107"/>
  <c r="CM10" i="107"/>
  <c r="CN10" i="107"/>
  <c r="CI10" i="107"/>
  <c r="CD10" i="107"/>
  <c r="CE10" i="107" s="1"/>
  <c r="CF10" i="107" s="1"/>
  <c r="BZ10" i="107"/>
  <c r="BN10" i="107"/>
  <c r="AZ10" i="107"/>
  <c r="AY10" i="107"/>
  <c r="AW10" i="107"/>
  <c r="AU10" i="107"/>
  <c r="AS10" i="107"/>
  <c r="AP10" i="107"/>
  <c r="AO10" i="107"/>
  <c r="AM10" i="107"/>
  <c r="AK10" i="107"/>
  <c r="AI10" i="107"/>
  <c r="AF10" i="107"/>
  <c r="AE10" i="107"/>
  <c r="AC10" i="107"/>
  <c r="AA10" i="107"/>
  <c r="Y10" i="107"/>
  <c r="V10" i="107"/>
  <c r="Q10" i="107"/>
  <c r="O10" i="107"/>
  <c r="M10" i="107"/>
  <c r="I10" i="107"/>
  <c r="F10" i="107"/>
  <c r="EB10" i="107"/>
  <c r="C10" i="107"/>
  <c r="EA10" i="107" s="1"/>
  <c r="EQ9" i="107"/>
  <c r="EH9" i="107"/>
  <c r="DY9" i="107"/>
  <c r="DK9" i="107"/>
  <c r="DB9" i="107"/>
  <c r="CV9" i="107"/>
  <c r="CW9" i="107"/>
  <c r="CR9" i="107"/>
  <c r="CM9" i="107"/>
  <c r="CN9" i="107"/>
  <c r="CO9" i="107"/>
  <c r="CI9" i="107"/>
  <c r="CD9" i="107"/>
  <c r="CE9" i="107"/>
  <c r="BZ9" i="107"/>
  <c r="BN9" i="107"/>
  <c r="AZ9" i="107"/>
  <c r="AY9" i="107"/>
  <c r="AW9" i="107"/>
  <c r="AU9" i="107"/>
  <c r="AS9" i="107"/>
  <c r="AP9" i="107"/>
  <c r="AO9" i="107"/>
  <c r="AM9" i="107"/>
  <c r="AK9" i="107"/>
  <c r="AI9" i="107"/>
  <c r="AF9" i="107"/>
  <c r="AE9" i="107"/>
  <c r="AC9" i="107"/>
  <c r="AA9" i="107"/>
  <c r="Y9" i="107"/>
  <c r="V9" i="107"/>
  <c r="Q9" i="107"/>
  <c r="O9" i="107"/>
  <c r="M9" i="107"/>
  <c r="I9" i="107"/>
  <c r="EC9" i="107" s="1"/>
  <c r="F9" i="107"/>
  <c r="EB9" i="107"/>
  <c r="C9" i="107"/>
  <c r="EA9" i="107" s="1"/>
  <c r="EQ8" i="107"/>
  <c r="EH8" i="107"/>
  <c r="DY8" i="107"/>
  <c r="DK8" i="107"/>
  <c r="DB8" i="107"/>
  <c r="CV8" i="107"/>
  <c r="CW8" i="107" s="1"/>
  <c r="CR8" i="107"/>
  <c r="CM8" i="107"/>
  <c r="CI8" i="107"/>
  <c r="CD8" i="107"/>
  <c r="CE8" i="107" s="1"/>
  <c r="BZ8" i="107"/>
  <c r="BN8" i="107"/>
  <c r="AZ8" i="107"/>
  <c r="AY8" i="107"/>
  <c r="AW8" i="107"/>
  <c r="AU8" i="107"/>
  <c r="AS8" i="107"/>
  <c r="AP8" i="107"/>
  <c r="AO8" i="107"/>
  <c r="AM8" i="107"/>
  <c r="AK8" i="107"/>
  <c r="AI8" i="107"/>
  <c r="AF8" i="107"/>
  <c r="AE8" i="107"/>
  <c r="AC8" i="107"/>
  <c r="AA8" i="107"/>
  <c r="Y8" i="107"/>
  <c r="V8" i="107"/>
  <c r="Q8" i="107"/>
  <c r="O8" i="107"/>
  <c r="M8" i="107"/>
  <c r="I8" i="107"/>
  <c r="F8" i="107"/>
  <c r="C8" i="107"/>
  <c r="EI3" i="107"/>
  <c r="DZ3" i="107"/>
  <c r="DL3" i="107"/>
  <c r="DC3" i="107"/>
  <c r="CS3" i="107"/>
  <c r="CJ3" i="107"/>
  <c r="CA3" i="107"/>
  <c r="BO3" i="107"/>
  <c r="BA3" i="107"/>
  <c r="AQ3" i="107"/>
  <c r="AG3" i="107"/>
  <c r="W3" i="107"/>
  <c r="K3" i="107"/>
  <c r="EI1" i="107"/>
  <c r="DL1" i="107"/>
  <c r="DC1" i="107"/>
  <c r="CS1" i="107"/>
  <c r="CJ1" i="107"/>
  <c r="CA1" i="107"/>
  <c r="BO1" i="107"/>
  <c r="BA1" i="107"/>
  <c r="AQ1" i="107"/>
  <c r="AG1" i="107"/>
  <c r="W1" i="107"/>
  <c r="K1" i="107"/>
  <c r="DG35" i="105"/>
  <c r="CW35" i="105"/>
  <c r="CN35" i="105"/>
  <c r="CE35" i="105"/>
  <c r="AO35" i="105"/>
  <c r="EA35" i="105"/>
  <c r="EI42" i="106"/>
  <c r="DZ42" i="106"/>
  <c r="DL42" i="106"/>
  <c r="DC42" i="106"/>
  <c r="CS42" i="106"/>
  <c r="CJ42" i="106"/>
  <c r="CA42" i="106"/>
  <c r="BO42" i="106"/>
  <c r="BA42" i="106"/>
  <c r="AQ42" i="106"/>
  <c r="AG42" i="106"/>
  <c r="W42" i="106"/>
  <c r="K42" i="106"/>
  <c r="EG41" i="106"/>
  <c r="EF41" i="106"/>
  <c r="EE41" i="106"/>
  <c r="DW41" i="106"/>
  <c r="DV41" i="106"/>
  <c r="DU41" i="106"/>
  <c r="DT41" i="106"/>
  <c r="DS41" i="106"/>
  <c r="DR41" i="106"/>
  <c r="DQ41" i="106"/>
  <c r="DP41" i="106"/>
  <c r="DO41" i="106"/>
  <c r="DN41" i="106"/>
  <c r="DM41" i="106"/>
  <c r="BW41" i="106"/>
  <c r="BV41" i="106"/>
  <c r="BU41" i="106"/>
  <c r="AU10" i="67" s="1"/>
  <c r="BT41" i="106"/>
  <c r="AT10" i="67" s="1"/>
  <c r="BS41" i="106"/>
  <c r="AS10" i="67" s="1"/>
  <c r="BR41" i="106"/>
  <c r="BQ41" i="106"/>
  <c r="AQ10" i="67"/>
  <c r="BP41" i="106"/>
  <c r="BM41" i="106"/>
  <c r="AN10" i="67" s="1"/>
  <c r="BL41" i="106"/>
  <c r="AM10" i="67" s="1"/>
  <c r="BK41" i="106"/>
  <c r="AL10" i="67" s="1"/>
  <c r="BJ41" i="106"/>
  <c r="AK10" i="67" s="1"/>
  <c r="BI41" i="106"/>
  <c r="AJ10" i="67" s="1"/>
  <c r="BH41" i="106"/>
  <c r="AI10" i="67" s="1"/>
  <c r="BG41" i="106"/>
  <c r="AH10" i="67" s="1"/>
  <c r="BF41" i="106"/>
  <c r="AG10" i="67" s="1"/>
  <c r="BE41" i="106"/>
  <c r="AF10" i="67" s="1"/>
  <c r="BD41" i="106"/>
  <c r="BC41" i="106"/>
  <c r="AD10" i="67" s="1"/>
  <c r="BB41" i="106"/>
  <c r="ED40" i="106"/>
  <c r="EQ38" i="106"/>
  <c r="EH38" i="106"/>
  <c r="DY38" i="106"/>
  <c r="DK38" i="106"/>
  <c r="DB38" i="106"/>
  <c r="CR38" i="106"/>
  <c r="CI38" i="106"/>
  <c r="BZ38" i="106"/>
  <c r="BN38" i="106"/>
  <c r="AZ38" i="106"/>
  <c r="AP38" i="106"/>
  <c r="AF38" i="106"/>
  <c r="V38" i="106"/>
  <c r="EQ37" i="106"/>
  <c r="EH37" i="106"/>
  <c r="DK37" i="106"/>
  <c r="DF37" i="106"/>
  <c r="DG37" i="106" s="1"/>
  <c r="DB37" i="106"/>
  <c r="CV37" i="106"/>
  <c r="CW37" i="106" s="1"/>
  <c r="CR37" i="106"/>
  <c r="CM37" i="106"/>
  <c r="CN37" i="106"/>
  <c r="CI37" i="106"/>
  <c r="CD37" i="106"/>
  <c r="CE37" i="106" s="1"/>
  <c r="BZ37" i="106"/>
  <c r="BN37" i="106"/>
  <c r="AZ37" i="106"/>
  <c r="AY37" i="106"/>
  <c r="AW37" i="106"/>
  <c r="AU37" i="106"/>
  <c r="AS37" i="106"/>
  <c r="AP37" i="106"/>
  <c r="AO37" i="106"/>
  <c r="AM37" i="106"/>
  <c r="AK37" i="106"/>
  <c r="AF37" i="106"/>
  <c r="AE37" i="106"/>
  <c r="AC37" i="106"/>
  <c r="AA37" i="106"/>
  <c r="Y37" i="106"/>
  <c r="V37" i="106"/>
  <c r="Q37" i="106"/>
  <c r="O37" i="106"/>
  <c r="M37" i="106"/>
  <c r="I37" i="106"/>
  <c r="F37" i="106"/>
  <c r="EB37" i="106" s="1"/>
  <c r="C37" i="106"/>
  <c r="EA37" i="106"/>
  <c r="EQ36" i="106"/>
  <c r="EH36" i="106"/>
  <c r="DY36" i="106"/>
  <c r="DK36" i="106"/>
  <c r="DF36" i="106"/>
  <c r="DG36" i="106" s="1"/>
  <c r="DB36" i="106"/>
  <c r="CV36" i="106"/>
  <c r="CW36" i="106" s="1"/>
  <c r="CR36" i="106"/>
  <c r="CM36" i="106"/>
  <c r="CN36" i="106"/>
  <c r="CI36" i="106"/>
  <c r="CD36" i="106"/>
  <c r="CE36" i="106" s="1"/>
  <c r="BZ36" i="106"/>
  <c r="BN36" i="106"/>
  <c r="AZ36" i="106"/>
  <c r="AY36" i="106"/>
  <c r="AW36" i="106"/>
  <c r="AU36" i="106"/>
  <c r="AS36" i="106"/>
  <c r="AP36" i="106"/>
  <c r="AO36" i="106"/>
  <c r="AM36" i="106"/>
  <c r="AK36" i="106"/>
  <c r="AF36" i="106"/>
  <c r="AE36" i="106"/>
  <c r="AC36" i="106"/>
  <c r="AA36" i="106"/>
  <c r="Y36" i="106"/>
  <c r="V36" i="106"/>
  <c r="Q36" i="106"/>
  <c r="O36" i="106"/>
  <c r="M36" i="106"/>
  <c r="I36" i="106"/>
  <c r="F36" i="106"/>
  <c r="EB36" i="106" s="1"/>
  <c r="C36" i="106"/>
  <c r="EA36" i="106"/>
  <c r="EQ35" i="106"/>
  <c r="EH35" i="106"/>
  <c r="DY35" i="106"/>
  <c r="DK35" i="106"/>
  <c r="DF35" i="106"/>
  <c r="DG35" i="106" s="1"/>
  <c r="DH35" i="106" s="1"/>
  <c r="DB35" i="106"/>
  <c r="CV35" i="106"/>
  <c r="CW35" i="106" s="1"/>
  <c r="CR35" i="106"/>
  <c r="CM35" i="106"/>
  <c r="CN35" i="106" s="1"/>
  <c r="CO35" i="106" s="1"/>
  <c r="CI35" i="106"/>
  <c r="CD35" i="106"/>
  <c r="CE35" i="106" s="1"/>
  <c r="BZ35" i="106"/>
  <c r="BN35" i="106"/>
  <c r="AZ35" i="106"/>
  <c r="AY35" i="106"/>
  <c r="AW35" i="106"/>
  <c r="AU35" i="106"/>
  <c r="AS35" i="106"/>
  <c r="AP35" i="106"/>
  <c r="AO35" i="106"/>
  <c r="AM35" i="106"/>
  <c r="AK35" i="106"/>
  <c r="AI35" i="106"/>
  <c r="AF35" i="106"/>
  <c r="AE35" i="106"/>
  <c r="AC35" i="106"/>
  <c r="AA35" i="106"/>
  <c r="Y35" i="106"/>
  <c r="V35" i="106"/>
  <c r="Q35" i="106"/>
  <c r="O35" i="106"/>
  <c r="M35" i="106"/>
  <c r="I35" i="106"/>
  <c r="EC35" i="106"/>
  <c r="F35" i="106"/>
  <c r="EB35" i="106" s="1"/>
  <c r="C35" i="106"/>
  <c r="EA35" i="106"/>
  <c r="EQ34" i="106"/>
  <c r="EH34" i="106"/>
  <c r="DY34" i="106"/>
  <c r="DK34" i="106"/>
  <c r="DF34" i="106"/>
  <c r="DG34" i="106" s="1"/>
  <c r="DB34" i="106"/>
  <c r="CV34" i="106"/>
  <c r="CW34" i="106"/>
  <c r="CR34" i="106"/>
  <c r="CM34" i="106"/>
  <c r="CN34" i="106"/>
  <c r="CI34" i="106"/>
  <c r="CD34" i="106"/>
  <c r="CE34" i="106" s="1"/>
  <c r="BZ34" i="106"/>
  <c r="BN34" i="106"/>
  <c r="AZ34" i="106"/>
  <c r="AY34" i="106"/>
  <c r="AW34" i="106"/>
  <c r="AU34" i="106"/>
  <c r="AS34" i="106"/>
  <c r="AP34" i="106"/>
  <c r="AO34" i="106"/>
  <c r="AM34" i="106"/>
  <c r="AK34" i="106"/>
  <c r="AI34" i="106"/>
  <c r="AF34" i="106"/>
  <c r="AE34" i="106"/>
  <c r="AC34" i="106"/>
  <c r="AA34" i="106"/>
  <c r="Y34" i="106"/>
  <c r="V34" i="106"/>
  <c r="Q34" i="106"/>
  <c r="O34" i="106"/>
  <c r="M34" i="106"/>
  <c r="I34" i="106"/>
  <c r="F34" i="106"/>
  <c r="EB34" i="106" s="1"/>
  <c r="C34" i="106"/>
  <c r="EA34" i="106"/>
  <c r="EQ33" i="106"/>
  <c r="EH33" i="106"/>
  <c r="DY33" i="106"/>
  <c r="DK33" i="106"/>
  <c r="DF33" i="106"/>
  <c r="DG33" i="106"/>
  <c r="DB33" i="106"/>
  <c r="CV33" i="106"/>
  <c r="CW33" i="106" s="1"/>
  <c r="CR33" i="106"/>
  <c r="CM33" i="106"/>
  <c r="CN33" i="106" s="1"/>
  <c r="CO33" i="106" s="1"/>
  <c r="CI33" i="106"/>
  <c r="CD33" i="106"/>
  <c r="CE33" i="106"/>
  <c r="BZ33" i="106"/>
  <c r="BN33" i="106"/>
  <c r="AZ33" i="106"/>
  <c r="AY33" i="106"/>
  <c r="AW33" i="106"/>
  <c r="AU33" i="106"/>
  <c r="AS33" i="106"/>
  <c r="AP33" i="106"/>
  <c r="AO33" i="106"/>
  <c r="AM33" i="106"/>
  <c r="AK33" i="106"/>
  <c r="AI33" i="106"/>
  <c r="AF33" i="106"/>
  <c r="AE33" i="106"/>
  <c r="AC33" i="106"/>
  <c r="AA33" i="106"/>
  <c r="V33" i="106"/>
  <c r="Q33" i="106"/>
  <c r="O33" i="106"/>
  <c r="M33" i="106"/>
  <c r="I33" i="106"/>
  <c r="F33" i="106"/>
  <c r="EB33" i="106"/>
  <c r="C33" i="106"/>
  <c r="EA33" i="106" s="1"/>
  <c r="EQ32" i="106"/>
  <c r="EH32" i="106"/>
  <c r="DY32" i="106"/>
  <c r="DK32" i="106"/>
  <c r="DF32" i="106"/>
  <c r="DG32" i="106"/>
  <c r="DB32" i="106"/>
  <c r="CV32" i="106"/>
  <c r="CW32" i="106" s="1"/>
  <c r="CR32" i="106"/>
  <c r="CM32" i="106"/>
  <c r="CN32" i="106"/>
  <c r="CI32" i="106"/>
  <c r="CD32" i="106"/>
  <c r="CE32" i="106"/>
  <c r="CF32" i="106"/>
  <c r="BZ32" i="106"/>
  <c r="BN32" i="106"/>
  <c r="AZ32" i="106"/>
  <c r="AY32" i="106"/>
  <c r="AW32" i="106"/>
  <c r="AU32" i="106"/>
  <c r="AS32" i="106"/>
  <c r="AP32" i="106"/>
  <c r="AO32" i="106"/>
  <c r="AM32" i="106"/>
  <c r="AI32" i="106"/>
  <c r="AF32" i="106"/>
  <c r="AE32" i="106"/>
  <c r="AC32" i="106"/>
  <c r="AA32" i="106"/>
  <c r="Y32" i="106"/>
  <c r="V32" i="106"/>
  <c r="Q32" i="106"/>
  <c r="O32" i="106"/>
  <c r="M32" i="106"/>
  <c r="I32" i="106"/>
  <c r="F32" i="106"/>
  <c r="EB32" i="106"/>
  <c r="C32" i="106"/>
  <c r="EA32" i="106" s="1"/>
  <c r="EQ31" i="106"/>
  <c r="EH31" i="106"/>
  <c r="DY31" i="106"/>
  <c r="DK31" i="106"/>
  <c r="DF31" i="106"/>
  <c r="DG31" i="106"/>
  <c r="DB31" i="106"/>
  <c r="CV31" i="106"/>
  <c r="CW31" i="106"/>
  <c r="CR31" i="106"/>
  <c r="CM31" i="106"/>
  <c r="CN31" i="106"/>
  <c r="CI31" i="106"/>
  <c r="CD31" i="106"/>
  <c r="CE31" i="106" s="1"/>
  <c r="CF31" i="106" s="1"/>
  <c r="BZ31" i="106"/>
  <c r="BN31" i="106"/>
  <c r="AZ31" i="106"/>
  <c r="AY31" i="106"/>
  <c r="AW31" i="106"/>
  <c r="AU31" i="106"/>
  <c r="AS31" i="106"/>
  <c r="AP31" i="106"/>
  <c r="AO31" i="106"/>
  <c r="AM31" i="106"/>
  <c r="AK31" i="106"/>
  <c r="AI31" i="106"/>
  <c r="AF31" i="106"/>
  <c r="AE31" i="106"/>
  <c r="AC31" i="106"/>
  <c r="AA31" i="106"/>
  <c r="Y31" i="106"/>
  <c r="V31" i="106"/>
  <c r="Q31" i="106"/>
  <c r="O31" i="106"/>
  <c r="M31" i="106"/>
  <c r="I31" i="106"/>
  <c r="F31" i="106"/>
  <c r="EB31" i="106" s="1"/>
  <c r="C31" i="106"/>
  <c r="DH31" i="106" s="1"/>
  <c r="EA31" i="106"/>
  <c r="EQ30" i="106"/>
  <c r="EH30" i="106"/>
  <c r="DY30" i="106"/>
  <c r="DK30" i="106"/>
  <c r="DF30" i="106"/>
  <c r="DG30" i="106" s="1"/>
  <c r="DB30" i="106"/>
  <c r="CV30" i="106"/>
  <c r="CW30" i="106" s="1"/>
  <c r="CR30" i="106"/>
  <c r="CM30" i="106"/>
  <c r="CN30" i="106"/>
  <c r="CI30" i="106"/>
  <c r="CD30" i="106"/>
  <c r="CE30" i="106" s="1"/>
  <c r="CF30" i="106" s="1"/>
  <c r="BZ30" i="106"/>
  <c r="BN30" i="106"/>
  <c r="AZ30" i="106"/>
  <c r="AY30" i="106"/>
  <c r="AW30" i="106"/>
  <c r="AU30" i="106"/>
  <c r="AS30" i="106"/>
  <c r="AP30" i="106"/>
  <c r="AO30" i="106"/>
  <c r="AM30" i="106"/>
  <c r="AK30" i="106"/>
  <c r="AI30" i="106"/>
  <c r="AF30" i="106"/>
  <c r="AE30" i="106"/>
  <c r="AC30" i="106"/>
  <c r="AA30" i="106"/>
  <c r="Y30" i="106"/>
  <c r="V30" i="106"/>
  <c r="Q30" i="106"/>
  <c r="O30" i="106"/>
  <c r="M30" i="106"/>
  <c r="I30" i="106"/>
  <c r="F30" i="106"/>
  <c r="EB30" i="106" s="1"/>
  <c r="C30" i="106"/>
  <c r="EA30" i="106"/>
  <c r="EQ29" i="106"/>
  <c r="EH29" i="106"/>
  <c r="DY29" i="106"/>
  <c r="DK29" i="106"/>
  <c r="DF29" i="106"/>
  <c r="DG29" i="106" s="1"/>
  <c r="DH29" i="106" s="1"/>
  <c r="DB29" i="106"/>
  <c r="CV29" i="106"/>
  <c r="CW29" i="106"/>
  <c r="CR29" i="106"/>
  <c r="CM29" i="106"/>
  <c r="CN29" i="106"/>
  <c r="CI29" i="106"/>
  <c r="CD29" i="106"/>
  <c r="CE29" i="106"/>
  <c r="BZ29" i="106"/>
  <c r="BN29" i="106"/>
  <c r="AZ29" i="106"/>
  <c r="AY29" i="106"/>
  <c r="AW29" i="106"/>
  <c r="AU29" i="106"/>
  <c r="AS29" i="106"/>
  <c r="AP29" i="106"/>
  <c r="AO29" i="106"/>
  <c r="AM29" i="106"/>
  <c r="AK29" i="106"/>
  <c r="AI29" i="106"/>
  <c r="AF29" i="106"/>
  <c r="AE29" i="106"/>
  <c r="AC29" i="106"/>
  <c r="AA29" i="106"/>
  <c r="Y29" i="106"/>
  <c r="V29" i="106"/>
  <c r="Q29" i="106"/>
  <c r="O29" i="106"/>
  <c r="I29" i="106"/>
  <c r="F29" i="106"/>
  <c r="EB29" i="106" s="1"/>
  <c r="C29" i="106"/>
  <c r="EA29" i="106"/>
  <c r="EQ28" i="106"/>
  <c r="EH28" i="106"/>
  <c r="DY28" i="106"/>
  <c r="DK28" i="106"/>
  <c r="DF28" i="106"/>
  <c r="DG28" i="106" s="1"/>
  <c r="DH28" i="106" s="1"/>
  <c r="DB28" i="106"/>
  <c r="CV28" i="106"/>
  <c r="CW28" i="106"/>
  <c r="CX28" i="106" s="1"/>
  <c r="CR28" i="106"/>
  <c r="CM28" i="106"/>
  <c r="CN28" i="106"/>
  <c r="CI28" i="106"/>
  <c r="CD28" i="106"/>
  <c r="CE28" i="106"/>
  <c r="BZ28" i="106"/>
  <c r="BN28" i="106"/>
  <c r="AZ28" i="106"/>
  <c r="AY28" i="106"/>
  <c r="AW28" i="106"/>
  <c r="AU28" i="106"/>
  <c r="AS28" i="106"/>
  <c r="AP28" i="106"/>
  <c r="AO28" i="106"/>
  <c r="AM28" i="106"/>
  <c r="AK28" i="106"/>
  <c r="AI28" i="106"/>
  <c r="AF28" i="106"/>
  <c r="AE28" i="106"/>
  <c r="AC28" i="106"/>
  <c r="AA28" i="106"/>
  <c r="Y28" i="106"/>
  <c r="Q28" i="106"/>
  <c r="O28" i="106"/>
  <c r="I28" i="106"/>
  <c r="CF28" i="106" s="1"/>
  <c r="F28" i="106"/>
  <c r="C28" i="106"/>
  <c r="EA28" i="106"/>
  <c r="EQ27" i="106"/>
  <c r="EH27" i="106"/>
  <c r="DY27" i="106"/>
  <c r="DK27" i="106"/>
  <c r="DF27" i="106"/>
  <c r="DG27" i="106" s="1"/>
  <c r="DH27" i="106" s="1"/>
  <c r="DB27" i="106"/>
  <c r="CV27" i="106"/>
  <c r="CW27" i="106"/>
  <c r="CR27" i="106"/>
  <c r="CM27" i="106"/>
  <c r="CN27" i="106"/>
  <c r="CI27" i="106"/>
  <c r="CD27" i="106"/>
  <c r="CE27" i="106"/>
  <c r="BZ27" i="106"/>
  <c r="BN27" i="106"/>
  <c r="AZ27" i="106"/>
  <c r="AY27" i="106"/>
  <c r="AW27" i="106"/>
  <c r="AU27" i="106"/>
  <c r="AS27" i="106"/>
  <c r="AP27" i="106"/>
  <c r="AO27" i="106"/>
  <c r="AM27" i="106"/>
  <c r="AK27" i="106"/>
  <c r="AI27" i="106"/>
  <c r="AF27" i="106"/>
  <c r="AE27" i="106"/>
  <c r="AC27" i="106"/>
  <c r="AA27" i="106"/>
  <c r="Y27" i="106"/>
  <c r="V27" i="106"/>
  <c r="Q27" i="106"/>
  <c r="O27" i="106"/>
  <c r="I27" i="106"/>
  <c r="F27" i="106"/>
  <c r="C27" i="106"/>
  <c r="EA27" i="106"/>
  <c r="EQ26" i="106"/>
  <c r="EH26" i="106"/>
  <c r="DY26" i="106"/>
  <c r="DK26" i="106"/>
  <c r="DF26" i="106"/>
  <c r="DG26" i="106"/>
  <c r="DB26" i="106"/>
  <c r="CV26" i="106"/>
  <c r="CW26" i="106"/>
  <c r="CR26" i="106"/>
  <c r="CM26" i="106"/>
  <c r="CN26" i="106"/>
  <c r="CI26" i="106"/>
  <c r="CD26" i="106"/>
  <c r="CE26" i="106" s="1"/>
  <c r="CF26" i="106" s="1"/>
  <c r="BZ26" i="106"/>
  <c r="BN26" i="106"/>
  <c r="AZ26" i="106"/>
  <c r="AY26" i="106"/>
  <c r="AW26" i="106"/>
  <c r="AU26" i="106"/>
  <c r="AS26" i="106"/>
  <c r="AP26" i="106"/>
  <c r="AO26" i="106"/>
  <c r="AM26" i="106"/>
  <c r="AK26" i="106"/>
  <c r="AI26" i="106"/>
  <c r="AF26" i="106"/>
  <c r="AE26" i="106"/>
  <c r="AC26" i="106"/>
  <c r="AA26" i="106"/>
  <c r="Y26" i="106"/>
  <c r="V26" i="106"/>
  <c r="Q26" i="106"/>
  <c r="O26" i="106"/>
  <c r="I26" i="106"/>
  <c r="F26" i="106"/>
  <c r="C26" i="106"/>
  <c r="EA26" i="106" s="1"/>
  <c r="EQ25" i="106"/>
  <c r="EH25" i="106"/>
  <c r="DY25" i="106"/>
  <c r="DK25" i="106"/>
  <c r="DF25" i="106"/>
  <c r="DG25" i="106"/>
  <c r="DB25" i="106"/>
  <c r="CV25" i="106"/>
  <c r="CW25" i="106"/>
  <c r="CR25" i="106"/>
  <c r="CM25" i="106"/>
  <c r="CN25" i="106" s="1"/>
  <c r="CO25" i="106" s="1"/>
  <c r="CI25" i="106"/>
  <c r="CD25" i="106"/>
  <c r="CE25" i="106"/>
  <c r="BZ25" i="106"/>
  <c r="BN25" i="106"/>
  <c r="AZ25" i="106"/>
  <c r="AY25" i="106"/>
  <c r="AW25" i="106"/>
  <c r="AU25" i="106"/>
  <c r="AS25" i="106"/>
  <c r="AP25" i="106"/>
  <c r="AO25" i="106"/>
  <c r="AM25" i="106"/>
  <c r="AK25" i="106"/>
  <c r="AI25" i="106"/>
  <c r="AF25" i="106"/>
  <c r="AE25" i="106"/>
  <c r="AC25" i="106"/>
  <c r="AA25" i="106"/>
  <c r="Y25" i="106"/>
  <c r="V25" i="106"/>
  <c r="Q25" i="106"/>
  <c r="O25" i="106"/>
  <c r="I25" i="106"/>
  <c r="F25" i="106"/>
  <c r="C25" i="106"/>
  <c r="EA25" i="106"/>
  <c r="EQ24" i="106"/>
  <c r="EH24" i="106"/>
  <c r="DY24" i="106"/>
  <c r="DK24" i="106"/>
  <c r="DF24" i="106"/>
  <c r="DG24" i="106"/>
  <c r="DB24" i="106"/>
  <c r="CV24" i="106"/>
  <c r="CW24" i="106" s="1"/>
  <c r="CX24" i="106" s="1"/>
  <c r="CR24" i="106"/>
  <c r="CM24" i="106"/>
  <c r="CN24" i="106"/>
  <c r="CI24" i="106"/>
  <c r="CD24" i="106"/>
  <c r="CE24" i="106"/>
  <c r="CF24" i="106"/>
  <c r="BZ24" i="106"/>
  <c r="BN24" i="106"/>
  <c r="AZ24" i="106"/>
  <c r="AY24" i="106"/>
  <c r="AW24" i="106"/>
  <c r="AU24" i="106"/>
  <c r="AS24" i="106"/>
  <c r="AP24" i="106"/>
  <c r="AO24" i="106"/>
  <c r="AM24" i="106"/>
  <c r="AK24" i="106"/>
  <c r="AI24" i="106"/>
  <c r="AF24" i="106"/>
  <c r="AE24" i="106"/>
  <c r="AC24" i="106"/>
  <c r="AA24" i="106"/>
  <c r="Y24" i="106"/>
  <c r="V24" i="106"/>
  <c r="Q24" i="106"/>
  <c r="O24" i="106"/>
  <c r="M24" i="106"/>
  <c r="I24" i="106"/>
  <c r="F24" i="106"/>
  <c r="C24" i="106"/>
  <c r="EA24" i="106" s="1"/>
  <c r="EQ23" i="106"/>
  <c r="EH23" i="106"/>
  <c r="DY23" i="106"/>
  <c r="DK23" i="106"/>
  <c r="DF23" i="106"/>
  <c r="DG23" i="106"/>
  <c r="DB23" i="106"/>
  <c r="CV23" i="106"/>
  <c r="CW23" i="106"/>
  <c r="CR23" i="106"/>
  <c r="CM23" i="106"/>
  <c r="CN23" i="106" s="1"/>
  <c r="CO23" i="106" s="1"/>
  <c r="CI23" i="106"/>
  <c r="CD23" i="106"/>
  <c r="CE23" i="106"/>
  <c r="BZ23" i="106"/>
  <c r="BN23" i="106"/>
  <c r="AZ23" i="106"/>
  <c r="AY23" i="106"/>
  <c r="AW23" i="106"/>
  <c r="AU23" i="106"/>
  <c r="AS23" i="106"/>
  <c r="AP23" i="106"/>
  <c r="AO23" i="106"/>
  <c r="AM23" i="106"/>
  <c r="AK23" i="106"/>
  <c r="AI23" i="106"/>
  <c r="AF23" i="106"/>
  <c r="AE23" i="106"/>
  <c r="AC23" i="106"/>
  <c r="AA23" i="106"/>
  <c r="Y23" i="106"/>
  <c r="V23" i="106"/>
  <c r="Q23" i="106"/>
  <c r="O23" i="106"/>
  <c r="M23" i="106"/>
  <c r="I23" i="106"/>
  <c r="F23" i="106"/>
  <c r="EB23" i="106"/>
  <c r="C23" i="106"/>
  <c r="EA23" i="106"/>
  <c r="EQ22" i="106"/>
  <c r="EH22" i="106"/>
  <c r="DY22" i="106"/>
  <c r="DK22" i="106"/>
  <c r="DF22" i="106"/>
  <c r="DG22" i="106"/>
  <c r="DB22" i="106"/>
  <c r="CV22" i="106"/>
  <c r="CW22" i="106"/>
  <c r="CR22" i="106"/>
  <c r="CM22" i="106"/>
  <c r="CN22" i="106"/>
  <c r="CI22" i="106"/>
  <c r="CD22" i="106"/>
  <c r="CE22" i="106" s="1"/>
  <c r="CF22" i="106" s="1"/>
  <c r="BZ22" i="106"/>
  <c r="BN22" i="106"/>
  <c r="AZ22" i="106"/>
  <c r="AY22" i="106"/>
  <c r="AW22" i="106"/>
  <c r="AU22" i="106"/>
  <c r="AS22" i="106"/>
  <c r="AP22" i="106"/>
  <c r="AO22" i="106"/>
  <c r="AM22" i="106"/>
  <c r="AK22" i="106"/>
  <c r="AI22" i="106"/>
  <c r="AF22" i="106"/>
  <c r="AE22" i="106"/>
  <c r="AC22" i="106"/>
  <c r="AA22" i="106"/>
  <c r="Y22" i="106"/>
  <c r="V22" i="106"/>
  <c r="Q22" i="106"/>
  <c r="O22" i="106"/>
  <c r="M22" i="106"/>
  <c r="I22" i="106"/>
  <c r="F22" i="106"/>
  <c r="EB22" i="106" s="1"/>
  <c r="C22" i="106"/>
  <c r="EA22" i="106"/>
  <c r="EQ21" i="106"/>
  <c r="EH21" i="106"/>
  <c r="DY21" i="106"/>
  <c r="DK21" i="106"/>
  <c r="DF21" i="106"/>
  <c r="DG21" i="106" s="1"/>
  <c r="DH21" i="106" s="1"/>
  <c r="DB21" i="106"/>
  <c r="CV21" i="106"/>
  <c r="CW21" i="106"/>
  <c r="CR21" i="106"/>
  <c r="CM21" i="106"/>
  <c r="CN21" i="106" s="1"/>
  <c r="CO21" i="106" s="1"/>
  <c r="CI21" i="106"/>
  <c r="CD21" i="106"/>
  <c r="CE21" i="106"/>
  <c r="BZ21" i="106"/>
  <c r="BN21" i="106"/>
  <c r="AZ21" i="106"/>
  <c r="AY21" i="106"/>
  <c r="AW21" i="106"/>
  <c r="AU21" i="106"/>
  <c r="AS21" i="106"/>
  <c r="AP21" i="106"/>
  <c r="AO21" i="106"/>
  <c r="AM21" i="106"/>
  <c r="AK21" i="106"/>
  <c r="AI21" i="106"/>
  <c r="AF21" i="106"/>
  <c r="AE21" i="106"/>
  <c r="AC21" i="106"/>
  <c r="AA21" i="106"/>
  <c r="Y21" i="106"/>
  <c r="V21" i="106"/>
  <c r="Q21" i="106"/>
  <c r="O21" i="106"/>
  <c r="M21" i="106"/>
  <c r="I21" i="106"/>
  <c r="F21" i="106"/>
  <c r="C21" i="106"/>
  <c r="EA21" i="106" s="1"/>
  <c r="EQ20" i="106"/>
  <c r="EH20" i="106"/>
  <c r="DY20" i="106"/>
  <c r="DK20" i="106"/>
  <c r="DF20" i="106"/>
  <c r="DG20" i="106" s="1"/>
  <c r="DH20" i="106" s="1"/>
  <c r="DB20" i="106"/>
  <c r="CV20" i="106"/>
  <c r="CW20" i="106"/>
  <c r="CR20" i="106"/>
  <c r="CM20" i="106"/>
  <c r="CN20" i="106" s="1"/>
  <c r="CO20" i="106" s="1"/>
  <c r="CI20" i="106"/>
  <c r="CD20" i="106"/>
  <c r="CE20" i="106"/>
  <c r="CF20" i="106" s="1"/>
  <c r="BZ20" i="106"/>
  <c r="BN20" i="106"/>
  <c r="AZ20" i="106"/>
  <c r="AY20" i="106"/>
  <c r="AU20" i="106"/>
  <c r="AS20" i="106"/>
  <c r="AP20" i="106"/>
  <c r="AO20" i="106"/>
  <c r="AM20" i="106"/>
  <c r="AK20" i="106"/>
  <c r="AI20" i="106"/>
  <c r="AF20" i="106"/>
  <c r="AE20" i="106"/>
  <c r="AC20" i="106"/>
  <c r="AA20" i="106"/>
  <c r="Y20" i="106"/>
  <c r="V20" i="106"/>
  <c r="Q20" i="106"/>
  <c r="M20" i="106"/>
  <c r="I20" i="106"/>
  <c r="F20" i="106"/>
  <c r="C20" i="106"/>
  <c r="EA20" i="106"/>
  <c r="EQ19" i="106"/>
  <c r="EH19" i="106"/>
  <c r="DY19" i="106"/>
  <c r="DK19" i="106"/>
  <c r="DF19" i="106"/>
  <c r="DG19" i="106"/>
  <c r="DB19" i="106"/>
  <c r="CV19" i="106"/>
  <c r="CW19" i="106"/>
  <c r="CR19" i="106"/>
  <c r="CM19" i="106"/>
  <c r="CN19" i="106"/>
  <c r="CD19" i="106"/>
  <c r="CE19" i="106"/>
  <c r="BZ19" i="106"/>
  <c r="BN19" i="106"/>
  <c r="AZ19" i="106"/>
  <c r="AY19" i="106"/>
  <c r="AW19" i="106"/>
  <c r="AU19" i="106"/>
  <c r="AS19" i="106"/>
  <c r="AP19" i="106"/>
  <c r="AO19" i="106"/>
  <c r="AM19" i="106"/>
  <c r="AK19" i="106"/>
  <c r="AI19" i="106"/>
  <c r="AF19" i="106"/>
  <c r="AE19" i="106"/>
  <c r="AC19" i="106"/>
  <c r="AA19" i="106"/>
  <c r="Y19" i="106"/>
  <c r="V19" i="106"/>
  <c r="Q19" i="106"/>
  <c r="O19" i="106"/>
  <c r="M19" i="106"/>
  <c r="I19" i="106"/>
  <c r="F19" i="106"/>
  <c r="EB19" i="106"/>
  <c r="C19" i="106"/>
  <c r="EA19" i="106"/>
  <c r="EQ18" i="106"/>
  <c r="EH18" i="106"/>
  <c r="DY18" i="106"/>
  <c r="DK18" i="106"/>
  <c r="DF18" i="106"/>
  <c r="DG18" i="106"/>
  <c r="DB18" i="106"/>
  <c r="CV18" i="106"/>
  <c r="CW18" i="106"/>
  <c r="CR18" i="106"/>
  <c r="CM18" i="106"/>
  <c r="CN18" i="106"/>
  <c r="CI18" i="106"/>
  <c r="CD18" i="106"/>
  <c r="CE18" i="106" s="1"/>
  <c r="CF18" i="106" s="1"/>
  <c r="BZ18" i="106"/>
  <c r="BN18" i="106"/>
  <c r="AZ18" i="106"/>
  <c r="AY18" i="106"/>
  <c r="AW18" i="106"/>
  <c r="AU18" i="106"/>
  <c r="AS18" i="106"/>
  <c r="AP18" i="106"/>
  <c r="AO18" i="106"/>
  <c r="AM18" i="106"/>
  <c r="AK18" i="106"/>
  <c r="AI18" i="106"/>
  <c r="AF18" i="106"/>
  <c r="AE18" i="106"/>
  <c r="AC18" i="106"/>
  <c r="AA18" i="106"/>
  <c r="Y18" i="106"/>
  <c r="V18" i="106"/>
  <c r="Q18" i="106"/>
  <c r="O18" i="106"/>
  <c r="M18" i="106"/>
  <c r="I18" i="106"/>
  <c r="F18" i="106"/>
  <c r="C18" i="106"/>
  <c r="EA18" i="106"/>
  <c r="EQ17" i="106"/>
  <c r="EH17" i="106"/>
  <c r="DY17" i="106"/>
  <c r="DK17" i="106"/>
  <c r="DF17" i="106"/>
  <c r="DG17" i="106" s="1"/>
  <c r="DH17" i="106" s="1"/>
  <c r="DB17" i="106"/>
  <c r="CV17" i="106"/>
  <c r="CW17" i="106"/>
  <c r="CR17" i="106"/>
  <c r="CM17" i="106"/>
  <c r="CN17" i="106"/>
  <c r="CI17" i="106"/>
  <c r="CD17" i="106"/>
  <c r="CE17" i="106" s="1"/>
  <c r="CF17" i="106" s="1"/>
  <c r="BZ17" i="106"/>
  <c r="BN17" i="106"/>
  <c r="AZ17" i="106"/>
  <c r="AY17" i="106"/>
  <c r="AW17" i="106"/>
  <c r="AU17" i="106"/>
  <c r="AS17" i="106"/>
  <c r="AP17" i="106"/>
  <c r="AO17" i="106"/>
  <c r="AM17" i="106"/>
  <c r="AK17" i="106"/>
  <c r="AI17" i="106"/>
  <c r="AF17" i="106"/>
  <c r="AE17" i="106"/>
  <c r="AC17" i="106"/>
  <c r="AA17" i="106"/>
  <c r="Y17" i="106"/>
  <c r="V17" i="106"/>
  <c r="Q17" i="106"/>
  <c r="O17" i="106"/>
  <c r="M17" i="106"/>
  <c r="I17" i="106"/>
  <c r="F17" i="106"/>
  <c r="EB17" i="106" s="1"/>
  <c r="C17" i="106"/>
  <c r="EA17" i="106"/>
  <c r="EQ16" i="106"/>
  <c r="EH16" i="106"/>
  <c r="DY16" i="106"/>
  <c r="DK16" i="106"/>
  <c r="DF16" i="106"/>
  <c r="DG16" i="106" s="1"/>
  <c r="DH16" i="106" s="1"/>
  <c r="DB16" i="106"/>
  <c r="CV16" i="106"/>
  <c r="CW16" i="106" s="1"/>
  <c r="CX16" i="106" s="1"/>
  <c r="CR16" i="106"/>
  <c r="CM16" i="106"/>
  <c r="CN16" i="106"/>
  <c r="CI16" i="106"/>
  <c r="CD16" i="106"/>
  <c r="CE16" i="106"/>
  <c r="CF16" i="106"/>
  <c r="BZ16" i="106"/>
  <c r="BN16" i="106"/>
  <c r="AZ16" i="106"/>
  <c r="AY16" i="106"/>
  <c r="AW16" i="106"/>
  <c r="AU16" i="106"/>
  <c r="AS16" i="106"/>
  <c r="AP16" i="106"/>
  <c r="AO16" i="106"/>
  <c r="AM16" i="106"/>
  <c r="AK16" i="106"/>
  <c r="AI16" i="106"/>
  <c r="AF16" i="106"/>
  <c r="AE16" i="106"/>
  <c r="AC16" i="106"/>
  <c r="AA16" i="106"/>
  <c r="Y16" i="106"/>
  <c r="V16" i="106"/>
  <c r="Q16" i="106"/>
  <c r="O16" i="106"/>
  <c r="M16" i="106"/>
  <c r="I16" i="106"/>
  <c r="F16" i="106"/>
  <c r="C16" i="106"/>
  <c r="EA16" i="106" s="1"/>
  <c r="EQ15" i="106"/>
  <c r="EH15" i="106"/>
  <c r="DY15" i="106"/>
  <c r="DK15" i="106"/>
  <c r="DF15" i="106"/>
  <c r="DG15" i="106"/>
  <c r="DB15" i="106"/>
  <c r="CV15" i="106"/>
  <c r="CW15" i="106" s="1"/>
  <c r="CX15" i="106" s="1"/>
  <c r="CR15" i="106"/>
  <c r="CM15" i="106"/>
  <c r="CN15" i="106" s="1"/>
  <c r="CO15" i="106" s="1"/>
  <c r="CI15" i="106"/>
  <c r="CD15" i="106"/>
  <c r="CE15" i="106"/>
  <c r="BZ15" i="106"/>
  <c r="BN15" i="106"/>
  <c r="AZ15" i="106"/>
  <c r="AY15" i="106"/>
  <c r="AW15" i="106"/>
  <c r="AU15" i="106"/>
  <c r="AS15" i="106"/>
  <c r="AP15" i="106"/>
  <c r="AO15" i="106"/>
  <c r="AM15" i="106"/>
  <c r="AK15" i="106"/>
  <c r="AI15" i="106"/>
  <c r="AF15" i="106"/>
  <c r="AE15" i="106"/>
  <c r="AC15" i="106"/>
  <c r="AA15" i="106"/>
  <c r="Y15" i="106"/>
  <c r="V15" i="106"/>
  <c r="Q15" i="106"/>
  <c r="O15" i="106"/>
  <c r="M15" i="106"/>
  <c r="I15" i="106"/>
  <c r="F15" i="106"/>
  <c r="EB15" i="106"/>
  <c r="C15" i="106"/>
  <c r="EA15" i="106" s="1"/>
  <c r="EQ14" i="106"/>
  <c r="EH14" i="106"/>
  <c r="DY14" i="106"/>
  <c r="DK14" i="106"/>
  <c r="DF14" i="106"/>
  <c r="DG14" i="106"/>
  <c r="DB14" i="106"/>
  <c r="CV14" i="106"/>
  <c r="CW14" i="106"/>
  <c r="CR14" i="106"/>
  <c r="CM14" i="106"/>
  <c r="CN14" i="106" s="1"/>
  <c r="CO14" i="106" s="1"/>
  <c r="CI14" i="106"/>
  <c r="CD14" i="106"/>
  <c r="CE14" i="106" s="1"/>
  <c r="CF14" i="106" s="1"/>
  <c r="BZ14" i="106"/>
  <c r="BN14" i="106"/>
  <c r="AZ14" i="106"/>
  <c r="AY14" i="106"/>
  <c r="AW14" i="106"/>
  <c r="AU14" i="106"/>
  <c r="AS14" i="106"/>
  <c r="AP14" i="106"/>
  <c r="AO14" i="106"/>
  <c r="AM14" i="106"/>
  <c r="AK14" i="106"/>
  <c r="AI14" i="106"/>
  <c r="AF14" i="106"/>
  <c r="AE14" i="106"/>
  <c r="AC14" i="106"/>
  <c r="Y14" i="106"/>
  <c r="V14" i="106"/>
  <c r="Q14" i="106"/>
  <c r="O14" i="106"/>
  <c r="M14" i="106"/>
  <c r="I14" i="106"/>
  <c r="F14" i="106"/>
  <c r="C14" i="106"/>
  <c r="EA14" i="106" s="1"/>
  <c r="EQ13" i="106"/>
  <c r="EH13" i="106"/>
  <c r="DY13" i="106"/>
  <c r="DK13" i="106"/>
  <c r="DF13" i="106"/>
  <c r="DG13" i="106"/>
  <c r="DB13" i="106"/>
  <c r="CV13" i="106"/>
  <c r="CW13" i="106" s="1"/>
  <c r="CX13" i="106" s="1"/>
  <c r="CR13" i="106"/>
  <c r="CM13" i="106"/>
  <c r="CN13" i="106" s="1"/>
  <c r="CO13" i="106" s="1"/>
  <c r="CI13" i="106"/>
  <c r="CD13" i="106"/>
  <c r="CE13" i="106" s="1"/>
  <c r="CF13" i="106" s="1"/>
  <c r="BZ13" i="106"/>
  <c r="BN13" i="106"/>
  <c r="AZ13" i="106"/>
  <c r="AY13" i="106"/>
  <c r="AW13" i="106"/>
  <c r="AU13" i="106"/>
  <c r="AS13" i="106"/>
  <c r="AP13" i="106"/>
  <c r="AO13" i="106"/>
  <c r="AM13" i="106"/>
  <c r="AK13" i="106"/>
  <c r="AI13" i="106"/>
  <c r="AF13" i="106"/>
  <c r="AE13" i="106"/>
  <c r="AC13" i="106"/>
  <c r="AA13" i="106"/>
  <c r="Y13" i="106"/>
  <c r="V13" i="106"/>
  <c r="Q13" i="106"/>
  <c r="O13" i="106"/>
  <c r="M13" i="106"/>
  <c r="I13" i="106"/>
  <c r="F13" i="106"/>
  <c r="EB13" i="106" s="1"/>
  <c r="C13" i="106"/>
  <c r="EA13" i="106" s="1"/>
  <c r="EQ12" i="106"/>
  <c r="EH12" i="106"/>
  <c r="DY12" i="106"/>
  <c r="DK12" i="106"/>
  <c r="DF12" i="106"/>
  <c r="DG12" i="106" s="1"/>
  <c r="DH12" i="106" s="1"/>
  <c r="DB12" i="106"/>
  <c r="CV12" i="106"/>
  <c r="CW12" i="106"/>
  <c r="CR12" i="106"/>
  <c r="CM12" i="106"/>
  <c r="CN12" i="106" s="1"/>
  <c r="CO12" i="106" s="1"/>
  <c r="CI12" i="106"/>
  <c r="CD12" i="106"/>
  <c r="CE12" i="106" s="1"/>
  <c r="CF12" i="106" s="1"/>
  <c r="BZ12" i="106"/>
  <c r="BN12" i="106"/>
  <c r="AZ12" i="106"/>
  <c r="AY12" i="106"/>
  <c r="AW12" i="106"/>
  <c r="AU12" i="106"/>
  <c r="AS12" i="106"/>
  <c r="AP12" i="106"/>
  <c r="AO12" i="106"/>
  <c r="AM12" i="106"/>
  <c r="AK12" i="106"/>
  <c r="AI12" i="106"/>
  <c r="AF12" i="106"/>
  <c r="AE12" i="106"/>
  <c r="AC12" i="106"/>
  <c r="AA12" i="106"/>
  <c r="Y12" i="106"/>
  <c r="V12" i="106"/>
  <c r="Q12" i="106"/>
  <c r="O12" i="106"/>
  <c r="M12" i="106"/>
  <c r="I12" i="106"/>
  <c r="F12" i="106"/>
  <c r="EB12" i="106" s="1"/>
  <c r="C12" i="106"/>
  <c r="EA12" i="106" s="1"/>
  <c r="EQ11" i="106"/>
  <c r="EH11" i="106"/>
  <c r="DY11" i="106"/>
  <c r="DK11" i="106"/>
  <c r="DF11" i="106"/>
  <c r="DG11" i="106" s="1"/>
  <c r="DH11" i="106" s="1"/>
  <c r="DB11" i="106"/>
  <c r="CV11" i="106"/>
  <c r="CW11" i="106" s="1"/>
  <c r="CX11" i="106" s="1"/>
  <c r="CR11" i="106"/>
  <c r="CM11" i="106"/>
  <c r="CN11" i="106" s="1"/>
  <c r="CO11" i="106" s="1"/>
  <c r="CI11" i="106"/>
  <c r="CD11" i="106"/>
  <c r="CE11" i="106"/>
  <c r="BZ11" i="106"/>
  <c r="BN11" i="106"/>
  <c r="AZ11" i="106"/>
  <c r="AY11" i="106"/>
  <c r="AW11" i="106"/>
  <c r="AU11" i="106"/>
  <c r="AS11" i="106"/>
  <c r="AP11" i="106"/>
  <c r="AO11" i="106"/>
  <c r="AM11" i="106"/>
  <c r="AK11" i="106"/>
  <c r="AI11" i="106"/>
  <c r="AF11" i="106"/>
  <c r="AE11" i="106"/>
  <c r="AC11" i="106"/>
  <c r="AA11" i="106"/>
  <c r="Y11" i="106"/>
  <c r="V11" i="106"/>
  <c r="Q11" i="106"/>
  <c r="O11" i="106"/>
  <c r="M11" i="106"/>
  <c r="I11" i="106"/>
  <c r="F11" i="106"/>
  <c r="EB11" i="106"/>
  <c r="C11" i="106"/>
  <c r="EA11" i="106" s="1"/>
  <c r="EQ10" i="106"/>
  <c r="EH10" i="106"/>
  <c r="DY10" i="106"/>
  <c r="DK10" i="106"/>
  <c r="DF10" i="106"/>
  <c r="DG10" i="106"/>
  <c r="DB10" i="106"/>
  <c r="CV10" i="106"/>
  <c r="CW10" i="106" s="1"/>
  <c r="CX10" i="106" s="1"/>
  <c r="CR10" i="106"/>
  <c r="CM10" i="106"/>
  <c r="CN10" i="106" s="1"/>
  <c r="CO10" i="106" s="1"/>
  <c r="CI10" i="106"/>
  <c r="CD10" i="106"/>
  <c r="CE10" i="106"/>
  <c r="BZ10" i="106"/>
  <c r="BN10" i="106"/>
  <c r="AZ10" i="106"/>
  <c r="AY10" i="106"/>
  <c r="AW10" i="106"/>
  <c r="AU10" i="106"/>
  <c r="AS10" i="106"/>
  <c r="AP10" i="106"/>
  <c r="AO10" i="106"/>
  <c r="AM10" i="106"/>
  <c r="AK10" i="106"/>
  <c r="AI10" i="106"/>
  <c r="AF10" i="106"/>
  <c r="AE10" i="106"/>
  <c r="AC10" i="106"/>
  <c r="AA10" i="106"/>
  <c r="Y10" i="106"/>
  <c r="V10" i="106"/>
  <c r="Q10" i="106"/>
  <c r="EB10" i="106"/>
  <c r="O10" i="106"/>
  <c r="M10" i="106"/>
  <c r="I10" i="106"/>
  <c r="C10" i="106"/>
  <c r="EA10" i="106" s="1"/>
  <c r="EQ9" i="106"/>
  <c r="EH9" i="106"/>
  <c r="DY9" i="106"/>
  <c r="DK9" i="106"/>
  <c r="DF9" i="106"/>
  <c r="DG9" i="106"/>
  <c r="DB9" i="106"/>
  <c r="CV9" i="106"/>
  <c r="CW9" i="106" s="1"/>
  <c r="CX9" i="106" s="1"/>
  <c r="CR9" i="106"/>
  <c r="CM9" i="106"/>
  <c r="CN9" i="106" s="1"/>
  <c r="CO9" i="106" s="1"/>
  <c r="CI9" i="106"/>
  <c r="CD9" i="106"/>
  <c r="CE9" i="106"/>
  <c r="CF9" i="106" s="1"/>
  <c r="BZ9" i="106"/>
  <c r="BN9" i="106"/>
  <c r="AZ9" i="106"/>
  <c r="AY9" i="106"/>
  <c r="AW9" i="106"/>
  <c r="AU9" i="106"/>
  <c r="AS9" i="106"/>
  <c r="AP9" i="106"/>
  <c r="AO9" i="106"/>
  <c r="AM9" i="106"/>
  <c r="AK9" i="106"/>
  <c r="AI9" i="106"/>
  <c r="AF9" i="106"/>
  <c r="AE9" i="106"/>
  <c r="AC9" i="106"/>
  <c r="AA9" i="106"/>
  <c r="Y9" i="106"/>
  <c r="V9" i="106"/>
  <c r="Q9" i="106"/>
  <c r="O9" i="106"/>
  <c r="M9" i="106"/>
  <c r="I9" i="106"/>
  <c r="F9" i="106"/>
  <c r="EB9" i="106" s="1"/>
  <c r="C9" i="106"/>
  <c r="EA9" i="106"/>
  <c r="EQ8" i="106"/>
  <c r="EH8" i="106"/>
  <c r="DY8" i="106"/>
  <c r="DK8" i="106"/>
  <c r="DF8" i="106"/>
  <c r="DB8" i="106"/>
  <c r="CV8" i="106"/>
  <c r="CR8" i="106"/>
  <c r="CM8" i="106"/>
  <c r="CI8" i="106"/>
  <c r="CD8" i="106"/>
  <c r="BZ8" i="106"/>
  <c r="BN8" i="106"/>
  <c r="AZ8" i="106"/>
  <c r="AY8" i="106"/>
  <c r="AW8" i="106"/>
  <c r="AU8" i="106"/>
  <c r="AS8" i="106"/>
  <c r="AP8" i="106"/>
  <c r="AO8" i="106"/>
  <c r="AM8" i="106"/>
  <c r="AK8" i="106"/>
  <c r="AI8" i="106"/>
  <c r="AF8" i="106"/>
  <c r="AE8" i="106"/>
  <c r="AC8" i="106"/>
  <c r="Y8" i="106"/>
  <c r="V8" i="106"/>
  <c r="Q8" i="106"/>
  <c r="O8" i="106"/>
  <c r="M8" i="106"/>
  <c r="I8" i="106"/>
  <c r="F8" i="106"/>
  <c r="C8" i="106"/>
  <c r="EI3" i="106"/>
  <c r="DZ3" i="106"/>
  <c r="DL3" i="106"/>
  <c r="DC3" i="106"/>
  <c r="CS3" i="106"/>
  <c r="CJ3" i="106"/>
  <c r="CA3" i="106"/>
  <c r="BO3" i="106"/>
  <c r="BA3" i="106"/>
  <c r="AQ3" i="106"/>
  <c r="AG3" i="106"/>
  <c r="W3" i="106"/>
  <c r="K3" i="106"/>
  <c r="EI1" i="106"/>
  <c r="DL1" i="106"/>
  <c r="DC1" i="106"/>
  <c r="CS1" i="106"/>
  <c r="CJ1" i="106"/>
  <c r="CA1" i="106"/>
  <c r="BO1" i="106"/>
  <c r="BA1" i="106"/>
  <c r="AQ1" i="106"/>
  <c r="AG1" i="106"/>
  <c r="W1" i="106"/>
  <c r="K1" i="106"/>
  <c r="DF38" i="104"/>
  <c r="DG38" i="104" s="1"/>
  <c r="DH38" i="104" s="1"/>
  <c r="CV38" i="104"/>
  <c r="CW38" i="104" s="1"/>
  <c r="CM38" i="104"/>
  <c r="CN38" i="104" s="1"/>
  <c r="CD38" i="104"/>
  <c r="CE38" i="104" s="1"/>
  <c r="AU38" i="104"/>
  <c r="AW38" i="104"/>
  <c r="AY38" i="104"/>
  <c r="AS38" i="104"/>
  <c r="AK38" i="104"/>
  <c r="AM38" i="104"/>
  <c r="AO38" i="104"/>
  <c r="AI38" i="104"/>
  <c r="AA38" i="104"/>
  <c r="AC38" i="104"/>
  <c r="AE38" i="104"/>
  <c r="Y38" i="104"/>
  <c r="O38" i="104"/>
  <c r="Q38" i="104"/>
  <c r="EB38" i="104" s="1"/>
  <c r="M38" i="104"/>
  <c r="EI42" i="105"/>
  <c r="DZ42" i="105"/>
  <c r="DL42" i="105"/>
  <c r="DC42" i="105"/>
  <c r="CS42" i="105"/>
  <c r="CJ42" i="105"/>
  <c r="CA42" i="105"/>
  <c r="BO42" i="105"/>
  <c r="BA42" i="105"/>
  <c r="AQ42" i="105"/>
  <c r="AG42" i="105"/>
  <c r="W42" i="105"/>
  <c r="K42" i="105"/>
  <c r="EG41" i="105"/>
  <c r="EF41" i="105"/>
  <c r="EE41" i="105"/>
  <c r="DW41" i="105"/>
  <c r="DV41" i="105"/>
  <c r="DU41" i="105"/>
  <c r="DT41" i="105"/>
  <c r="DS41" i="105"/>
  <c r="DR41" i="105"/>
  <c r="DQ41" i="105"/>
  <c r="DP41" i="105"/>
  <c r="DO41" i="105"/>
  <c r="DN41" i="105"/>
  <c r="DM41" i="105"/>
  <c r="BW41" i="105"/>
  <c r="BV41" i="105"/>
  <c r="BU41" i="105"/>
  <c r="AU9" i="67" s="1"/>
  <c r="BT41" i="105"/>
  <c r="AT9" i="67" s="1"/>
  <c r="BS41" i="105"/>
  <c r="AS9" i="67" s="1"/>
  <c r="BR41" i="105"/>
  <c r="BQ41" i="105"/>
  <c r="AQ9" i="67"/>
  <c r="BP41" i="105"/>
  <c r="BM41" i="105"/>
  <c r="AN9" i="67" s="1"/>
  <c r="BL41" i="105"/>
  <c r="AM9" i="67" s="1"/>
  <c r="BK41" i="105"/>
  <c r="AL9" i="67" s="1"/>
  <c r="BJ41" i="105"/>
  <c r="AK9" i="67" s="1"/>
  <c r="BI41" i="105"/>
  <c r="AJ9" i="67" s="1"/>
  <c r="BH41" i="105"/>
  <c r="AI9" i="67" s="1"/>
  <c r="BG41" i="105"/>
  <c r="AH9" i="67" s="1"/>
  <c r="BF41" i="105"/>
  <c r="AG9" i="67" s="1"/>
  <c r="BE41" i="105"/>
  <c r="AF9" i="67" s="1"/>
  <c r="BD41" i="105"/>
  <c r="BC41" i="105"/>
  <c r="AD9" i="67"/>
  <c r="BB41" i="105"/>
  <c r="ED40" i="105"/>
  <c r="EQ35" i="105"/>
  <c r="EH35" i="105"/>
  <c r="DY35" i="105"/>
  <c r="DK35" i="105"/>
  <c r="DB35" i="105"/>
  <c r="CR35" i="105"/>
  <c r="CI35" i="105"/>
  <c r="BZ35" i="105"/>
  <c r="BN35" i="105"/>
  <c r="AZ35" i="105"/>
  <c r="AP35" i="105"/>
  <c r="AF35" i="105"/>
  <c r="V35" i="105"/>
  <c r="EQ34" i="105"/>
  <c r="EH34" i="105"/>
  <c r="DY34" i="105"/>
  <c r="DK34" i="105"/>
  <c r="DF34" i="105"/>
  <c r="DG34" i="105" s="1"/>
  <c r="DH34" i="105" s="1"/>
  <c r="DB34" i="105"/>
  <c r="CV34" i="105"/>
  <c r="CW34" i="105" s="1"/>
  <c r="CX34" i="105" s="1"/>
  <c r="CR34" i="105"/>
  <c r="CM34" i="105"/>
  <c r="CN34" i="105" s="1"/>
  <c r="CO34" i="105" s="1"/>
  <c r="CI34" i="105"/>
  <c r="CD34" i="105"/>
  <c r="CE34" i="105"/>
  <c r="BZ34" i="105"/>
  <c r="BN34" i="105"/>
  <c r="AZ34" i="105"/>
  <c r="AY34" i="105"/>
  <c r="AW34" i="105"/>
  <c r="AU34" i="105"/>
  <c r="AS34" i="105"/>
  <c r="AP34" i="105"/>
  <c r="AO34" i="105"/>
  <c r="AM34" i="105"/>
  <c r="AK34" i="105"/>
  <c r="AI34" i="105"/>
  <c r="AF34" i="105"/>
  <c r="AE34" i="105"/>
  <c r="AC34" i="105"/>
  <c r="AA34" i="105"/>
  <c r="Y34" i="105"/>
  <c r="V34" i="105"/>
  <c r="Q34" i="105"/>
  <c r="O34" i="105"/>
  <c r="M34" i="105"/>
  <c r="I34" i="105"/>
  <c r="F34" i="105"/>
  <c r="EB34" i="105"/>
  <c r="C34" i="105"/>
  <c r="EA34" i="105" s="1"/>
  <c r="EQ33" i="105"/>
  <c r="EH33" i="105"/>
  <c r="DY33" i="105"/>
  <c r="DK33" i="105"/>
  <c r="DF33" i="105"/>
  <c r="DG33" i="105"/>
  <c r="DB33" i="105"/>
  <c r="CV33" i="105"/>
  <c r="CW33" i="105" s="1"/>
  <c r="CX33" i="105" s="1"/>
  <c r="CR33" i="105"/>
  <c r="CM33" i="105"/>
  <c r="CN33" i="105" s="1"/>
  <c r="CO33" i="105" s="1"/>
  <c r="CI33" i="105"/>
  <c r="CD33" i="105"/>
  <c r="CE33" i="105" s="1"/>
  <c r="CF33" i="105" s="1"/>
  <c r="BZ33" i="105"/>
  <c r="BN33" i="105"/>
  <c r="AZ33" i="105"/>
  <c r="AY33" i="105"/>
  <c r="AW33" i="105"/>
  <c r="AU33" i="105"/>
  <c r="AS33" i="105"/>
  <c r="AP33" i="105"/>
  <c r="AO33" i="105"/>
  <c r="AM33" i="105"/>
  <c r="AK33" i="105"/>
  <c r="AI33" i="105"/>
  <c r="AF33" i="105"/>
  <c r="AE33" i="105"/>
  <c r="AC33" i="105"/>
  <c r="AA33" i="105"/>
  <c r="Y33" i="105"/>
  <c r="V33" i="105"/>
  <c r="Q33" i="105"/>
  <c r="O33" i="105"/>
  <c r="M33" i="105"/>
  <c r="I33" i="105"/>
  <c r="F33" i="105"/>
  <c r="EB33" i="105" s="1"/>
  <c r="C33" i="105"/>
  <c r="EA33" i="105"/>
  <c r="EQ32" i="105"/>
  <c r="EH32" i="105"/>
  <c r="DY32" i="105"/>
  <c r="DK32" i="105"/>
  <c r="DF32" i="105"/>
  <c r="DG32" i="105" s="1"/>
  <c r="DH32" i="105" s="1"/>
  <c r="DB32" i="105"/>
  <c r="CV32" i="105"/>
  <c r="CW32" i="105" s="1"/>
  <c r="CX32" i="105" s="1"/>
  <c r="CR32" i="105"/>
  <c r="CM32" i="105"/>
  <c r="CN32" i="105"/>
  <c r="CI32" i="105"/>
  <c r="CD32" i="105"/>
  <c r="CE32" i="105" s="1"/>
  <c r="CF32" i="105" s="1"/>
  <c r="BZ32" i="105"/>
  <c r="BN32" i="105"/>
  <c r="AZ32" i="105"/>
  <c r="AY32" i="105"/>
  <c r="AW32" i="105"/>
  <c r="AU32" i="105"/>
  <c r="AS32" i="105"/>
  <c r="AP32" i="105"/>
  <c r="AO32" i="105"/>
  <c r="AM32" i="105"/>
  <c r="AK32" i="105"/>
  <c r="AI32" i="105"/>
  <c r="AF32" i="105"/>
  <c r="AC32" i="105"/>
  <c r="AA32" i="105"/>
  <c r="Y32" i="105"/>
  <c r="V32" i="105"/>
  <c r="Q32" i="105"/>
  <c r="O32" i="105"/>
  <c r="M32" i="105"/>
  <c r="I32" i="105"/>
  <c r="F32" i="105"/>
  <c r="EB32" i="105" s="1"/>
  <c r="C32" i="105"/>
  <c r="EA32" i="105"/>
  <c r="EQ31" i="105"/>
  <c r="EH31" i="105"/>
  <c r="DY31" i="105"/>
  <c r="DK31" i="105"/>
  <c r="DF31" i="105"/>
  <c r="DG31" i="105" s="1"/>
  <c r="DH31" i="105" s="1"/>
  <c r="DB31" i="105"/>
  <c r="CV31" i="105"/>
  <c r="CW31" i="105" s="1"/>
  <c r="CX31" i="105" s="1"/>
  <c r="CR31" i="105"/>
  <c r="CM31" i="105"/>
  <c r="CN31" i="105"/>
  <c r="CI31" i="105"/>
  <c r="CD31" i="105"/>
  <c r="CE31" i="105" s="1"/>
  <c r="CF31" i="105" s="1"/>
  <c r="BZ31" i="105"/>
  <c r="BN31" i="105"/>
  <c r="AZ31" i="105"/>
  <c r="AY31" i="105"/>
  <c r="AW31" i="105"/>
  <c r="AU31" i="105"/>
  <c r="AS31" i="105"/>
  <c r="AP31" i="105"/>
  <c r="AO31" i="105"/>
  <c r="AM31" i="105"/>
  <c r="AK31" i="105"/>
  <c r="AI31" i="105"/>
  <c r="AF31" i="105"/>
  <c r="AC31" i="105"/>
  <c r="AA31" i="105"/>
  <c r="Y31" i="105"/>
  <c r="V31" i="105"/>
  <c r="Q31" i="105"/>
  <c r="O31" i="105"/>
  <c r="I31" i="105"/>
  <c r="F31" i="105"/>
  <c r="C31" i="105"/>
  <c r="EA31" i="105" s="1"/>
  <c r="EQ30" i="105"/>
  <c r="EH30" i="105"/>
  <c r="DY30" i="105"/>
  <c r="DK30" i="105"/>
  <c r="DF30" i="105"/>
  <c r="DG30" i="105"/>
  <c r="DB30" i="105"/>
  <c r="CV30" i="105"/>
  <c r="CW30" i="105" s="1"/>
  <c r="CX30" i="105" s="1"/>
  <c r="CR30" i="105"/>
  <c r="CM30" i="105"/>
  <c r="CN30" i="105" s="1"/>
  <c r="CO30" i="105" s="1"/>
  <c r="CI30" i="105"/>
  <c r="CD30" i="105"/>
  <c r="CE30" i="105" s="1"/>
  <c r="CF30" i="105" s="1"/>
  <c r="BZ30" i="105"/>
  <c r="BN30" i="105"/>
  <c r="AZ30" i="105"/>
  <c r="AY30" i="105"/>
  <c r="AW30" i="105"/>
  <c r="AU30" i="105"/>
  <c r="AS30" i="105"/>
  <c r="AP30" i="105"/>
  <c r="AO30" i="105"/>
  <c r="AM30" i="105"/>
  <c r="AK30" i="105"/>
  <c r="AI30" i="105"/>
  <c r="AF30" i="105"/>
  <c r="AE30" i="105"/>
  <c r="AC30" i="105"/>
  <c r="AA30" i="105"/>
  <c r="Y30" i="105"/>
  <c r="V30" i="105"/>
  <c r="Q30" i="105"/>
  <c r="O30" i="105"/>
  <c r="M30" i="105"/>
  <c r="I30" i="105"/>
  <c r="F30" i="105"/>
  <c r="EB30" i="105" s="1"/>
  <c r="C30" i="105"/>
  <c r="EA30" i="105" s="1"/>
  <c r="EQ29" i="105"/>
  <c r="EH29" i="105"/>
  <c r="DY29" i="105"/>
  <c r="DK29" i="105"/>
  <c r="DF29" i="105"/>
  <c r="DG29" i="105" s="1"/>
  <c r="DH29" i="105" s="1"/>
  <c r="DB29" i="105"/>
  <c r="CV29" i="105"/>
  <c r="CW29" i="105"/>
  <c r="CX29" i="105" s="1"/>
  <c r="CR29" i="105"/>
  <c r="CM29" i="105"/>
  <c r="CN29" i="105"/>
  <c r="CI29" i="105"/>
  <c r="CD29" i="105"/>
  <c r="CE29" i="105" s="1"/>
  <c r="CF29" i="105" s="1"/>
  <c r="BZ29" i="105"/>
  <c r="BN29" i="105"/>
  <c r="AZ29" i="105"/>
  <c r="AY29" i="105"/>
  <c r="AW29" i="105"/>
  <c r="AU29" i="105"/>
  <c r="AS29" i="105"/>
  <c r="AP29" i="105"/>
  <c r="AO29" i="105"/>
  <c r="AM29" i="105"/>
  <c r="AK29" i="105"/>
  <c r="AI29" i="105"/>
  <c r="AF29" i="105"/>
  <c r="AE29" i="105"/>
  <c r="AC29" i="105"/>
  <c r="Y29" i="105"/>
  <c r="V29" i="105"/>
  <c r="Q29" i="105"/>
  <c r="O29" i="105"/>
  <c r="M29" i="105"/>
  <c r="I29" i="105"/>
  <c r="EC29" i="105" s="1"/>
  <c r="F29" i="105"/>
  <c r="EB29" i="105" s="1"/>
  <c r="C29" i="105"/>
  <c r="EA29" i="105" s="1"/>
  <c r="EQ28" i="105"/>
  <c r="EH28" i="105"/>
  <c r="DY28" i="105"/>
  <c r="DK28" i="105"/>
  <c r="DF28" i="105"/>
  <c r="DG28" i="105" s="1"/>
  <c r="DH28" i="105" s="1"/>
  <c r="DB28" i="105"/>
  <c r="CV28" i="105"/>
  <c r="CW28" i="105" s="1"/>
  <c r="CX28" i="105" s="1"/>
  <c r="CR28" i="105"/>
  <c r="CM28" i="105"/>
  <c r="CN28" i="105" s="1"/>
  <c r="CO28" i="105" s="1"/>
  <c r="CI28" i="105"/>
  <c r="CD28" i="105"/>
  <c r="CE28" i="105"/>
  <c r="BZ28" i="105"/>
  <c r="BN28" i="105"/>
  <c r="AZ28" i="105"/>
  <c r="AY28" i="105"/>
  <c r="AW28" i="105"/>
  <c r="AU28" i="105"/>
  <c r="AS28" i="105"/>
  <c r="AP28" i="105"/>
  <c r="AO28" i="105"/>
  <c r="AM28" i="105"/>
  <c r="AK28" i="105"/>
  <c r="AI28" i="105"/>
  <c r="AF28" i="105"/>
  <c r="AE28" i="105"/>
  <c r="AC28" i="105"/>
  <c r="Y28" i="105"/>
  <c r="V28" i="105"/>
  <c r="Q28" i="105"/>
  <c r="O28" i="105"/>
  <c r="M28" i="105"/>
  <c r="I28" i="105"/>
  <c r="F28" i="105"/>
  <c r="EB28" i="105" s="1"/>
  <c r="C28" i="105"/>
  <c r="EA28" i="105" s="1"/>
  <c r="EQ27" i="105"/>
  <c r="EH27" i="105"/>
  <c r="DY27" i="105"/>
  <c r="DK27" i="105"/>
  <c r="DF27" i="105"/>
  <c r="DG27" i="105" s="1"/>
  <c r="DH27" i="105" s="1"/>
  <c r="DB27" i="105"/>
  <c r="CV27" i="105"/>
  <c r="CW27" i="105" s="1"/>
  <c r="CX27" i="105" s="1"/>
  <c r="CR27" i="105"/>
  <c r="CM27" i="105"/>
  <c r="CN27" i="105" s="1"/>
  <c r="CO27" i="105" s="1"/>
  <c r="CI27" i="105"/>
  <c r="CD27" i="105"/>
  <c r="CE27" i="105"/>
  <c r="BZ27" i="105"/>
  <c r="BN27" i="105"/>
  <c r="AZ27" i="105"/>
  <c r="AY27" i="105"/>
  <c r="AW27" i="105"/>
  <c r="AU27" i="105"/>
  <c r="AS27" i="105"/>
  <c r="AP27" i="105"/>
  <c r="AO27" i="105"/>
  <c r="AM27" i="105"/>
  <c r="AK27" i="105"/>
  <c r="AI27" i="105"/>
  <c r="AF27" i="105"/>
  <c r="AE27" i="105"/>
  <c r="AC27" i="105"/>
  <c r="AA27" i="105"/>
  <c r="Y27" i="105"/>
  <c r="V27" i="105"/>
  <c r="Q27" i="105"/>
  <c r="O27" i="105"/>
  <c r="M27" i="105"/>
  <c r="I27" i="105"/>
  <c r="F27" i="105"/>
  <c r="EB27" i="105"/>
  <c r="C27" i="105"/>
  <c r="EA27" i="105" s="1"/>
  <c r="EQ26" i="105"/>
  <c r="EH26" i="105"/>
  <c r="DY26" i="105"/>
  <c r="DK26" i="105"/>
  <c r="DF26" i="105"/>
  <c r="DG26" i="105"/>
  <c r="DH26" i="105" s="1"/>
  <c r="DB26" i="105"/>
  <c r="CV26" i="105"/>
  <c r="CW26" i="105"/>
  <c r="CR26" i="105"/>
  <c r="CM26" i="105"/>
  <c r="CN26" i="105" s="1"/>
  <c r="CO26" i="105" s="1"/>
  <c r="CI26" i="105"/>
  <c r="CD26" i="105"/>
  <c r="CE26" i="105" s="1"/>
  <c r="CF26" i="105" s="1"/>
  <c r="BZ26" i="105"/>
  <c r="BN26" i="105"/>
  <c r="AZ26" i="105"/>
  <c r="AY26" i="105"/>
  <c r="AW26" i="105"/>
  <c r="AU26" i="105"/>
  <c r="AS26" i="105"/>
  <c r="AP26" i="105"/>
  <c r="AO26" i="105"/>
  <c r="AM26" i="105"/>
  <c r="AK26" i="105"/>
  <c r="AI26" i="105"/>
  <c r="AF26" i="105"/>
  <c r="AE26" i="105"/>
  <c r="AC26" i="105"/>
  <c r="AA26" i="105"/>
  <c r="Y26" i="105"/>
  <c r="V26" i="105"/>
  <c r="Q26" i="105"/>
  <c r="O26" i="105"/>
  <c r="M26" i="105"/>
  <c r="I26" i="105"/>
  <c r="EC26" i="105" s="1"/>
  <c r="F26" i="105"/>
  <c r="EB26" i="105"/>
  <c r="C26" i="105"/>
  <c r="EA26" i="105" s="1"/>
  <c r="EQ25" i="105"/>
  <c r="EH25" i="105"/>
  <c r="DY25" i="105"/>
  <c r="DK25" i="105"/>
  <c r="DF25" i="105"/>
  <c r="DG25" i="105"/>
  <c r="DB25" i="105"/>
  <c r="CV25" i="105"/>
  <c r="CW25" i="105" s="1"/>
  <c r="CX25" i="105" s="1"/>
  <c r="CR25" i="105"/>
  <c r="CM25" i="105"/>
  <c r="CN25" i="105" s="1"/>
  <c r="CO25" i="105" s="1"/>
  <c r="CI25" i="105"/>
  <c r="CD25" i="105"/>
  <c r="CE25" i="105" s="1"/>
  <c r="CF25" i="105" s="1"/>
  <c r="BZ25" i="105"/>
  <c r="BN25" i="105"/>
  <c r="AZ25" i="105"/>
  <c r="AY25" i="105"/>
  <c r="AW25" i="105"/>
  <c r="AU25" i="105"/>
  <c r="AS25" i="105"/>
  <c r="AP25" i="105"/>
  <c r="AO25" i="105"/>
  <c r="AM25" i="105"/>
  <c r="AK25" i="105"/>
  <c r="AI25" i="105"/>
  <c r="AF25" i="105"/>
  <c r="AE25" i="105"/>
  <c r="AC25" i="105"/>
  <c r="AA25" i="105"/>
  <c r="Y25" i="105"/>
  <c r="V25" i="105"/>
  <c r="Q25" i="105"/>
  <c r="O25" i="105"/>
  <c r="M25" i="105"/>
  <c r="I25" i="105"/>
  <c r="F25" i="105"/>
  <c r="EB25" i="105" s="1"/>
  <c r="C25" i="105"/>
  <c r="EA25" i="105" s="1"/>
  <c r="EQ24" i="105"/>
  <c r="EH24" i="105"/>
  <c r="DY24" i="105"/>
  <c r="DK24" i="105"/>
  <c r="DF24" i="105"/>
  <c r="DG24" i="105" s="1"/>
  <c r="DH24" i="105" s="1"/>
  <c r="DB24" i="105"/>
  <c r="CV24" i="105"/>
  <c r="CW24" i="105"/>
  <c r="CR24" i="105"/>
  <c r="CM24" i="105"/>
  <c r="CN24" i="105" s="1"/>
  <c r="CO24" i="105" s="1"/>
  <c r="CI24" i="105"/>
  <c r="CD24" i="105"/>
  <c r="CE24" i="105" s="1"/>
  <c r="CF24" i="105" s="1"/>
  <c r="BZ24" i="105"/>
  <c r="BN24" i="105"/>
  <c r="AZ24" i="105"/>
  <c r="AY24" i="105"/>
  <c r="AW24" i="105"/>
  <c r="AU24" i="105"/>
  <c r="AS24" i="105"/>
  <c r="AP24" i="105"/>
  <c r="AO24" i="105"/>
  <c r="AM24" i="105"/>
  <c r="AK24" i="105"/>
  <c r="AI24" i="105"/>
  <c r="AF24" i="105"/>
  <c r="AE24" i="105"/>
  <c r="AC24" i="105"/>
  <c r="AA24" i="105"/>
  <c r="Y24" i="105"/>
  <c r="V24" i="105"/>
  <c r="Q24" i="105"/>
  <c r="O24" i="105"/>
  <c r="M24" i="105"/>
  <c r="I24" i="105"/>
  <c r="F24" i="105"/>
  <c r="EB24" i="105" s="1"/>
  <c r="C24" i="105"/>
  <c r="EA24" i="105"/>
  <c r="EQ23" i="105"/>
  <c r="EH23" i="105"/>
  <c r="DY23" i="105"/>
  <c r="DK23" i="105"/>
  <c r="DF23" i="105"/>
  <c r="DG23" i="105" s="1"/>
  <c r="DH23" i="105" s="1"/>
  <c r="DB23" i="105"/>
  <c r="CV23" i="105"/>
  <c r="CW23" i="105" s="1"/>
  <c r="CX23" i="105" s="1"/>
  <c r="CR23" i="105"/>
  <c r="CM23" i="105"/>
  <c r="CN23" i="105"/>
  <c r="CI23" i="105"/>
  <c r="CD23" i="105"/>
  <c r="CE23" i="105" s="1"/>
  <c r="CF23" i="105" s="1"/>
  <c r="BZ23" i="105"/>
  <c r="BN23" i="105"/>
  <c r="AZ23" i="105"/>
  <c r="AY23" i="105"/>
  <c r="AW23" i="105"/>
  <c r="AU23" i="105"/>
  <c r="AS23" i="105"/>
  <c r="AP23" i="105"/>
  <c r="AO23" i="105"/>
  <c r="AM23" i="105"/>
  <c r="AK23" i="105"/>
  <c r="AI23" i="105"/>
  <c r="AF23" i="105"/>
  <c r="AE23" i="105"/>
  <c r="AC23" i="105"/>
  <c r="AA23" i="105"/>
  <c r="Y23" i="105"/>
  <c r="V23" i="105"/>
  <c r="Q23" i="105"/>
  <c r="O23" i="105"/>
  <c r="M23" i="105"/>
  <c r="I23" i="105"/>
  <c r="F23" i="105"/>
  <c r="EB23" i="105" s="1"/>
  <c r="C23" i="105"/>
  <c r="EA23" i="105" s="1"/>
  <c r="EQ22" i="105"/>
  <c r="EH22" i="105"/>
  <c r="DY22" i="105"/>
  <c r="DK22" i="105"/>
  <c r="DF22" i="105"/>
  <c r="DG22" i="105" s="1"/>
  <c r="DH22" i="105" s="1"/>
  <c r="DB22" i="105"/>
  <c r="CV22" i="105"/>
  <c r="CW22" i="105" s="1"/>
  <c r="CX22" i="105" s="1"/>
  <c r="CR22" i="105"/>
  <c r="CM22" i="105"/>
  <c r="CN22" i="105" s="1"/>
  <c r="CO22" i="105" s="1"/>
  <c r="CI22" i="105"/>
  <c r="CD22" i="105"/>
  <c r="CE22" i="105" s="1"/>
  <c r="CF22" i="105" s="1"/>
  <c r="BZ22" i="105"/>
  <c r="BN22" i="105"/>
  <c r="AZ22" i="105"/>
  <c r="AY22" i="105"/>
  <c r="AW22" i="105"/>
  <c r="AU22" i="105"/>
  <c r="AS22" i="105"/>
  <c r="AP22" i="105"/>
  <c r="AO22" i="105"/>
  <c r="AM22" i="105"/>
  <c r="AK22" i="105"/>
  <c r="AI22" i="105"/>
  <c r="AF22" i="105"/>
  <c r="AE22" i="105"/>
  <c r="AC22" i="105"/>
  <c r="AA22" i="105"/>
  <c r="Y22" i="105"/>
  <c r="V22" i="105"/>
  <c r="Q22" i="105"/>
  <c r="O22" i="105"/>
  <c r="M22" i="105"/>
  <c r="I22" i="105"/>
  <c r="EC22" i="105" s="1"/>
  <c r="F22" i="105"/>
  <c r="EB22" i="105" s="1"/>
  <c r="C22" i="105"/>
  <c r="EA22" i="105" s="1"/>
  <c r="EQ21" i="105"/>
  <c r="EH21" i="105"/>
  <c r="DY21" i="105"/>
  <c r="DK21" i="105"/>
  <c r="DF21" i="105"/>
  <c r="DG21" i="105" s="1"/>
  <c r="DH21" i="105" s="1"/>
  <c r="DB21" i="105"/>
  <c r="CV21" i="105"/>
  <c r="CW21" i="105" s="1"/>
  <c r="CX21" i="105" s="1"/>
  <c r="CR21" i="105"/>
  <c r="CM21" i="105"/>
  <c r="CN21" i="105" s="1"/>
  <c r="CO21" i="105" s="1"/>
  <c r="CI21" i="105"/>
  <c r="CD21" i="105"/>
  <c r="CE21" i="105"/>
  <c r="BZ21" i="105"/>
  <c r="BN21" i="105"/>
  <c r="AZ21" i="105"/>
  <c r="AY21" i="105"/>
  <c r="AW21" i="105"/>
  <c r="AU21" i="105"/>
  <c r="AS21" i="105"/>
  <c r="AP21" i="105"/>
  <c r="AO21" i="105"/>
  <c r="AM21" i="105"/>
  <c r="AK21" i="105"/>
  <c r="AI21" i="105"/>
  <c r="AF21" i="105"/>
  <c r="AE21" i="105"/>
  <c r="AC21" i="105"/>
  <c r="AA21" i="105"/>
  <c r="Y21" i="105"/>
  <c r="V21" i="105"/>
  <c r="Q21" i="105"/>
  <c r="O21" i="105"/>
  <c r="M21" i="105"/>
  <c r="I21" i="105"/>
  <c r="F21" i="105"/>
  <c r="C21" i="105"/>
  <c r="EA21" i="105" s="1"/>
  <c r="EQ20" i="105"/>
  <c r="EH20" i="105"/>
  <c r="DY20" i="105"/>
  <c r="DK20" i="105"/>
  <c r="DF20" i="105"/>
  <c r="DG20" i="105" s="1"/>
  <c r="DH20" i="105" s="1"/>
  <c r="DB20" i="105"/>
  <c r="CV20" i="105"/>
  <c r="CW20" i="105" s="1"/>
  <c r="CX20" i="105" s="1"/>
  <c r="CR20" i="105"/>
  <c r="CM20" i="105"/>
  <c r="CN20" i="105" s="1"/>
  <c r="CO20" i="105" s="1"/>
  <c r="CI20" i="105"/>
  <c r="CD20" i="105"/>
  <c r="CE20" i="105"/>
  <c r="CF20" i="105" s="1"/>
  <c r="BZ20" i="105"/>
  <c r="BN20" i="105"/>
  <c r="AZ20" i="105"/>
  <c r="AY20" i="105"/>
  <c r="AU20" i="105"/>
  <c r="AS20" i="105"/>
  <c r="AP20" i="105"/>
  <c r="AO20" i="105"/>
  <c r="AM20" i="105"/>
  <c r="AK20" i="105"/>
  <c r="AI20" i="105"/>
  <c r="AF20" i="105"/>
  <c r="AE20" i="105"/>
  <c r="AC20" i="105"/>
  <c r="AA20" i="105"/>
  <c r="Y20" i="105"/>
  <c r="V20" i="105"/>
  <c r="Q20" i="105"/>
  <c r="O20" i="105"/>
  <c r="M20" i="105"/>
  <c r="I20" i="105"/>
  <c r="F20" i="105"/>
  <c r="EB20" i="105"/>
  <c r="C20" i="105"/>
  <c r="EA20" i="105" s="1"/>
  <c r="EQ19" i="105"/>
  <c r="EH19" i="105"/>
  <c r="DY19" i="105"/>
  <c r="DK19" i="105"/>
  <c r="DF19" i="105"/>
  <c r="DG19" i="105"/>
  <c r="DH19" i="105" s="1"/>
  <c r="DB19" i="105"/>
  <c r="CV19" i="105"/>
  <c r="CW19" i="105"/>
  <c r="CR19" i="105"/>
  <c r="CM19" i="105"/>
  <c r="CN19" i="105" s="1"/>
  <c r="CO19" i="105" s="1"/>
  <c r="CI19" i="105"/>
  <c r="CD19" i="105"/>
  <c r="CE19" i="105" s="1"/>
  <c r="CF19" i="105" s="1"/>
  <c r="BZ19" i="105"/>
  <c r="BN19" i="105"/>
  <c r="AZ19" i="105"/>
  <c r="AY19" i="105"/>
  <c r="AW19" i="105"/>
  <c r="AU19" i="105"/>
  <c r="AS19" i="105"/>
  <c r="AP19" i="105"/>
  <c r="AO19" i="105"/>
  <c r="AM19" i="105"/>
  <c r="AK19" i="105"/>
  <c r="AI19" i="105"/>
  <c r="AF19" i="105"/>
  <c r="AE19" i="105"/>
  <c r="AC19" i="105"/>
  <c r="AA19" i="105"/>
  <c r="Y19" i="105"/>
  <c r="V19" i="105"/>
  <c r="Q19" i="105"/>
  <c r="O19" i="105"/>
  <c r="M19" i="105"/>
  <c r="I19" i="105"/>
  <c r="F19" i="105"/>
  <c r="EB19" i="105" s="1"/>
  <c r="C19" i="105"/>
  <c r="EQ18" i="105"/>
  <c r="EH18" i="105"/>
  <c r="DY18" i="105"/>
  <c r="DK18" i="105"/>
  <c r="DF18" i="105"/>
  <c r="DG18" i="105" s="1"/>
  <c r="DH18" i="105" s="1"/>
  <c r="DB18" i="105"/>
  <c r="CV18" i="105"/>
  <c r="CW18" i="105" s="1"/>
  <c r="CX18" i="105" s="1"/>
  <c r="CR18" i="105"/>
  <c r="CM18" i="105"/>
  <c r="CN18" i="105" s="1"/>
  <c r="CO18" i="105" s="1"/>
  <c r="CI18" i="105"/>
  <c r="CD18" i="105"/>
  <c r="CE18" i="105" s="1"/>
  <c r="CF18" i="105" s="1"/>
  <c r="BZ18" i="105"/>
  <c r="BN18" i="105"/>
  <c r="AZ18" i="105"/>
  <c r="AY18" i="105"/>
  <c r="AW18" i="105"/>
  <c r="AU18" i="105"/>
  <c r="AS18" i="105"/>
  <c r="AP18" i="105"/>
  <c r="AO18" i="105"/>
  <c r="AM18" i="105"/>
  <c r="AK18" i="105"/>
  <c r="AI18" i="105"/>
  <c r="AF18" i="105"/>
  <c r="AE18" i="105"/>
  <c r="AC18" i="105"/>
  <c r="AA18" i="105"/>
  <c r="Y18" i="105"/>
  <c r="V18" i="105"/>
  <c r="Q18" i="105"/>
  <c r="O18" i="105"/>
  <c r="M18" i="105"/>
  <c r="I18" i="105"/>
  <c r="F18" i="105"/>
  <c r="EB18" i="105" s="1"/>
  <c r="C18" i="105"/>
  <c r="EQ17" i="105"/>
  <c r="EH17" i="105"/>
  <c r="DY17" i="105"/>
  <c r="DK17" i="105"/>
  <c r="DF17" i="105"/>
  <c r="DG17" i="105"/>
  <c r="DB17" i="105"/>
  <c r="CV17" i="105"/>
  <c r="CW17" i="105" s="1"/>
  <c r="CX17" i="105" s="1"/>
  <c r="CR17" i="105"/>
  <c r="CM17" i="105"/>
  <c r="CN17" i="105" s="1"/>
  <c r="CO17" i="105" s="1"/>
  <c r="CI17" i="105"/>
  <c r="CD17" i="105"/>
  <c r="CE17" i="105" s="1"/>
  <c r="CF17" i="105" s="1"/>
  <c r="BZ17" i="105"/>
  <c r="BN17" i="105"/>
  <c r="AZ17" i="105"/>
  <c r="AY17" i="105"/>
  <c r="AW17" i="105"/>
  <c r="AU17" i="105"/>
  <c r="AS17" i="105"/>
  <c r="AP17" i="105"/>
  <c r="AO17" i="105"/>
  <c r="AM17" i="105"/>
  <c r="AK17" i="105"/>
  <c r="AI17" i="105"/>
  <c r="AF17" i="105"/>
  <c r="AE17" i="105"/>
  <c r="AC17" i="105"/>
  <c r="AA17" i="105"/>
  <c r="Y17" i="105"/>
  <c r="V17" i="105"/>
  <c r="Q17" i="105"/>
  <c r="O17" i="105"/>
  <c r="M17" i="105"/>
  <c r="I17" i="105"/>
  <c r="F17" i="105"/>
  <c r="EB17" i="105" s="1"/>
  <c r="C17" i="105"/>
  <c r="EA17" i="105" s="1"/>
  <c r="EQ16" i="105"/>
  <c r="EH16" i="105"/>
  <c r="DY16" i="105"/>
  <c r="DK16" i="105"/>
  <c r="DF16" i="105"/>
  <c r="DG16" i="105" s="1"/>
  <c r="DH16" i="105" s="1"/>
  <c r="DB16" i="105"/>
  <c r="CV16" i="105"/>
  <c r="CW16" i="105"/>
  <c r="CR16" i="105"/>
  <c r="CM16" i="105"/>
  <c r="CN16" i="105" s="1"/>
  <c r="CO16" i="105" s="1"/>
  <c r="CI16" i="105"/>
  <c r="CD16" i="105"/>
  <c r="CE16" i="105" s="1"/>
  <c r="CF16" i="105" s="1"/>
  <c r="BZ16" i="105"/>
  <c r="BN16" i="105"/>
  <c r="AZ16" i="105"/>
  <c r="AY16" i="105"/>
  <c r="AW16" i="105"/>
  <c r="AU16" i="105"/>
  <c r="AS16" i="105"/>
  <c r="AP16" i="105"/>
  <c r="AO16" i="105"/>
  <c r="AK16" i="105"/>
  <c r="AI16" i="105"/>
  <c r="AF16" i="105"/>
  <c r="AE16" i="105"/>
  <c r="AC16" i="105"/>
  <c r="AA16" i="105"/>
  <c r="Y16" i="105"/>
  <c r="V16" i="105"/>
  <c r="Q16" i="105"/>
  <c r="O16" i="105"/>
  <c r="M16" i="105"/>
  <c r="I16" i="105"/>
  <c r="F16" i="105"/>
  <c r="EB16" i="105" s="1"/>
  <c r="C16" i="105"/>
  <c r="EA16" i="105"/>
  <c r="EQ15" i="105"/>
  <c r="EH15" i="105"/>
  <c r="DY15" i="105"/>
  <c r="DK15" i="105"/>
  <c r="DF15" i="105"/>
  <c r="DG15" i="105" s="1"/>
  <c r="DH15" i="105" s="1"/>
  <c r="DB15" i="105"/>
  <c r="CV15" i="105"/>
  <c r="CW15" i="105" s="1"/>
  <c r="CX15" i="105" s="1"/>
  <c r="CR15" i="105"/>
  <c r="CM15" i="105"/>
  <c r="CN15" i="105"/>
  <c r="CI15" i="105"/>
  <c r="CD15" i="105"/>
  <c r="CE15" i="105" s="1"/>
  <c r="CF15" i="105" s="1"/>
  <c r="BZ15" i="105"/>
  <c r="BN15" i="105"/>
  <c r="AZ15" i="105"/>
  <c r="AY15" i="105"/>
  <c r="AW15" i="105"/>
  <c r="AU15" i="105"/>
  <c r="AS15" i="105"/>
  <c r="AO15" i="105"/>
  <c r="AM15" i="105"/>
  <c r="AK15" i="105"/>
  <c r="AI15" i="105"/>
  <c r="AF15" i="105"/>
  <c r="AE15" i="105"/>
  <c r="AC15" i="105"/>
  <c r="AA15" i="105"/>
  <c r="Y15" i="105"/>
  <c r="V15" i="105"/>
  <c r="Q15" i="105"/>
  <c r="O15" i="105"/>
  <c r="M15" i="105"/>
  <c r="I15" i="105"/>
  <c r="F15" i="105"/>
  <c r="EB15" i="105" s="1"/>
  <c r="C15" i="105"/>
  <c r="EA15" i="105"/>
  <c r="EQ14" i="105"/>
  <c r="EH14" i="105"/>
  <c r="DY14" i="105"/>
  <c r="DK14" i="105"/>
  <c r="DF14" i="105"/>
  <c r="DG14" i="105" s="1"/>
  <c r="DH14" i="105" s="1"/>
  <c r="DB14" i="105"/>
  <c r="CV14" i="105"/>
  <c r="CW14" i="105" s="1"/>
  <c r="CX14" i="105" s="1"/>
  <c r="CR14" i="105"/>
  <c r="CM14" i="105"/>
  <c r="CN14" i="105"/>
  <c r="CI14" i="105"/>
  <c r="CD14" i="105"/>
  <c r="CE14" i="105" s="1"/>
  <c r="CF14" i="105" s="1"/>
  <c r="BZ14" i="105"/>
  <c r="BN14" i="105"/>
  <c r="AZ14" i="105"/>
  <c r="AY14" i="105"/>
  <c r="AW14" i="105"/>
  <c r="AU14" i="105"/>
  <c r="AS14" i="105"/>
  <c r="AP14" i="105"/>
  <c r="AO14" i="105"/>
  <c r="AM14" i="105"/>
  <c r="AK14" i="105"/>
  <c r="AI14" i="105"/>
  <c r="AF14" i="105"/>
  <c r="AE14" i="105"/>
  <c r="AC14" i="105"/>
  <c r="AA14" i="105"/>
  <c r="Y14" i="105"/>
  <c r="V14" i="105"/>
  <c r="Q14" i="105"/>
  <c r="O14" i="105"/>
  <c r="M14" i="105"/>
  <c r="I14" i="105"/>
  <c r="F14" i="105"/>
  <c r="EB14" i="105" s="1"/>
  <c r="C14" i="105"/>
  <c r="EA14" i="105" s="1"/>
  <c r="EQ13" i="105"/>
  <c r="EH13" i="105"/>
  <c r="DY13" i="105"/>
  <c r="DK13" i="105"/>
  <c r="DF13" i="105"/>
  <c r="DG13" i="105" s="1"/>
  <c r="DH13" i="105" s="1"/>
  <c r="DB13" i="105"/>
  <c r="CV13" i="105"/>
  <c r="CW13" i="105" s="1"/>
  <c r="CX13" i="105" s="1"/>
  <c r="CR13" i="105"/>
  <c r="CM13" i="105"/>
  <c r="CN13" i="105" s="1"/>
  <c r="CO13" i="105" s="1"/>
  <c r="CI13" i="105"/>
  <c r="CD13" i="105"/>
  <c r="CE13" i="105"/>
  <c r="CF13" i="105" s="1"/>
  <c r="BZ13" i="105"/>
  <c r="BN13" i="105"/>
  <c r="AZ13" i="105"/>
  <c r="AY13" i="105"/>
  <c r="AW13" i="105"/>
  <c r="AU13" i="105"/>
  <c r="AS13" i="105"/>
  <c r="AP13" i="105"/>
  <c r="AO13" i="105"/>
  <c r="AM13" i="105"/>
  <c r="AK13" i="105"/>
  <c r="AI13" i="105"/>
  <c r="AF13" i="105"/>
  <c r="AE13" i="105"/>
  <c r="AC13" i="105"/>
  <c r="AA13" i="105"/>
  <c r="Y13" i="105"/>
  <c r="V13" i="105"/>
  <c r="Q13" i="105"/>
  <c r="O13" i="105"/>
  <c r="M13" i="105"/>
  <c r="I13" i="105"/>
  <c r="F13" i="105"/>
  <c r="C13" i="105"/>
  <c r="EA13" i="105" s="1"/>
  <c r="EQ12" i="105"/>
  <c r="EH12" i="105"/>
  <c r="DY12" i="105"/>
  <c r="DK12" i="105"/>
  <c r="DF12" i="105"/>
  <c r="DG12" i="105"/>
  <c r="DB12" i="105"/>
  <c r="CV12" i="105"/>
  <c r="CW12" i="105" s="1"/>
  <c r="CX12" i="105" s="1"/>
  <c r="CR12" i="105"/>
  <c r="CM12" i="105"/>
  <c r="CN12" i="105" s="1"/>
  <c r="CO12" i="105" s="1"/>
  <c r="CI12" i="105"/>
  <c r="CD12" i="105"/>
  <c r="CE12" i="105" s="1"/>
  <c r="CF12" i="105" s="1"/>
  <c r="BZ12" i="105"/>
  <c r="BN12" i="105"/>
  <c r="AZ12" i="105"/>
  <c r="AY12" i="105"/>
  <c r="AW12" i="105"/>
  <c r="AU12" i="105"/>
  <c r="AS12" i="105"/>
  <c r="AP12" i="105"/>
  <c r="AO12" i="105"/>
  <c r="AM12" i="105"/>
  <c r="AK12" i="105"/>
  <c r="AI12" i="105"/>
  <c r="AF12" i="105"/>
  <c r="AE12" i="105"/>
  <c r="AC12" i="105"/>
  <c r="AA12" i="105"/>
  <c r="Y12" i="105"/>
  <c r="V12" i="105"/>
  <c r="Q12" i="105"/>
  <c r="O12" i="105"/>
  <c r="M12" i="105"/>
  <c r="I12" i="105"/>
  <c r="EB12" i="105"/>
  <c r="C12" i="105"/>
  <c r="EA12" i="105" s="1"/>
  <c r="EQ11" i="105"/>
  <c r="EH11" i="105"/>
  <c r="DY11" i="105"/>
  <c r="DK11" i="105"/>
  <c r="DF11" i="105"/>
  <c r="DG11" i="105"/>
  <c r="DB11" i="105"/>
  <c r="CV11" i="105"/>
  <c r="CW11" i="105" s="1"/>
  <c r="CX11" i="105" s="1"/>
  <c r="CR11" i="105"/>
  <c r="CM11" i="105"/>
  <c r="CN11" i="105" s="1"/>
  <c r="CO11" i="105" s="1"/>
  <c r="CI11" i="105"/>
  <c r="CD11" i="105"/>
  <c r="CE11" i="105" s="1"/>
  <c r="CF11" i="105" s="1"/>
  <c r="BZ11" i="105"/>
  <c r="BN11" i="105"/>
  <c r="AZ11" i="105"/>
  <c r="AY11" i="105"/>
  <c r="AW11" i="105"/>
  <c r="AU11" i="105"/>
  <c r="AS11" i="105"/>
  <c r="AP11" i="105"/>
  <c r="AO11" i="105"/>
  <c r="AM11" i="105"/>
  <c r="AK11" i="105"/>
  <c r="AI11" i="105"/>
  <c r="AF11" i="105"/>
  <c r="AE11" i="105"/>
  <c r="AC11" i="105"/>
  <c r="AA11" i="105"/>
  <c r="Y11" i="105"/>
  <c r="V11" i="105"/>
  <c r="Q11" i="105"/>
  <c r="O11" i="105"/>
  <c r="M11" i="105"/>
  <c r="I11" i="105"/>
  <c r="F11" i="105"/>
  <c r="EB11" i="105" s="1"/>
  <c r="C11" i="105"/>
  <c r="EA11" i="105" s="1"/>
  <c r="EQ10" i="105"/>
  <c r="EH10" i="105"/>
  <c r="DY10" i="105"/>
  <c r="DK10" i="105"/>
  <c r="DF10" i="105"/>
  <c r="DG10" i="105" s="1"/>
  <c r="DH10" i="105" s="1"/>
  <c r="DB10" i="105"/>
  <c r="CV10" i="105"/>
  <c r="CW10" i="105"/>
  <c r="CR10" i="105"/>
  <c r="CM10" i="105"/>
  <c r="CN10" i="105" s="1"/>
  <c r="CO10" i="105" s="1"/>
  <c r="CI10" i="105"/>
  <c r="CD10" i="105"/>
  <c r="CE10" i="105" s="1"/>
  <c r="CF10" i="105" s="1"/>
  <c r="BZ10" i="105"/>
  <c r="BN10" i="105"/>
  <c r="AZ10" i="105"/>
  <c r="AY10" i="105"/>
  <c r="AW10" i="105"/>
  <c r="AU10" i="105"/>
  <c r="AS10" i="105"/>
  <c r="AP10" i="105"/>
  <c r="AO10" i="105"/>
  <c r="AM10" i="105"/>
  <c r="AK10" i="105"/>
  <c r="AI10" i="105"/>
  <c r="AF10" i="105"/>
  <c r="AE10" i="105"/>
  <c r="AC10" i="105"/>
  <c r="AA10" i="105"/>
  <c r="Y10" i="105"/>
  <c r="V10" i="105"/>
  <c r="Q10" i="105"/>
  <c r="O10" i="105"/>
  <c r="M10" i="105"/>
  <c r="I10" i="105"/>
  <c r="F10" i="105"/>
  <c r="C10" i="105"/>
  <c r="EA10" i="105" s="1"/>
  <c r="EQ9" i="105"/>
  <c r="EH9" i="105"/>
  <c r="DY9" i="105"/>
  <c r="DK9" i="105"/>
  <c r="DF9" i="105"/>
  <c r="DG9" i="105" s="1"/>
  <c r="DH9" i="105" s="1"/>
  <c r="DB9" i="105"/>
  <c r="CV9" i="105"/>
  <c r="CW9" i="105"/>
  <c r="CR9" i="105"/>
  <c r="CM9" i="105"/>
  <c r="CN9" i="105" s="1"/>
  <c r="CO9" i="105" s="1"/>
  <c r="CI9" i="105"/>
  <c r="CD9" i="105"/>
  <c r="CE9" i="105" s="1"/>
  <c r="CF9" i="105" s="1"/>
  <c r="BZ9" i="105"/>
  <c r="BN9" i="105"/>
  <c r="AZ9" i="105"/>
  <c r="AY9" i="105"/>
  <c r="AW9" i="105"/>
  <c r="AU9" i="105"/>
  <c r="AS9" i="105"/>
  <c r="AP9" i="105"/>
  <c r="AO9" i="105"/>
  <c r="AM9" i="105"/>
  <c r="AK9" i="105"/>
  <c r="AI9" i="105"/>
  <c r="AF9" i="105"/>
  <c r="AE9" i="105"/>
  <c r="AC9" i="105"/>
  <c r="AA9" i="105"/>
  <c r="Y9" i="105"/>
  <c r="V9" i="105"/>
  <c r="Q9" i="105"/>
  <c r="O9" i="105"/>
  <c r="M9" i="105"/>
  <c r="I9" i="105"/>
  <c r="F9" i="105"/>
  <c r="EB9" i="105" s="1"/>
  <c r="C9" i="105"/>
  <c r="EA9" i="105" s="1"/>
  <c r="EQ8" i="105"/>
  <c r="EH8" i="105"/>
  <c r="DY8" i="105"/>
  <c r="DK8" i="105"/>
  <c r="DF8" i="105"/>
  <c r="DB8" i="105"/>
  <c r="CV8" i="105"/>
  <c r="CW8" i="105" s="1"/>
  <c r="CX8" i="105" s="1"/>
  <c r="CR8" i="105"/>
  <c r="CM8" i="105"/>
  <c r="CI8" i="105"/>
  <c r="CD8" i="105"/>
  <c r="BZ8" i="105"/>
  <c r="BN8" i="105"/>
  <c r="AZ8" i="105"/>
  <c r="AY8" i="105"/>
  <c r="AW8" i="105"/>
  <c r="AU8" i="105"/>
  <c r="AS8" i="105"/>
  <c r="AP8" i="105"/>
  <c r="AO8" i="105"/>
  <c r="AM8" i="105"/>
  <c r="AK8" i="105"/>
  <c r="AI8" i="105"/>
  <c r="AF8" i="105"/>
  <c r="AE8" i="105"/>
  <c r="AC8" i="105"/>
  <c r="AA8" i="105"/>
  <c r="Y8" i="105"/>
  <c r="V8" i="105"/>
  <c r="Q8" i="105"/>
  <c r="O8" i="105"/>
  <c r="M8" i="105"/>
  <c r="I8" i="105"/>
  <c r="F8" i="105"/>
  <c r="C8" i="105"/>
  <c r="EI3" i="105"/>
  <c r="DZ3" i="105"/>
  <c r="DL3" i="105"/>
  <c r="DC3" i="105"/>
  <c r="CS3" i="105"/>
  <c r="CJ3" i="105"/>
  <c r="CA3" i="105"/>
  <c r="BO3" i="105"/>
  <c r="BA3" i="105"/>
  <c r="AQ3" i="105"/>
  <c r="AG3" i="105"/>
  <c r="W3" i="105"/>
  <c r="K3" i="105"/>
  <c r="EI1" i="105"/>
  <c r="DL1" i="105"/>
  <c r="DC1" i="105"/>
  <c r="CS1" i="105"/>
  <c r="CJ1" i="105"/>
  <c r="CA1" i="105"/>
  <c r="BO1" i="105"/>
  <c r="BA1" i="105"/>
  <c r="AQ1" i="105"/>
  <c r="AG1" i="105"/>
  <c r="W1" i="105"/>
  <c r="K1" i="105"/>
  <c r="DY9" i="104"/>
  <c r="DY10" i="104"/>
  <c r="DY11" i="104"/>
  <c r="DY12" i="104"/>
  <c r="DY13" i="104"/>
  <c r="DY14" i="104"/>
  <c r="DY15" i="104"/>
  <c r="DY16" i="104"/>
  <c r="DY17" i="104"/>
  <c r="DY18" i="104"/>
  <c r="DY19" i="104"/>
  <c r="DY20" i="104"/>
  <c r="DY21" i="104"/>
  <c r="DY22" i="104"/>
  <c r="DY23" i="104"/>
  <c r="DY24" i="104"/>
  <c r="DY25" i="104"/>
  <c r="DY26" i="104"/>
  <c r="DY27" i="104"/>
  <c r="DY28" i="104"/>
  <c r="DY29" i="104"/>
  <c r="DY30" i="104"/>
  <c r="DY31" i="104"/>
  <c r="DY32" i="104"/>
  <c r="DY33" i="104"/>
  <c r="DY34" i="104"/>
  <c r="DY35" i="104"/>
  <c r="DY36" i="104"/>
  <c r="DY37" i="104"/>
  <c r="DY38" i="104"/>
  <c r="DF9" i="104"/>
  <c r="DG9" i="104" s="1"/>
  <c r="DF10" i="104"/>
  <c r="DG10" i="104"/>
  <c r="DF11" i="104"/>
  <c r="DG11" i="104" s="1"/>
  <c r="DF12" i="104"/>
  <c r="DG12" i="104"/>
  <c r="DF13" i="104"/>
  <c r="DG13" i="104" s="1"/>
  <c r="DF14" i="104"/>
  <c r="DG14" i="104"/>
  <c r="DF15" i="104"/>
  <c r="DG15" i="104" s="1"/>
  <c r="DF16" i="104"/>
  <c r="DG16" i="104"/>
  <c r="DF17" i="104"/>
  <c r="DG17" i="104" s="1"/>
  <c r="DF18" i="104"/>
  <c r="DG18" i="104"/>
  <c r="DF19" i="104"/>
  <c r="DG19" i="104" s="1"/>
  <c r="DF20" i="104"/>
  <c r="DG20" i="104"/>
  <c r="DF21" i="104"/>
  <c r="DG21" i="104" s="1"/>
  <c r="DF22" i="104"/>
  <c r="DG22" i="104"/>
  <c r="DF23" i="104"/>
  <c r="DG23" i="104" s="1"/>
  <c r="DF24" i="104"/>
  <c r="DG24" i="104"/>
  <c r="DF25" i="104"/>
  <c r="DG25" i="104" s="1"/>
  <c r="DF26" i="104"/>
  <c r="DG26" i="104"/>
  <c r="DF27" i="104"/>
  <c r="DG27" i="104" s="1"/>
  <c r="DF28" i="104"/>
  <c r="DG28" i="104"/>
  <c r="DF29" i="104"/>
  <c r="DG29" i="104" s="1"/>
  <c r="DF30" i="104"/>
  <c r="DG30" i="104"/>
  <c r="DF31" i="104"/>
  <c r="DG31" i="104" s="1"/>
  <c r="DF32" i="104"/>
  <c r="DG32" i="104"/>
  <c r="DF33" i="104"/>
  <c r="DG33" i="104" s="1"/>
  <c r="DF34" i="104"/>
  <c r="DG34" i="104"/>
  <c r="DF35" i="104"/>
  <c r="DG35" i="104" s="1"/>
  <c r="DF36" i="104"/>
  <c r="DG36" i="104"/>
  <c r="DF37" i="104"/>
  <c r="DG37" i="104" s="1"/>
  <c r="CV9" i="104"/>
  <c r="CW9" i="104"/>
  <c r="CV10" i="104"/>
  <c r="CW10" i="104" s="1"/>
  <c r="CV11" i="104"/>
  <c r="CW11" i="104"/>
  <c r="CV12" i="104"/>
  <c r="CW12" i="104" s="1"/>
  <c r="CV13" i="104"/>
  <c r="CW13" i="104"/>
  <c r="CV14" i="104"/>
  <c r="CW14" i="104" s="1"/>
  <c r="CV15" i="104"/>
  <c r="CW15" i="104"/>
  <c r="CV16" i="104"/>
  <c r="CW16" i="104" s="1"/>
  <c r="CV17" i="104"/>
  <c r="CW17" i="104"/>
  <c r="CV18" i="104"/>
  <c r="CW18" i="104" s="1"/>
  <c r="CV19" i="104"/>
  <c r="CW19" i="104"/>
  <c r="CV20" i="104"/>
  <c r="CW20" i="104" s="1"/>
  <c r="CX20" i="104" s="1"/>
  <c r="CV21" i="104"/>
  <c r="CW21" i="104"/>
  <c r="CV22" i="104"/>
  <c r="CW22" i="104" s="1"/>
  <c r="CV23" i="104"/>
  <c r="CW23" i="104"/>
  <c r="CV24" i="104"/>
  <c r="CW24" i="104" s="1"/>
  <c r="CV25" i="104"/>
  <c r="CW25" i="104"/>
  <c r="CV26" i="104"/>
  <c r="CW26" i="104" s="1"/>
  <c r="CV27" i="104"/>
  <c r="CW27" i="104"/>
  <c r="CV28" i="104"/>
  <c r="CW28" i="104" s="1"/>
  <c r="CV29" i="104"/>
  <c r="CW29" i="104"/>
  <c r="CV30" i="104"/>
  <c r="CW30" i="104" s="1"/>
  <c r="CV31" i="104"/>
  <c r="CW31" i="104"/>
  <c r="CV32" i="104"/>
  <c r="CW32" i="104" s="1"/>
  <c r="CV33" i="104"/>
  <c r="CW33" i="104"/>
  <c r="CV34" i="104"/>
  <c r="CW34" i="104" s="1"/>
  <c r="CV35" i="104"/>
  <c r="CW35" i="104"/>
  <c r="CV36" i="104"/>
  <c r="CW36" i="104" s="1"/>
  <c r="CV37" i="104"/>
  <c r="CW37" i="104"/>
  <c r="DB9" i="104"/>
  <c r="DB10" i="104"/>
  <c r="DB11" i="104"/>
  <c r="DB12" i="104"/>
  <c r="DB13" i="104"/>
  <c r="DB14" i="104"/>
  <c r="DB15" i="104"/>
  <c r="DB16" i="104"/>
  <c r="DB17" i="104"/>
  <c r="DB18" i="104"/>
  <c r="DB19" i="104"/>
  <c r="DB20" i="104"/>
  <c r="DB21" i="104"/>
  <c r="DB22" i="104"/>
  <c r="DB23" i="104"/>
  <c r="DB24" i="104"/>
  <c r="DB26" i="104"/>
  <c r="DB27" i="104"/>
  <c r="DB28" i="104"/>
  <c r="DB29" i="104"/>
  <c r="DB30" i="104"/>
  <c r="DB31" i="104"/>
  <c r="DB32" i="104"/>
  <c r="DB33" i="104"/>
  <c r="DB34" i="104"/>
  <c r="DB35" i="104"/>
  <c r="DB36" i="104"/>
  <c r="DB37" i="104"/>
  <c r="DB38" i="104"/>
  <c r="CM9" i="104"/>
  <c r="CN9" i="104" s="1"/>
  <c r="CM10" i="104"/>
  <c r="CN10" i="104"/>
  <c r="CM11" i="104"/>
  <c r="CN11" i="104" s="1"/>
  <c r="CM12" i="104"/>
  <c r="CN12" i="104"/>
  <c r="CM13" i="104"/>
  <c r="CN13" i="104" s="1"/>
  <c r="CM14" i="104"/>
  <c r="CN14" i="104"/>
  <c r="CM15" i="104"/>
  <c r="CN15" i="104" s="1"/>
  <c r="CM16" i="104"/>
  <c r="CN16" i="104"/>
  <c r="CM17" i="104"/>
  <c r="CN17" i="104" s="1"/>
  <c r="CM18" i="104"/>
  <c r="CN18" i="104"/>
  <c r="CM19" i="104"/>
  <c r="CN19" i="104" s="1"/>
  <c r="CM20" i="104"/>
  <c r="CN20" i="104"/>
  <c r="CM21" i="104"/>
  <c r="CN21" i="104" s="1"/>
  <c r="CM22" i="104"/>
  <c r="CN22" i="104"/>
  <c r="CM23" i="104"/>
  <c r="CN23" i="104" s="1"/>
  <c r="CM24" i="104"/>
  <c r="CN24" i="104"/>
  <c r="CM25" i="104"/>
  <c r="CN25" i="104" s="1"/>
  <c r="CM26" i="104"/>
  <c r="CN26" i="104"/>
  <c r="CM27" i="104"/>
  <c r="CN27" i="104" s="1"/>
  <c r="CM28" i="104"/>
  <c r="CN28" i="104"/>
  <c r="CM29" i="104"/>
  <c r="CN29" i="104" s="1"/>
  <c r="CM30" i="104"/>
  <c r="CN30" i="104"/>
  <c r="CM31" i="104"/>
  <c r="CN31" i="104" s="1"/>
  <c r="CM32" i="104"/>
  <c r="CN32" i="104"/>
  <c r="CM33" i="104"/>
  <c r="CN33" i="104" s="1"/>
  <c r="CM34" i="104"/>
  <c r="CN34" i="104"/>
  <c r="CM35" i="104"/>
  <c r="CN35" i="104" s="1"/>
  <c r="CM36" i="104"/>
  <c r="CN36" i="104"/>
  <c r="CM37" i="104"/>
  <c r="CN37" i="104" s="1"/>
  <c r="CI9" i="104"/>
  <c r="CI10" i="104"/>
  <c r="CI11" i="104"/>
  <c r="CI12" i="104"/>
  <c r="CI13" i="104"/>
  <c r="CI14" i="104"/>
  <c r="CI15" i="104"/>
  <c r="CI16" i="104"/>
  <c r="CI17" i="104"/>
  <c r="CI18" i="104"/>
  <c r="CI19" i="104"/>
  <c r="CI20" i="104"/>
  <c r="CI21" i="104"/>
  <c r="CI22" i="104"/>
  <c r="CI23" i="104"/>
  <c r="CI24" i="104"/>
  <c r="CI25" i="104"/>
  <c r="CI26" i="104"/>
  <c r="CI27" i="104"/>
  <c r="CI28" i="104"/>
  <c r="CI29" i="104"/>
  <c r="CI30" i="104"/>
  <c r="CI31" i="104"/>
  <c r="CI32" i="104"/>
  <c r="CI33" i="104"/>
  <c r="CI34" i="104"/>
  <c r="CI35" i="104"/>
  <c r="CI36" i="104"/>
  <c r="CI37" i="104"/>
  <c r="CI38" i="104"/>
  <c r="CD9" i="104"/>
  <c r="CE9" i="104" s="1"/>
  <c r="CD10" i="104"/>
  <c r="CE10" i="104"/>
  <c r="CD11" i="104"/>
  <c r="CE11" i="104" s="1"/>
  <c r="CD12" i="104"/>
  <c r="CE12" i="104"/>
  <c r="CD13" i="104"/>
  <c r="CE13" i="104" s="1"/>
  <c r="CF13" i="104" s="1"/>
  <c r="CD14" i="104"/>
  <c r="CE14" i="104"/>
  <c r="CD15" i="104"/>
  <c r="CE15" i="104" s="1"/>
  <c r="CD16" i="104"/>
  <c r="CE16" i="104"/>
  <c r="CD17" i="104"/>
  <c r="CE17" i="104" s="1"/>
  <c r="CD18" i="104"/>
  <c r="CE18" i="104"/>
  <c r="CD19" i="104"/>
  <c r="CE19" i="104" s="1"/>
  <c r="CD20" i="104"/>
  <c r="CE20" i="104"/>
  <c r="CD21" i="104"/>
  <c r="CE21" i="104" s="1"/>
  <c r="CF21" i="104" s="1"/>
  <c r="CD22" i="104"/>
  <c r="CE22" i="104"/>
  <c r="CD23" i="104"/>
  <c r="CE23" i="104" s="1"/>
  <c r="CD24" i="104"/>
  <c r="CE24" i="104"/>
  <c r="CD25" i="104"/>
  <c r="CE25" i="104" s="1"/>
  <c r="CD26" i="104"/>
  <c r="CE26" i="104"/>
  <c r="CD27" i="104"/>
  <c r="CE27" i="104" s="1"/>
  <c r="CF27" i="104" s="1"/>
  <c r="CD28" i="104"/>
  <c r="CE28" i="104"/>
  <c r="CD29" i="104"/>
  <c r="CE29" i="104" s="1"/>
  <c r="CF29" i="104" s="1"/>
  <c r="CD30" i="104"/>
  <c r="CE30" i="104" s="1"/>
  <c r="CF30" i="104" s="1"/>
  <c r="CD31" i="104"/>
  <c r="CE31" i="104" s="1"/>
  <c r="CF31" i="104" s="1"/>
  <c r="CD32" i="104"/>
  <c r="CE32" i="104" s="1"/>
  <c r="CD33" i="104"/>
  <c r="CE33" i="104" s="1"/>
  <c r="CD34" i="104"/>
  <c r="CE34" i="104" s="1"/>
  <c r="CD35" i="104"/>
  <c r="CE35" i="104" s="1"/>
  <c r="CD36" i="104"/>
  <c r="CE36" i="104" s="1"/>
  <c r="CD37" i="104"/>
  <c r="CE37" i="104" s="1"/>
  <c r="CF37" i="104" s="1"/>
  <c r="AF9" i="104"/>
  <c r="AF10" i="104"/>
  <c r="AF11" i="104"/>
  <c r="AF12" i="104"/>
  <c r="AF13" i="104"/>
  <c r="AF14" i="104"/>
  <c r="AF15" i="104"/>
  <c r="AF16" i="104"/>
  <c r="AF17" i="104"/>
  <c r="AF18" i="104"/>
  <c r="AF19" i="104"/>
  <c r="AF20" i="104"/>
  <c r="AF21" i="104"/>
  <c r="AF22" i="104"/>
  <c r="AF23" i="104"/>
  <c r="AF24" i="104"/>
  <c r="AF25" i="104"/>
  <c r="AF26" i="104"/>
  <c r="AF27" i="104"/>
  <c r="AF28" i="104"/>
  <c r="AF29" i="104"/>
  <c r="AF30" i="104"/>
  <c r="AF31" i="104"/>
  <c r="AF32" i="104"/>
  <c r="AF33" i="104"/>
  <c r="AF34" i="104"/>
  <c r="AF35" i="104"/>
  <c r="AF36" i="104"/>
  <c r="AF37" i="104"/>
  <c r="AF38" i="104"/>
  <c r="EB27" i="109"/>
  <c r="EB27" i="108"/>
  <c r="EC9" i="108"/>
  <c r="CO9" i="108"/>
  <c r="DH9" i="108"/>
  <c r="CF11" i="108"/>
  <c r="EC13" i="108"/>
  <c r="CO13" i="108"/>
  <c r="DH13" i="108"/>
  <c r="CF15" i="108"/>
  <c r="EC17" i="108"/>
  <c r="CO17" i="108"/>
  <c r="DH17" i="108"/>
  <c r="CF19" i="108"/>
  <c r="EC21" i="108"/>
  <c r="CO21" i="108"/>
  <c r="DH21" i="108"/>
  <c r="EB22" i="108"/>
  <c r="EB28" i="106"/>
  <c r="EB25" i="106"/>
  <c r="EB20" i="106"/>
  <c r="CF25" i="106"/>
  <c r="CF21" i="106"/>
  <c r="CF21" i="105"/>
  <c r="CF28" i="105"/>
  <c r="EC11" i="105"/>
  <c r="DH11" i="105"/>
  <c r="EC15" i="105"/>
  <c r="EC32" i="105"/>
  <c r="EC23" i="105"/>
  <c r="CO23" i="105"/>
  <c r="EC27" i="105"/>
  <c r="CO29" i="105"/>
  <c r="EC34" i="105"/>
  <c r="EB27" i="106"/>
  <c r="EB26" i="106"/>
  <c r="EB14" i="106"/>
  <c r="EA19" i="105"/>
  <c r="EC19" i="105"/>
  <c r="EA18" i="105"/>
  <c r="EC18" i="105"/>
  <c r="EB31" i="105"/>
  <c r="CF16" i="107"/>
  <c r="CF21" i="107"/>
  <c r="CF25" i="107"/>
  <c r="CF29" i="107"/>
  <c r="CF33" i="107"/>
  <c r="EC8" i="107"/>
  <c r="EC12" i="107"/>
  <c r="CO12" i="107"/>
  <c r="EC15" i="107"/>
  <c r="CO15" i="107"/>
  <c r="DH15" i="107"/>
  <c r="EC18" i="107"/>
  <c r="CO18" i="107"/>
  <c r="DH18" i="107"/>
  <c r="CO21" i="107"/>
  <c r="DH21" i="107"/>
  <c r="CF11" i="115"/>
  <c r="CF15" i="115"/>
  <c r="CF19" i="115"/>
  <c r="CF24" i="115"/>
  <c r="CF10" i="115"/>
  <c r="CF14" i="115"/>
  <c r="CF18" i="115"/>
  <c r="CF22" i="115"/>
  <c r="CF23" i="115"/>
  <c r="CF37" i="114"/>
  <c r="CX11" i="115"/>
  <c r="CX15" i="115"/>
  <c r="CX19" i="115"/>
  <c r="CX24" i="115"/>
  <c r="CX10" i="115"/>
  <c r="CX14" i="115"/>
  <c r="CX18" i="115"/>
  <c r="CX23" i="115"/>
  <c r="EC11" i="115"/>
  <c r="CO11" i="115"/>
  <c r="DH11" i="115"/>
  <c r="CX13" i="115"/>
  <c r="EC15" i="115"/>
  <c r="CO15" i="115"/>
  <c r="DH15" i="115"/>
  <c r="CX17" i="115"/>
  <c r="EC19" i="115"/>
  <c r="CO19" i="115"/>
  <c r="DH19" i="115"/>
  <c r="CX21" i="115"/>
  <c r="CX22" i="115"/>
  <c r="EC24" i="115"/>
  <c r="CO24" i="115"/>
  <c r="DH24" i="115"/>
  <c r="EC10" i="115"/>
  <c r="CO10" i="115"/>
  <c r="DH10" i="115"/>
  <c r="CX12" i="115"/>
  <c r="EC14" i="115"/>
  <c r="CO14" i="115"/>
  <c r="DH14" i="115"/>
  <c r="CX16" i="115"/>
  <c r="EC18" i="115"/>
  <c r="CO18" i="115"/>
  <c r="DH18" i="115"/>
  <c r="CX20" i="115"/>
  <c r="EC22" i="115"/>
  <c r="EC23" i="115"/>
  <c r="CO23" i="115"/>
  <c r="DH23" i="115"/>
  <c r="CF17" i="114"/>
  <c r="CF23" i="114"/>
  <c r="CF9" i="114"/>
  <c r="CF13" i="114"/>
  <c r="CF19" i="114"/>
  <c r="CF28" i="114"/>
  <c r="CF32" i="114"/>
  <c r="CF8" i="114"/>
  <c r="CF12" i="114"/>
  <c r="CF16" i="114"/>
  <c r="CF18" i="114"/>
  <c r="CF25" i="114"/>
  <c r="CF26" i="114"/>
  <c r="CF27" i="114"/>
  <c r="CF30" i="114"/>
  <c r="CF31" i="114"/>
  <c r="CF36" i="114"/>
  <c r="CX9" i="114"/>
  <c r="CX13" i="114"/>
  <c r="CO17" i="114"/>
  <c r="DH17" i="114"/>
  <c r="CX19" i="114"/>
  <c r="CX20" i="114"/>
  <c r="CX24" i="114"/>
  <c r="CX31" i="114"/>
  <c r="CX32" i="114"/>
  <c r="CX8" i="114"/>
  <c r="CX12" i="114"/>
  <c r="CX16" i="114"/>
  <c r="CX18" i="114"/>
  <c r="EC19" i="114"/>
  <c r="CO20" i="114"/>
  <c r="EC23" i="114"/>
  <c r="EC29" i="114"/>
  <c r="CX30" i="114"/>
  <c r="EC31" i="114"/>
  <c r="EC37" i="114"/>
  <c r="EC9" i="114"/>
  <c r="CO9" i="114"/>
  <c r="DH9" i="114"/>
  <c r="CX11" i="114"/>
  <c r="EC13" i="114"/>
  <c r="CO13" i="114"/>
  <c r="DH13" i="114"/>
  <c r="CX15" i="114"/>
  <c r="EC17" i="114"/>
  <c r="CX17" i="114"/>
  <c r="CO19" i="114"/>
  <c r="DH19" i="114"/>
  <c r="EC20" i="114"/>
  <c r="DH20" i="114"/>
  <c r="CO23" i="114"/>
  <c r="DH23" i="114"/>
  <c r="EC24" i="114"/>
  <c r="CO24" i="114"/>
  <c r="DH24" i="114"/>
  <c r="CO29" i="114"/>
  <c r="DH29" i="114"/>
  <c r="EC30" i="114"/>
  <c r="CO30" i="114"/>
  <c r="CO31" i="114"/>
  <c r="DH31" i="114"/>
  <c r="EC32" i="114"/>
  <c r="CO32" i="114"/>
  <c r="DH32" i="114"/>
  <c r="CX35" i="114"/>
  <c r="CX36" i="114"/>
  <c r="EC8" i="114"/>
  <c r="CO8" i="114"/>
  <c r="DH8" i="114"/>
  <c r="CX10" i="114"/>
  <c r="EC12" i="114"/>
  <c r="CO12" i="114"/>
  <c r="DH12" i="114"/>
  <c r="CX14" i="114"/>
  <c r="EC16" i="114"/>
  <c r="CO16" i="114"/>
  <c r="DH16" i="114"/>
  <c r="EC18" i="114"/>
  <c r="CO18" i="114"/>
  <c r="DH18" i="114"/>
  <c r="CX21" i="114"/>
  <c r="CX22" i="114"/>
  <c r="CX25" i="114"/>
  <c r="CX27" i="114"/>
  <c r="DH30" i="114"/>
  <c r="CX33" i="114"/>
  <c r="CX34" i="114"/>
  <c r="EC36" i="114"/>
  <c r="CF12" i="113"/>
  <c r="CF17" i="113"/>
  <c r="CF25" i="113"/>
  <c r="CF20" i="113"/>
  <c r="CF24" i="113"/>
  <c r="CX20" i="113"/>
  <c r="CX24" i="113"/>
  <c r="CX19" i="113"/>
  <c r="CX23" i="113"/>
  <c r="EC28" i="113"/>
  <c r="EC10" i="113"/>
  <c r="EC14" i="113"/>
  <c r="CO15" i="113"/>
  <c r="EC18" i="113"/>
  <c r="EC20" i="113"/>
  <c r="CX22" i="113"/>
  <c r="EC25" i="113"/>
  <c r="CX26" i="113"/>
  <c r="CO28" i="113"/>
  <c r="DH28" i="113"/>
  <c r="CX30" i="113"/>
  <c r="EC33" i="113"/>
  <c r="CO33" i="113"/>
  <c r="DH33" i="113"/>
  <c r="DH35" i="113"/>
  <c r="CX14" i="113"/>
  <c r="CX25" i="113"/>
  <c r="CX32" i="113"/>
  <c r="EC24" i="113"/>
  <c r="EC32" i="113"/>
  <c r="EC9" i="113"/>
  <c r="EC13" i="113"/>
  <c r="CO13" i="113"/>
  <c r="DH13" i="113"/>
  <c r="CX16" i="113"/>
  <c r="CO18" i="113"/>
  <c r="DH18" i="113"/>
  <c r="EC19" i="113"/>
  <c r="CX21" i="113"/>
  <c r="EC23" i="113"/>
  <c r="EC27" i="113"/>
  <c r="CO27" i="113"/>
  <c r="DH27" i="113"/>
  <c r="EC31" i="113"/>
  <c r="CO31" i="113"/>
  <c r="DH31" i="113"/>
  <c r="CX34" i="113"/>
  <c r="CX36" i="113"/>
  <c r="CX37" i="113"/>
  <c r="CF22" i="112"/>
  <c r="CF17" i="112"/>
  <c r="EC10" i="112"/>
  <c r="CO10" i="112"/>
  <c r="EC26" i="112"/>
  <c r="EC9" i="111"/>
  <c r="EC13" i="111"/>
  <c r="EC17" i="111"/>
  <c r="EC20" i="111"/>
  <c r="EC22" i="111"/>
  <c r="EC12" i="111"/>
  <c r="EC16" i="111"/>
  <c r="CF12" i="110"/>
  <c r="CF16" i="110"/>
  <c r="CF20" i="110"/>
  <c r="CF24" i="110"/>
  <c r="CF11" i="110"/>
  <c r="CF15" i="110"/>
  <c r="CF19" i="110"/>
  <c r="CF23" i="110"/>
  <c r="EC10" i="110"/>
  <c r="CO10" i="110"/>
  <c r="DH10" i="110"/>
  <c r="EC14" i="110"/>
  <c r="CO14" i="110"/>
  <c r="DH14" i="110"/>
  <c r="EC18" i="110"/>
  <c r="CO18" i="110"/>
  <c r="DH18" i="110"/>
  <c r="EC22" i="110"/>
  <c r="CO22" i="110"/>
  <c r="DH22" i="110"/>
  <c r="CO25" i="110"/>
  <c r="DH25" i="110"/>
  <c r="EC31" i="110"/>
  <c r="DH34" i="110"/>
  <c r="EC9" i="110"/>
  <c r="CO9" i="110"/>
  <c r="DH9" i="110"/>
  <c r="EC13" i="110"/>
  <c r="CO13" i="110"/>
  <c r="DH13" i="110"/>
  <c r="EC17" i="110"/>
  <c r="CO17" i="110"/>
  <c r="DH17" i="110"/>
  <c r="EC21" i="110"/>
  <c r="CO21" i="110"/>
  <c r="DH21" i="110"/>
  <c r="EC25" i="110"/>
  <c r="EC27" i="110"/>
  <c r="EC30" i="110"/>
  <c r="EC34" i="110"/>
  <c r="EC37" i="110"/>
  <c r="CF14" i="109"/>
  <c r="CF18" i="109"/>
  <c r="CF22" i="109"/>
  <c r="CF26" i="109"/>
  <c r="CF30" i="109"/>
  <c r="CF34" i="109"/>
  <c r="CF36" i="109"/>
  <c r="CO36" i="109"/>
  <c r="DH36" i="109"/>
  <c r="EC16" i="109"/>
  <c r="CO16" i="109"/>
  <c r="DH16" i="109"/>
  <c r="EC20" i="109"/>
  <c r="CO20" i="109"/>
  <c r="DH20" i="109"/>
  <c r="EC24" i="109"/>
  <c r="CO24" i="109"/>
  <c r="DH24" i="109"/>
  <c r="EC28" i="109"/>
  <c r="CO28" i="109"/>
  <c r="DH28" i="109"/>
  <c r="EC36" i="109"/>
  <c r="AC40" i="108"/>
  <c r="CF10" i="108"/>
  <c r="CF14" i="108"/>
  <c r="CF18" i="108"/>
  <c r="CF22" i="108"/>
  <c r="CF26" i="108"/>
  <c r="CF30" i="108"/>
  <c r="CF33" i="108"/>
  <c r="CF37" i="108"/>
  <c r="CF32" i="108"/>
  <c r="CF36" i="108"/>
  <c r="EC12" i="108"/>
  <c r="CO12" i="108"/>
  <c r="DH12" i="108"/>
  <c r="EC16" i="108"/>
  <c r="CO16" i="108"/>
  <c r="DH16" i="108"/>
  <c r="EC20" i="108"/>
  <c r="CO20" i="108"/>
  <c r="DH20" i="108"/>
  <c r="EC24" i="108"/>
  <c r="CO24" i="108"/>
  <c r="DH24" i="108"/>
  <c r="EC28" i="108"/>
  <c r="CO28" i="108"/>
  <c r="DH28" i="108"/>
  <c r="EC35" i="108"/>
  <c r="CO35" i="108"/>
  <c r="DH35" i="108"/>
  <c r="EC31" i="108"/>
  <c r="CO31" i="108"/>
  <c r="DH31" i="108"/>
  <c r="EC34" i="108"/>
  <c r="CO34" i="108"/>
  <c r="DH34" i="108"/>
  <c r="CF37" i="106"/>
  <c r="CF33" i="106"/>
  <c r="CF36" i="106"/>
  <c r="EC11" i="106"/>
  <c r="EC15" i="106"/>
  <c r="DH15" i="106"/>
  <c r="EC19" i="106"/>
  <c r="CO19" i="106"/>
  <c r="DH19" i="106"/>
  <c r="EC23" i="106"/>
  <c r="DH23" i="106"/>
  <c r="EC27" i="106"/>
  <c r="CO27" i="106"/>
  <c r="EC30" i="106"/>
  <c r="CO30" i="106"/>
  <c r="DH30" i="106"/>
  <c r="EC34" i="106"/>
  <c r="CO34" i="106"/>
  <c r="DH34" i="106"/>
  <c r="EC14" i="106"/>
  <c r="DH14" i="106"/>
  <c r="EC18" i="106"/>
  <c r="CO18" i="106"/>
  <c r="DH18" i="106"/>
  <c r="EC22" i="106"/>
  <c r="CO22" i="106"/>
  <c r="DH22" i="106"/>
  <c r="EC26" i="106"/>
  <c r="CO26" i="106"/>
  <c r="DH26" i="106"/>
  <c r="EC29" i="106"/>
  <c r="CO29" i="106"/>
  <c r="CX31" i="106"/>
  <c r="EC10" i="105"/>
  <c r="EC14" i="105"/>
  <c r="CO14" i="105"/>
  <c r="EC17" i="105"/>
  <c r="DH17" i="105"/>
  <c r="EC9" i="115"/>
  <c r="CO9" i="115"/>
  <c r="DH9" i="115"/>
  <c r="CX9" i="115"/>
  <c r="D19" i="67"/>
  <c r="F19" i="67" s="1"/>
  <c r="O19" i="67"/>
  <c r="Q19" i="67" s="1"/>
  <c r="D18" i="67"/>
  <c r="F18" i="67" s="1"/>
  <c r="EC38" i="113"/>
  <c r="O17" i="67"/>
  <c r="Q17" i="67" s="1"/>
  <c r="CX10" i="107"/>
  <c r="CX24" i="105"/>
  <c r="CX32" i="106"/>
  <c r="AR11" i="67"/>
  <c r="CX11" i="108"/>
  <c r="CX27" i="108"/>
  <c r="AE12" i="67"/>
  <c r="AR12" i="67"/>
  <c r="EC13" i="105"/>
  <c r="EC21" i="105"/>
  <c r="DH25" i="105"/>
  <c r="CF27" i="105"/>
  <c r="DH33" i="105"/>
  <c r="CF11" i="106"/>
  <c r="CF15" i="106"/>
  <c r="EC17" i="106"/>
  <c r="CO17" i="106"/>
  <c r="CF19" i="106"/>
  <c r="CF23" i="106"/>
  <c r="DH25" i="106"/>
  <c r="CF27" i="106"/>
  <c r="EC10" i="107"/>
  <c r="CF12" i="107"/>
  <c r="CF15" i="107"/>
  <c r="CF18" i="107"/>
  <c r="DH20" i="107"/>
  <c r="CO23" i="107"/>
  <c r="CX29" i="107"/>
  <c r="CX33" i="107"/>
  <c r="CX9" i="105"/>
  <c r="EB10" i="105"/>
  <c r="CX16" i="105"/>
  <c r="CX20" i="107"/>
  <c r="EB21" i="107"/>
  <c r="EB21" i="105"/>
  <c r="CO31" i="105"/>
  <c r="EC10" i="106"/>
  <c r="DH10" i="106"/>
  <c r="CX12" i="106"/>
  <c r="EB21" i="106"/>
  <c r="DH37" i="106"/>
  <c r="AE11" i="67"/>
  <c r="AW11" i="67"/>
  <c r="CX15" i="108"/>
  <c r="CX23" i="108"/>
  <c r="AW12" i="67"/>
  <c r="EC9" i="105"/>
  <c r="EC16" i="105"/>
  <c r="CX19" i="105"/>
  <c r="EC25" i="105"/>
  <c r="EC31" i="105"/>
  <c r="EC33" i="105"/>
  <c r="EC13" i="106"/>
  <c r="DH13" i="106"/>
  <c r="CX19" i="106"/>
  <c r="EC21" i="106"/>
  <c r="CX23" i="106"/>
  <c r="EC25" i="106"/>
  <c r="CX27" i="106"/>
  <c r="CO28" i="106"/>
  <c r="CX30" i="106"/>
  <c r="EC33" i="106"/>
  <c r="CO10" i="107"/>
  <c r="CX12" i="107"/>
  <c r="EC14" i="107"/>
  <c r="CX15" i="107"/>
  <c r="CX18" i="107"/>
  <c r="EC20" i="107"/>
  <c r="CO20" i="107"/>
  <c r="EC23" i="107"/>
  <c r="DH23" i="107"/>
  <c r="CX25" i="107"/>
  <c r="CF34" i="106"/>
  <c r="CX34" i="106"/>
  <c r="EC36" i="106"/>
  <c r="CO36" i="106"/>
  <c r="DH36" i="106"/>
  <c r="CX37" i="106"/>
  <c r="CX17" i="106"/>
  <c r="CX21" i="106"/>
  <c r="CX25" i="106"/>
  <c r="CX33" i="106"/>
  <c r="CX23" i="107"/>
  <c r="CX20" i="106"/>
  <c r="CX36" i="106"/>
  <c r="CO37" i="106"/>
  <c r="CX19" i="108"/>
  <c r="CX15" i="109"/>
  <c r="CX19" i="109"/>
  <c r="CX23" i="109"/>
  <c r="CX27" i="109"/>
  <c r="CX31" i="109"/>
  <c r="CX35" i="109"/>
  <c r="AX13" i="67"/>
  <c r="CX11" i="110"/>
  <c r="CX15" i="110"/>
  <c r="EC25" i="107"/>
  <c r="CO25" i="107"/>
  <c r="DH25" i="107"/>
  <c r="CF27" i="107"/>
  <c r="CX27" i="107"/>
  <c r="EC29" i="107"/>
  <c r="CO29" i="107"/>
  <c r="DH29" i="107"/>
  <c r="CF31" i="107"/>
  <c r="CX31" i="107"/>
  <c r="EC33" i="107"/>
  <c r="CO33" i="107"/>
  <c r="DH33" i="107"/>
  <c r="CF35" i="107"/>
  <c r="CX35" i="107"/>
  <c r="AC11" i="67"/>
  <c r="AP11" i="67"/>
  <c r="CF9" i="108"/>
  <c r="CX9" i="108"/>
  <c r="EC11" i="108"/>
  <c r="CO11" i="108"/>
  <c r="DH11" i="108"/>
  <c r="CF13" i="108"/>
  <c r="CX13" i="108"/>
  <c r="EC15" i="108"/>
  <c r="CO15" i="108"/>
  <c r="DH15" i="108"/>
  <c r="CF17" i="108"/>
  <c r="CX17" i="108"/>
  <c r="EC19" i="108"/>
  <c r="CO19" i="108"/>
  <c r="DH19" i="108"/>
  <c r="CF21" i="108"/>
  <c r="CX21" i="108"/>
  <c r="EC23" i="108"/>
  <c r="CO23" i="108"/>
  <c r="DH23" i="108"/>
  <c r="CF25" i="108"/>
  <c r="CX25" i="108"/>
  <c r="EC27" i="108"/>
  <c r="CO27" i="108"/>
  <c r="DH27" i="108"/>
  <c r="CF29" i="108"/>
  <c r="CX29" i="108"/>
  <c r="CX32" i="108"/>
  <c r="CX36" i="108"/>
  <c r="AC12" i="67"/>
  <c r="AP12" i="67"/>
  <c r="EC8" i="109"/>
  <c r="EC10" i="109"/>
  <c r="EC12" i="109"/>
  <c r="CF13" i="109"/>
  <c r="CX13" i="109"/>
  <c r="EC15" i="109"/>
  <c r="CO15" i="109"/>
  <c r="DH15" i="109"/>
  <c r="CF17" i="109"/>
  <c r="CX17" i="109"/>
  <c r="EC19" i="109"/>
  <c r="CO19" i="109"/>
  <c r="DH19" i="109"/>
  <c r="CF21" i="109"/>
  <c r="CX21" i="109"/>
  <c r="EC23" i="109"/>
  <c r="CO23" i="109"/>
  <c r="DH23" i="109"/>
  <c r="CF25" i="109"/>
  <c r="CX25" i="109"/>
  <c r="EC27" i="109"/>
  <c r="CO27" i="109"/>
  <c r="DH27" i="109"/>
  <c r="CF29" i="109"/>
  <c r="CX29" i="109"/>
  <c r="EC31" i="109"/>
  <c r="CO31" i="109"/>
  <c r="DH31" i="109"/>
  <c r="CF33" i="109"/>
  <c r="CX33" i="109"/>
  <c r="EC35" i="109"/>
  <c r="CO35" i="109"/>
  <c r="DH35" i="109"/>
  <c r="CX34" i="111"/>
  <c r="CX10" i="105"/>
  <c r="EC12" i="105"/>
  <c r="DH12" i="105"/>
  <c r="CO15" i="105"/>
  <c r="EC20" i="105"/>
  <c r="CX26" i="105"/>
  <c r="EC28" i="105"/>
  <c r="EC30" i="105"/>
  <c r="DH30" i="105"/>
  <c r="CO32" i="105"/>
  <c r="CF34" i="105"/>
  <c r="EC9" i="106"/>
  <c r="DH9" i="106"/>
  <c r="CF10" i="106"/>
  <c r="EC12" i="106"/>
  <c r="CX14" i="106"/>
  <c r="EC16" i="106"/>
  <c r="CO16" i="106"/>
  <c r="CX18" i="106"/>
  <c r="EC20" i="106"/>
  <c r="CX22" i="106"/>
  <c r="EC24" i="106"/>
  <c r="CO24" i="106"/>
  <c r="DH24" i="106"/>
  <c r="CX26" i="106"/>
  <c r="EC28" i="106"/>
  <c r="CF29" i="106"/>
  <c r="CX29" i="106"/>
  <c r="EC31" i="106"/>
  <c r="CO31" i="106"/>
  <c r="EC32" i="106"/>
  <c r="CO32" i="106"/>
  <c r="DH32" i="106"/>
  <c r="DH33" i="106"/>
  <c r="CF35" i="106"/>
  <c r="CX35" i="106"/>
  <c r="EC37" i="106"/>
  <c r="CF9" i="107"/>
  <c r="CX9" i="107"/>
  <c r="EC11" i="107"/>
  <c r="CO11" i="107"/>
  <c r="CF13" i="107"/>
  <c r="CX13" i="107"/>
  <c r="CO14" i="107"/>
  <c r="DH14" i="107"/>
  <c r="EC17" i="107"/>
  <c r="CO17" i="107"/>
  <c r="DH17" i="107"/>
  <c r="CF19" i="107"/>
  <c r="CX19" i="107"/>
  <c r="EC21" i="107"/>
  <c r="CF22" i="107"/>
  <c r="CX22" i="107"/>
  <c r="EC24" i="107"/>
  <c r="CO24" i="107"/>
  <c r="DH24" i="107"/>
  <c r="CF26" i="107"/>
  <c r="CX26" i="107"/>
  <c r="EC28" i="107"/>
  <c r="CO28" i="107"/>
  <c r="DH28" i="107"/>
  <c r="CF30" i="107"/>
  <c r="CX30" i="107"/>
  <c r="EC32" i="107"/>
  <c r="CO32" i="107"/>
  <c r="DH32" i="107"/>
  <c r="CF34" i="107"/>
  <c r="CX34" i="107"/>
  <c r="EC36" i="107"/>
  <c r="CO36" i="107"/>
  <c r="DH36" i="107"/>
  <c r="EC10" i="108"/>
  <c r="CO10" i="108"/>
  <c r="DH10" i="108"/>
  <c r="CF12" i="108"/>
  <c r="CX12" i="108"/>
  <c r="EC14" i="108"/>
  <c r="CO14" i="108"/>
  <c r="DH14" i="108"/>
  <c r="CF16" i="108"/>
  <c r="CX16" i="108"/>
  <c r="EC18" i="108"/>
  <c r="CO18" i="108"/>
  <c r="DH18" i="108"/>
  <c r="CF20" i="108"/>
  <c r="CX20" i="108"/>
  <c r="EC22" i="108"/>
  <c r="CO22" i="108"/>
  <c r="DH22" i="108"/>
  <c r="CF24" i="108"/>
  <c r="CX24" i="108"/>
  <c r="EC26" i="108"/>
  <c r="CO26" i="108"/>
  <c r="DH26" i="108"/>
  <c r="CF28" i="108"/>
  <c r="CX28" i="108"/>
  <c r="EC30" i="108"/>
  <c r="CO30" i="108"/>
  <c r="DH30" i="108"/>
  <c r="EC33" i="108"/>
  <c r="CO33" i="108"/>
  <c r="DH33" i="108"/>
  <c r="CF35" i="108"/>
  <c r="CX35" i="108"/>
  <c r="EC37" i="108"/>
  <c r="CO37" i="108"/>
  <c r="DH37" i="108"/>
  <c r="AE13" i="67"/>
  <c r="AR13" i="67"/>
  <c r="AW13" i="67"/>
  <c r="CX12" i="110"/>
  <c r="CX16" i="110"/>
  <c r="CX20" i="110"/>
  <c r="CX24" i="110"/>
  <c r="CX11" i="107"/>
  <c r="CF14" i="107"/>
  <c r="CX14" i="107"/>
  <c r="CX17" i="107"/>
  <c r="CX24" i="107"/>
  <c r="CX28" i="107"/>
  <c r="CX32" i="107"/>
  <c r="CX36" i="107"/>
  <c r="AX11" i="67"/>
  <c r="CX10" i="108"/>
  <c r="CX14" i="108"/>
  <c r="CX18" i="108"/>
  <c r="CX22" i="108"/>
  <c r="CX26" i="108"/>
  <c r="CX30" i="108"/>
  <c r="CX33" i="108"/>
  <c r="CX37" i="108"/>
  <c r="AX12" i="67"/>
  <c r="CF9" i="109"/>
  <c r="CX9" i="109"/>
  <c r="EB10" i="109"/>
  <c r="CO10" i="109"/>
  <c r="DH10" i="109"/>
  <c r="CF11" i="109"/>
  <c r="CX11" i="109"/>
  <c r="EB12" i="109"/>
  <c r="CO12" i="109"/>
  <c r="DH12" i="109"/>
  <c r="CX14" i="109"/>
  <c r="CX18" i="109"/>
  <c r="CX22" i="109"/>
  <c r="CX26" i="109"/>
  <c r="CX30" i="109"/>
  <c r="CX34" i="109"/>
  <c r="AC13" i="67"/>
  <c r="AP13" i="67"/>
  <c r="EC8" i="110"/>
  <c r="CF10" i="110"/>
  <c r="CX10" i="110"/>
  <c r="EC12" i="110"/>
  <c r="CO12" i="110"/>
  <c r="DH12" i="110"/>
  <c r="CF14" i="110"/>
  <c r="CX14" i="110"/>
  <c r="EC16" i="110"/>
  <c r="CO16" i="110"/>
  <c r="DH16" i="110"/>
  <c r="CF18" i="110"/>
  <c r="CX18" i="110"/>
  <c r="EC20" i="110"/>
  <c r="CO20" i="110"/>
  <c r="DH20" i="110"/>
  <c r="CF22" i="110"/>
  <c r="CX22" i="110"/>
  <c r="EC24" i="110"/>
  <c r="CO24" i="110"/>
  <c r="DH24" i="110"/>
  <c r="EC29" i="110"/>
  <c r="EC11" i="111"/>
  <c r="EC15" i="111"/>
  <c r="EC19" i="111"/>
  <c r="EC25" i="111"/>
  <c r="EC28" i="111"/>
  <c r="EC29" i="111"/>
  <c r="EC32" i="111"/>
  <c r="EC34" i="111"/>
  <c r="EC8" i="112"/>
  <c r="EC12" i="112"/>
  <c r="CF20" i="112"/>
  <c r="EC23" i="112"/>
  <c r="EC28" i="112"/>
  <c r="EA8" i="113"/>
  <c r="DH29" i="108"/>
  <c r="CF31" i="108"/>
  <c r="CX31" i="108"/>
  <c r="EC32" i="108"/>
  <c r="CO32" i="108"/>
  <c r="DH32" i="108"/>
  <c r="CF34" i="108"/>
  <c r="CX34" i="108"/>
  <c r="EC36" i="108"/>
  <c r="CO36" i="108"/>
  <c r="DH36" i="108"/>
  <c r="EB9" i="109"/>
  <c r="CO9" i="109"/>
  <c r="DH9" i="109"/>
  <c r="CF10" i="109"/>
  <c r="CX10" i="109"/>
  <c r="EB11" i="109"/>
  <c r="CO11" i="109"/>
  <c r="DH11" i="109"/>
  <c r="CF12" i="109"/>
  <c r="CX12" i="109"/>
  <c r="EC14" i="109"/>
  <c r="CO14" i="109"/>
  <c r="DH14" i="109"/>
  <c r="CF16" i="109"/>
  <c r="CX16" i="109"/>
  <c r="EC18" i="109"/>
  <c r="CO18" i="109"/>
  <c r="DH18" i="109"/>
  <c r="CF20" i="109"/>
  <c r="CX20" i="109"/>
  <c r="EC22" i="109"/>
  <c r="CO22" i="109"/>
  <c r="DH22" i="109"/>
  <c r="CF24" i="109"/>
  <c r="CX24" i="109"/>
  <c r="EC26" i="109"/>
  <c r="CO26" i="109"/>
  <c r="DH26" i="109"/>
  <c r="CF28" i="109"/>
  <c r="CX28" i="109"/>
  <c r="EC30" i="109"/>
  <c r="CO30" i="109"/>
  <c r="DH30" i="109"/>
  <c r="EC34" i="109"/>
  <c r="CO34" i="109"/>
  <c r="DH34" i="109"/>
  <c r="CX36" i="109"/>
  <c r="CF9" i="110"/>
  <c r="CX9" i="110"/>
  <c r="EC11" i="110"/>
  <c r="CO11" i="110"/>
  <c r="DH11" i="110"/>
  <c r="CF13" i="110"/>
  <c r="CX13" i="110"/>
  <c r="EC15" i="110"/>
  <c r="CO15" i="110"/>
  <c r="DH15" i="110"/>
  <c r="CF17" i="110"/>
  <c r="CX17" i="110"/>
  <c r="EC19" i="110"/>
  <c r="CO19" i="110"/>
  <c r="DH19" i="110"/>
  <c r="CF21" i="110"/>
  <c r="CX21" i="110"/>
  <c r="EC23" i="110"/>
  <c r="CO23" i="110"/>
  <c r="DH23" i="110"/>
  <c r="EC26" i="110"/>
  <c r="EC28" i="110"/>
  <c r="CO28" i="110"/>
  <c r="CF30" i="110"/>
  <c r="CX30" i="110"/>
  <c r="EC32" i="110"/>
  <c r="EC35" i="110"/>
  <c r="AE14" i="67"/>
  <c r="EC10" i="111"/>
  <c r="EC14" i="111"/>
  <c r="EC21" i="111"/>
  <c r="EC24" i="111"/>
  <c r="EC27" i="111"/>
  <c r="EC30" i="111"/>
  <c r="EC37" i="111"/>
  <c r="EC15" i="112"/>
  <c r="CX19" i="110"/>
  <c r="CX23" i="110"/>
  <c r="AC14" i="67"/>
  <c r="AP14" i="67"/>
  <c r="AI40" i="114"/>
  <c r="AW40" i="115"/>
  <c r="EC33" i="112"/>
  <c r="CO33" i="112"/>
  <c r="EB8" i="114"/>
  <c r="EB40" i="114" s="1"/>
  <c r="O18" i="67"/>
  <c r="Q18" i="67" s="1"/>
  <c r="EA8" i="114"/>
  <c r="Q40" i="115"/>
  <c r="J19" i="67" s="1"/>
  <c r="AC40" i="115"/>
  <c r="AK40" i="115"/>
  <c r="AS40" i="115"/>
  <c r="DF40" i="115"/>
  <c r="EA8" i="115"/>
  <c r="EA39" i="115" s="1"/>
  <c r="CM41" i="115"/>
  <c r="CF35" i="105"/>
  <c r="EB27" i="112"/>
  <c r="EB8" i="112"/>
  <c r="EB29" i="111"/>
  <c r="EB30" i="111"/>
  <c r="O15" i="67"/>
  <c r="Q15" i="67" s="1"/>
  <c r="AC40" i="114"/>
  <c r="EB8" i="111"/>
  <c r="EB8" i="110"/>
  <c r="CF32" i="109"/>
  <c r="D13" i="67"/>
  <c r="F13" i="67" s="1"/>
  <c r="EA8" i="109"/>
  <c r="CO38" i="104"/>
  <c r="CO35" i="105"/>
  <c r="DH35" i="105"/>
  <c r="EC37" i="107"/>
  <c r="EC41" i="107" s="1"/>
  <c r="EB21" i="108"/>
  <c r="AS40" i="108"/>
  <c r="EB8" i="108"/>
  <c r="CM41" i="107"/>
  <c r="EB8" i="107"/>
  <c r="EB24" i="106"/>
  <c r="EC35" i="105"/>
  <c r="CX35" i="105"/>
  <c r="Y40" i="107"/>
  <c r="AM40" i="108"/>
  <c r="AM40" i="109"/>
  <c r="D10" i="67"/>
  <c r="F10" i="67" s="1"/>
  <c r="EB18" i="106"/>
  <c r="EB16" i="106"/>
  <c r="AR10" i="67"/>
  <c r="AE10" i="67"/>
  <c r="AC10" i="67"/>
  <c r="AK40" i="106"/>
  <c r="AX10" i="67"/>
  <c r="AW10" i="67"/>
  <c r="AP10" i="67"/>
  <c r="EB35" i="105"/>
  <c r="EC24" i="105"/>
  <c r="EC38" i="104"/>
  <c r="AS40" i="106"/>
  <c r="AY40" i="114"/>
  <c r="EB13" i="105"/>
  <c r="D9" i="67"/>
  <c r="F9" i="67" s="1"/>
  <c r="AR9" i="67"/>
  <c r="AE9" i="67"/>
  <c r="AC9" i="67"/>
  <c r="O9" i="67"/>
  <c r="Q9" i="67" s="1"/>
  <c r="AX9" i="67"/>
  <c r="AW9" i="67"/>
  <c r="AP9" i="67"/>
  <c r="AK40" i="105"/>
  <c r="CM41" i="108"/>
  <c r="AC40" i="109"/>
  <c r="AA40" i="111"/>
  <c r="AK40" i="114"/>
  <c r="AA40" i="105"/>
  <c r="AI40" i="106"/>
  <c r="AO40" i="109"/>
  <c r="AM40" i="115"/>
  <c r="O40" i="115"/>
  <c r="I19" i="67" s="1"/>
  <c r="F40" i="115"/>
  <c r="L19" i="67" s="1"/>
  <c r="CE40" i="115"/>
  <c r="T19" i="67" s="1"/>
  <c r="CE41" i="115"/>
  <c r="CN41" i="115"/>
  <c r="CN40" i="115"/>
  <c r="V19" i="67" s="1"/>
  <c r="DG41" i="115"/>
  <c r="DG40" i="115"/>
  <c r="Z19" i="67"/>
  <c r="AA19" i="67" s="1"/>
  <c r="C40" i="115"/>
  <c r="B19" i="67"/>
  <c r="F41" i="115"/>
  <c r="N19" i="67"/>
  <c r="P19" i="67" s="1"/>
  <c r="CW40" i="115"/>
  <c r="X19" i="67"/>
  <c r="Y19" i="67" s="1"/>
  <c r="I40" i="115"/>
  <c r="G19" i="67"/>
  <c r="R19" i="67" s="1"/>
  <c r="I41" i="115"/>
  <c r="AE40" i="115"/>
  <c r="AU40" i="115"/>
  <c r="CF8" i="115"/>
  <c r="CO8" i="115"/>
  <c r="CX8" i="115"/>
  <c r="DH8" i="115"/>
  <c r="EB8" i="115"/>
  <c r="EB41" i="115" s="1"/>
  <c r="CM40" i="115"/>
  <c r="Q41" i="115"/>
  <c r="M40" i="115"/>
  <c r="H19" i="67" s="1"/>
  <c r="M41" i="115"/>
  <c r="Y40" i="115"/>
  <c r="AO40" i="115"/>
  <c r="C41" i="115"/>
  <c r="C19" i="67"/>
  <c r="E19" i="67" s="1"/>
  <c r="O41" i="115"/>
  <c r="AA40" i="115"/>
  <c r="AI40" i="115"/>
  <c r="AY40" i="115"/>
  <c r="CD40" i="115"/>
  <c r="CD41" i="115"/>
  <c r="CV41" i="115"/>
  <c r="CV40" i="115"/>
  <c r="DF41" i="115"/>
  <c r="CW41" i="115"/>
  <c r="Y40" i="113"/>
  <c r="I40" i="114"/>
  <c r="G18" i="67" s="1"/>
  <c r="R18" i="67" s="1"/>
  <c r="I41" i="114"/>
  <c r="AM40" i="114"/>
  <c r="AU40" i="114"/>
  <c r="M40" i="114"/>
  <c r="H18" i="67" s="1"/>
  <c r="Y40" i="114"/>
  <c r="AO40" i="114"/>
  <c r="C41" i="114"/>
  <c r="C18" i="67" s="1"/>
  <c r="E18" i="67" s="1"/>
  <c r="O41" i="114"/>
  <c r="O40" i="114"/>
  <c r="I18" i="67" s="1"/>
  <c r="CD40" i="114"/>
  <c r="CD41" i="114"/>
  <c r="CV41" i="114"/>
  <c r="F40" i="114"/>
  <c r="L18" i="67" s="1"/>
  <c r="M18" i="67" s="1"/>
  <c r="CE40" i="114"/>
  <c r="T18" i="67" s="1"/>
  <c r="U18" i="67" s="1"/>
  <c r="O40" i="113"/>
  <c r="I17" i="67" s="1"/>
  <c r="AI40" i="113"/>
  <c r="CD41" i="113"/>
  <c r="CV40" i="113"/>
  <c r="I40" i="113"/>
  <c r="G17" i="67" s="1"/>
  <c r="I41" i="113"/>
  <c r="AM40" i="113"/>
  <c r="EB8" i="113"/>
  <c r="C40" i="112"/>
  <c r="B16" i="67" s="1"/>
  <c r="CN8" i="112"/>
  <c r="CO8" i="112" s="1"/>
  <c r="CW8" i="112"/>
  <c r="DG8" i="112"/>
  <c r="DH8" i="112" s="1"/>
  <c r="EA8" i="112"/>
  <c r="AC40" i="111"/>
  <c r="CE8" i="111"/>
  <c r="DG8" i="111"/>
  <c r="EA8" i="111"/>
  <c r="AM40" i="111"/>
  <c r="EC8" i="111"/>
  <c r="CE8" i="110"/>
  <c r="CN8" i="110"/>
  <c r="CW8" i="110"/>
  <c r="DG8" i="110"/>
  <c r="EA8" i="110"/>
  <c r="AI40" i="108"/>
  <c r="M41" i="109"/>
  <c r="AW40" i="109"/>
  <c r="C41" i="109"/>
  <c r="C13" i="67" s="1"/>
  <c r="E13" i="67" s="1"/>
  <c r="C40" i="109"/>
  <c r="B13" i="67" s="1"/>
  <c r="O40" i="109"/>
  <c r="I13" i="67" s="1"/>
  <c r="CD40" i="109"/>
  <c r="CV41" i="109"/>
  <c r="Q41" i="109"/>
  <c r="I40" i="109"/>
  <c r="G13" i="67" s="1"/>
  <c r="I41" i="109"/>
  <c r="CF8" i="109"/>
  <c r="CO8" i="109"/>
  <c r="CX8" i="109"/>
  <c r="DH8" i="109"/>
  <c r="EB8" i="109"/>
  <c r="O41" i="107"/>
  <c r="AY40" i="107"/>
  <c r="EC8" i="108"/>
  <c r="CD41" i="108"/>
  <c r="O40" i="108"/>
  <c r="I12" i="67" s="1"/>
  <c r="Q41" i="108"/>
  <c r="CE8" i="108"/>
  <c r="CN8" i="108"/>
  <c r="CW8" i="108"/>
  <c r="DG8" i="108"/>
  <c r="EA8" i="108"/>
  <c r="AE40" i="108"/>
  <c r="CF8" i="107"/>
  <c r="CX8" i="107"/>
  <c r="F40" i="107"/>
  <c r="L11" i="67" s="1"/>
  <c r="CN8" i="107"/>
  <c r="EA8" i="107"/>
  <c r="O40" i="107"/>
  <c r="I11" i="67" s="1"/>
  <c r="CD40" i="107"/>
  <c r="CV41" i="107"/>
  <c r="I40" i="107"/>
  <c r="G11" i="67" s="1"/>
  <c r="AU40" i="107"/>
  <c r="M40" i="107"/>
  <c r="H11" i="67" s="1"/>
  <c r="AI40" i="105"/>
  <c r="AY40" i="105"/>
  <c r="I41" i="106"/>
  <c r="AU40" i="106"/>
  <c r="CW8" i="106"/>
  <c r="EC8" i="106"/>
  <c r="M41" i="106"/>
  <c r="AO40" i="106"/>
  <c r="CN8" i="106"/>
  <c r="CM41" i="106"/>
  <c r="EA8" i="106"/>
  <c r="O40" i="106"/>
  <c r="I10" i="67" s="1"/>
  <c r="CE8" i="106"/>
  <c r="F40" i="106"/>
  <c r="L10" i="67" s="1"/>
  <c r="Q40" i="106"/>
  <c r="J10" i="67" s="1"/>
  <c r="DG8" i="106"/>
  <c r="DF40" i="106"/>
  <c r="EB8" i="106"/>
  <c r="CM41" i="105"/>
  <c r="CM40" i="105"/>
  <c r="F40" i="105"/>
  <c r="L9" i="67" s="1"/>
  <c r="M9" i="67" s="1"/>
  <c r="F41" i="105"/>
  <c r="N9" i="67" s="1"/>
  <c r="P9" i="67" s="1"/>
  <c r="Q40" i="105"/>
  <c r="J9" i="67" s="1"/>
  <c r="Q41" i="105"/>
  <c r="AE40" i="105"/>
  <c r="M40" i="105"/>
  <c r="H9" i="67" s="1"/>
  <c r="M41" i="105"/>
  <c r="AW40" i="105"/>
  <c r="EC8" i="105"/>
  <c r="CD40" i="105"/>
  <c r="DF41" i="105"/>
  <c r="DF40" i="105"/>
  <c r="C41" i="105"/>
  <c r="C9" i="67" s="1"/>
  <c r="E9" i="67" s="1"/>
  <c r="C40" i="105"/>
  <c r="CE8" i="105"/>
  <c r="CN8" i="105"/>
  <c r="DG8" i="105"/>
  <c r="EA8" i="105"/>
  <c r="CV40" i="105"/>
  <c r="AU40" i="105"/>
  <c r="EB8" i="105"/>
  <c r="EQ9" i="104"/>
  <c r="EQ10" i="104"/>
  <c r="EQ11" i="104"/>
  <c r="EQ12" i="104"/>
  <c r="EQ13" i="104"/>
  <c r="EQ14" i="104"/>
  <c r="EQ15" i="104"/>
  <c r="EQ16" i="104"/>
  <c r="EQ17" i="104"/>
  <c r="EQ18" i="104"/>
  <c r="EQ19" i="104"/>
  <c r="EQ20" i="104"/>
  <c r="EQ21" i="104"/>
  <c r="EQ22" i="104"/>
  <c r="EQ23" i="104"/>
  <c r="EQ24" i="104"/>
  <c r="EQ25" i="104"/>
  <c r="EQ26" i="104"/>
  <c r="EQ27" i="104"/>
  <c r="EQ28" i="104"/>
  <c r="EQ30" i="104"/>
  <c r="EQ31" i="104"/>
  <c r="EQ32" i="104"/>
  <c r="EQ33" i="104"/>
  <c r="EQ34" i="104"/>
  <c r="EQ35" i="104"/>
  <c r="EQ36" i="104"/>
  <c r="EQ37" i="104"/>
  <c r="EQ38" i="104"/>
  <c r="DN41" i="104"/>
  <c r="DO41" i="104"/>
  <c r="DP41" i="104"/>
  <c r="DQ41" i="104"/>
  <c r="DR41" i="104"/>
  <c r="DS41" i="104"/>
  <c r="DT41" i="104"/>
  <c r="DU41" i="104"/>
  <c r="DV41" i="104"/>
  <c r="DW41" i="104"/>
  <c r="DK9" i="104"/>
  <c r="DK10" i="104"/>
  <c r="DK11" i="104"/>
  <c r="DK12" i="104"/>
  <c r="DK13" i="104"/>
  <c r="DK14" i="104"/>
  <c r="DK15" i="104"/>
  <c r="DK16" i="104"/>
  <c r="DK17" i="104"/>
  <c r="DK18" i="104"/>
  <c r="DK19" i="104"/>
  <c r="DK20" i="104"/>
  <c r="DK21" i="104"/>
  <c r="DK22" i="104"/>
  <c r="DK23" i="104"/>
  <c r="DK24" i="104"/>
  <c r="DK25" i="104"/>
  <c r="DK26" i="104"/>
  <c r="DK27" i="104"/>
  <c r="DK28" i="104"/>
  <c r="DK29" i="104"/>
  <c r="DK30" i="104"/>
  <c r="DK31" i="104"/>
  <c r="DK32" i="104"/>
  <c r="DK33" i="104"/>
  <c r="DK34" i="104"/>
  <c r="DK35" i="104"/>
  <c r="DK36" i="104"/>
  <c r="DK37" i="104"/>
  <c r="DK38" i="104"/>
  <c r="DK8" i="104"/>
  <c r="DC1" i="104"/>
  <c r="DC3" i="104"/>
  <c r="DC42" i="104"/>
  <c r="DF8" i="104"/>
  <c r="DG8" i="104"/>
  <c r="DB8" i="104"/>
  <c r="CS42" i="104"/>
  <c r="CS1" i="104"/>
  <c r="CS3" i="104"/>
  <c r="CV8" i="104"/>
  <c r="CW8" i="104" s="1"/>
  <c r="CJ42" i="104"/>
  <c r="CR9" i="104"/>
  <c r="CR10" i="104"/>
  <c r="CR11" i="104"/>
  <c r="CR12" i="104"/>
  <c r="CR13" i="104"/>
  <c r="CR14" i="104"/>
  <c r="CR15" i="104"/>
  <c r="CR16" i="104"/>
  <c r="CR17" i="104"/>
  <c r="CR18" i="104"/>
  <c r="CR19" i="104"/>
  <c r="CR20" i="104"/>
  <c r="CR21" i="104"/>
  <c r="CR22" i="104"/>
  <c r="CR23" i="104"/>
  <c r="CR24" i="104"/>
  <c r="CR25" i="104"/>
  <c r="CR26" i="104"/>
  <c r="CR27" i="104"/>
  <c r="CR28" i="104"/>
  <c r="CR29" i="104"/>
  <c r="CR30" i="104"/>
  <c r="CR31" i="104"/>
  <c r="CR32" i="104"/>
  <c r="CR33" i="104"/>
  <c r="CR34" i="104"/>
  <c r="CR35" i="104"/>
  <c r="CR36" i="104"/>
  <c r="CR37" i="104"/>
  <c r="CR38" i="104"/>
  <c r="CR8" i="104"/>
  <c r="CJ1" i="104"/>
  <c r="CJ3" i="104"/>
  <c r="CM8" i="104"/>
  <c r="CN8" i="104" s="1"/>
  <c r="BZ9" i="104"/>
  <c r="BZ10" i="104"/>
  <c r="BZ11" i="104"/>
  <c r="BZ12" i="104"/>
  <c r="BZ13" i="104"/>
  <c r="BZ14" i="104"/>
  <c r="BZ15" i="104"/>
  <c r="BZ16" i="104"/>
  <c r="BZ17" i="104"/>
  <c r="BZ18" i="104"/>
  <c r="BZ19" i="104"/>
  <c r="BZ20" i="104"/>
  <c r="BZ21" i="104"/>
  <c r="BZ22" i="104"/>
  <c r="BZ23" i="104"/>
  <c r="BZ24" i="104"/>
  <c r="BZ25" i="104"/>
  <c r="BZ26" i="104"/>
  <c r="BZ27" i="104"/>
  <c r="BZ28" i="104"/>
  <c r="BZ29" i="104"/>
  <c r="BZ30" i="104"/>
  <c r="BZ31" i="104"/>
  <c r="BZ32" i="104"/>
  <c r="BZ33" i="104"/>
  <c r="BZ34" i="104"/>
  <c r="BZ35" i="104"/>
  <c r="BZ36" i="104"/>
  <c r="BZ37" i="104"/>
  <c r="BZ38" i="104"/>
  <c r="BC41" i="104"/>
  <c r="AD8" i="67" s="1"/>
  <c r="BD41" i="104"/>
  <c r="BE41" i="104"/>
  <c r="AF8" i="67"/>
  <c r="BF41" i="104"/>
  <c r="AG8" i="67"/>
  <c r="BG41" i="104"/>
  <c r="AH8" i="67"/>
  <c r="BH41" i="104"/>
  <c r="AI8" i="67"/>
  <c r="BI41" i="104"/>
  <c r="AJ8" i="67" s="1"/>
  <c r="BJ41" i="104"/>
  <c r="AK8" i="67"/>
  <c r="BK41" i="104"/>
  <c r="AL8" i="67" s="1"/>
  <c r="BL41" i="104"/>
  <c r="AM8" i="67"/>
  <c r="BM41" i="104"/>
  <c r="AN8" i="67" s="1"/>
  <c r="BN9" i="104"/>
  <c r="BN10" i="104"/>
  <c r="BN11" i="104"/>
  <c r="BN12" i="104"/>
  <c r="BN13" i="104"/>
  <c r="BN14" i="104"/>
  <c r="BN15" i="104"/>
  <c r="BN16" i="104"/>
  <c r="BN17" i="104"/>
  <c r="BN18" i="104"/>
  <c r="BN19" i="104"/>
  <c r="BN20" i="104"/>
  <c r="BN21" i="104"/>
  <c r="BN22" i="104"/>
  <c r="BN23" i="104"/>
  <c r="BN24" i="104"/>
  <c r="BN25" i="104"/>
  <c r="BN26" i="104"/>
  <c r="BN27" i="104"/>
  <c r="BN28" i="104"/>
  <c r="BN29" i="104"/>
  <c r="BN30" i="104"/>
  <c r="BN31" i="104"/>
  <c r="BN32" i="104"/>
  <c r="BN33" i="104"/>
  <c r="BN34" i="104"/>
  <c r="BN35" i="104"/>
  <c r="BN36" i="104"/>
  <c r="BN37" i="104"/>
  <c r="BN38" i="104"/>
  <c r="AZ9" i="104"/>
  <c r="AZ10" i="104"/>
  <c r="AZ11" i="104"/>
  <c r="AZ12" i="104"/>
  <c r="AZ13" i="104"/>
  <c r="AZ14" i="104"/>
  <c r="AZ15" i="104"/>
  <c r="AZ16" i="104"/>
  <c r="AZ17" i="104"/>
  <c r="AZ18" i="104"/>
  <c r="AZ19" i="104"/>
  <c r="AZ20" i="104"/>
  <c r="AZ21" i="104"/>
  <c r="AZ22" i="104"/>
  <c r="AZ23" i="104"/>
  <c r="AZ24" i="104"/>
  <c r="AZ25" i="104"/>
  <c r="AZ26" i="104"/>
  <c r="AZ27" i="104"/>
  <c r="AZ28" i="104"/>
  <c r="AZ29" i="104"/>
  <c r="AZ30" i="104"/>
  <c r="AZ31" i="104"/>
  <c r="AZ32" i="104"/>
  <c r="AZ33" i="104"/>
  <c r="AZ34" i="104"/>
  <c r="AZ35" i="104"/>
  <c r="AZ36" i="104"/>
  <c r="AZ37" i="104"/>
  <c r="AZ38" i="104"/>
  <c r="AZ8" i="104"/>
  <c r="AQ42" i="104"/>
  <c r="AQ1" i="104"/>
  <c r="AQ3" i="104"/>
  <c r="AY37" i="104"/>
  <c r="AW37" i="104"/>
  <c r="AU37" i="104"/>
  <c r="AS37" i="104"/>
  <c r="AY36" i="104"/>
  <c r="AW36" i="104"/>
  <c r="AU36" i="104"/>
  <c r="AS36" i="104"/>
  <c r="AY35" i="104"/>
  <c r="AW35" i="104"/>
  <c r="AU35" i="104"/>
  <c r="AS35" i="104"/>
  <c r="AY34" i="104"/>
  <c r="AW34" i="104"/>
  <c r="AU34" i="104"/>
  <c r="AS34" i="104"/>
  <c r="AY33" i="104"/>
  <c r="AW33" i="104"/>
  <c r="AU33" i="104"/>
  <c r="AS33" i="104"/>
  <c r="AY32" i="104"/>
  <c r="AW32" i="104"/>
  <c r="AU32" i="104"/>
  <c r="AS32" i="104"/>
  <c r="AY31" i="104"/>
  <c r="AW31" i="104"/>
  <c r="AU31" i="104"/>
  <c r="AS31" i="104"/>
  <c r="AY30" i="104"/>
  <c r="AW30" i="104"/>
  <c r="AU30" i="104"/>
  <c r="AS30" i="104"/>
  <c r="AY29" i="104"/>
  <c r="AW29" i="104"/>
  <c r="AU29" i="104"/>
  <c r="AS29" i="104"/>
  <c r="AY28" i="104"/>
  <c r="AW28" i="104"/>
  <c r="AU28" i="104"/>
  <c r="AS28" i="104"/>
  <c r="AY27" i="104"/>
  <c r="AW27" i="104"/>
  <c r="AU27" i="104"/>
  <c r="AS27" i="104"/>
  <c r="AY26" i="104"/>
  <c r="AW26" i="104"/>
  <c r="AU26" i="104"/>
  <c r="AS26" i="104"/>
  <c r="AY25" i="104"/>
  <c r="AW25" i="104"/>
  <c r="AU25" i="104"/>
  <c r="AS25" i="104"/>
  <c r="AY24" i="104"/>
  <c r="AW24" i="104"/>
  <c r="AU24" i="104"/>
  <c r="AS24" i="104"/>
  <c r="AY23" i="104"/>
  <c r="AW23" i="104"/>
  <c r="AU23" i="104"/>
  <c r="AS23" i="104"/>
  <c r="AY22" i="104"/>
  <c r="AW22" i="104"/>
  <c r="AU22" i="104"/>
  <c r="AS22" i="104"/>
  <c r="AY21" i="104"/>
  <c r="AW21" i="104"/>
  <c r="AU21" i="104"/>
  <c r="AS21" i="104"/>
  <c r="AY20" i="104"/>
  <c r="AW20" i="104"/>
  <c r="AU20" i="104"/>
  <c r="AS20" i="104"/>
  <c r="AY19" i="104"/>
  <c r="AW19" i="104"/>
  <c r="AU19" i="104"/>
  <c r="AS19" i="104"/>
  <c r="AY18" i="104"/>
  <c r="AW18" i="104"/>
  <c r="AU18" i="104"/>
  <c r="AS18" i="104"/>
  <c r="AY17" i="104"/>
  <c r="AW17" i="104"/>
  <c r="AU17" i="104"/>
  <c r="AS17" i="104"/>
  <c r="AY16" i="104"/>
  <c r="AW16" i="104"/>
  <c r="AU16" i="104"/>
  <c r="AS16" i="104"/>
  <c r="AY15" i="104"/>
  <c r="AW15" i="104"/>
  <c r="AU15" i="104"/>
  <c r="AS15" i="104"/>
  <c r="AY14" i="104"/>
  <c r="AU14" i="104"/>
  <c r="AS14" i="104"/>
  <c r="AY13" i="104"/>
  <c r="AU13" i="104"/>
  <c r="AS13" i="104"/>
  <c r="AY12" i="104"/>
  <c r="AU12" i="104"/>
  <c r="AS12" i="104"/>
  <c r="AY11" i="104"/>
  <c r="AU11" i="104"/>
  <c r="AS11" i="104"/>
  <c r="AY10" i="104"/>
  <c r="AU10" i="104"/>
  <c r="AS10" i="104"/>
  <c r="AY9" i="104"/>
  <c r="AU9" i="104"/>
  <c r="AS9" i="104"/>
  <c r="AY8" i="104"/>
  <c r="AW8" i="104"/>
  <c r="AU8" i="104"/>
  <c r="AS8" i="104"/>
  <c r="AP9" i="104"/>
  <c r="AP10" i="104"/>
  <c r="AP11" i="104"/>
  <c r="AP12" i="104"/>
  <c r="AP13" i="104"/>
  <c r="AP14" i="104"/>
  <c r="AP15" i="104"/>
  <c r="AP16" i="104"/>
  <c r="AP17" i="104"/>
  <c r="AP18" i="104"/>
  <c r="AP19" i="104"/>
  <c r="AP20" i="104"/>
  <c r="AP21" i="104"/>
  <c r="AP22" i="104"/>
  <c r="AP23" i="104"/>
  <c r="AP24" i="104"/>
  <c r="AP25" i="104"/>
  <c r="AP26" i="104"/>
  <c r="AP27" i="104"/>
  <c r="AP28" i="104"/>
  <c r="AP29" i="104"/>
  <c r="AP31" i="104"/>
  <c r="AP32" i="104"/>
  <c r="AP33" i="104"/>
  <c r="AP34" i="104"/>
  <c r="AP35" i="104"/>
  <c r="AP36" i="104"/>
  <c r="AP37" i="104"/>
  <c r="AP38" i="104"/>
  <c r="AP8" i="104"/>
  <c r="AG42" i="104"/>
  <c r="AG3" i="104"/>
  <c r="AG1" i="104"/>
  <c r="AO37" i="104"/>
  <c r="AM37" i="104"/>
  <c r="AK37" i="104"/>
  <c r="AI37" i="104"/>
  <c r="AO36" i="104"/>
  <c r="AM36" i="104"/>
  <c r="AK36" i="104"/>
  <c r="AI36" i="104"/>
  <c r="AO35" i="104"/>
  <c r="AM35" i="104"/>
  <c r="AK35" i="104"/>
  <c r="AI35" i="104"/>
  <c r="AO34" i="104"/>
  <c r="AM34" i="104"/>
  <c r="AK34" i="104"/>
  <c r="AI34" i="104"/>
  <c r="AO33" i="104"/>
  <c r="AM33" i="104"/>
  <c r="AK33" i="104"/>
  <c r="AI33" i="104"/>
  <c r="AO32" i="104"/>
  <c r="AM32" i="104"/>
  <c r="AK32" i="104"/>
  <c r="AI32" i="104"/>
  <c r="AO31" i="104"/>
  <c r="AM31" i="104"/>
  <c r="AK31" i="104"/>
  <c r="AI31" i="104"/>
  <c r="AO30" i="104"/>
  <c r="AM30" i="104"/>
  <c r="AK30" i="104"/>
  <c r="AI30" i="104"/>
  <c r="AO29" i="104"/>
  <c r="AM29" i="104"/>
  <c r="AK29" i="104"/>
  <c r="AI29" i="104"/>
  <c r="AO28" i="104"/>
  <c r="AM28" i="104"/>
  <c r="AK28" i="104"/>
  <c r="AI28" i="104"/>
  <c r="AO27" i="104"/>
  <c r="AM27" i="104"/>
  <c r="AK27" i="104"/>
  <c r="AI27" i="104"/>
  <c r="AO26" i="104"/>
  <c r="AM26" i="104"/>
  <c r="AK26" i="104"/>
  <c r="AI26" i="104"/>
  <c r="AO25" i="104"/>
  <c r="AM25" i="104"/>
  <c r="AK25" i="104"/>
  <c r="AI25" i="104"/>
  <c r="AO24" i="104"/>
  <c r="AM24" i="104"/>
  <c r="AK24" i="104"/>
  <c r="AI24" i="104"/>
  <c r="AO23" i="104"/>
  <c r="AM23" i="104"/>
  <c r="AK23" i="104"/>
  <c r="AI23" i="104"/>
  <c r="AO22" i="104"/>
  <c r="AM22" i="104"/>
  <c r="AK22" i="104"/>
  <c r="AI22" i="104"/>
  <c r="AO21" i="104"/>
  <c r="AM21" i="104"/>
  <c r="AK21" i="104"/>
  <c r="AI21" i="104"/>
  <c r="AO20" i="104"/>
  <c r="AM20" i="104"/>
  <c r="AK20" i="104"/>
  <c r="AI20" i="104"/>
  <c r="AO19" i="104"/>
  <c r="AM19" i="104"/>
  <c r="AK19" i="104"/>
  <c r="AI19" i="104"/>
  <c r="AO18" i="104"/>
  <c r="AM18" i="104"/>
  <c r="AK18" i="104"/>
  <c r="AI18" i="104"/>
  <c r="AO17" i="104"/>
  <c r="AM17" i="104"/>
  <c r="AK17" i="104"/>
  <c r="AI17" i="104"/>
  <c r="AO16" i="104"/>
  <c r="AM16" i="104"/>
  <c r="AK16" i="104"/>
  <c r="AI16" i="104"/>
  <c r="AO15" i="104"/>
  <c r="AM15" i="104"/>
  <c r="AK15" i="104"/>
  <c r="AI15" i="104"/>
  <c r="AO14" i="104"/>
  <c r="AM14" i="104"/>
  <c r="AK14" i="104"/>
  <c r="AI14" i="104"/>
  <c r="AO13" i="104"/>
  <c r="AM13" i="104"/>
  <c r="AK13" i="104"/>
  <c r="AI13" i="104"/>
  <c r="AO12" i="104"/>
  <c r="AM12" i="104"/>
  <c r="AK12" i="104"/>
  <c r="AI12" i="104"/>
  <c r="AO11" i="104"/>
  <c r="AM11" i="104"/>
  <c r="AK11" i="104"/>
  <c r="AI11" i="104"/>
  <c r="AO10" i="104"/>
  <c r="AM10" i="104"/>
  <c r="AK10" i="104"/>
  <c r="AI10" i="104"/>
  <c r="AO9" i="104"/>
  <c r="AM9" i="104"/>
  <c r="AK9" i="104"/>
  <c r="AI9" i="104"/>
  <c r="AO8" i="104"/>
  <c r="AM8" i="104"/>
  <c r="AK8" i="104"/>
  <c r="AI8" i="104"/>
  <c r="Y33" i="104"/>
  <c r="Y34" i="104"/>
  <c r="Y35" i="104"/>
  <c r="Y36" i="104"/>
  <c r="Y37" i="104"/>
  <c r="AA33" i="104"/>
  <c r="AA34" i="104"/>
  <c r="AA35" i="104"/>
  <c r="AA36" i="104"/>
  <c r="AA37" i="104"/>
  <c r="AC33" i="104"/>
  <c r="AC34" i="104"/>
  <c r="AC35" i="104"/>
  <c r="AC36" i="104"/>
  <c r="AC37" i="104"/>
  <c r="AE9" i="104"/>
  <c r="AE10" i="104"/>
  <c r="AE11" i="104"/>
  <c r="AE12" i="104"/>
  <c r="AE13" i="104"/>
  <c r="AE14" i="104"/>
  <c r="AE15" i="104"/>
  <c r="AE16" i="104"/>
  <c r="AE17" i="104"/>
  <c r="AE18" i="104"/>
  <c r="AE19" i="104"/>
  <c r="AE20" i="104"/>
  <c r="AE21" i="104"/>
  <c r="AE22" i="104"/>
  <c r="AE23" i="104"/>
  <c r="AE24" i="104"/>
  <c r="AE25" i="104"/>
  <c r="AE26" i="104"/>
  <c r="AE27" i="104"/>
  <c r="AE28" i="104"/>
  <c r="AE29" i="104"/>
  <c r="AE30" i="104"/>
  <c r="AE31" i="104"/>
  <c r="AE32" i="104"/>
  <c r="AE33" i="104"/>
  <c r="AE34" i="104"/>
  <c r="AE35" i="104"/>
  <c r="AE36" i="104"/>
  <c r="AE37" i="104"/>
  <c r="AE8" i="104"/>
  <c r="V9" i="104"/>
  <c r="V10" i="104"/>
  <c r="V11" i="104"/>
  <c r="V12" i="104"/>
  <c r="V13" i="104"/>
  <c r="V14" i="104"/>
  <c r="V15" i="104"/>
  <c r="V16" i="104"/>
  <c r="V17" i="104"/>
  <c r="V18" i="104"/>
  <c r="V19" i="104"/>
  <c r="V20" i="104"/>
  <c r="V21" i="104"/>
  <c r="V22" i="104"/>
  <c r="V23" i="104"/>
  <c r="V24" i="104"/>
  <c r="V25" i="104"/>
  <c r="V26" i="104"/>
  <c r="V27" i="104"/>
  <c r="V28" i="104"/>
  <c r="V29" i="104"/>
  <c r="V30" i="104"/>
  <c r="V31" i="104"/>
  <c r="V32" i="104"/>
  <c r="V33" i="104"/>
  <c r="V34" i="104"/>
  <c r="V35" i="104"/>
  <c r="V36" i="104"/>
  <c r="V37" i="104"/>
  <c r="V38" i="104"/>
  <c r="M9" i="104"/>
  <c r="M10" i="104"/>
  <c r="M11" i="104"/>
  <c r="M13" i="104"/>
  <c r="M14" i="104"/>
  <c r="M15" i="104"/>
  <c r="M16" i="104"/>
  <c r="M17" i="104"/>
  <c r="M18" i="104"/>
  <c r="M19" i="104"/>
  <c r="M20" i="104"/>
  <c r="M21" i="104"/>
  <c r="M22" i="104"/>
  <c r="M23" i="104"/>
  <c r="M24" i="104"/>
  <c r="M25" i="104"/>
  <c r="M26" i="104"/>
  <c r="M27" i="104"/>
  <c r="M28" i="104"/>
  <c r="M29" i="104"/>
  <c r="M30" i="104"/>
  <c r="M31" i="104"/>
  <c r="M32" i="104"/>
  <c r="M33" i="104"/>
  <c r="M34" i="104"/>
  <c r="M35" i="104"/>
  <c r="M36" i="104"/>
  <c r="M37" i="104"/>
  <c r="O9" i="104"/>
  <c r="O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O25" i="104"/>
  <c r="O26" i="104"/>
  <c r="O27" i="104"/>
  <c r="O28" i="104"/>
  <c r="O29" i="104"/>
  <c r="O30" i="104"/>
  <c r="O31" i="104"/>
  <c r="O32" i="104"/>
  <c r="O33" i="104"/>
  <c r="O34" i="104"/>
  <c r="O35" i="104"/>
  <c r="O36" i="104"/>
  <c r="O37" i="104"/>
  <c r="Q9" i="104"/>
  <c r="Q10" i="104"/>
  <c r="Q11" i="104"/>
  <c r="Q12" i="104"/>
  <c r="Q13" i="104"/>
  <c r="Q14" i="104"/>
  <c r="Q15" i="104"/>
  <c r="Q16" i="104"/>
  <c r="Q17" i="104"/>
  <c r="Q18" i="104"/>
  <c r="Q19" i="104"/>
  <c r="Q20" i="104"/>
  <c r="Q21" i="104"/>
  <c r="Q22" i="104"/>
  <c r="Q23" i="104"/>
  <c r="Q24" i="104"/>
  <c r="Q25" i="104"/>
  <c r="Q26" i="104"/>
  <c r="Q27" i="104"/>
  <c r="Q28" i="104"/>
  <c r="Q29" i="104"/>
  <c r="Q30" i="104"/>
  <c r="Q31" i="104"/>
  <c r="Q32" i="104"/>
  <c r="Q33" i="104"/>
  <c r="Q34" i="104"/>
  <c r="Q35" i="104"/>
  <c r="Q36" i="104"/>
  <c r="Q37" i="104"/>
  <c r="K42" i="104"/>
  <c r="Q8" i="104"/>
  <c r="I9" i="104"/>
  <c r="I10" i="104"/>
  <c r="I11" i="104"/>
  <c r="I12" i="104"/>
  <c r="EC12" i="104" s="1"/>
  <c r="I13" i="104"/>
  <c r="I14" i="104"/>
  <c r="I15" i="104"/>
  <c r="I16" i="104"/>
  <c r="EC16" i="104" s="1"/>
  <c r="I17" i="104"/>
  <c r="I18" i="104"/>
  <c r="I19" i="104"/>
  <c r="I20" i="104"/>
  <c r="EC20" i="104" s="1"/>
  <c r="I21" i="104"/>
  <c r="I22" i="104"/>
  <c r="I23" i="104"/>
  <c r="I24" i="104"/>
  <c r="I25" i="104"/>
  <c r="I26" i="104"/>
  <c r="I27" i="104"/>
  <c r="I28" i="104"/>
  <c r="I29" i="104"/>
  <c r="I30" i="104"/>
  <c r="I31" i="104"/>
  <c r="I32" i="104"/>
  <c r="I33" i="104"/>
  <c r="I34" i="104"/>
  <c r="I35" i="104"/>
  <c r="I36" i="104"/>
  <c r="I37" i="104"/>
  <c r="I8" i="104"/>
  <c r="F9" i="104"/>
  <c r="F10" i="104"/>
  <c r="F11" i="104"/>
  <c r="F12" i="104"/>
  <c r="EB12" i="104"/>
  <c r="F13" i="104"/>
  <c r="F14" i="104"/>
  <c r="F15" i="104"/>
  <c r="F16" i="104"/>
  <c r="EB16" i="104" s="1"/>
  <c r="F17" i="104"/>
  <c r="F18" i="104"/>
  <c r="F19" i="104"/>
  <c r="F20" i="104"/>
  <c r="EB20" i="104" s="1"/>
  <c r="F21" i="104"/>
  <c r="EB21" i="104"/>
  <c r="EB22" i="104"/>
  <c r="F23" i="104"/>
  <c r="F24" i="104"/>
  <c r="EB24" i="104"/>
  <c r="F25" i="104"/>
  <c r="EB25" i="104" s="1"/>
  <c r="F26" i="104"/>
  <c r="F27" i="104"/>
  <c r="F28" i="104"/>
  <c r="F29" i="104"/>
  <c r="EB29" i="104" s="1"/>
  <c r="F30" i="104"/>
  <c r="F31" i="104"/>
  <c r="F32" i="104"/>
  <c r="EB32" i="104" s="1"/>
  <c r="F33" i="104"/>
  <c r="F34" i="104"/>
  <c r="F35" i="104"/>
  <c r="F36" i="104"/>
  <c r="EB36" i="104"/>
  <c r="F37" i="104"/>
  <c r="C9" i="104"/>
  <c r="EA9" i="104" s="1"/>
  <c r="C10" i="104"/>
  <c r="EA10" i="104" s="1"/>
  <c r="C11" i="104"/>
  <c r="EA11" i="104" s="1"/>
  <c r="C12" i="104"/>
  <c r="EA12" i="104" s="1"/>
  <c r="C13" i="104"/>
  <c r="EA13" i="104" s="1"/>
  <c r="C14" i="104"/>
  <c r="EA14" i="104" s="1"/>
  <c r="C15" i="104"/>
  <c r="CX15" i="104" s="1"/>
  <c r="C16" i="104"/>
  <c r="EA16" i="104" s="1"/>
  <c r="C17" i="104"/>
  <c r="EA17" i="104" s="1"/>
  <c r="C18" i="104"/>
  <c r="EA18" i="104" s="1"/>
  <c r="C19" i="104"/>
  <c r="EA19" i="104" s="1"/>
  <c r="C20" i="104"/>
  <c r="EA20" i="104" s="1"/>
  <c r="C21" i="104"/>
  <c r="EA21" i="104" s="1"/>
  <c r="C22" i="104"/>
  <c r="EA22" i="104" s="1"/>
  <c r="C23" i="104"/>
  <c r="EA23" i="104" s="1"/>
  <c r="C24" i="104"/>
  <c r="C25" i="104"/>
  <c r="EA25" i="104" s="1"/>
  <c r="C26" i="104"/>
  <c r="EA26" i="104" s="1"/>
  <c r="C27" i="104"/>
  <c r="EA27" i="104" s="1"/>
  <c r="C28" i="104"/>
  <c r="C29" i="104"/>
  <c r="EA29" i="104" s="1"/>
  <c r="C30" i="104"/>
  <c r="EA30" i="104" s="1"/>
  <c r="C31" i="104"/>
  <c r="EA31" i="104" s="1"/>
  <c r="C32" i="104"/>
  <c r="EA32" i="104" s="1"/>
  <c r="C33" i="104"/>
  <c r="EA33" i="104" s="1"/>
  <c r="C34" i="104"/>
  <c r="EA34" i="104" s="1"/>
  <c r="C35" i="104"/>
  <c r="EA35" i="104" s="1"/>
  <c r="C36" i="104"/>
  <c r="C37" i="104"/>
  <c r="EA37" i="104" s="1"/>
  <c r="EI42" i="104"/>
  <c r="DZ42" i="104"/>
  <c r="DL42" i="104"/>
  <c r="CA42" i="104"/>
  <c r="BO42" i="104"/>
  <c r="BA42" i="104"/>
  <c r="W42" i="104"/>
  <c r="DM41" i="104"/>
  <c r="BW41" i="104"/>
  <c r="BV41" i="104"/>
  <c r="BU41" i="104"/>
  <c r="AU8" i="67" s="1"/>
  <c r="BT41" i="104"/>
  <c r="AT8" i="67"/>
  <c r="BS41" i="104"/>
  <c r="AS8" i="67" s="1"/>
  <c r="BR41" i="104"/>
  <c r="BQ41" i="104"/>
  <c r="AQ8" i="67" s="1"/>
  <c r="BP41" i="104"/>
  <c r="BB41" i="104"/>
  <c r="EH38" i="104"/>
  <c r="EH37" i="104"/>
  <c r="EH36" i="104"/>
  <c r="EH35" i="104"/>
  <c r="EH34" i="104"/>
  <c r="EH33" i="104"/>
  <c r="EH32" i="104"/>
  <c r="AC32" i="104"/>
  <c r="AA32" i="104"/>
  <c r="Y32" i="104"/>
  <c r="EH31" i="104"/>
  <c r="AC31" i="104"/>
  <c r="AA31" i="104"/>
  <c r="Y31" i="104"/>
  <c r="EH30" i="104"/>
  <c r="AC30" i="104"/>
  <c r="AA30" i="104"/>
  <c r="Y30" i="104"/>
  <c r="EH29" i="104"/>
  <c r="AC29" i="104"/>
  <c r="AA29" i="104"/>
  <c r="Y29" i="104"/>
  <c r="EH28" i="104"/>
  <c r="AC28" i="104"/>
  <c r="AA28" i="104"/>
  <c r="Y28" i="104"/>
  <c r="EH27" i="104"/>
  <c r="AC27" i="104"/>
  <c r="AA27" i="104"/>
  <c r="Y27" i="104"/>
  <c r="EH26" i="104"/>
  <c r="AC26" i="104"/>
  <c r="AA26" i="104"/>
  <c r="Y26" i="104"/>
  <c r="EH25" i="104"/>
  <c r="AC25" i="104"/>
  <c r="AA25" i="104"/>
  <c r="Y25" i="104"/>
  <c r="EH24" i="104"/>
  <c r="AC24" i="104"/>
  <c r="AA24" i="104"/>
  <c r="Y24" i="104"/>
  <c r="EH23" i="104"/>
  <c r="AC23" i="104"/>
  <c r="AA23" i="104"/>
  <c r="Y23" i="104"/>
  <c r="EH22" i="104"/>
  <c r="AC22" i="104"/>
  <c r="AA22" i="104"/>
  <c r="Y22" i="104"/>
  <c r="EH21" i="104"/>
  <c r="AC21" i="104"/>
  <c r="AA21" i="104"/>
  <c r="Y21" i="104"/>
  <c r="EH20" i="104"/>
  <c r="AC20" i="104"/>
  <c r="AA20" i="104"/>
  <c r="Y20" i="104"/>
  <c r="EH19" i="104"/>
  <c r="AC19" i="104"/>
  <c r="AA19" i="104"/>
  <c r="Y19" i="104"/>
  <c r="EH18" i="104"/>
  <c r="AC18" i="104"/>
  <c r="AA18" i="104"/>
  <c r="Y18" i="104"/>
  <c r="EH17" i="104"/>
  <c r="AC17" i="104"/>
  <c r="AA17" i="104"/>
  <c r="Y17" i="104"/>
  <c r="EH16" i="104"/>
  <c r="AC16" i="104"/>
  <c r="AA16" i="104"/>
  <c r="Y16" i="104"/>
  <c r="EH15" i="104"/>
  <c r="AC15" i="104"/>
  <c r="AA15" i="104"/>
  <c r="Y15" i="104"/>
  <c r="EH14" i="104"/>
  <c r="AC14" i="104"/>
  <c r="AA14" i="104"/>
  <c r="Y14" i="104"/>
  <c r="EH13" i="104"/>
  <c r="AC13" i="104"/>
  <c r="AA13" i="104"/>
  <c r="Y13" i="104"/>
  <c r="EH12" i="104"/>
  <c r="AC12" i="104"/>
  <c r="AA12" i="104"/>
  <c r="Y12" i="104"/>
  <c r="EH11" i="104"/>
  <c r="AC11" i="104"/>
  <c r="AA11" i="104"/>
  <c r="Y11" i="104"/>
  <c r="EH10" i="104"/>
  <c r="AC10" i="104"/>
  <c r="AA10" i="104"/>
  <c r="Y10" i="104"/>
  <c r="EH9" i="104"/>
  <c r="AC9" i="104"/>
  <c r="AA9" i="104"/>
  <c r="Y9" i="104"/>
  <c r="EQ8" i="104"/>
  <c r="EH8" i="104"/>
  <c r="DY8" i="104"/>
  <c r="CI8" i="104"/>
  <c r="CD8" i="104"/>
  <c r="CE8" i="104"/>
  <c r="BZ8" i="104"/>
  <c r="BN8" i="104"/>
  <c r="AF8" i="104"/>
  <c r="AC8" i="104"/>
  <c r="AA8" i="104"/>
  <c r="Y8" i="104"/>
  <c r="V8" i="104"/>
  <c r="O8" i="104"/>
  <c r="M8" i="104"/>
  <c r="F8" i="104"/>
  <c r="C8" i="104"/>
  <c r="EI3" i="104"/>
  <c r="DZ3" i="104"/>
  <c r="DL3" i="104"/>
  <c r="CA3" i="104"/>
  <c r="BO3" i="104"/>
  <c r="BA3" i="104"/>
  <c r="W3" i="104"/>
  <c r="K3" i="104"/>
  <c r="EI1" i="104"/>
  <c r="DZ1" i="104"/>
  <c r="DL1" i="104"/>
  <c r="CA1" i="104"/>
  <c r="BO1" i="104"/>
  <c r="BA1" i="104"/>
  <c r="W1" i="104"/>
  <c r="K1" i="104"/>
  <c r="EC39" i="107"/>
  <c r="EC35" i="104"/>
  <c r="EC31" i="104"/>
  <c r="EC27" i="104"/>
  <c r="EC23" i="104"/>
  <c r="EC19" i="104"/>
  <c r="EC15" i="104"/>
  <c r="EC11" i="104"/>
  <c r="EC37" i="105"/>
  <c r="EB34" i="104"/>
  <c r="EB30" i="104"/>
  <c r="EB28" i="104"/>
  <c r="EB26" i="104"/>
  <c r="EB18" i="104"/>
  <c r="AW40" i="104"/>
  <c r="EB14" i="104"/>
  <c r="EB13" i="104"/>
  <c r="AI40" i="104"/>
  <c r="EB9" i="104"/>
  <c r="CF41" i="115"/>
  <c r="EC41" i="115"/>
  <c r="EB40" i="115"/>
  <c r="EC40" i="115"/>
  <c r="EA41" i="115"/>
  <c r="EC39" i="115"/>
  <c r="CO41" i="115"/>
  <c r="EB39" i="114"/>
  <c r="EC40" i="114"/>
  <c r="EA39" i="108"/>
  <c r="CX18" i="104"/>
  <c r="CX22" i="104"/>
  <c r="CO26" i="104"/>
  <c r="DH22" i="104"/>
  <c r="EC34" i="104"/>
  <c r="EC30" i="104"/>
  <c r="EC26" i="104"/>
  <c r="EC22" i="104"/>
  <c r="EC18" i="104"/>
  <c r="EC14" i="104"/>
  <c r="EC10" i="104"/>
  <c r="DH15" i="104"/>
  <c r="CO12" i="104"/>
  <c r="DH20" i="104"/>
  <c r="CX32" i="104"/>
  <c r="M19" i="67"/>
  <c r="CX41" i="115"/>
  <c r="DH41" i="115"/>
  <c r="W19" i="67"/>
  <c r="U19" i="67"/>
  <c r="CX29" i="104"/>
  <c r="EC39" i="108"/>
  <c r="DH23" i="104"/>
  <c r="CX10" i="104"/>
  <c r="DH37" i="104"/>
  <c r="CO34" i="104"/>
  <c r="DH18" i="104"/>
  <c r="CO19" i="104"/>
  <c r="CX30" i="104"/>
  <c r="CO20" i="104"/>
  <c r="CO36" i="104"/>
  <c r="DH32" i="104"/>
  <c r="CX27" i="104"/>
  <c r="CO21" i="104"/>
  <c r="CF18" i="104"/>
  <c r="DH33" i="104"/>
  <c r="CO10" i="104"/>
  <c r="CF23" i="104"/>
  <c r="CX13" i="104"/>
  <c r="CO23" i="104"/>
  <c r="CF36" i="104"/>
  <c r="DH28" i="104"/>
  <c r="CO13" i="104"/>
  <c r="CF26" i="104"/>
  <c r="DH29" i="104"/>
  <c r="CO30" i="104"/>
  <c r="DH26" i="104"/>
  <c r="CO15" i="104"/>
  <c r="CF16" i="104"/>
  <c r="CO37" i="104"/>
  <c r="DH13" i="104"/>
  <c r="CF12" i="104"/>
  <c r="EB35" i="104"/>
  <c r="EB31" i="104"/>
  <c r="EB27" i="104"/>
  <c r="EB23" i="104"/>
  <c r="EB19" i="104"/>
  <c r="EB15" i="104"/>
  <c r="EC37" i="104"/>
  <c r="EC33" i="104"/>
  <c r="EC29" i="104"/>
  <c r="EC25" i="104"/>
  <c r="EC21" i="104"/>
  <c r="EC17" i="104"/>
  <c r="EC13" i="104"/>
  <c r="EC9" i="104"/>
  <c r="EB39" i="108"/>
  <c r="DH11" i="104"/>
  <c r="DH27" i="104"/>
  <c r="CX14" i="104"/>
  <c r="CX24" i="104"/>
  <c r="CF11" i="104"/>
  <c r="DH34" i="104"/>
  <c r="CO31" i="104"/>
  <c r="CX34" i="104"/>
  <c r="CO24" i="104"/>
  <c r="CF9" i="104"/>
  <c r="CF25" i="104"/>
  <c r="DH12" i="104"/>
  <c r="CX11" i="104"/>
  <c r="CX35" i="104"/>
  <c r="CO29" i="104"/>
  <c r="CF22" i="104"/>
  <c r="CX12" i="104"/>
  <c r="CO22" i="104"/>
  <c r="CF35" i="104"/>
  <c r="DH14" i="104"/>
  <c r="CX21" i="104"/>
  <c r="CO35" i="104"/>
  <c r="DH36" i="104"/>
  <c r="CO25" i="104"/>
  <c r="CF34" i="104"/>
  <c r="CX16" i="104"/>
  <c r="CF19" i="104"/>
  <c r="CX9" i="104"/>
  <c r="CO27" i="104"/>
  <c r="DH9" i="104"/>
  <c r="CX17" i="104"/>
  <c r="CO9" i="104"/>
  <c r="CF20" i="104"/>
  <c r="CO33" i="104"/>
  <c r="CX25" i="104"/>
  <c r="DH19" i="104"/>
  <c r="DH35" i="104"/>
  <c r="DH25" i="104"/>
  <c r="CO18" i="104"/>
  <c r="CX33" i="104"/>
  <c r="CF32" i="104"/>
  <c r="CX26" i="104"/>
  <c r="CO16" i="104"/>
  <c r="CO32" i="104"/>
  <c r="CF17" i="104"/>
  <c r="CF33" i="104"/>
  <c r="DH24" i="104"/>
  <c r="CX23" i="104"/>
  <c r="CO17" i="104"/>
  <c r="CF10" i="104"/>
  <c r="DH21" i="104"/>
  <c r="CX28" i="104"/>
  <c r="CF15" i="104"/>
  <c r="DH30" i="104"/>
  <c r="CO11" i="104"/>
  <c r="CF24" i="104"/>
  <c r="DH16" i="104"/>
  <c r="CX31" i="104"/>
  <c r="CF14" i="104"/>
  <c r="DH17" i="104"/>
  <c r="CO14" i="104"/>
  <c r="DH10" i="104"/>
  <c r="CX37" i="104"/>
  <c r="CF28" i="104"/>
  <c r="EB39" i="106"/>
  <c r="EA39" i="106"/>
  <c r="EC39" i="106"/>
  <c r="EB38" i="105"/>
  <c r="EB39" i="105"/>
  <c r="EB37" i="105"/>
  <c r="EA38" i="105"/>
  <c r="EA39" i="105"/>
  <c r="EA37" i="105"/>
  <c r="EC38" i="105"/>
  <c r="EC39" i="105"/>
  <c r="EB37" i="104"/>
  <c r="EB33" i="104"/>
  <c r="AX8" i="67"/>
  <c r="AW8" i="67"/>
  <c r="AR8" i="67"/>
  <c r="AP8" i="67"/>
  <c r="AE8" i="67"/>
  <c r="AC8" i="67"/>
  <c r="B9" i="67"/>
  <c r="EB17" i="104"/>
  <c r="EB11" i="104"/>
  <c r="EB10" i="104"/>
  <c r="EB8" i="104"/>
  <c r="O8" i="67"/>
  <c r="Q8" i="67" s="1"/>
  <c r="CO8" i="104"/>
  <c r="CX8" i="112"/>
  <c r="DH8" i="111"/>
  <c r="CF8" i="111"/>
  <c r="CO8" i="110"/>
  <c r="CF8" i="110"/>
  <c r="DH8" i="110"/>
  <c r="CX8" i="110"/>
  <c r="CX8" i="108"/>
  <c r="CO8" i="108"/>
  <c r="CF8" i="108"/>
  <c r="DH8" i="108"/>
  <c r="CO8" i="107"/>
  <c r="CF8" i="106"/>
  <c r="CO8" i="106"/>
  <c r="CX8" i="106"/>
  <c r="DH8" i="106"/>
  <c r="AK40" i="104"/>
  <c r="CO8" i="105"/>
  <c r="CF8" i="105"/>
  <c r="DH8" i="105"/>
  <c r="AY40" i="104"/>
  <c r="AM40" i="104"/>
  <c r="EC8" i="104"/>
  <c r="DH8" i="104"/>
  <c r="EA8" i="104"/>
  <c r="CX8" i="104"/>
  <c r="DG40" i="104"/>
  <c r="Z8" i="67" s="1"/>
  <c r="DF41" i="104"/>
  <c r="CV40" i="104"/>
  <c r="CV41" i="104"/>
  <c r="CN40" i="104"/>
  <c r="V8" i="67" s="1"/>
  <c r="CM41" i="104"/>
  <c r="CF8" i="104"/>
  <c r="CM40" i="104"/>
  <c r="Q41" i="104"/>
  <c r="AC40" i="104"/>
  <c r="I41" i="104"/>
  <c r="M41" i="104"/>
  <c r="F40" i="104"/>
  <c r="L8" i="67" s="1"/>
  <c r="F41" i="104"/>
  <c r="N8" i="67" s="1"/>
  <c r="P8" i="67" s="1"/>
  <c r="O40" i="104"/>
  <c r="I8" i="67" s="1"/>
  <c r="Y40" i="104"/>
  <c r="CD40" i="104"/>
  <c r="C40" i="104"/>
  <c r="B8" i="67" s="1"/>
  <c r="P3" i="68"/>
  <c r="P1" i="68"/>
  <c r="V1" i="68"/>
  <c r="EB39" i="104"/>
  <c r="ED40" i="104"/>
  <c r="EE41" i="104"/>
  <c r="EG41" i="104"/>
  <c r="EF41" i="104"/>
  <c r="CO27" i="110"/>
  <c r="DH26" i="110"/>
  <c r="CX26" i="110"/>
  <c r="CF27" i="110"/>
  <c r="CF9" i="111"/>
  <c r="CX8" i="111"/>
  <c r="CV40" i="110"/>
  <c r="AW40" i="110"/>
  <c r="AO40" i="110"/>
  <c r="AA40" i="110"/>
  <c r="AY40" i="110"/>
  <c r="EC39" i="110"/>
  <c r="CM40" i="110"/>
  <c r="AM40" i="110"/>
  <c r="Q41" i="110"/>
  <c r="DF40" i="110"/>
  <c r="DF41" i="110"/>
  <c r="CO30" i="110"/>
  <c r="CN41" i="110"/>
  <c r="CN40" i="110"/>
  <c r="V14" i="67" s="1"/>
  <c r="CM41" i="110"/>
  <c r="Y40" i="110"/>
  <c r="EA39" i="110"/>
  <c r="C40" i="110"/>
  <c r="B14" i="67" s="1"/>
  <c r="DG41" i="110"/>
  <c r="DH28" i="110"/>
  <c r="DG40" i="110"/>
  <c r="Z14" i="67" s="1"/>
  <c r="CX29" i="110"/>
  <c r="CF29" i="110"/>
  <c r="AV14" i="68"/>
  <c r="EB39" i="110"/>
  <c r="CO41" i="104" l="1"/>
  <c r="EC32" i="104"/>
  <c r="EC28" i="104"/>
  <c r="DH31" i="104"/>
  <c r="EC36" i="104"/>
  <c r="EA36" i="104"/>
  <c r="CO28" i="104"/>
  <c r="EA28" i="104"/>
  <c r="EC24" i="104"/>
  <c r="EA24" i="104"/>
  <c r="CX36" i="104"/>
  <c r="EB39" i="115"/>
  <c r="CF41" i="114"/>
  <c r="O41" i="104"/>
  <c r="AA40" i="104"/>
  <c r="AU40" i="104"/>
  <c r="DH41" i="104"/>
  <c r="AS40" i="104"/>
  <c r="CX19" i="104"/>
  <c r="M40" i="104"/>
  <c r="H8" i="67" s="1"/>
  <c r="AE40" i="104"/>
  <c r="AO40" i="104"/>
  <c r="CN41" i="104"/>
  <c r="EA15" i="104"/>
  <c r="EA39" i="104" s="1"/>
  <c r="EA40" i="115"/>
  <c r="CW40" i="104"/>
  <c r="X8" i="67" s="1"/>
  <c r="O41" i="106"/>
  <c r="AC40" i="106"/>
  <c r="AY40" i="106"/>
  <c r="D11" i="67"/>
  <c r="F11" i="67" s="1"/>
  <c r="AC40" i="107"/>
  <c r="AM40" i="107"/>
  <c r="AW40" i="107"/>
  <c r="CX37" i="107"/>
  <c r="CX41" i="107" s="1"/>
  <c r="Q41" i="106"/>
  <c r="AE40" i="106"/>
  <c r="EB37" i="107"/>
  <c r="AA40" i="107"/>
  <c r="AK40" i="107"/>
  <c r="EA19" i="107"/>
  <c r="Y40" i="106"/>
  <c r="I41" i="107"/>
  <c r="AI40" i="107"/>
  <c r="AS40" i="107"/>
  <c r="EA21" i="109"/>
  <c r="CF35" i="109"/>
  <c r="AO40" i="105"/>
  <c r="M40" i="106"/>
  <c r="H10" i="67" s="1"/>
  <c r="AA40" i="106"/>
  <c r="AM40" i="106"/>
  <c r="AW40" i="106"/>
  <c r="M41" i="107"/>
  <c r="AE40" i="107"/>
  <c r="AO40" i="107"/>
  <c r="DG40" i="109"/>
  <c r="Z13" i="67" s="1"/>
  <c r="AA13" i="67" s="1"/>
  <c r="O12" i="67"/>
  <c r="Q12" i="67" s="1"/>
  <c r="Q40" i="108"/>
  <c r="J12" i="67" s="1"/>
  <c r="AO40" i="108"/>
  <c r="AY40" i="108"/>
  <c r="CO32" i="110"/>
  <c r="CX32" i="110"/>
  <c r="DH32" i="110"/>
  <c r="Q40" i="109"/>
  <c r="J13" i="67" s="1"/>
  <c r="AE40" i="109"/>
  <c r="AY40" i="109"/>
  <c r="DF41" i="109"/>
  <c r="DH9" i="111"/>
  <c r="DH11" i="111"/>
  <c r="CO13" i="111"/>
  <c r="DH13" i="111"/>
  <c r="CF18" i="111"/>
  <c r="CX18" i="111"/>
  <c r="CO25" i="111"/>
  <c r="CO30" i="111"/>
  <c r="DH30" i="111"/>
  <c r="CO34" i="111"/>
  <c r="EC35" i="111"/>
  <c r="CO35" i="111"/>
  <c r="DH35" i="111"/>
  <c r="CF37" i="111"/>
  <c r="CX37" i="111"/>
  <c r="O41" i="110"/>
  <c r="AE40" i="110"/>
  <c r="AS40" i="110"/>
  <c r="CD40" i="110"/>
  <c r="DH9" i="112"/>
  <c r="DH10" i="112"/>
  <c r="CX12" i="112"/>
  <c r="EC14" i="112"/>
  <c r="CO15" i="112"/>
  <c r="DH15" i="112"/>
  <c r="EC17" i="112"/>
  <c r="I40" i="108"/>
  <c r="G12" i="67" s="1"/>
  <c r="Y40" i="108"/>
  <c r="Y40" i="109"/>
  <c r="AI40" i="109"/>
  <c r="AS40" i="109"/>
  <c r="CX10" i="111"/>
  <c r="CO31" i="111"/>
  <c r="DH31" i="111"/>
  <c r="CX36" i="111"/>
  <c r="O14" i="67"/>
  <c r="Q14" i="67" s="1"/>
  <c r="Q40" i="110"/>
  <c r="J14" i="67" s="1"/>
  <c r="AI40" i="110"/>
  <c r="AU40" i="110"/>
  <c r="CX11" i="112"/>
  <c r="CX21" i="112"/>
  <c r="CX30" i="112"/>
  <c r="AA40" i="108"/>
  <c r="AK40" i="108"/>
  <c r="AU40" i="108"/>
  <c r="CE40" i="110"/>
  <c r="T14" i="67" s="1"/>
  <c r="M40" i="109"/>
  <c r="H13" i="67" s="1"/>
  <c r="AA40" i="109"/>
  <c r="AK40" i="109"/>
  <c r="AU40" i="109"/>
  <c r="CF13" i="111"/>
  <c r="CX13" i="111"/>
  <c r="CO18" i="111"/>
  <c r="DH18" i="111"/>
  <c r="CF25" i="111"/>
  <c r="CF30" i="111"/>
  <c r="CX30" i="111"/>
  <c r="CF34" i="111"/>
  <c r="CF35" i="111"/>
  <c r="CX35" i="111"/>
  <c r="CO37" i="111"/>
  <c r="DH37" i="111"/>
  <c r="I41" i="110"/>
  <c r="AK40" i="110"/>
  <c r="EC9" i="112"/>
  <c r="CX9" i="112"/>
  <c r="CO12" i="112"/>
  <c r="DH12" i="112"/>
  <c r="CF14" i="112"/>
  <c r="CF15" i="112"/>
  <c r="CX15" i="112"/>
  <c r="CF16" i="112"/>
  <c r="D12" i="67"/>
  <c r="F12" i="67" s="1"/>
  <c r="O41" i="108"/>
  <c r="AW40" i="108"/>
  <c r="CV40" i="108"/>
  <c r="EA40" i="109"/>
  <c r="O41" i="109"/>
  <c r="CO8" i="111"/>
  <c r="CO10" i="111"/>
  <c r="DH10" i="111"/>
  <c r="CO11" i="111"/>
  <c r="EC31" i="111"/>
  <c r="CF31" i="111"/>
  <c r="CX31" i="111"/>
  <c r="CO32" i="111"/>
  <c r="DH32" i="111"/>
  <c r="CF33" i="111"/>
  <c r="CX33" i="111"/>
  <c r="EC36" i="111"/>
  <c r="CO36" i="111"/>
  <c r="DH36" i="111"/>
  <c r="M41" i="110"/>
  <c r="AC40" i="110"/>
  <c r="EC11" i="112"/>
  <c r="CO11" i="112"/>
  <c r="DH11" i="112"/>
  <c r="CF18" i="112"/>
  <c r="CO21" i="112"/>
  <c r="CO22" i="112"/>
  <c r="DH22" i="112"/>
  <c r="CX22" i="112"/>
  <c r="CF23" i="112"/>
  <c r="CO24" i="112"/>
  <c r="CF28" i="112"/>
  <c r="CX28" i="112"/>
  <c r="EC30" i="112"/>
  <c r="CO30" i="112"/>
  <c r="DH30" i="112"/>
  <c r="DH33" i="112"/>
  <c r="EC34" i="112"/>
  <c r="CO34" i="112"/>
  <c r="EC36" i="112"/>
  <c r="CX10" i="112"/>
  <c r="EC13" i="112"/>
  <c r="CO13" i="112"/>
  <c r="DH13" i="112"/>
  <c r="CO14" i="112"/>
  <c r="DH14" i="112"/>
  <c r="DH16" i="112"/>
  <c r="CF21" i="112"/>
  <c r="DH21" i="112"/>
  <c r="EC22" i="112"/>
  <c r="CX23" i="112"/>
  <c r="CF25" i="112"/>
  <c r="CX25" i="112"/>
  <c r="CX27" i="112"/>
  <c r="EC29" i="112"/>
  <c r="CO29" i="112"/>
  <c r="DH29" i="112"/>
  <c r="CF32" i="112"/>
  <c r="CX32" i="112"/>
  <c r="CF33" i="112"/>
  <c r="DH34" i="112"/>
  <c r="CF36" i="112"/>
  <c r="CX36" i="112"/>
  <c r="CX9" i="113"/>
  <c r="CO10" i="113"/>
  <c r="DH10" i="113"/>
  <c r="CF8" i="113"/>
  <c r="CX8" i="113"/>
  <c r="CO9" i="113"/>
  <c r="CX13" i="112"/>
  <c r="CX14" i="112"/>
  <c r="EC21" i="112"/>
  <c r="DH23" i="112"/>
  <c r="CX24" i="112"/>
  <c r="CO25" i="112"/>
  <c r="CX29" i="112"/>
  <c r="CX34" i="112"/>
  <c r="CO36" i="112"/>
  <c r="DH36" i="112"/>
  <c r="Q40" i="113"/>
  <c r="J17" i="67" s="1"/>
  <c r="AC40" i="113"/>
  <c r="AS40" i="113"/>
  <c r="AW40" i="113"/>
  <c r="DH9" i="113"/>
  <c r="CX10" i="113"/>
  <c r="CN40" i="114"/>
  <c r="V18" i="67" s="1"/>
  <c r="W18" i="67" s="1"/>
  <c r="DH11" i="107"/>
  <c r="DH8" i="107"/>
  <c r="AV18" i="68"/>
  <c r="BF18" i="68"/>
  <c r="AV19" i="68"/>
  <c r="BF19" i="68"/>
  <c r="DH10" i="107"/>
  <c r="DH12" i="107"/>
  <c r="DH9" i="107"/>
  <c r="EC27" i="112"/>
  <c r="M41" i="114"/>
  <c r="AA40" i="114"/>
  <c r="AW40" i="114"/>
  <c r="CM40" i="114"/>
  <c r="Y40" i="105"/>
  <c r="AS40" i="105"/>
  <c r="EB41" i="114"/>
  <c r="AE40" i="114"/>
  <c r="AS40" i="114"/>
  <c r="CE41" i="114"/>
  <c r="DF41" i="114"/>
  <c r="BF14" i="68"/>
  <c r="I40" i="104"/>
  <c r="G8" i="67" s="1"/>
  <c r="O40" i="105"/>
  <c r="I9" i="67" s="1"/>
  <c r="AC40" i="105"/>
  <c r="AM40" i="105"/>
  <c r="AV17" i="68"/>
  <c r="EB39" i="113"/>
  <c r="EA39" i="113"/>
  <c r="EC39" i="113"/>
  <c r="C41" i="113"/>
  <c r="C17" i="67" s="1"/>
  <c r="E17" i="67" s="1"/>
  <c r="D16" i="67"/>
  <c r="F16" i="67" s="1"/>
  <c r="EC40" i="113"/>
  <c r="M40" i="113"/>
  <c r="H17" i="67" s="1"/>
  <c r="Q41" i="113"/>
  <c r="AA40" i="113"/>
  <c r="AE40" i="113"/>
  <c r="AK40" i="113"/>
  <c r="AO40" i="113"/>
  <c r="AU40" i="113"/>
  <c r="AY40" i="113"/>
  <c r="CM40" i="113"/>
  <c r="DF40" i="113"/>
  <c r="BF17" i="68"/>
  <c r="EB35" i="112"/>
  <c r="EA41" i="104"/>
  <c r="EA40" i="104"/>
  <c r="EB40" i="107"/>
  <c r="EB41" i="107"/>
  <c r="EB39" i="107"/>
  <c r="CN40" i="107"/>
  <c r="V11" i="67" s="1"/>
  <c r="CO37" i="107"/>
  <c r="CO41" i="107" s="1"/>
  <c r="CN41" i="107"/>
  <c r="DG41" i="107"/>
  <c r="DG40" i="107"/>
  <c r="Z11" i="67" s="1"/>
  <c r="W8" i="67"/>
  <c r="M10" i="67"/>
  <c r="CD41" i="110"/>
  <c r="D14" i="67"/>
  <c r="F14" i="67" s="1"/>
  <c r="I40" i="110"/>
  <c r="G14" i="67" s="1"/>
  <c r="C41" i="104"/>
  <c r="C8" i="67" s="1"/>
  <c r="E8" i="67" s="1"/>
  <c r="DF40" i="104"/>
  <c r="DG41" i="104"/>
  <c r="D8" i="67"/>
  <c r="F8" i="67" s="1"/>
  <c r="EC41" i="113"/>
  <c r="CV41" i="105"/>
  <c r="O41" i="105"/>
  <c r="F41" i="106"/>
  <c r="N10" i="67" s="1"/>
  <c r="P10" i="67" s="1"/>
  <c r="CD40" i="106"/>
  <c r="DF40" i="107"/>
  <c r="CV40" i="107"/>
  <c r="CD41" i="107"/>
  <c r="CM40" i="107"/>
  <c r="F41" i="107"/>
  <c r="N11" i="67" s="1"/>
  <c r="P11" i="67" s="1"/>
  <c r="F41" i="108"/>
  <c r="N12" i="67" s="1"/>
  <c r="P12" i="67" s="1"/>
  <c r="DF40" i="109"/>
  <c r="CM41" i="109"/>
  <c r="R13" i="67"/>
  <c r="M41" i="113"/>
  <c r="F41" i="114"/>
  <c r="N18" i="67" s="1"/>
  <c r="P18" i="67" s="1"/>
  <c r="CM41" i="114"/>
  <c r="CX38" i="104"/>
  <c r="CX41" i="104" s="1"/>
  <c r="DF41" i="107"/>
  <c r="O11" i="67"/>
  <c r="Q11" i="67" s="1"/>
  <c r="EC38" i="110"/>
  <c r="CF38" i="110"/>
  <c r="CF41" i="110" s="1"/>
  <c r="AV14" i="67" s="1"/>
  <c r="CF38" i="104"/>
  <c r="CF41" i="104" s="1"/>
  <c r="AV8" i="67" s="1"/>
  <c r="CF37" i="109"/>
  <c r="CF41" i="109" s="1"/>
  <c r="AV13" i="67" s="1"/>
  <c r="EB41" i="106"/>
  <c r="EB40" i="106"/>
  <c r="CF38" i="106"/>
  <c r="CF41" i="106" s="1"/>
  <c r="AV10" i="67" s="1"/>
  <c r="CE40" i="106"/>
  <c r="T10" i="67" s="1"/>
  <c r="CE41" i="106"/>
  <c r="CX38" i="106"/>
  <c r="CX41" i="106" s="1"/>
  <c r="CW40" i="106"/>
  <c r="X10" i="67" s="1"/>
  <c r="CW41" i="106"/>
  <c r="EB39" i="109"/>
  <c r="EB41" i="109"/>
  <c r="EB40" i="109"/>
  <c r="CN40" i="109"/>
  <c r="V13" i="67" s="1"/>
  <c r="W13" i="67" s="1"/>
  <c r="CO37" i="109"/>
  <c r="CO41" i="109" s="1"/>
  <c r="CN41" i="109"/>
  <c r="EA40" i="110"/>
  <c r="EA41" i="110"/>
  <c r="EB41" i="104"/>
  <c r="EB40" i="104"/>
  <c r="EC41" i="106"/>
  <c r="EC40" i="106"/>
  <c r="CN41" i="106"/>
  <c r="CO38" i="106"/>
  <c r="CO41" i="106" s="1"/>
  <c r="CN40" i="106"/>
  <c r="V10" i="67" s="1"/>
  <c r="DH38" i="106"/>
  <c r="DH41" i="106" s="1"/>
  <c r="DG40" i="106"/>
  <c r="Z10" i="67" s="1"/>
  <c r="DG41" i="106"/>
  <c r="CX37" i="109"/>
  <c r="CX41" i="109" s="1"/>
  <c r="CW41" i="109"/>
  <c r="CW40" i="109"/>
  <c r="X13" i="67" s="1"/>
  <c r="Y13" i="67" s="1"/>
  <c r="CO36" i="105"/>
  <c r="CO41" i="105" s="1"/>
  <c r="CN40" i="105"/>
  <c r="V9" i="67" s="1"/>
  <c r="W9" i="67" s="1"/>
  <c r="CN41" i="105"/>
  <c r="DH36" i="105"/>
  <c r="DH41" i="105" s="1"/>
  <c r="DG41" i="105"/>
  <c r="DG40" i="105"/>
  <c r="Z9" i="67" s="1"/>
  <c r="AA9" i="67" s="1"/>
  <c r="R14" i="67"/>
  <c r="CV41" i="110"/>
  <c r="C41" i="110"/>
  <c r="C14" i="67" s="1"/>
  <c r="E14" i="67" s="1"/>
  <c r="O40" i="110"/>
  <c r="I14" i="67" s="1"/>
  <c r="CE41" i="104"/>
  <c r="CE40" i="104"/>
  <c r="T8" i="67" s="1"/>
  <c r="CD41" i="104"/>
  <c r="Q40" i="104"/>
  <c r="J8" i="67" s="1"/>
  <c r="M8" i="67" s="1"/>
  <c r="CW41" i="104"/>
  <c r="EC40" i="107"/>
  <c r="DF41" i="106"/>
  <c r="CD41" i="106"/>
  <c r="CM40" i="106"/>
  <c r="CV40" i="106"/>
  <c r="CV41" i="106"/>
  <c r="I40" i="106"/>
  <c r="G10" i="67" s="1"/>
  <c r="I41" i="108"/>
  <c r="C41" i="107"/>
  <c r="C11" i="67" s="1"/>
  <c r="E11" i="67" s="1"/>
  <c r="F41" i="109"/>
  <c r="N13" i="67" s="1"/>
  <c r="P13" i="67" s="1"/>
  <c r="F40" i="109"/>
  <c r="L13" i="67" s="1"/>
  <c r="M13" i="67" s="1"/>
  <c r="CV40" i="109"/>
  <c r="CM40" i="109"/>
  <c r="CD41" i="109"/>
  <c r="O10" i="67"/>
  <c r="Q10" i="67" s="1"/>
  <c r="O13" i="67"/>
  <c r="Q13" i="67" s="1"/>
  <c r="EC37" i="109"/>
  <c r="EC38" i="111"/>
  <c r="CF38" i="111"/>
  <c r="R8" i="67"/>
  <c r="Y8" i="67"/>
  <c r="U8" i="67"/>
  <c r="AA8" i="67"/>
  <c r="AW40" i="112"/>
  <c r="Q41" i="112"/>
  <c r="M40" i="112"/>
  <c r="H16" i="67" s="1"/>
  <c r="C41" i="112"/>
  <c r="C16" i="67" s="1"/>
  <c r="E16" i="67" s="1"/>
  <c r="EB17" i="112"/>
  <c r="EB39" i="112" s="1"/>
  <c r="CV40" i="112"/>
  <c r="CM40" i="112"/>
  <c r="CD40" i="112"/>
  <c r="AU40" i="112"/>
  <c r="AO40" i="112"/>
  <c r="AA40" i="112"/>
  <c r="Q40" i="112"/>
  <c r="J16" i="67" s="1"/>
  <c r="O41" i="112"/>
  <c r="M41" i="112"/>
  <c r="DF40" i="112"/>
  <c r="CD41" i="112"/>
  <c r="AY40" i="112"/>
  <c r="AM40" i="112"/>
  <c r="AE40" i="112"/>
  <c r="I41" i="112"/>
  <c r="F40" i="112"/>
  <c r="L16" i="67" s="1"/>
  <c r="EA40" i="112"/>
  <c r="EA39" i="112"/>
  <c r="EA38" i="112"/>
  <c r="CE8" i="112"/>
  <c r="EC38" i="112"/>
  <c r="EC40" i="112"/>
  <c r="I40" i="112"/>
  <c r="G16" i="67" s="1"/>
  <c r="R16" i="67" s="1"/>
  <c r="EB38" i="112"/>
  <c r="F41" i="112"/>
  <c r="N16" i="67" s="1"/>
  <c r="P16" i="67" s="1"/>
  <c r="O16" i="67"/>
  <c r="Q16" i="67" s="1"/>
  <c r="BF16" i="68"/>
  <c r="AV16" i="68"/>
  <c r="AS40" i="112"/>
  <c r="AI40" i="112"/>
  <c r="AC40" i="112"/>
  <c r="Y40" i="112"/>
  <c r="O40" i="112"/>
  <c r="I16" i="67" s="1"/>
  <c r="EC39" i="112"/>
  <c r="AO40" i="111"/>
  <c r="CD41" i="111"/>
  <c r="AS40" i="111"/>
  <c r="F40" i="111"/>
  <c r="L15" i="67" s="1"/>
  <c r="EB31" i="111"/>
  <c r="DF41" i="111"/>
  <c r="W14" i="67"/>
  <c r="U14" i="67"/>
  <c r="AW40" i="111"/>
  <c r="O40" i="111"/>
  <c r="I15" i="67" s="1"/>
  <c r="CF14" i="111"/>
  <c r="CO14" i="111"/>
  <c r="CX14" i="111"/>
  <c r="DH14" i="111"/>
  <c r="CF16" i="111"/>
  <c r="CO16" i="111"/>
  <c r="CX16" i="111"/>
  <c r="DH16" i="111"/>
  <c r="EC18" i="111"/>
  <c r="CF19" i="111"/>
  <c r="CO19" i="111"/>
  <c r="CX19" i="111"/>
  <c r="DH19" i="111"/>
  <c r="EC23" i="111"/>
  <c r="CF23" i="111"/>
  <c r="CO23" i="111"/>
  <c r="CX23" i="111"/>
  <c r="DH23" i="111"/>
  <c r="DH25" i="111"/>
  <c r="EB26" i="111"/>
  <c r="CF27" i="111"/>
  <c r="CO27" i="111"/>
  <c r="CX27" i="111"/>
  <c r="DH27" i="111"/>
  <c r="CF29" i="111"/>
  <c r="CO29" i="111"/>
  <c r="CX29" i="111"/>
  <c r="DH29" i="111"/>
  <c r="CO38" i="110"/>
  <c r="CO41" i="110" s="1"/>
  <c r="DH38" i="110"/>
  <c r="DH41" i="110" s="1"/>
  <c r="CF11" i="111"/>
  <c r="CX11" i="111"/>
  <c r="CF15" i="111"/>
  <c r="CO15" i="111"/>
  <c r="CX15" i="111"/>
  <c r="DH15" i="111"/>
  <c r="CF17" i="111"/>
  <c r="CO17" i="111"/>
  <c r="CX17" i="111"/>
  <c r="DH17" i="111"/>
  <c r="CF20" i="111"/>
  <c r="CO20" i="111"/>
  <c r="CX20" i="111"/>
  <c r="DH20" i="111"/>
  <c r="CF21" i="111"/>
  <c r="CO21" i="111"/>
  <c r="CX21" i="111"/>
  <c r="DH21" i="111"/>
  <c r="CF22" i="111"/>
  <c r="CO22" i="111"/>
  <c r="CX22" i="111"/>
  <c r="DH22" i="111"/>
  <c r="CF24" i="111"/>
  <c r="M40" i="111"/>
  <c r="H15" i="67" s="1"/>
  <c r="EC26" i="111"/>
  <c r="CF26" i="111"/>
  <c r="CO26" i="111"/>
  <c r="CX26" i="111"/>
  <c r="DH26" i="111"/>
  <c r="CF28" i="111"/>
  <c r="CO28" i="111"/>
  <c r="CX28" i="111"/>
  <c r="DH28" i="111"/>
  <c r="CX38" i="110"/>
  <c r="CX41" i="110" s="1"/>
  <c r="CW40" i="110"/>
  <c r="X14" i="67" s="1"/>
  <c r="Y14" i="67" s="1"/>
  <c r="CW41" i="110"/>
  <c r="CE41" i="110"/>
  <c r="AA14" i="67"/>
  <c r="M40" i="110"/>
  <c r="H14" i="67" s="1"/>
  <c r="F41" i="110"/>
  <c r="N14" i="67" s="1"/>
  <c r="P14" i="67" s="1"/>
  <c r="F40" i="110"/>
  <c r="L14" i="67" s="1"/>
  <c r="M14" i="67" s="1"/>
  <c r="EB38" i="110"/>
  <c r="EB28" i="111"/>
  <c r="AI40" i="111"/>
  <c r="CV41" i="111"/>
  <c r="Q40" i="111"/>
  <c r="J15" i="67" s="1"/>
  <c r="C40" i="111"/>
  <c r="B15" i="67" s="1"/>
  <c r="CM41" i="111"/>
  <c r="CD40" i="111"/>
  <c r="AY40" i="111"/>
  <c r="AU40" i="111"/>
  <c r="AK40" i="111"/>
  <c r="Q41" i="111"/>
  <c r="M41" i="111"/>
  <c r="EA37" i="107"/>
  <c r="C40" i="107"/>
  <c r="B11" i="67" s="1"/>
  <c r="R11" i="67" s="1"/>
  <c r="Q40" i="107"/>
  <c r="J11" i="67" s="1"/>
  <c r="M11" i="67" s="1"/>
  <c r="Q41" i="107"/>
  <c r="CF37" i="107"/>
  <c r="CF41" i="107" s="1"/>
  <c r="AV11" i="67" s="1"/>
  <c r="CE40" i="107"/>
  <c r="T11" i="67" s="1"/>
  <c r="U11" i="67" s="1"/>
  <c r="CE41" i="107"/>
  <c r="CW40" i="107"/>
  <c r="X11" i="67" s="1"/>
  <c r="CW41" i="107"/>
  <c r="EA38" i="108"/>
  <c r="EC38" i="108"/>
  <c r="C41" i="108"/>
  <c r="C12" i="67" s="1"/>
  <c r="E12" i="67" s="1"/>
  <c r="C40" i="108"/>
  <c r="B12" i="67" s="1"/>
  <c r="R12" i="67" s="1"/>
  <c r="CE38" i="108"/>
  <c r="CD40" i="108"/>
  <c r="CW38" i="108"/>
  <c r="CV41" i="108"/>
  <c r="EA41" i="109"/>
  <c r="EA39" i="109"/>
  <c r="CE40" i="109"/>
  <c r="T13" i="67" s="1"/>
  <c r="U13" i="67" s="1"/>
  <c r="CE41" i="109"/>
  <c r="EA38" i="111"/>
  <c r="D15" i="67"/>
  <c r="C41" i="111"/>
  <c r="C15" i="67" s="1"/>
  <c r="CW38" i="111"/>
  <c r="CX38" i="111" s="1"/>
  <c r="CV40" i="111"/>
  <c r="CN37" i="112"/>
  <c r="CM41" i="112"/>
  <c r="DG37" i="112"/>
  <c r="DF41" i="112"/>
  <c r="CO37" i="114"/>
  <c r="CO41" i="114" s="1"/>
  <c r="CN41" i="114"/>
  <c r="EB38" i="113"/>
  <c r="F40" i="113"/>
  <c r="L17" i="67" s="1"/>
  <c r="M17" i="67" s="1"/>
  <c r="F41" i="113"/>
  <c r="N17" i="67" s="1"/>
  <c r="P17" i="67" s="1"/>
  <c r="CN38" i="113"/>
  <c r="CM41" i="113"/>
  <c r="DG38" i="113"/>
  <c r="DF41" i="113"/>
  <c r="Q40" i="114"/>
  <c r="J18" i="67" s="1"/>
  <c r="J22" i="67" s="1"/>
  <c r="Q41" i="114"/>
  <c r="DG37" i="114"/>
  <c r="DF40" i="114"/>
  <c r="CX36" i="105"/>
  <c r="CX41" i="105" s="1"/>
  <c r="CW40" i="105"/>
  <c r="X9" i="67" s="1"/>
  <c r="Y9" i="67" s="1"/>
  <c r="CW41" i="105"/>
  <c r="DH37" i="107"/>
  <c r="DH41" i="107" s="1"/>
  <c r="AT20" i="68"/>
  <c r="AR20" i="68"/>
  <c r="AP20" i="68"/>
  <c r="AN20" i="68"/>
  <c r="AL20" i="68"/>
  <c r="BD20" i="68"/>
  <c r="BB20" i="68"/>
  <c r="AZ20" i="68"/>
  <c r="EC39" i="114"/>
  <c r="EC41" i="114"/>
  <c r="DH37" i="109"/>
  <c r="DH41" i="109" s="1"/>
  <c r="DG41" i="109"/>
  <c r="EB38" i="108"/>
  <c r="F40" i="108"/>
  <c r="L12" i="67" s="1"/>
  <c r="M12" i="67" s="1"/>
  <c r="M40" i="108"/>
  <c r="H12" i="67" s="1"/>
  <c r="M41" i="108"/>
  <c r="CN38" i="108"/>
  <c r="CM40" i="108"/>
  <c r="EB38" i="111"/>
  <c r="F41" i="111"/>
  <c r="N15" i="67" s="1"/>
  <c r="CN38" i="111"/>
  <c r="CO38" i="111" s="1"/>
  <c r="CM40" i="111"/>
  <c r="DG38" i="111"/>
  <c r="DH38" i="111" s="1"/>
  <c r="DF40" i="111"/>
  <c r="CW37" i="112"/>
  <c r="CV41" i="112"/>
  <c r="EA38" i="113"/>
  <c r="C40" i="113"/>
  <c r="B17" i="67" s="1"/>
  <c r="R17" i="67" s="1"/>
  <c r="CE38" i="113"/>
  <c r="CD40" i="113"/>
  <c r="CW38" i="113"/>
  <c r="CV41" i="113"/>
  <c r="EA37" i="114"/>
  <c r="C40" i="114"/>
  <c r="B18" i="67" s="1"/>
  <c r="CW37" i="114"/>
  <c r="CV40" i="114"/>
  <c r="EC36" i="105"/>
  <c r="I40" i="105"/>
  <c r="G9" i="67" s="1"/>
  <c r="R9" i="67" s="1"/>
  <c r="I41" i="105"/>
  <c r="CE36" i="105"/>
  <c r="CD41" i="105"/>
  <c r="EA38" i="106"/>
  <c r="C40" i="106"/>
  <c r="B10" i="67" s="1"/>
  <c r="W10" i="67" s="1"/>
  <c r="C41" i="106"/>
  <c r="C10" i="67" s="1"/>
  <c r="E10" i="67" s="1"/>
  <c r="DG38" i="108"/>
  <c r="DF41" i="108"/>
  <c r="DF40" i="108"/>
  <c r="AU20" i="68"/>
  <c r="AS20" i="68"/>
  <c r="AQ20" i="68"/>
  <c r="AO20" i="68"/>
  <c r="AM20" i="68"/>
  <c r="AK20" i="68"/>
  <c r="BE20" i="68"/>
  <c r="BC20" i="68"/>
  <c r="BA20" i="68"/>
  <c r="AY20" i="68"/>
  <c r="AE40" i="111"/>
  <c r="EC41" i="111"/>
  <c r="Y40" i="111"/>
  <c r="I40" i="111"/>
  <c r="G15" i="67" s="1"/>
  <c r="B20" i="67"/>
  <c r="EC39" i="111"/>
  <c r="EC40" i="111"/>
  <c r="DH12" i="111"/>
  <c r="DH41" i="111" s="1"/>
  <c r="DG41" i="111"/>
  <c r="DG40" i="111"/>
  <c r="Z15" i="67" s="1"/>
  <c r="CW40" i="111"/>
  <c r="X15" i="67" s="1"/>
  <c r="CX12" i="111"/>
  <c r="CW41" i="111"/>
  <c r="CO12" i="111"/>
  <c r="CO41" i="111" s="1"/>
  <c r="CF12" i="111"/>
  <c r="CF41" i="111" s="1"/>
  <c r="AV15" i="67" s="1"/>
  <c r="CE40" i="111"/>
  <c r="T15" i="67" s="1"/>
  <c r="CE41" i="111"/>
  <c r="AX23" i="67"/>
  <c r="AX22" i="67"/>
  <c r="AX21" i="67"/>
  <c r="AW21" i="67"/>
  <c r="AW22" i="67"/>
  <c r="AW23" i="67"/>
  <c r="AU23" i="67"/>
  <c r="AU22" i="67"/>
  <c r="AU21" i="67"/>
  <c r="AT22" i="67"/>
  <c r="AT23" i="67"/>
  <c r="AT21" i="67"/>
  <c r="AS23" i="67"/>
  <c r="AS22" i="67"/>
  <c r="AS21" i="67"/>
  <c r="AR21" i="67"/>
  <c r="AR23" i="67"/>
  <c r="AR22" i="67"/>
  <c r="AQ22" i="67"/>
  <c r="AQ23" i="67"/>
  <c r="AQ21" i="67"/>
  <c r="AP23" i="67"/>
  <c r="AP22" i="67"/>
  <c r="AP21" i="67"/>
  <c r="BF15" i="68"/>
  <c r="AX20" i="68"/>
  <c r="AN21" i="67"/>
  <c r="AN23" i="67"/>
  <c r="AN22" i="67"/>
  <c r="AM22" i="67"/>
  <c r="AM23" i="67"/>
  <c r="AM21" i="67"/>
  <c r="AL21" i="67"/>
  <c r="AL23" i="67"/>
  <c r="AL22" i="67"/>
  <c r="AK22" i="67"/>
  <c r="AK23" i="67"/>
  <c r="AK21" i="67"/>
  <c r="AJ21" i="67"/>
  <c r="AJ22" i="67"/>
  <c r="AJ23" i="67"/>
  <c r="AI22" i="67"/>
  <c r="AI23" i="67"/>
  <c r="AI21" i="67"/>
  <c r="AH21" i="67"/>
  <c r="AH22" i="67"/>
  <c r="AH23" i="67"/>
  <c r="AG23" i="67"/>
  <c r="AG21" i="67"/>
  <c r="AG22" i="67"/>
  <c r="AF21" i="67"/>
  <c r="AF22" i="67"/>
  <c r="AF23" i="67"/>
  <c r="AE22" i="67"/>
  <c r="AE21" i="67"/>
  <c r="AE23" i="67"/>
  <c r="AD23" i="67"/>
  <c r="AD21" i="67"/>
  <c r="AD22" i="67"/>
  <c r="AC23" i="67"/>
  <c r="AC21" i="67"/>
  <c r="AC22" i="67"/>
  <c r="AJ20" i="68"/>
  <c r="AV15" i="68"/>
  <c r="J23" i="67"/>
  <c r="I20" i="67"/>
  <c r="I23" i="67"/>
  <c r="H20" i="67"/>
  <c r="G21" i="67"/>
  <c r="U15" i="67"/>
  <c r="G20" i="67"/>
  <c r="I41" i="111"/>
  <c r="M15" i="67"/>
  <c r="P15" i="67"/>
  <c r="EB40" i="111"/>
  <c r="EB41" i="111"/>
  <c r="EB39" i="111"/>
  <c r="EA39" i="111"/>
  <c r="EA40" i="111"/>
  <c r="EA41" i="111"/>
  <c r="E15" i="67"/>
  <c r="Y11" i="67" l="1"/>
  <c r="H23" i="67"/>
  <c r="EB40" i="112"/>
  <c r="EC41" i="104"/>
  <c r="EC40" i="104"/>
  <c r="EC39" i="104"/>
  <c r="L20" i="67"/>
  <c r="L22" i="67"/>
  <c r="BF20" i="68"/>
  <c r="O23" i="67"/>
  <c r="Q23" i="67"/>
  <c r="EC40" i="110"/>
  <c r="EC41" i="110"/>
  <c r="EC39" i="109"/>
  <c r="EC40" i="109"/>
  <c r="EC41" i="109"/>
  <c r="U10" i="67"/>
  <c r="B23" i="67"/>
  <c r="H22" i="67"/>
  <c r="C21" i="67"/>
  <c r="J20" i="67"/>
  <c r="I21" i="67"/>
  <c r="P21" i="67"/>
  <c r="G23" i="67"/>
  <c r="I22" i="67"/>
  <c r="M16" i="67"/>
  <c r="M21" i="67" s="1"/>
  <c r="CE40" i="112"/>
  <c r="T16" i="67" s="1"/>
  <c r="U16" i="67" s="1"/>
  <c r="CE41" i="112"/>
  <c r="CF8" i="112"/>
  <c r="CF41" i="112" s="1"/>
  <c r="AV16" i="67" s="1"/>
  <c r="AV20" i="68"/>
  <c r="N23" i="67"/>
  <c r="N21" i="67"/>
  <c r="CN40" i="111"/>
  <c r="V15" i="67" s="1"/>
  <c r="CN41" i="111"/>
  <c r="CX41" i="111"/>
  <c r="H21" i="67"/>
  <c r="EB41" i="110"/>
  <c r="EB40" i="110"/>
  <c r="R15" i="67"/>
  <c r="C22" i="67"/>
  <c r="CX38" i="108"/>
  <c r="CX41" i="108" s="1"/>
  <c r="CW40" i="108"/>
  <c r="X12" i="67" s="1"/>
  <c r="Y12" i="67" s="1"/>
  <c r="CW41" i="108"/>
  <c r="CF38" i="108"/>
  <c r="CF41" i="108" s="1"/>
  <c r="AV12" i="67" s="1"/>
  <c r="CE40" i="108"/>
  <c r="T12" i="67" s="1"/>
  <c r="U12" i="67" s="1"/>
  <c r="CE41" i="108"/>
  <c r="EA40" i="108"/>
  <c r="EA41" i="108"/>
  <c r="AA11" i="67"/>
  <c r="EA41" i="106"/>
  <c r="EA40" i="106"/>
  <c r="CE41" i="105"/>
  <c r="CF36" i="105"/>
  <c r="CF41" i="105" s="1"/>
  <c r="AV9" i="67" s="1"/>
  <c r="CE40" i="105"/>
  <c r="T9" i="67" s="1"/>
  <c r="U9" i="67" s="1"/>
  <c r="DH37" i="114"/>
  <c r="DH41" i="114" s="1"/>
  <c r="DG41" i="114"/>
  <c r="DG40" i="114"/>
  <c r="Z18" i="67" s="1"/>
  <c r="AA18" i="67" s="1"/>
  <c r="DH38" i="113"/>
  <c r="DH41" i="113" s="1"/>
  <c r="DG41" i="113"/>
  <c r="DG40" i="113"/>
  <c r="Z17" i="67" s="1"/>
  <c r="AA17" i="67" s="1"/>
  <c r="CO38" i="113"/>
  <c r="CO41" i="113" s="1"/>
  <c r="CN41" i="113"/>
  <c r="CN40" i="113"/>
  <c r="V17" i="67" s="1"/>
  <c r="W17" i="67" s="1"/>
  <c r="DH38" i="108"/>
  <c r="DH41" i="108" s="1"/>
  <c r="DG41" i="108"/>
  <c r="DG40" i="108"/>
  <c r="Z12" i="67" s="1"/>
  <c r="AA12" i="67" s="1"/>
  <c r="Y10" i="67"/>
  <c r="R10" i="67"/>
  <c r="R21" i="67" s="1"/>
  <c r="AA10" i="67"/>
  <c r="B21" i="67"/>
  <c r="CX37" i="114"/>
  <c r="CX41" i="114" s="1"/>
  <c r="CW41" i="114"/>
  <c r="CW40" i="114"/>
  <c r="X18" i="67" s="1"/>
  <c r="Y18" i="67" s="1"/>
  <c r="EA39" i="114"/>
  <c r="EA40" i="114"/>
  <c r="EA41" i="114"/>
  <c r="CW40" i="113"/>
  <c r="X17" i="67" s="1"/>
  <c r="Y17" i="67" s="1"/>
  <c r="CX38" i="113"/>
  <c r="CX41" i="113" s="1"/>
  <c r="CW41" i="113"/>
  <c r="CF38" i="113"/>
  <c r="CF41" i="113" s="1"/>
  <c r="CE41" i="113"/>
  <c r="CE40" i="113"/>
  <c r="T17" i="67" s="1"/>
  <c r="U17" i="67" s="1"/>
  <c r="EA41" i="113"/>
  <c r="EA40" i="113"/>
  <c r="CX37" i="112"/>
  <c r="CX41" i="112" s="1"/>
  <c r="CW41" i="112"/>
  <c r="CW40" i="112"/>
  <c r="X16" i="67" s="1"/>
  <c r="Y16" i="67" s="1"/>
  <c r="CO38" i="108"/>
  <c r="CO41" i="108" s="1"/>
  <c r="CN41" i="108"/>
  <c r="CN40" i="108"/>
  <c r="V12" i="67" s="1"/>
  <c r="W12" i="67" s="1"/>
  <c r="EB40" i="108"/>
  <c r="EB41" i="108"/>
  <c r="EB41" i="113"/>
  <c r="EB40" i="113"/>
  <c r="DG40" i="112"/>
  <c r="Z16" i="67" s="1"/>
  <c r="AA16" i="67" s="1"/>
  <c r="DH37" i="112"/>
  <c r="DH41" i="112" s="1"/>
  <c r="DG41" i="112"/>
  <c r="CO37" i="112"/>
  <c r="CO41" i="112" s="1"/>
  <c r="CN40" i="112"/>
  <c r="V16" i="67" s="1"/>
  <c r="W16" i="67" s="1"/>
  <c r="CN41" i="112"/>
  <c r="F15" i="67"/>
  <c r="F23" i="67" s="1"/>
  <c r="D23" i="67"/>
  <c r="EC41" i="108"/>
  <c r="EC40" i="108"/>
  <c r="EA39" i="107"/>
  <c r="EA41" i="107"/>
  <c r="EA40" i="107"/>
  <c r="C23" i="67"/>
  <c r="N22" i="67"/>
  <c r="L21" i="67"/>
  <c r="L23" i="67"/>
  <c r="G22" i="67"/>
  <c r="J21" i="67"/>
  <c r="B22" i="67"/>
  <c r="W11" i="67"/>
  <c r="AA15" i="67"/>
  <c r="Y15" i="67"/>
  <c r="W15" i="67"/>
  <c r="P22" i="67"/>
  <c r="P23" i="67"/>
  <c r="E23" i="67"/>
  <c r="E22" i="67"/>
  <c r="R23" i="67" l="1"/>
  <c r="T22" i="67"/>
  <c r="R22" i="67"/>
  <c r="AV22" i="67"/>
  <c r="AV23" i="67"/>
  <c r="AV21" i="67"/>
  <c r="U23" i="67"/>
  <c r="M23" i="67"/>
  <c r="M22" i="67"/>
  <c r="M20" i="67"/>
  <c r="V22" i="67"/>
  <c r="V23" i="67"/>
  <c r="X22" i="67"/>
  <c r="U22" i="67"/>
  <c r="T20" i="67"/>
  <c r="Z22" i="67"/>
  <c r="X21" i="67"/>
  <c r="U21" i="67"/>
  <c r="T23" i="67"/>
  <c r="T21" i="67"/>
  <c r="V20" i="67"/>
  <c r="V21" i="67"/>
  <c r="X20" i="67"/>
  <c r="X23" i="67"/>
  <c r="Z23" i="67"/>
  <c r="Z20" i="67"/>
  <c r="Z21" i="67"/>
  <c r="AA21" i="67"/>
  <c r="AA22" i="67"/>
  <c r="AA23" i="67"/>
  <c r="Y21" i="67"/>
  <c r="Y22" i="67"/>
  <c r="Y23" i="67"/>
  <c r="W22" i="67"/>
  <c r="W21" i="67"/>
  <c r="W23" i="67"/>
  <c r="AK40" i="112"/>
</calcChain>
</file>

<file path=xl/sharedStrings.xml><?xml version="1.0" encoding="utf-8"?>
<sst xmlns="http://schemas.openxmlformats.org/spreadsheetml/2006/main" count="5232" uniqueCount="452">
  <si>
    <t>Operator Initials</t>
  </si>
  <si>
    <t>Date</t>
  </si>
  <si>
    <t>Total</t>
  </si>
  <si>
    <t>Average</t>
  </si>
  <si>
    <t>pH</t>
  </si>
  <si>
    <t>Hour Meter Reading</t>
  </si>
  <si>
    <t>Hours Run</t>
  </si>
  <si>
    <t>Avg</t>
  </si>
  <si>
    <t>Month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</si>
  <si>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</si>
  <si>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</si>
  <si>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</si>
  <si>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</si>
  <si>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</si>
  <si>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</si>
  <si>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</si>
  <si>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</si>
  <si>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</si>
  <si>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</si>
  <si>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</si>
  <si>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LLP-1</t>
  </si>
  <si>
    <t>LLP-2</t>
  </si>
  <si>
    <t>Colour           (PtCo)</t>
  </si>
  <si>
    <t>Aluminum Residual             (mg/L)</t>
  </si>
  <si>
    <t>Treated Water</t>
  </si>
  <si>
    <t>Turbidity                  (NTU)</t>
  </si>
  <si>
    <t>Time of Chlorine Residual Sample</t>
  </si>
  <si>
    <t>Min.</t>
  </si>
  <si>
    <t>Max.</t>
  </si>
  <si>
    <t>Colour                          (PtCo)</t>
  </si>
  <si>
    <t>February</t>
  </si>
  <si>
    <t>Turbidity              (NTU)</t>
  </si>
  <si>
    <t>Litres per Second             (L/s)</t>
  </si>
  <si>
    <t>Comments</t>
  </si>
  <si>
    <t>Comments/Observations</t>
  </si>
  <si>
    <t>Minimum</t>
  </si>
  <si>
    <t>Maximum</t>
  </si>
  <si>
    <t>Raw</t>
  </si>
  <si>
    <t>Raw Water</t>
  </si>
  <si>
    <t>Distribution</t>
  </si>
  <si>
    <t>Turbidity                                     (NTU)</t>
  </si>
  <si>
    <t>Colour                                          (PtCo)</t>
  </si>
  <si>
    <t>Alum Residual                        (mg/L)</t>
  </si>
  <si>
    <t>Number of HPC Samples</t>
  </si>
  <si>
    <t>Routine Sample? (Y/N)</t>
  </si>
  <si>
    <t>Number of Samples</t>
  </si>
  <si>
    <t>Sampler Initials</t>
  </si>
  <si>
    <t>Sample Information</t>
  </si>
  <si>
    <t>Sample Date (month and day)</t>
  </si>
  <si>
    <t xml:space="preserve">The first row is an example of how to enter sampling results. </t>
  </si>
  <si>
    <t>Location of Sample</t>
  </si>
  <si>
    <t>Routine Sample?                   (Y/N)</t>
  </si>
  <si>
    <t>Sample Type             (R/T/D)</t>
  </si>
  <si>
    <t>Trihalomethanes</t>
  </si>
  <si>
    <t>Nitrate/Nitrite</t>
  </si>
  <si>
    <t>Nitrate Result                                  (mg/L)</t>
  </si>
  <si>
    <t>Nitrite Result                                 (mg/L)</t>
  </si>
  <si>
    <t>Total THMs Result                                           (ug/L)</t>
  </si>
  <si>
    <t>Total Coliform Result                                         (MPN/100mL)</t>
  </si>
  <si>
    <t>Total Coliform Result                                                 (MPN/100mL)</t>
  </si>
  <si>
    <t>Maximum Total Coliform Result                                               (MPN/100mL)</t>
  </si>
  <si>
    <t>Maximum HPC Result                                (CFU/mL)</t>
  </si>
  <si>
    <t>Maximum HPC Result                                  (CFU/mL)</t>
  </si>
  <si>
    <t>Low Lift Pumps</t>
  </si>
  <si>
    <t>Treated</t>
  </si>
  <si>
    <t>HLP-2</t>
  </si>
  <si>
    <r>
      <t>Total Flow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</si>
  <si>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r>
      <t>Total Monthly Raw Flow                                                      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/month)</t>
    </r>
  </si>
  <si>
    <r>
      <t>Average Daily Raw Flow                                       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/day)</t>
    </r>
  </si>
  <si>
    <r>
      <t>Maximum Daily Raw Flow                                       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/day)</t>
    </r>
  </si>
  <si>
    <r>
      <t>Temperature                                   (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>C)</t>
    </r>
  </si>
  <si>
    <r>
      <t>Alkalinity                                          (mg/L as CaCO</t>
    </r>
    <r>
      <rPr>
        <vertAlign val="subscript"/>
        <sz val="9"/>
        <rFont val="Arial"/>
        <family val="2"/>
      </rPr>
      <t>3</t>
    </r>
    <r>
      <rPr>
        <sz val="9"/>
        <rFont val="Arial"/>
        <family val="2"/>
      </rPr>
      <t>)</t>
    </r>
  </si>
  <si>
    <r>
      <t xml:space="preserve">Total </t>
    </r>
    <r>
      <rPr>
        <i/>
        <sz val="9"/>
        <rFont val="Arial"/>
        <family val="2"/>
      </rPr>
      <t>E. Coli</t>
    </r>
    <r>
      <rPr>
        <sz val="9"/>
        <rFont val="Arial"/>
        <family val="2"/>
      </rPr>
      <t xml:space="preserve"> Result                                              (MPN/100mL)</t>
    </r>
  </si>
  <si>
    <r>
      <t xml:space="preserve">Total </t>
    </r>
    <r>
      <rPr>
        <i/>
        <sz val="9"/>
        <rFont val="Arial"/>
        <family val="2"/>
      </rPr>
      <t>E. Coli</t>
    </r>
    <r>
      <rPr>
        <sz val="9"/>
        <rFont val="Arial"/>
        <family val="2"/>
      </rPr>
      <t xml:space="preserve"> Result                                                       (MPN/100mL)</t>
    </r>
  </si>
  <si>
    <r>
      <t xml:space="preserve">Maximum Total </t>
    </r>
    <r>
      <rPr>
        <i/>
        <sz val="9"/>
        <rFont val="Arial"/>
        <family val="2"/>
      </rPr>
      <t xml:space="preserve">E. Coli            </t>
    </r>
    <r>
      <rPr>
        <sz val="9"/>
        <rFont val="Arial"/>
        <family val="2"/>
      </rPr>
      <t xml:space="preserve">                      (MPN/100mL)</t>
    </r>
  </si>
  <si>
    <t>HLP-3</t>
  </si>
  <si>
    <t>Filter Effluent</t>
  </si>
  <si>
    <t>Actual Dosage            (mg/L)</t>
  </si>
  <si>
    <t>Amount Used             (cm)</t>
  </si>
  <si>
    <t>Litres Used          (L)</t>
  </si>
  <si>
    <r>
      <t>Temp.                 (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C)</t>
    </r>
  </si>
  <si>
    <r>
      <t>Alkalinity               (mg/L as CaCO</t>
    </r>
    <r>
      <rPr>
        <vertAlign val="subscript"/>
        <sz val="8"/>
        <rFont val="Arial"/>
        <family val="2"/>
      </rPr>
      <t>3</t>
    </r>
    <r>
      <rPr>
        <sz val="8"/>
        <rFont val="Arial"/>
        <family val="2"/>
      </rPr>
      <t>)</t>
    </r>
  </si>
  <si>
    <r>
      <t>Temp.             (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C)</t>
    </r>
  </si>
  <si>
    <r>
      <t>Meter Reading           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</si>
  <si>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Maximum Turbidity                    (NTU)</t>
  </si>
  <si>
    <t>Turbidity             (NTU)</t>
  </si>
  <si>
    <t>Treated (POE)</t>
  </si>
  <si>
    <t>Average Daily Raw Flow vs. PTTW Limits (%)</t>
  </si>
  <si>
    <t>Maximum Daily Raw Flow vs. PTTW Limits (%)</t>
  </si>
  <si>
    <t>Water Quality (1)</t>
  </si>
  <si>
    <t>Water Quality (2)</t>
  </si>
  <si>
    <t>Compliance</t>
  </si>
  <si>
    <t>Treated (Point-of-Entry)</t>
  </si>
  <si>
    <t>High Lift Pumps</t>
  </si>
  <si>
    <t>Backwash Pumps</t>
  </si>
  <si>
    <t>BWP-1</t>
  </si>
  <si>
    <t>BWP-2</t>
  </si>
  <si>
    <t>Sample Location</t>
  </si>
  <si>
    <r>
      <t>Chlorine Residual                  (2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, mg/L)</t>
    </r>
  </si>
  <si>
    <r>
      <t>Chlorine Residual                  (1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, mg/L)</t>
    </r>
  </si>
  <si>
    <t>Treated &amp; Distribution Water Quality</t>
  </si>
  <si>
    <t>Polymer</t>
  </si>
  <si>
    <t>Minimum (mg/L)</t>
  </si>
  <si>
    <t>Maximum           (mg/L)</t>
  </si>
  <si>
    <t>Chlorine Residual</t>
  </si>
  <si>
    <t>Trihalomethanes &amp; Nitrate/Nitrite (Page 1 of 1)</t>
  </si>
  <si>
    <t>Jan. 1</t>
  </si>
  <si>
    <t>Free Chlorine Residual                            (Secondary Disinfection, mg/L)</t>
  </si>
  <si>
    <t>Free Chlorine Residual                            (Primary Disinfection, mg/L)</t>
  </si>
  <si>
    <r>
      <t>Total Flow    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</si>
  <si>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r>
      <t>Total Flow 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</si>
  <si>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r>
      <t>Total Flow       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</si>
  <si>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GAC Transfer</t>
  </si>
  <si>
    <t>Vermilion Bay Drinking Water System</t>
  </si>
  <si>
    <t xml:space="preserve"> Flows (1) </t>
  </si>
  <si>
    <t>Flows (1)</t>
  </si>
  <si>
    <r>
      <t>Total Flow        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</t>
    </r>
  </si>
  <si>
    <t>Backwash</t>
  </si>
  <si>
    <t>Wastewater</t>
  </si>
  <si>
    <t>Fire Pump</t>
  </si>
  <si>
    <t>Backwash Counters</t>
  </si>
  <si>
    <t>SAF #1</t>
  </si>
  <si>
    <t>SAF #2</t>
  </si>
  <si>
    <t>GAC #1</t>
  </si>
  <si>
    <t>GAC #2</t>
  </si>
  <si>
    <t>Flows (2) &amp; Backwash Counters</t>
  </si>
  <si>
    <t>GAC Transfer Pumps</t>
  </si>
  <si>
    <t>GTP-1</t>
  </si>
  <si>
    <t>GTP-2</t>
  </si>
  <si>
    <t>Low Lift &amp; GAC Transfer Pumps</t>
  </si>
  <si>
    <t>HLP-1A</t>
  </si>
  <si>
    <t>HLP-1B</t>
  </si>
  <si>
    <t>Wastewater Transfer Pumps</t>
  </si>
  <si>
    <t>WWP-1</t>
  </si>
  <si>
    <t>WWP-2</t>
  </si>
  <si>
    <t>Other Pumps</t>
  </si>
  <si>
    <t>Clarifiers</t>
  </si>
  <si>
    <t>Clarifier #1 Turbidity                  (NTU)</t>
  </si>
  <si>
    <t>Clarifier #2 Turbidity                  (NTU)</t>
  </si>
  <si>
    <t>SAF Filters</t>
  </si>
  <si>
    <t>SAF #1 Turbidity                  (NTU)</t>
  </si>
  <si>
    <t>SAF #2 Turbidity                  (NTU)</t>
  </si>
  <si>
    <t>GAC Contactors</t>
  </si>
  <si>
    <t>GAC #1 Turbidity                  (NTU)</t>
  </si>
  <si>
    <t>GAC #2 Turbidity                  (NTU)</t>
  </si>
  <si>
    <t>Raw &amp; Process Water Quality</t>
  </si>
  <si>
    <t>Coag. Water pH</t>
  </si>
  <si>
    <t>Treated (Point-of-Entry) Water</t>
  </si>
  <si>
    <t>Distribution Water</t>
  </si>
  <si>
    <t>Alkalinity              (mg/L as CaCO3)</t>
  </si>
  <si>
    <t>Tank Level      (cm)</t>
  </si>
  <si>
    <t>Filled Tank Level                (cm)</t>
  </si>
  <si>
    <t>Chemical Feeder Speed Set Point         (Freq.)</t>
  </si>
  <si>
    <t>Chemical Feeder Stroke Set Point         (%)</t>
  </si>
  <si>
    <t>Sodium Hypochlorite</t>
  </si>
  <si>
    <t>Watercare (PACl)</t>
  </si>
  <si>
    <t xml:space="preserve">Filled Wastewater Polymer Tank (Indicate Yes)           </t>
  </si>
  <si>
    <r>
      <t>Filled Tank Level</t>
    </r>
    <r>
      <rPr>
        <sz val="8"/>
        <rFont val="Arial"/>
        <family val="2"/>
      </rPr>
      <t xml:space="preserve">                               (or New Tank Level, if WW Polymer Filled)       </t>
    </r>
    <r>
      <rPr>
        <sz val="9"/>
        <rFont val="Arial"/>
        <family val="2"/>
      </rPr>
      <t xml:space="preserve">        (cm)</t>
    </r>
  </si>
  <si>
    <t>Grams Used          (g)</t>
  </si>
  <si>
    <t>Lime</t>
  </si>
  <si>
    <t>Kilograms Used              (kg)</t>
  </si>
  <si>
    <t>SAF #1 Turbidity            (NTU)</t>
  </si>
  <si>
    <t>SAF #2 Turbidity            (NTU)</t>
  </si>
  <si>
    <r>
      <t>Free Chlorine Residual                  (1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, mg/L)</t>
    </r>
  </si>
  <si>
    <t>Dist. Pressure         (PSI)</t>
  </si>
  <si>
    <t>Process Wastewater</t>
  </si>
  <si>
    <t>Suspended Solids                    (mg/L)</t>
  </si>
  <si>
    <t>Decant in Progress (Y/N)?</t>
  </si>
  <si>
    <t>Analyzers</t>
  </si>
  <si>
    <t>Reservoir Level              (m)</t>
  </si>
  <si>
    <t>Performance Data</t>
  </si>
  <si>
    <t>Efficiency (Throughout)        (%)</t>
  </si>
  <si>
    <t>WW Surge Tank Level           (m)</t>
  </si>
  <si>
    <t>Daily Raw Flow vs. PTTW Limit               (%)</t>
  </si>
  <si>
    <t>Daily Treated Flow vs. MDWL Limit                          (%)</t>
  </si>
  <si>
    <t>GAC</t>
  </si>
  <si>
    <r>
      <t>Total Monthly Flow                    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/month)</t>
    </r>
  </si>
  <si>
    <r>
      <t>Total Monthly Treated Flow                                                      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/month)</t>
    </r>
  </si>
  <si>
    <r>
      <t>Total Monthly Treated Flow  (Including Fire Flows)                                                    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/month)</t>
    </r>
  </si>
  <si>
    <r>
      <t>Average Daily Treated Flow                                       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/day)</t>
    </r>
  </si>
  <si>
    <r>
      <t>Maximum Daily Raw Flow (Does Not Include Fire Flows)                                                   (m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/day)</t>
    </r>
  </si>
  <si>
    <t>Average Daily Treated Flow vs. MDWL Limit (%)</t>
  </si>
  <si>
    <t>Flows (2)</t>
  </si>
  <si>
    <t>Efficiency                   (Uses GAC Transfer Flows in Numerator) (%)</t>
  </si>
  <si>
    <t>Maximum Daily Treated Flow vs. MDWL Limit (%)</t>
  </si>
  <si>
    <t>Chemical Statistics</t>
  </si>
  <si>
    <t>Hypochlorination</t>
  </si>
  <si>
    <t>Total Sodium Hypo Used                                       (L)</t>
  </si>
  <si>
    <t>Average Dosage                                         (mg/L)</t>
  </si>
  <si>
    <t>Total PACl Used                                       (L)</t>
  </si>
  <si>
    <t>Total Polymer Used                                    (g)</t>
  </si>
  <si>
    <t>Average Dosage                                   (mg/L)</t>
  </si>
  <si>
    <t>Total Lime Used                              (kg)</t>
  </si>
  <si>
    <t>Average Dosage                             (mg/L)</t>
  </si>
  <si>
    <t>ME</t>
  </si>
  <si>
    <t>Wastewater SS</t>
  </si>
  <si>
    <t>Compliance values such as maximum turbidity and minimum chlorine are transcribed directly from the Excel Daily Report print-outs</t>
  </si>
  <si>
    <t>SS Result (mg/L)</t>
  </si>
  <si>
    <t>.</t>
  </si>
  <si>
    <t>Ave.</t>
  </si>
  <si>
    <t xml:space="preserve"> </t>
  </si>
  <si>
    <t>Microbiological (Page 3 of 4)</t>
  </si>
  <si>
    <t>Microbiological (Page 2 of 4)</t>
  </si>
  <si>
    <t>Microbiological (Page 1 of 4)</t>
  </si>
  <si>
    <t>Microbiological (Page 4 of 4)</t>
  </si>
  <si>
    <t>Jan</t>
  </si>
  <si>
    <t xml:space="preserve">Minimum </t>
  </si>
  <si>
    <t>Totals</t>
  </si>
  <si>
    <t>Tests</t>
  </si>
  <si>
    <t>Feb</t>
  </si>
  <si>
    <t>Mar</t>
  </si>
  <si>
    <t>Apr</t>
  </si>
  <si>
    <t>Aug</t>
  </si>
  <si>
    <t>Sept</t>
  </si>
  <si>
    <t>Oct</t>
  </si>
  <si>
    <t>Nov</t>
  </si>
  <si>
    <t>Dec</t>
  </si>
  <si>
    <t>Total  Tests performed</t>
  </si>
  <si>
    <t>Total Test preformed</t>
  </si>
  <si>
    <t xml:space="preserve">Raw Water </t>
  </si>
  <si>
    <t>2014 Operator manual water quality testing numbers</t>
  </si>
  <si>
    <t>Year-to-Date 2015</t>
  </si>
  <si>
    <t>2015</t>
  </si>
  <si>
    <t>2015Operator manual water quality testing numbers</t>
  </si>
  <si>
    <t>y</t>
  </si>
  <si>
    <t>Jan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</si>
  <si>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</si>
  <si>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</si>
  <si>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</si>
  <si>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</si>
  <si>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</si>
  <si>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</si>
  <si>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</si>
  <si>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</si>
  <si>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</si>
  <si>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</si>
  <si>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</si>
  <si>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SA/ME</t>
  </si>
  <si>
    <t>1445</t>
  </si>
  <si>
    <t>32 Willow St</t>
  </si>
  <si>
    <t>16/16</t>
  </si>
  <si>
    <t>100/100</t>
  </si>
  <si>
    <t>Y</t>
  </si>
  <si>
    <t>1530</t>
  </si>
  <si>
    <t>1510</t>
  </si>
  <si>
    <t>0620</t>
  </si>
  <si>
    <t>60 Livengood</t>
  </si>
  <si>
    <t>N</t>
  </si>
  <si>
    <t>0635</t>
  </si>
  <si>
    <t>Tanker filling @ Fire Hall momentary dip in CL2 and spike in turbidity (ME)</t>
  </si>
  <si>
    <t>0540</t>
  </si>
  <si>
    <t>17/17</t>
  </si>
  <si>
    <t>Jan 4</t>
  </si>
  <si>
    <t>0650</t>
  </si>
  <si>
    <t>Received Bulk PACL 2448l and 1680l  of cl2 (ME)</t>
  </si>
  <si>
    <t>0550</t>
  </si>
  <si>
    <t>15/15</t>
  </si>
  <si>
    <t>change length of stroke on chemical pumps to match dosage rates (ME)</t>
  </si>
  <si>
    <t>Jan 11</t>
  </si>
  <si>
    <t>0750</t>
  </si>
  <si>
    <t>1430</t>
  </si>
  <si>
    <t xml:space="preserve">0620 </t>
  </si>
  <si>
    <t>Pump ww tank (ME)</t>
  </si>
  <si>
    <t>0845</t>
  </si>
  <si>
    <t>Jan 18</t>
  </si>
  <si>
    <t>1540</t>
  </si>
  <si>
    <t>1145</t>
  </si>
  <si>
    <t>Replace lime slurry pump suction line (ME)</t>
  </si>
  <si>
    <t>Lime slurry check valve leaking remove &amp; clean and reinstal (ME) correct wirring fault wastewater pump 1 (ME)</t>
  </si>
  <si>
    <t>0640</t>
  </si>
  <si>
    <t>Jan 25</t>
  </si>
  <si>
    <t>Work on Lime lines blockage issues (ME)</t>
  </si>
  <si>
    <t>Truck fill station at fire hall caused erroneous cl2 and turbidity spike (ME)</t>
  </si>
  <si>
    <t>0700</t>
  </si>
  <si>
    <t>Annual water chemistry sampling conducted (ME)</t>
  </si>
  <si>
    <t>SAI Paper Audit</t>
  </si>
  <si>
    <t>Feb 1</t>
  </si>
  <si>
    <t>&lt;2</t>
  </si>
  <si>
    <t>1255</t>
  </si>
  <si>
    <t>1500</t>
  </si>
  <si>
    <t>Feb 2</t>
  </si>
  <si>
    <t>Bay Auto</t>
  </si>
  <si>
    <t>1</t>
  </si>
  <si>
    <t>D</t>
  </si>
  <si>
    <t>51.8</t>
  </si>
  <si>
    <t>0630</t>
  </si>
  <si>
    <t>0600</t>
  </si>
  <si>
    <t>0610</t>
  </si>
  <si>
    <t>Erroneous  low CL2 and high turbidity due to use of truck fill stn @ fire Hall (ME)</t>
  </si>
  <si>
    <t>Feb 8</t>
  </si>
  <si>
    <t>0710</t>
  </si>
  <si>
    <t>SAI Global audit responses</t>
  </si>
  <si>
    <t>Turbidity spike fliter # 2 durring filter to waste (ME)</t>
  </si>
  <si>
    <t>Manual Backwash of Filter # 2 &amp; scoop mud balls (ME) Filter 2 high turbidity durring filter to waste (ME)</t>
  </si>
  <si>
    <t>Low Cl2 high turbidity due to use of truck fill station (ME)</t>
  </si>
  <si>
    <t>Feb 16</t>
  </si>
  <si>
    <t>Scada program crashed shut down and reset Scada program (ME)</t>
  </si>
  <si>
    <t>Feb  2</t>
  </si>
  <si>
    <t>WTP Treated</t>
  </si>
  <si>
    <t>T</t>
  </si>
  <si>
    <t>0.039</t>
  </si>
  <si>
    <t>&lt;0.010</t>
  </si>
  <si>
    <t>Fire @ landfill trucks drawing water high turbidity and low CL2 Start up wtp (ME)</t>
  </si>
  <si>
    <t>1015</t>
  </si>
  <si>
    <t>1045</t>
  </si>
  <si>
    <t>high suspended solids - wastewater pumped (ME)</t>
  </si>
  <si>
    <t>Feb 22</t>
  </si>
  <si>
    <t>Feb 29</t>
  </si>
  <si>
    <t>SMP1 Cl2 pump failed switched over to SMP2 Cl2 Pump (ME)</t>
  </si>
  <si>
    <t>Lake Turn over starting increased PACL Dosage to 19.5mg/l from 19 mg/l (ME)</t>
  </si>
  <si>
    <t>0615</t>
  </si>
  <si>
    <t>0930</t>
  </si>
  <si>
    <t>1030</t>
  </si>
  <si>
    <t>Mar 7</t>
  </si>
  <si>
    <t>SCADA UP Grades and programing by SELOG &amp; Alarm testing (ME)</t>
  </si>
  <si>
    <t>SCADA UP Grades and programing by SELOG (ME)</t>
  </si>
  <si>
    <t>Mar 14</t>
  </si>
  <si>
    <t>New Internet installed alarms and phone lines  and new remote monitoring tested &amp; Verified (ME)</t>
  </si>
  <si>
    <t>Northern Lights Credit Union BLDG hwy 17 # 146 ( Vermilion bay Street) Burst water pipes discovered (Jan 30 to Mar 11)</t>
  </si>
  <si>
    <r>
      <t>Leak approximately 40m</t>
    </r>
    <r>
      <rPr>
        <sz val="9"/>
        <rFont val="Calibri"/>
        <family val="2"/>
      </rPr>
      <t>³/Day</t>
    </r>
  </si>
  <si>
    <t>1200</t>
  </si>
  <si>
    <t>Mar 21</t>
  </si>
  <si>
    <t>14/14</t>
  </si>
  <si>
    <t>0830</t>
  </si>
  <si>
    <t>0645</t>
  </si>
  <si>
    <t>18/18</t>
  </si>
  <si>
    <t>Mar 29</t>
  </si>
  <si>
    <t>Filter # 2 turbidity spike above 0.30ntu occured during filter startup on filter to waste see trend (ME)</t>
  </si>
  <si>
    <t>Fire Hydrant operation 0300 to 0325 an 1700 to 1950(ME)</t>
  </si>
  <si>
    <t>1000</t>
  </si>
  <si>
    <t>0900</t>
  </si>
  <si>
    <t>1300</t>
  </si>
  <si>
    <t xml:space="preserve">1315 </t>
  </si>
  <si>
    <t>1415</t>
  </si>
  <si>
    <t>0800</t>
  </si>
  <si>
    <t>6,84</t>
  </si>
  <si>
    <t>Apr 4</t>
  </si>
  <si>
    <t>Apr 11</t>
  </si>
  <si>
    <t>SA</t>
  </si>
  <si>
    <t>Calibrations of online instruments (ME)</t>
  </si>
  <si>
    <t>Apr 18</t>
  </si>
  <si>
    <t>0..083</t>
  </si>
  <si>
    <t>0510</t>
  </si>
  <si>
    <t>0530</t>
  </si>
  <si>
    <t>Filter 2 Turbidity spike occured when filter was not in operation (ME)</t>
  </si>
  <si>
    <t>1230</t>
  </si>
  <si>
    <t>Apr 25</t>
  </si>
  <si>
    <t xml:space="preserve">Desludge valve fault on filter 2 reset (ME) </t>
  </si>
  <si>
    <t>May 2</t>
  </si>
  <si>
    <t>0555</t>
  </si>
  <si>
    <t>Erroneous CL2 alarm due to high flow conditions Fire Deptment training (ME)</t>
  </si>
  <si>
    <t>Repair broken primary chlorine injector and degass cl2 system (ME)</t>
  </si>
  <si>
    <t>May 9</t>
  </si>
  <si>
    <t>Filter Desludge Valve fault Reset (ME)</t>
  </si>
  <si>
    <t>44.4</t>
  </si>
  <si>
    <t>0.035</t>
  </si>
  <si>
    <t>May 16</t>
  </si>
  <si>
    <t>Power Bump faulted Both Filter Desludge valves (ME) Reset and Filter upset then stablize filter operation (ME)</t>
  </si>
  <si>
    <t>May 24</t>
  </si>
  <si>
    <t>Pwr failure generator start and system reset cuased erroneous analyzer readings(ME)</t>
  </si>
  <si>
    <t>Pumped Wastewater tank (ME)</t>
  </si>
  <si>
    <t>60 Livengood Rd</t>
  </si>
  <si>
    <t>May 30</t>
  </si>
  <si>
    <t>Erroneous low CL 2 alarm and high turbidity spike due to highflow caused by fire department fill station (ME)</t>
  </si>
  <si>
    <t>1.,17</t>
  </si>
  <si>
    <t>0520</t>
  </si>
  <si>
    <t>t storm</t>
  </si>
  <si>
    <t>Ketia school project re wtp (ME)</t>
  </si>
  <si>
    <t>0940</t>
  </si>
  <si>
    <t>0730</t>
  </si>
  <si>
    <t>June 6</t>
  </si>
  <si>
    <t>Me</t>
  </si>
  <si>
    <t>June 13</t>
  </si>
  <si>
    <t>Ligthning strike and golf ball sized hail generator reset twice (ME)</t>
  </si>
  <si>
    <t>1,22</t>
  </si>
  <si>
    <t>1100</t>
  </si>
  <si>
    <t>1010</t>
  </si>
  <si>
    <t>Lowered GACSP, filters and drained raw pipe - thunderstorm  (SA)</t>
  </si>
  <si>
    <t>June 20</t>
  </si>
  <si>
    <t>0840</t>
  </si>
  <si>
    <t>Wabaseemoong emergency call (Mike)</t>
  </si>
  <si>
    <t>June 27</t>
  </si>
  <si>
    <t>Erroneous low CL2 and high turbidirty due to high flow condition (ME)</t>
  </si>
  <si>
    <t>0500</t>
  </si>
  <si>
    <t>Multiple Lightning strikes erroneous low cl2 and high turbidity, Generator reset (ME)</t>
  </si>
  <si>
    <t>Power failure erroneous Low CL2 and high turbidity (ME)</t>
  </si>
  <si>
    <t>Filter 1&amp; 2 upset shut filters down and reset rotorks (ME)</t>
  </si>
  <si>
    <t>1345</t>
  </si>
  <si>
    <t>1130</t>
  </si>
  <si>
    <t>July 4</t>
  </si>
  <si>
    <t>Filter inffluent on GAC 1 need to be reset (ME)</t>
  </si>
  <si>
    <t>Planned power outage at 13:30 erroneous low cl2 and high turbidity, Generator reset (ME) Shawna Training P/F</t>
  </si>
  <si>
    <t>Reset HLP # 3 and test operation (ME)</t>
  </si>
  <si>
    <t>Filter # 1 Rinse valve fault shut down filter #1 reset rinse valve and restart filter (ME)</t>
  </si>
  <si>
    <t>July11</t>
  </si>
  <si>
    <t>July 18</t>
  </si>
  <si>
    <t>Fire Department drawing for pumper testing (ME)</t>
  </si>
  <si>
    <t>2 Power failures erroneous Low CL2 and high turbidity (ME) daytime and night time</t>
  </si>
  <si>
    <t>`17.2</t>
  </si>
  <si>
    <t>Lost GPT 1 GAC pump 7.5hp 600V 3 phase @ 2220 (ME)</t>
  </si>
  <si>
    <t>Pull GPT1 pump from GAC Reservior and disinfect reservoir (ME) 1 litre 12% Cl2</t>
  </si>
  <si>
    <t>drop off pumps for accessment Winnipeg Xylem plant (ME)</t>
  </si>
  <si>
    <t>July 25</t>
  </si>
  <si>
    <t>Power failure 0915 to 1230 erroneous Low CL2 and high turbidity  generator strat and reset (ME)</t>
  </si>
  <si>
    <t>Desudge Valve Fault Train # @0445 rest Desludge valve and restart filter # 2 (ME)</t>
  </si>
  <si>
    <t>19/19</t>
  </si>
  <si>
    <t>21/21</t>
  </si>
  <si>
    <t>Desludge Valve Fault Train # 1 reset/ Power failure lightning strike erroneous low CL2 high Turbidity (ME)</t>
  </si>
  <si>
    <t>0745</t>
  </si>
  <si>
    <t>32 Willow Street</t>
  </si>
  <si>
    <t>0915</t>
  </si>
  <si>
    <t>Aug 2</t>
  </si>
  <si>
    <t>erroneous low CL2 high Turbidity due to high flow condition (ME)</t>
  </si>
  <si>
    <t>P/U GPT Pumps in winnipeg  and install GPT 1 and test then put back on line (ME)</t>
  </si>
  <si>
    <t>Aug 8</t>
  </si>
  <si>
    <t>erroneous low CL2 high Turbidity due to Alarm testing of AIT 410 &amp; 411 (ME)</t>
  </si>
  <si>
    <t>58.7</t>
  </si>
  <si>
    <t>Fire Pump 1 Fault 3 amp 600Vac fuse blown in motor control centre replace &amp; reset controller (ME)</t>
  </si>
  <si>
    <t>0535</t>
  </si>
  <si>
    <t>&lt;0.020</t>
  </si>
  <si>
    <t>1240</t>
  </si>
  <si>
    <t>GAC PLC Power supply failure</t>
  </si>
  <si>
    <t>Temporary repairs to GAC to make it operational while we await replacement parts (ME)</t>
  </si>
  <si>
    <t>Aug 15</t>
  </si>
  <si>
    <t>Aug 22</t>
  </si>
  <si>
    <t>20/20</t>
  </si>
  <si>
    <t>0720</t>
  </si>
  <si>
    <t>T storm shut dwn WTP (ME)</t>
  </si>
  <si>
    <t>Aug 29</t>
  </si>
  <si>
    <t>0450</t>
  </si>
  <si>
    <t>Lost GAC presure Sensors replaced 24VDC power supply and reset GAC Flex Logic (ME)</t>
  </si>
  <si>
    <t>Complete installation of new UPS in GAC Panel and reset GAC (ME)</t>
  </si>
  <si>
    <t>LSMP1 FAILURE CAUSING FILTER UPSET (ME)</t>
  </si>
  <si>
    <t>Sept 6</t>
  </si>
  <si>
    <t>7 am to 2pm Hydro One planed power outage start up and reset Generator (ME)</t>
  </si>
  <si>
    <t>Start QMS audit updates</t>
  </si>
  <si>
    <t>Pumped 4 loads wastewater (ME)</t>
  </si>
  <si>
    <t>Free Chlorine Dosage                       (Primary Disinfection, mg/L)</t>
  </si>
  <si>
    <t>WWP2 lo flow (ME)</t>
  </si>
  <si>
    <t>Sept12</t>
  </si>
  <si>
    <t>0,05</t>
  </si>
  <si>
    <t xml:space="preserve">1130 </t>
  </si>
  <si>
    <t>Sept 19</t>
  </si>
  <si>
    <t>Norm Hissa MOECC unannounced annual inspection starts</t>
  </si>
  <si>
    <t>Norm Hissa MOECC unannounced annual inspection Continues</t>
  </si>
  <si>
    <t>Sept 26</t>
  </si>
  <si>
    <t>Electrical safety authority inspection (Filter 1 Rinse Valve Fault reset (ME)</t>
  </si>
  <si>
    <t>0705</t>
  </si>
  <si>
    <t>0300 Power failure generator start/stop reset scada (ME)</t>
  </si>
  <si>
    <t>Drinking Water System</t>
  </si>
  <si>
    <t xml:space="preserve"> Drinking Water System</t>
  </si>
  <si>
    <t>Water Treatment &amp;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</si>
</sst>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00000"/>
    <numFmt numFmtId="167" formatCode="#,##0.0"/>
    <numFmt numFmtId="168" formatCode="0.0%"/>
  </numFmts>
  <fonts count="48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vertAlign val="superscript"/>
      <sz val="9"/>
      <name val="Arial"/>
      <family val="2"/>
    </font>
    <font>
      <b/>
      <sz val="8"/>
      <name val="Arial"/>
      <family val="2"/>
    </font>
    <font>
      <vertAlign val="subscript"/>
      <sz val="9"/>
      <name val="Arial"/>
      <family val="2"/>
    </font>
    <font>
      <i/>
      <sz val="9"/>
      <name val="Arial"/>
      <family val="2"/>
    </font>
    <font>
      <vertAlign val="superscript"/>
      <sz val="8"/>
      <name val="Arial"/>
      <family val="2"/>
    </font>
    <font>
      <vertAlign val="subscript"/>
      <sz val="8"/>
      <name val="Arial"/>
      <family val="2"/>
    </font>
    <font>
      <sz val="2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9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Helvetica"/>
      <family val="2"/>
    </font>
    <font>
      <sz val="14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rgb="FF008100"/>
      <name val="Arial"/>
      <family val="2"/>
    </font>
    <font>
      <sz val="8"/>
      <color rgb="FF0000BD"/>
      <name val="Arial"/>
      <family val="2"/>
    </font>
    <font>
      <sz val="11"/>
      <color theme="1"/>
      <name val="Arial"/>
      <family val="2"/>
    </font>
    <font>
      <sz val="8"/>
      <color theme="1" tint="0.14999847407452621"/>
      <name val="Arial"/>
      <family val="2"/>
    </font>
    <font>
      <sz val="8"/>
      <color rgb="FF008100"/>
      <name val="Arial"/>
      <family val="2"/>
    </font>
    <font>
      <sz val="18"/>
      <color rgb="FF008100"/>
      <name val="Arial"/>
      <family val="2"/>
    </font>
    <font>
      <sz val="9"/>
      <name val="Calibri"/>
      <family val="2"/>
      <scheme val="minor"/>
    </font>
    <font>
      <sz val="12"/>
      <color theme="1"/>
      <name val="Helvetica"/>
      <family val="2"/>
    </font>
    <font>
      <sz val="11"/>
      <color rgb="FF00810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0"/>
      <color theme="1"/>
      <name val="Arial"/>
      <family val="2"/>
    </font>
    <font>
      <sz val="16"/>
      <color theme="1"/>
      <name val="Arial"/>
      <family val="2"/>
    </font>
    <font>
      <b/>
      <sz val="9"/>
      <name val="Calibri"/>
      <family val="2"/>
      <scheme val="minor"/>
    </font>
    <font>
      <sz val="12"/>
      <color theme="1"/>
      <name val="Arial"/>
      <family val="2"/>
    </font>
    <font>
      <sz val="26"/>
      <color theme="0"/>
      <name val="Arial"/>
      <family val="2"/>
    </font>
    <font>
      <sz val="18"/>
      <color rgb="FF0000BD"/>
      <name val="Arial"/>
      <family val="2"/>
    </font>
    <font>
      <sz val="48"/>
      <color theme="0"/>
      <name val="Arial"/>
      <family val="2"/>
    </font>
    <font>
      <b/>
      <sz val="20"/>
      <color theme="1" tint="0.14999847407452621"/>
      <name val="Arial"/>
      <family val="2"/>
    </font>
    <font>
      <b/>
      <i/>
      <sz val="11"/>
      <color theme="3"/>
      <name val="Helvetica"/>
      <family val="2"/>
    </font>
    <font>
      <u/>
      <sz val="11"/>
      <color theme="0"/>
      <name val="Arial"/>
      <family val="2"/>
    </font>
    <font>
      <sz val="9"/>
      <color rgb="FFFF0000"/>
      <name val="Arial"/>
      <family val="2"/>
    </font>
    <font>
      <b/>
      <sz val="9"/>
      <color theme="4"/>
      <name val="Arial"/>
      <family val="2"/>
    </font>
    <font>
      <b/>
      <sz val="8"/>
      <color theme="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2F2F2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FFDD"/>
        <bgColor indexed="64"/>
      </patternFill>
    </fill>
    <fill>
      <patternFill patternType="lightUp">
        <bgColor rgb="FFDDFFD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8100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ck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ck">
        <color theme="1" tint="0.34998626667073579"/>
      </right>
      <top style="thin">
        <color theme="1" tint="0.34998626667073579"/>
      </top>
      <bottom/>
      <diagonal/>
    </border>
    <border>
      <left style="thick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ck">
        <color theme="1" tint="0.34998626667073579"/>
      </right>
      <top/>
      <bottom style="thin">
        <color theme="1" tint="0.34998626667073579"/>
      </bottom>
      <diagonal/>
    </border>
    <border>
      <left style="thick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rgb="FF008100"/>
      </left>
      <right/>
      <top style="thin">
        <color rgb="FF008100"/>
      </top>
      <bottom/>
      <diagonal/>
    </border>
    <border>
      <left/>
      <right/>
      <top style="thin">
        <color rgb="FF008100"/>
      </top>
      <bottom/>
      <diagonal/>
    </border>
    <border>
      <left/>
      <right style="thin">
        <color rgb="FF008100"/>
      </right>
      <top style="thin">
        <color rgb="FF008100"/>
      </top>
      <bottom/>
      <diagonal/>
    </border>
    <border>
      <left style="thin">
        <color rgb="FF008100"/>
      </left>
      <right/>
      <top/>
      <bottom/>
      <diagonal/>
    </border>
    <border>
      <left/>
      <right style="thin">
        <color rgb="FF008100"/>
      </right>
      <top/>
      <bottom/>
      <diagonal/>
    </border>
    <border>
      <left style="thin">
        <color rgb="FF008100"/>
      </left>
      <right/>
      <top/>
      <bottom style="thin">
        <color rgb="FF008100"/>
      </bottom>
      <diagonal/>
    </border>
    <border>
      <left/>
      <right/>
      <top/>
      <bottom style="thin">
        <color rgb="FF008100"/>
      </bottom>
      <diagonal/>
    </border>
    <border>
      <left/>
      <right style="thin">
        <color rgb="FF008100"/>
      </right>
      <top/>
      <bottom style="thin">
        <color rgb="FF008100"/>
      </bottom>
      <diagonal/>
    </border>
    <border>
      <left style="thin">
        <color rgb="FF008100"/>
      </left>
      <right/>
      <top style="thin">
        <color rgb="FF008100"/>
      </top>
      <bottom style="thin">
        <color rgb="FF008100"/>
      </bottom>
      <diagonal/>
    </border>
    <border>
      <left/>
      <right/>
      <top style="thin">
        <color rgb="FF008100"/>
      </top>
      <bottom style="thin">
        <color rgb="FF008100"/>
      </bottom>
      <diagonal/>
    </border>
    <border>
      <left/>
      <right style="thin">
        <color rgb="FF008100"/>
      </right>
      <top style="thin">
        <color rgb="FF008100"/>
      </top>
      <bottom style="thin">
        <color rgb="FF008100"/>
      </bottom>
      <diagonal/>
    </border>
    <border>
      <left/>
      <right style="medium">
        <color rgb="FF008100"/>
      </right>
      <top/>
      <bottom/>
      <diagonal/>
    </border>
    <border>
      <left/>
      <right/>
      <top/>
      <bottom style="medium">
        <color rgb="FF008100"/>
      </bottom>
      <diagonal/>
    </border>
    <border>
      <left/>
      <right style="medium">
        <color rgb="FF008100"/>
      </right>
      <top/>
      <bottom style="medium">
        <color rgb="FF008100"/>
      </bottom>
      <diagonal/>
    </border>
    <border>
      <left style="medium">
        <color rgb="FF008100"/>
      </left>
      <right/>
      <top style="medium">
        <color rgb="FF008100"/>
      </top>
      <bottom/>
      <diagonal/>
    </border>
    <border>
      <left/>
      <right/>
      <top style="medium">
        <color rgb="FF008100"/>
      </top>
      <bottom/>
      <diagonal/>
    </border>
    <border>
      <left/>
      <right style="medium">
        <color rgb="FF008100"/>
      </right>
      <top style="medium">
        <color rgb="FF008100"/>
      </top>
      <bottom/>
      <diagonal/>
    </border>
    <border>
      <left style="medium">
        <color rgb="FF008100"/>
      </left>
      <right/>
      <top/>
      <bottom/>
      <diagonal/>
    </border>
    <border>
      <left style="medium">
        <color rgb="FF008100"/>
      </left>
      <right/>
      <top/>
      <bottom style="medium">
        <color rgb="FF008100"/>
      </bottom>
      <diagonal/>
    </border>
    <border>
      <left style="thin">
        <color rgb="FF008100"/>
      </left>
      <right/>
      <top/>
      <bottom style="medium">
        <color rgb="FF008100"/>
      </bottom>
      <diagonal/>
    </border>
    <border>
      <left style="medium">
        <color rgb="FF008100"/>
      </left>
      <right style="thin">
        <color rgb="FF3F3F3F"/>
      </right>
      <top style="medium">
        <color rgb="FF008100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rgb="FF008100"/>
      </top>
      <bottom style="thin">
        <color rgb="FF3F3F3F"/>
      </bottom>
      <diagonal/>
    </border>
    <border>
      <left style="thin">
        <color rgb="FF3F3F3F"/>
      </left>
      <right style="medium">
        <color rgb="FF008100"/>
      </right>
      <top style="medium">
        <color rgb="FF008100"/>
      </top>
      <bottom style="thin">
        <color rgb="FF3F3F3F"/>
      </bottom>
      <diagonal/>
    </border>
    <border>
      <left style="medium">
        <color rgb="FF008100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rgb="FF008100"/>
      </right>
      <top style="thin">
        <color rgb="FF3F3F3F"/>
      </top>
      <bottom style="thin">
        <color rgb="FF3F3F3F"/>
      </bottom>
      <diagonal/>
    </border>
    <border>
      <left style="medium">
        <color rgb="FF008100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medium">
        <color rgb="FF008100"/>
      </right>
      <top style="thin">
        <color rgb="FF3F3F3F"/>
      </top>
      <bottom/>
      <diagonal/>
    </border>
    <border>
      <left/>
      <right style="thin">
        <color theme="0" tint="-4.9989318521683403E-2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2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3" borderId="5" applyNumberFormat="0" applyAlignment="0" applyProtection="0"/>
    <xf numFmtId="2" fontId="1" fillId="4" borderId="5">
      <alignment horizontal="center" vertical="center" wrapText="1"/>
    </xf>
  </cellStyleXfs>
  <cellXfs count="51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0" applyFont="1" applyBorder="1" applyAlignment="1">
      <alignment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67" fontId="0" fillId="0" borderId="0" xfId="0" applyNumberFormat="1"/>
    <xf numFmtId="164" fontId="20" fillId="0" borderId="0" xfId="0" applyNumberFormat="1" applyFont="1" applyBorder="1" applyAlignment="1">
      <alignment horizontal="left"/>
    </xf>
    <xf numFmtId="0" fontId="21" fillId="0" borderId="0" xfId="0" applyFont="1" applyAlignment="1">
      <alignment horizontal="right"/>
    </xf>
    <xf numFmtId="0" fontId="22" fillId="0" borderId="0" xfId="0" applyFont="1" applyBorder="1" applyAlignment="1">
      <alignment wrapText="1"/>
    </xf>
    <xf numFmtId="2" fontId="20" fillId="0" borderId="0" xfId="0" applyNumberFormat="1" applyFont="1" applyBorder="1" applyAlignment="1">
      <alignment horizontal="left"/>
    </xf>
    <xf numFmtId="0" fontId="0" fillId="0" borderId="0" xfId="0" applyNumberFormat="1"/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textRotation="90"/>
    </xf>
    <xf numFmtId="1" fontId="3" fillId="0" borderId="6" xfId="0" applyNumberFormat="1" applyFont="1" applyFill="1" applyBorder="1" applyAlignment="1">
      <alignment horizontal="center" vertical="center"/>
    </xf>
    <xf numFmtId="49" fontId="3" fillId="5" borderId="6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49" fontId="3" fillId="5" borderId="8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1" fontId="3" fillId="0" borderId="7" xfId="0" applyNumberFormat="1" applyFont="1" applyFill="1" applyBorder="1" applyAlignment="1">
      <alignment horizontal="center" vertical="center"/>
    </xf>
    <xf numFmtId="1" fontId="3" fillId="0" borderId="8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164" fontId="20" fillId="0" borderId="0" xfId="0" applyNumberFormat="1" applyFont="1" applyAlignment="1">
      <alignment horizontal="left"/>
    </xf>
    <xf numFmtId="0" fontId="3" fillId="0" borderId="1" xfId="0" applyFont="1" applyFill="1" applyBorder="1" applyAlignment="1">
      <alignment wrapText="1"/>
    </xf>
    <xf numFmtId="0" fontId="3" fillId="6" borderId="0" xfId="0" applyFont="1" applyFill="1" applyBorder="1" applyAlignment="1">
      <alignment horizontal="center" vertical="center" wrapText="1"/>
    </xf>
    <xf numFmtId="1" fontId="3" fillId="6" borderId="0" xfId="0" applyNumberFormat="1" applyFont="1" applyFill="1" applyBorder="1" applyAlignment="1">
      <alignment horizontal="center" vertical="center" wrapText="1"/>
    </xf>
    <xf numFmtId="165" fontId="3" fillId="6" borderId="0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3" fillId="0" borderId="0" xfId="0" applyFont="1"/>
    <xf numFmtId="2" fontId="23" fillId="0" borderId="0" xfId="0" applyNumberFormat="1" applyFont="1"/>
    <xf numFmtId="165" fontId="23" fillId="0" borderId="0" xfId="0" applyNumberFormat="1" applyFont="1"/>
    <xf numFmtId="0" fontId="23" fillId="0" borderId="0" xfId="0" applyFont="1" applyAlignment="1">
      <alignment horizontal="center"/>
    </xf>
    <xf numFmtId="0" fontId="3" fillId="0" borderId="2" xfId="0" applyFont="1" applyFill="1" applyBorder="1" applyAlignment="1">
      <alignment horizontal="center" wrapText="1"/>
    </xf>
    <xf numFmtId="2" fontId="3" fillId="6" borderId="0" xfId="0" applyNumberFormat="1" applyFont="1" applyFill="1" applyBorder="1" applyAlignment="1">
      <alignment horizontal="center" vertical="center" wrapText="1"/>
    </xf>
    <xf numFmtId="164" fontId="23" fillId="0" borderId="0" xfId="0" applyNumberFormat="1" applyFont="1"/>
    <xf numFmtId="1" fontId="23" fillId="0" borderId="0" xfId="0" applyNumberFormat="1" applyFont="1"/>
    <xf numFmtId="2" fontId="20" fillId="0" borderId="0" xfId="0" applyNumberFormat="1" applyFont="1" applyAlignment="1">
      <alignment horizontal="left"/>
    </xf>
    <xf numFmtId="168" fontId="0" fillId="0" borderId="0" xfId="0" applyNumberFormat="1"/>
    <xf numFmtId="168" fontId="0" fillId="0" borderId="0" xfId="0" applyNumberFormat="1" applyAlignment="1">
      <alignment vertical="center"/>
    </xf>
    <xf numFmtId="0" fontId="2" fillId="7" borderId="10" xfId="4" applyFont="1" applyFill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7" borderId="10" xfId="4" applyNumberFormat="1" applyFont="1" applyFill="1" applyBorder="1" applyAlignment="1">
      <alignment horizontal="center" vertical="center"/>
    </xf>
    <xf numFmtId="1" fontId="1" fillId="0" borderId="10" xfId="0" applyNumberFormat="1" applyFont="1" applyFill="1" applyBorder="1" applyAlignment="1">
      <alignment horizontal="center" vertical="center"/>
    </xf>
    <xf numFmtId="166" fontId="24" fillId="0" borderId="10" xfId="4" applyNumberFormat="1" applyFont="1" applyFill="1" applyBorder="1" applyAlignment="1">
      <alignment horizontal="center" vertical="center"/>
    </xf>
    <xf numFmtId="165" fontId="1" fillId="0" borderId="10" xfId="4" applyNumberFormat="1" applyFont="1" applyFill="1" applyBorder="1" applyAlignment="1">
      <alignment horizontal="center" vertical="center"/>
    </xf>
    <xf numFmtId="1" fontId="1" fillId="0" borderId="10" xfId="4" applyNumberFormat="1" applyFont="1" applyFill="1" applyBorder="1" applyAlignment="1">
      <alignment horizontal="center" vertical="center"/>
    </xf>
    <xf numFmtId="2" fontId="1" fillId="0" borderId="10" xfId="4" applyNumberFormat="1" applyFont="1" applyFill="1" applyBorder="1" applyAlignment="1">
      <alignment horizontal="center" vertical="center"/>
    </xf>
    <xf numFmtId="164" fontId="1" fillId="0" borderId="10" xfId="4" applyNumberFormat="1" applyFont="1" applyFill="1" applyBorder="1" applyAlignment="1">
      <alignment horizontal="center" vertical="center"/>
    </xf>
    <xf numFmtId="164" fontId="1" fillId="7" borderId="10" xfId="4" applyNumberFormat="1" applyFont="1" applyFill="1" applyBorder="1" applyAlignment="1">
      <alignment horizontal="center" vertical="center"/>
    </xf>
    <xf numFmtId="49" fontId="1" fillId="0" borderId="10" xfId="4" applyNumberFormat="1" applyFont="1" applyFill="1" applyBorder="1" applyAlignment="1">
      <alignment horizontal="center" vertical="center"/>
    </xf>
    <xf numFmtId="0" fontId="1" fillId="7" borderId="10" xfId="4" applyFont="1" applyFill="1" applyBorder="1" applyAlignment="1">
      <alignment horizontal="center" vertical="center"/>
    </xf>
    <xf numFmtId="165" fontId="1" fillId="7" borderId="10" xfId="4" applyNumberFormat="1" applyFont="1" applyFill="1" applyBorder="1" applyAlignment="1">
      <alignment horizontal="center" vertical="center"/>
    </xf>
    <xf numFmtId="2" fontId="1" fillId="7" borderId="10" xfId="4" applyNumberFormat="1" applyFont="1" applyFill="1" applyBorder="1" applyAlignment="1">
      <alignment horizontal="center" vertical="center"/>
    </xf>
    <xf numFmtId="1" fontId="1" fillId="0" borderId="10" xfId="5" applyNumberFormat="1" applyFont="1" applyFill="1" applyBorder="1">
      <alignment horizontal="center" vertical="center" wrapText="1"/>
    </xf>
    <xf numFmtId="165" fontId="1" fillId="0" borderId="10" xfId="5" applyNumberFormat="1" applyFont="1" applyFill="1" applyBorder="1">
      <alignment horizontal="center" vertical="center" wrapText="1"/>
    </xf>
    <xf numFmtId="164" fontId="1" fillId="0" borderId="10" xfId="5" applyNumberFormat="1" applyFont="1" applyFill="1" applyBorder="1">
      <alignment horizontal="center" vertical="center" wrapText="1"/>
    </xf>
    <xf numFmtId="165" fontId="2" fillId="8" borderId="10" xfId="4" applyNumberFormat="1" applyFont="1" applyFill="1" applyBorder="1" applyAlignment="1">
      <alignment horizontal="center" vertical="center"/>
    </xf>
    <xf numFmtId="1" fontId="2" fillId="8" borderId="10" xfId="4" applyNumberFormat="1" applyFont="1" applyFill="1" applyBorder="1" applyAlignment="1">
      <alignment horizontal="center" vertical="center"/>
    </xf>
    <xf numFmtId="2" fontId="2" fillId="8" borderId="10" xfId="4" applyNumberFormat="1" applyFont="1" applyFill="1" applyBorder="1" applyAlignment="1">
      <alignment horizontal="center" vertical="center"/>
    </xf>
    <xf numFmtId="168" fontId="2" fillId="8" borderId="10" xfId="4" applyNumberFormat="1" applyFont="1" applyFill="1" applyBorder="1" applyAlignment="1">
      <alignment horizontal="center" vertical="center"/>
    </xf>
    <xf numFmtId="1" fontId="1" fillId="8" borderId="10" xfId="4" applyNumberFormat="1" applyFont="1" applyFill="1" applyBorder="1" applyAlignment="1">
      <alignment horizontal="center" vertical="center"/>
    </xf>
    <xf numFmtId="1" fontId="2" fillId="7" borderId="10" xfId="4" applyNumberFormat="1" applyFont="1" applyFill="1" applyBorder="1" applyAlignment="1">
      <alignment horizontal="center" vertical="center"/>
    </xf>
    <xf numFmtId="165" fontId="1" fillId="8" borderId="10" xfId="4" applyNumberFormat="1" applyFont="1" applyFill="1" applyBorder="1" applyAlignment="1">
      <alignment horizontal="center" vertical="center"/>
    </xf>
    <xf numFmtId="165" fontId="2" fillId="7" borderId="10" xfId="4" applyNumberFormat="1" applyFont="1" applyFill="1" applyBorder="1" applyAlignment="1">
      <alignment horizontal="center" vertical="center"/>
    </xf>
    <xf numFmtId="2" fontId="1" fillId="8" borderId="10" xfId="4" applyNumberFormat="1" applyFont="1" applyFill="1" applyBorder="1" applyAlignment="1">
      <alignment horizontal="center" vertical="center"/>
    </xf>
    <xf numFmtId="2" fontId="2" fillId="7" borderId="10" xfId="4" applyNumberFormat="1" applyFont="1" applyFill="1" applyBorder="1" applyAlignment="1">
      <alignment horizontal="center" vertical="center"/>
    </xf>
    <xf numFmtId="49" fontId="2" fillId="8" borderId="10" xfId="4" applyNumberFormat="1" applyFont="1" applyFill="1" applyBorder="1" applyAlignment="1">
      <alignment horizontal="center" vertical="center"/>
    </xf>
    <xf numFmtId="164" fontId="2" fillId="7" borderId="10" xfId="4" applyNumberFormat="1" applyFont="1" applyFill="1" applyBorder="1" applyAlignment="1">
      <alignment horizontal="center" vertical="center"/>
    </xf>
    <xf numFmtId="165" fontId="20" fillId="0" borderId="0" xfId="0" applyNumberFormat="1" applyFont="1" applyAlignment="1">
      <alignment horizontal="left"/>
    </xf>
    <xf numFmtId="1" fontId="3" fillId="0" borderId="10" xfId="0" applyNumberFormat="1" applyFont="1" applyBorder="1" applyAlignment="1">
      <alignment horizontal="center" wrapText="1"/>
    </xf>
    <xf numFmtId="168" fontId="3" fillId="0" borderId="10" xfId="0" applyNumberFormat="1" applyFont="1" applyBorder="1" applyAlignment="1">
      <alignment horizontal="center" wrapText="1"/>
    </xf>
    <xf numFmtId="0" fontId="6" fillId="7" borderId="10" xfId="4" applyFont="1" applyFill="1" applyBorder="1" applyAlignment="1">
      <alignment horizontal="center" vertical="center"/>
    </xf>
    <xf numFmtId="1" fontId="6" fillId="7" borderId="10" xfId="4" applyNumberFormat="1" applyFont="1" applyFill="1" applyBorder="1" applyAlignment="1">
      <alignment horizontal="center" vertical="center"/>
    </xf>
    <xf numFmtId="1" fontId="6" fillId="8" borderId="10" xfId="4" applyNumberFormat="1" applyFont="1" applyFill="1" applyBorder="1" applyAlignment="1">
      <alignment horizontal="center" vertical="center"/>
    </xf>
    <xf numFmtId="168" fontId="6" fillId="8" borderId="10" xfId="4" applyNumberFormat="1" applyFont="1" applyFill="1" applyBorder="1" applyAlignment="1">
      <alignment horizontal="center" vertical="center"/>
    </xf>
    <xf numFmtId="168" fontId="6" fillId="7" borderId="10" xfId="4" applyNumberFormat="1" applyFont="1" applyFill="1" applyBorder="1" applyAlignment="1">
      <alignment horizontal="center" vertical="center"/>
    </xf>
    <xf numFmtId="0" fontId="6" fillId="7" borderId="11" xfId="4" applyFont="1" applyFill="1" applyBorder="1" applyAlignment="1">
      <alignment horizontal="center" vertical="center"/>
    </xf>
    <xf numFmtId="1" fontId="6" fillId="7" borderId="11" xfId="4" applyNumberFormat="1" applyFont="1" applyFill="1" applyBorder="1" applyAlignment="1">
      <alignment horizontal="center" vertical="center"/>
    </xf>
    <xf numFmtId="1" fontId="6" fillId="8" borderId="11" xfId="4" applyNumberFormat="1" applyFont="1" applyFill="1" applyBorder="1" applyAlignment="1">
      <alignment horizontal="center" vertical="center"/>
    </xf>
    <xf numFmtId="168" fontId="6" fillId="8" borderId="11" xfId="4" applyNumberFormat="1" applyFont="1" applyFill="1" applyBorder="1" applyAlignment="1">
      <alignment horizontal="center" vertical="center"/>
    </xf>
    <xf numFmtId="0" fontId="6" fillId="7" borderId="12" xfId="4" applyFont="1" applyFill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wrapText="1"/>
    </xf>
    <xf numFmtId="168" fontId="3" fillId="0" borderId="12" xfId="0" applyNumberFormat="1" applyFont="1" applyBorder="1" applyAlignment="1">
      <alignment horizontal="center" wrapText="1"/>
    </xf>
    <xf numFmtId="2" fontId="3" fillId="0" borderId="10" xfId="0" applyNumberFormat="1" applyFont="1" applyBorder="1" applyAlignment="1">
      <alignment horizontal="center" wrapText="1"/>
    </xf>
    <xf numFmtId="2" fontId="3" fillId="0" borderId="12" xfId="0" applyNumberFormat="1" applyFont="1" applyBorder="1" applyAlignment="1">
      <alignment horizontal="center" wrapText="1"/>
    </xf>
    <xf numFmtId="2" fontId="6" fillId="8" borderId="11" xfId="4" applyNumberFormat="1" applyFont="1" applyFill="1" applyBorder="1" applyAlignment="1">
      <alignment horizontal="center" vertical="center"/>
    </xf>
    <xf numFmtId="2" fontId="6" fillId="7" borderId="10" xfId="4" applyNumberFormat="1" applyFont="1" applyFill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wrapText="1"/>
    </xf>
    <xf numFmtId="165" fontId="3" fillId="0" borderId="12" xfId="0" applyNumberFormat="1" applyFont="1" applyBorder="1" applyAlignment="1">
      <alignment horizontal="center" wrapText="1"/>
    </xf>
    <xf numFmtId="165" fontId="6" fillId="8" borderId="11" xfId="4" applyNumberFormat="1" applyFont="1" applyFill="1" applyBorder="1" applyAlignment="1">
      <alignment horizontal="center" vertical="center"/>
    </xf>
    <xf numFmtId="165" fontId="6" fillId="7" borderId="10" xfId="4" applyNumberFormat="1" applyFont="1" applyFill="1" applyBorder="1" applyAlignment="1">
      <alignment horizontal="center" vertical="center"/>
    </xf>
    <xf numFmtId="165" fontId="6" fillId="7" borderId="11" xfId="4" applyNumberFormat="1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 wrapText="1"/>
    </xf>
    <xf numFmtId="164" fontId="6" fillId="8" borderId="11" xfId="4" applyNumberFormat="1" applyFont="1" applyFill="1" applyBorder="1" applyAlignment="1">
      <alignment horizontal="center" vertical="center"/>
    </xf>
    <xf numFmtId="164" fontId="6" fillId="7" borderId="10" xfId="4" applyNumberFormat="1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1" fontId="25" fillId="6" borderId="1" xfId="0" applyNumberFormat="1" applyFont="1" applyFill="1" applyBorder="1" applyAlignment="1">
      <alignment horizontal="center" vertical="center" wrapText="1"/>
    </xf>
    <xf numFmtId="165" fontId="25" fillId="6" borderId="1" xfId="0" applyNumberFormat="1" applyFont="1" applyFill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center" vertical="center" wrapText="1"/>
    </xf>
    <xf numFmtId="1" fontId="25" fillId="6" borderId="2" xfId="0" applyNumberFormat="1" applyFont="1" applyFill="1" applyBorder="1" applyAlignment="1">
      <alignment horizontal="center" vertical="center" wrapText="1"/>
    </xf>
    <xf numFmtId="165" fontId="25" fillId="6" borderId="2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168" fontId="3" fillId="6" borderId="0" xfId="0" applyNumberFormat="1" applyFont="1" applyFill="1" applyBorder="1" applyAlignment="1">
      <alignment horizontal="center" vertical="center" wrapText="1"/>
    </xf>
    <xf numFmtId="168" fontId="25" fillId="6" borderId="2" xfId="0" applyNumberFormat="1" applyFont="1" applyFill="1" applyBorder="1" applyAlignment="1">
      <alignment horizontal="center" vertical="center" wrapText="1"/>
    </xf>
    <xf numFmtId="2" fontId="25" fillId="6" borderId="1" xfId="0" applyNumberFormat="1" applyFont="1" applyFill="1" applyBorder="1" applyAlignment="1">
      <alignment horizontal="center" vertical="center" wrapText="1"/>
    </xf>
    <xf numFmtId="2" fontId="25" fillId="6" borderId="2" xfId="0" applyNumberFormat="1" applyFont="1" applyFill="1" applyBorder="1" applyAlignment="1">
      <alignment horizontal="center" vertical="center" wrapText="1"/>
    </xf>
    <xf numFmtId="164" fontId="2" fillId="8" borderId="10" xfId="4" applyNumberFormat="1" applyFont="1" applyFill="1" applyBorder="1" applyAlignment="1">
      <alignment horizontal="center" vertical="center"/>
    </xf>
    <xf numFmtId="2" fontId="1" fillId="7" borderId="10" xfId="5" applyFont="1" applyFill="1" applyBorder="1">
      <alignment horizontal="center" vertical="center" wrapText="1"/>
    </xf>
    <xf numFmtId="0" fontId="20" fillId="0" borderId="0" xfId="0" applyFont="1" applyAlignment="1">
      <alignment horizontal="left"/>
    </xf>
    <xf numFmtId="2" fontId="1" fillId="7" borderId="10" xfId="5" applyFill="1" applyBorder="1">
      <alignment horizontal="center" vertical="center" wrapText="1"/>
    </xf>
    <xf numFmtId="1" fontId="2" fillId="7" borderId="10" xfId="5" applyNumberFormat="1" applyFont="1" applyFill="1" applyBorder="1">
      <alignment horizontal="center" vertical="center" wrapText="1"/>
    </xf>
    <xf numFmtId="2" fontId="2" fillId="7" borderId="10" xfId="5" applyNumberFormat="1" applyFont="1" applyFill="1" applyBorder="1" applyAlignment="1">
      <alignment horizontal="center" vertical="center" wrapText="1"/>
    </xf>
    <xf numFmtId="2" fontId="1" fillId="7" borderId="10" xfId="5" applyNumberFormat="1" applyFont="1" applyFill="1" applyBorder="1">
      <alignment horizontal="center" vertical="center" wrapText="1"/>
    </xf>
    <xf numFmtId="1" fontId="6" fillId="7" borderId="10" xfId="4" applyNumberFormat="1" applyFont="1" applyFill="1" applyBorder="1" applyAlignment="1">
      <alignment horizontal="center" vertical="center" wrapText="1"/>
    </xf>
    <xf numFmtId="2" fontId="2" fillId="7" borderId="13" xfId="5" applyNumberFormat="1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wrapText="1"/>
    </xf>
    <xf numFmtId="0" fontId="27" fillId="0" borderId="14" xfId="0" applyFont="1" applyFill="1" applyBorder="1" applyAlignment="1">
      <alignment horizontal="center" wrapText="1"/>
    </xf>
    <xf numFmtId="1" fontId="27" fillId="0" borderId="14" xfId="0" applyNumberFormat="1" applyFont="1" applyFill="1" applyBorder="1" applyAlignment="1">
      <alignment horizontal="center" wrapText="1"/>
    </xf>
    <xf numFmtId="0" fontId="27" fillId="6" borderId="0" xfId="0" applyFont="1" applyFill="1" applyBorder="1" applyAlignment="1">
      <alignment horizontal="center" vertical="center" wrapText="1"/>
    </xf>
    <xf numFmtId="1" fontId="27" fillId="6" borderId="0" xfId="0" applyNumberFormat="1" applyFont="1" applyFill="1" applyBorder="1" applyAlignment="1">
      <alignment horizontal="center" vertical="center" wrapText="1"/>
    </xf>
    <xf numFmtId="168" fontId="27" fillId="6" borderId="0" xfId="0" applyNumberFormat="1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1" fontId="28" fillId="6" borderId="1" xfId="0" applyNumberFormat="1" applyFont="1" applyFill="1" applyBorder="1" applyAlignment="1">
      <alignment horizontal="center" vertical="center" wrapText="1"/>
    </xf>
    <xf numFmtId="168" fontId="28" fillId="6" borderId="1" xfId="0" applyNumberFormat="1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 wrapText="1"/>
    </xf>
    <xf numFmtId="1" fontId="28" fillId="6" borderId="2" xfId="0" applyNumberFormat="1" applyFont="1" applyFill="1" applyBorder="1" applyAlignment="1">
      <alignment horizontal="center" vertical="center" wrapText="1"/>
    </xf>
    <xf numFmtId="168" fontId="28" fillId="6" borderId="2" xfId="0" applyNumberFormat="1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wrapText="1"/>
    </xf>
    <xf numFmtId="0" fontId="27" fillId="0" borderId="2" xfId="0" applyFont="1" applyFill="1" applyBorder="1" applyAlignment="1">
      <alignment horizontal="center" wrapText="1"/>
    </xf>
    <xf numFmtId="164" fontId="27" fillId="0" borderId="2" xfId="0" applyNumberFormat="1" applyFont="1" applyFill="1" applyBorder="1" applyAlignment="1">
      <alignment horizontal="center" wrapText="1"/>
    </xf>
    <xf numFmtId="2" fontId="27" fillId="0" borderId="2" xfId="0" applyNumberFormat="1" applyFont="1" applyFill="1" applyBorder="1" applyAlignment="1">
      <alignment horizontal="center" wrapText="1"/>
    </xf>
    <xf numFmtId="1" fontId="27" fillId="0" borderId="2" xfId="0" applyNumberFormat="1" applyFont="1" applyFill="1" applyBorder="1" applyAlignment="1">
      <alignment horizontal="center" wrapText="1"/>
    </xf>
    <xf numFmtId="164" fontId="27" fillId="6" borderId="0" xfId="0" applyNumberFormat="1" applyFont="1" applyFill="1" applyBorder="1" applyAlignment="1">
      <alignment horizontal="center" vertical="center" wrapText="1"/>
    </xf>
    <xf numFmtId="2" fontId="27" fillId="6" borderId="0" xfId="0" applyNumberFormat="1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164" fontId="27" fillId="6" borderId="2" xfId="0" applyNumberFormat="1" applyFont="1" applyFill="1" applyBorder="1" applyAlignment="1">
      <alignment horizontal="center" vertical="center" wrapText="1"/>
    </xf>
    <xf numFmtId="2" fontId="27" fillId="6" borderId="2" xfId="0" applyNumberFormat="1" applyFont="1" applyFill="1" applyBorder="1" applyAlignment="1">
      <alignment horizontal="center" vertical="center" wrapText="1"/>
    </xf>
    <xf numFmtId="0" fontId="28" fillId="6" borderId="3" xfId="0" applyFont="1" applyFill="1" applyBorder="1" applyAlignment="1">
      <alignment horizontal="center" vertical="center" wrapText="1"/>
    </xf>
    <xf numFmtId="164" fontId="28" fillId="6" borderId="3" xfId="0" applyNumberFormat="1" applyFont="1" applyFill="1" applyBorder="1" applyAlignment="1">
      <alignment horizontal="center" vertical="center" wrapText="1"/>
    </xf>
    <xf numFmtId="2" fontId="28" fillId="6" borderId="3" xfId="0" applyNumberFormat="1" applyFont="1" applyFill="1" applyBorder="1" applyAlignment="1">
      <alignment horizontal="center" vertical="center" wrapText="1"/>
    </xf>
    <xf numFmtId="1" fontId="28" fillId="6" borderId="3" xfId="0" applyNumberFormat="1" applyFont="1" applyFill="1" applyBorder="1" applyAlignment="1">
      <alignment horizontal="center" vertical="center" wrapText="1"/>
    </xf>
    <xf numFmtId="0" fontId="29" fillId="0" borderId="0" xfId="0" applyFont="1"/>
    <xf numFmtId="165" fontId="28" fillId="6" borderId="1" xfId="0" applyNumberFormat="1" applyFont="1" applyFill="1" applyBorder="1" applyAlignment="1">
      <alignment horizontal="center" vertical="center" wrapText="1"/>
    </xf>
    <xf numFmtId="2" fontId="28" fillId="6" borderId="1" xfId="0" applyNumberFormat="1" applyFont="1" applyFill="1" applyBorder="1" applyAlignment="1">
      <alignment horizontal="center" vertical="center" wrapText="1"/>
    </xf>
    <xf numFmtId="165" fontId="28" fillId="6" borderId="2" xfId="0" applyNumberFormat="1" applyFont="1" applyFill="1" applyBorder="1" applyAlignment="1">
      <alignment horizontal="center" vertical="center" wrapText="1"/>
    </xf>
    <xf numFmtId="2" fontId="28" fillId="6" borderId="2" xfId="0" applyNumberFormat="1" applyFont="1" applyFill="1" applyBorder="1" applyAlignment="1">
      <alignment horizontal="center" vertical="center" wrapText="1"/>
    </xf>
    <xf numFmtId="165" fontId="27" fillId="0" borderId="2" xfId="0" applyNumberFormat="1" applyFont="1" applyFill="1" applyBorder="1" applyAlignment="1">
      <alignment horizontal="center" wrapText="1"/>
    </xf>
    <xf numFmtId="165" fontId="27" fillId="6" borderId="0" xfId="0" applyNumberFormat="1" applyFont="1" applyFill="1" applyBorder="1" applyAlignment="1">
      <alignment horizontal="center" vertical="center" wrapText="1"/>
    </xf>
    <xf numFmtId="2" fontId="6" fillId="7" borderId="10" xfId="4" applyNumberFormat="1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1" fontId="1" fillId="7" borderId="15" xfId="4" applyNumberFormat="1" applyFont="1" applyFill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2" fontId="30" fillId="0" borderId="10" xfId="0" applyNumberFormat="1" applyFont="1" applyBorder="1"/>
    <xf numFmtId="49" fontId="3" fillId="0" borderId="10" xfId="4" applyNumberFormat="1" applyFont="1" applyFill="1" applyBorder="1" applyAlignment="1">
      <alignment horizontal="center" vertical="center"/>
    </xf>
    <xf numFmtId="168" fontId="1" fillId="7" borderId="10" xfId="5" applyNumberFormat="1" applyFill="1" applyBorder="1">
      <alignment horizontal="center" vertical="center" wrapText="1"/>
    </xf>
    <xf numFmtId="1" fontId="3" fillId="5" borderId="9" xfId="0" applyNumberFormat="1" applyFont="1" applyFill="1" applyBorder="1" applyAlignment="1">
      <alignment horizontal="center" vertical="center" wrapText="1"/>
    </xf>
    <xf numFmtId="1" fontId="3" fillId="5" borderId="6" xfId="0" applyNumberFormat="1" applyFont="1" applyFill="1" applyBorder="1" applyAlignment="1">
      <alignment horizontal="center" vertical="center" wrapText="1"/>
    </xf>
    <xf numFmtId="1" fontId="3" fillId="5" borderId="8" xfId="0" applyNumberFormat="1" applyFont="1" applyFill="1" applyBorder="1" applyAlignment="1">
      <alignment horizontal="center" vertical="center" wrapText="1"/>
    </xf>
    <xf numFmtId="1" fontId="3" fillId="5" borderId="6" xfId="0" applyNumberFormat="1" applyFont="1" applyFill="1" applyBorder="1" applyAlignment="1">
      <alignment horizontal="center" vertical="center"/>
    </xf>
    <xf numFmtId="1" fontId="3" fillId="5" borderId="8" xfId="0" applyNumberFormat="1" applyFont="1" applyFill="1" applyBorder="1" applyAlignment="1">
      <alignment horizontal="center" vertical="center"/>
    </xf>
    <xf numFmtId="1" fontId="3" fillId="5" borderId="7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31" fillId="0" borderId="0" xfId="0" applyFont="1" applyAlignment="1">
      <alignment vertical="top" wrapText="1"/>
    </xf>
    <xf numFmtId="0" fontId="32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top"/>
    </xf>
    <xf numFmtId="0" fontId="20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center" vertical="center" wrapText="1"/>
    </xf>
    <xf numFmtId="1" fontId="0" fillId="0" borderId="0" xfId="0" applyNumberFormat="1" applyBorder="1"/>
    <xf numFmtId="164" fontId="6" fillId="0" borderId="0" xfId="4" applyNumberFormat="1" applyFont="1" applyFill="1" applyBorder="1" applyAlignment="1">
      <alignment horizontal="center" vertical="center" wrapText="1"/>
    </xf>
    <xf numFmtId="1" fontId="1" fillId="0" borderId="0" xfId="4" applyNumberFormat="1" applyFont="1" applyFill="1" applyBorder="1" applyAlignment="1">
      <alignment horizontal="center" textRotation="90" wrapText="1"/>
    </xf>
    <xf numFmtId="0" fontId="20" fillId="0" borderId="0" xfId="0" applyFont="1" applyAlignment="1"/>
    <xf numFmtId="0" fontId="26" fillId="0" borderId="0" xfId="0" applyFont="1" applyAlignment="1">
      <alignment wrapText="1"/>
    </xf>
    <xf numFmtId="165" fontId="27" fillId="6" borderId="2" xfId="0" applyNumberFormat="1" applyFont="1" applyFill="1" applyBorder="1" applyAlignment="1">
      <alignment horizontal="center" vertical="center" wrapText="1"/>
    </xf>
    <xf numFmtId="165" fontId="28" fillId="6" borderId="3" xfId="0" applyNumberFormat="1" applyFont="1" applyFill="1" applyBorder="1" applyAlignment="1">
      <alignment horizontal="center" vertical="center" wrapText="1"/>
    </xf>
    <xf numFmtId="2" fontId="23" fillId="0" borderId="0" xfId="0" applyNumberFormat="1" applyFont="1" applyAlignment="1">
      <alignment horizontal="center"/>
    </xf>
    <xf numFmtId="164" fontId="30" fillId="0" borderId="10" xfId="0" applyNumberFormat="1" applyFont="1" applyBorder="1"/>
    <xf numFmtId="164" fontId="2" fillId="7" borderId="13" xfId="4" applyNumberFormat="1" applyFont="1" applyFill="1" applyBorder="1" applyAlignment="1">
      <alignment horizontal="center" vertical="center"/>
    </xf>
    <xf numFmtId="2" fontId="2" fillId="8" borderId="15" xfId="4" applyNumberFormat="1" applyFont="1" applyFill="1" applyBorder="1" applyAlignment="1">
      <alignment horizontal="center" vertical="center"/>
    </xf>
    <xf numFmtId="168" fontId="1" fillId="7" borderId="16" xfId="5" applyNumberFormat="1" applyFill="1" applyBorder="1">
      <alignment horizontal="center" vertical="center" wrapText="1"/>
    </xf>
    <xf numFmtId="2" fontId="2" fillId="7" borderId="17" xfId="4" applyNumberFormat="1" applyFont="1" applyFill="1" applyBorder="1" applyAlignment="1">
      <alignment horizontal="center" vertical="center"/>
    </xf>
    <xf numFmtId="2" fontId="2" fillId="7" borderId="18" xfId="4" applyNumberFormat="1" applyFont="1" applyFill="1" applyBorder="1" applyAlignment="1">
      <alignment horizontal="center" vertical="center"/>
    </xf>
    <xf numFmtId="2" fontId="2" fillId="7" borderId="19" xfId="4" applyNumberFormat="1" applyFont="1" applyFill="1" applyBorder="1" applyAlignment="1">
      <alignment horizontal="center" vertical="center"/>
    </xf>
    <xf numFmtId="168" fontId="1" fillId="7" borderId="13" xfId="5" applyNumberFormat="1" applyFill="1" applyBorder="1">
      <alignment horizontal="center" vertical="center" wrapText="1"/>
    </xf>
    <xf numFmtId="2" fontId="1" fillId="7" borderId="15" xfId="5" applyFill="1" applyBorder="1">
      <alignment horizontal="center" vertical="center" wrapText="1"/>
    </xf>
    <xf numFmtId="2" fontId="1" fillId="0" borderId="16" xfId="4" applyNumberFormat="1" applyFont="1" applyFill="1" applyBorder="1" applyAlignment="1">
      <alignment horizontal="center" vertical="center"/>
    </xf>
    <xf numFmtId="2" fontId="1" fillId="0" borderId="11" xfId="4" applyNumberFormat="1" applyFont="1" applyFill="1" applyBorder="1" applyAlignment="1">
      <alignment horizontal="center" vertical="center"/>
    </xf>
    <xf numFmtId="2" fontId="1" fillId="7" borderId="10" xfId="5" applyNumberFormat="1" applyFont="1" applyFill="1" applyBorder="1">
      <alignment horizontal="center" vertical="center" wrapText="1"/>
    </xf>
    <xf numFmtId="2" fontId="1" fillId="7" borderId="10" xfId="5" applyNumberFormat="1" applyFont="1" applyFill="1" applyBorder="1">
      <alignment horizontal="center" vertical="center" wrapText="1"/>
    </xf>
    <xf numFmtId="164" fontId="30" fillId="0" borderId="10" xfId="0" applyNumberFormat="1" applyFont="1" applyBorder="1" applyAlignment="1">
      <alignment horizontal="center" vertical="top"/>
    </xf>
    <xf numFmtId="2" fontId="1" fillId="7" borderId="10" xfId="5" applyNumberFormat="1" applyFont="1" applyFill="1" applyBorder="1">
      <alignment horizontal="center" vertical="center" wrapText="1"/>
    </xf>
    <xf numFmtId="2" fontId="1" fillId="7" borderId="10" xfId="5" applyNumberFormat="1" applyFont="1" applyFill="1" applyBorder="1">
      <alignment horizontal="center" vertical="center" wrapText="1"/>
    </xf>
    <xf numFmtId="4" fontId="1" fillId="0" borderId="10" xfId="4" applyNumberFormat="1" applyFont="1" applyFill="1" applyBorder="1" applyAlignment="1">
      <alignment horizontal="center" vertical="center"/>
    </xf>
    <xf numFmtId="4" fontId="1" fillId="7" borderId="10" xfId="5" applyNumberFormat="1" applyFont="1" applyFill="1" applyBorder="1">
      <alignment horizontal="center" vertical="center" wrapText="1"/>
    </xf>
    <xf numFmtId="3" fontId="1" fillId="0" borderId="10" xfId="0" applyNumberFormat="1" applyFont="1" applyBorder="1" applyAlignment="1">
      <alignment horizontal="center" vertical="center"/>
    </xf>
    <xf numFmtId="3" fontId="1" fillId="7" borderId="10" xfId="4" applyNumberFormat="1" applyFont="1" applyFill="1" applyBorder="1" applyAlignment="1">
      <alignment horizontal="center" vertical="center"/>
    </xf>
    <xf numFmtId="3" fontId="1" fillId="0" borderId="10" xfId="0" applyNumberFormat="1" applyFont="1" applyFill="1" applyBorder="1" applyAlignment="1">
      <alignment horizontal="center" vertical="center"/>
    </xf>
    <xf numFmtId="3" fontId="1" fillId="7" borderId="15" xfId="4" applyNumberFormat="1" applyFont="1" applyFill="1" applyBorder="1" applyAlignment="1">
      <alignment horizontal="center" vertical="center"/>
    </xf>
    <xf numFmtId="4" fontId="1" fillId="0" borderId="10" xfId="0" applyNumberFormat="1" applyFont="1" applyBorder="1" applyAlignment="1">
      <alignment horizontal="center" vertical="center"/>
    </xf>
    <xf numFmtId="4" fontId="1" fillId="0" borderId="10" xfId="0" applyNumberFormat="1" applyFont="1" applyFill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2" fontId="1" fillId="7" borderId="10" xfId="5" applyNumberFormat="1" applyFont="1" applyFill="1" applyBorder="1">
      <alignment horizontal="center" vertical="center" wrapText="1"/>
    </xf>
    <xf numFmtId="2" fontId="30" fillId="0" borderId="10" xfId="0" applyNumberFormat="1" applyFont="1" applyBorder="1" applyAlignment="1">
      <alignment horizontal="center"/>
    </xf>
    <xf numFmtId="2" fontId="1" fillId="7" borderId="10" xfId="5" applyNumberFormat="1" applyFont="1" applyFill="1" applyBorder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1" fontId="3" fillId="0" borderId="20" xfId="0" applyNumberFormat="1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 wrapText="1"/>
    </xf>
    <xf numFmtId="49" fontId="3" fillId="5" borderId="21" xfId="0" applyNumberFormat="1" applyFont="1" applyFill="1" applyBorder="1" applyAlignment="1">
      <alignment horizontal="center" vertical="center" wrapText="1"/>
    </xf>
    <xf numFmtId="49" fontId="3" fillId="5" borderId="22" xfId="0" applyNumberFormat="1" applyFont="1" applyFill="1" applyBorder="1" applyAlignment="1">
      <alignment horizontal="center" vertical="center" wrapText="1"/>
    </xf>
    <xf numFmtId="1" fontId="3" fillId="5" borderId="23" xfId="0" applyNumberFormat="1" applyFont="1" applyFill="1" applyBorder="1" applyAlignment="1">
      <alignment horizontal="center" vertical="center" wrapText="1"/>
    </xf>
    <xf numFmtId="1" fontId="3" fillId="5" borderId="21" xfId="0" applyNumberFormat="1" applyFont="1" applyFill="1" applyBorder="1" applyAlignment="1">
      <alignment horizontal="center" vertical="center" wrapText="1"/>
    </xf>
    <xf numFmtId="1" fontId="3" fillId="5" borderId="22" xfId="0" applyNumberFormat="1" applyFont="1" applyFill="1" applyBorder="1" applyAlignment="1">
      <alignment horizontal="center" vertical="center" wrapText="1"/>
    </xf>
    <xf numFmtId="1" fontId="3" fillId="5" borderId="21" xfId="0" applyNumberFormat="1" applyFont="1" applyFill="1" applyBorder="1" applyAlignment="1">
      <alignment horizontal="center" vertical="center"/>
    </xf>
    <xf numFmtId="1" fontId="3" fillId="5" borderId="22" xfId="0" applyNumberFormat="1" applyFont="1" applyFill="1" applyBorder="1" applyAlignment="1">
      <alignment horizontal="center" vertical="center"/>
    </xf>
    <xf numFmtId="1" fontId="3" fillId="5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 wrapText="1"/>
    </xf>
    <xf numFmtId="1" fontId="3" fillId="0" borderId="26" xfId="0" applyNumberFormat="1" applyFont="1" applyBorder="1" applyAlignment="1">
      <alignment horizontal="center" vertical="center" wrapText="1"/>
    </xf>
    <xf numFmtId="1" fontId="3" fillId="0" borderId="25" xfId="0" applyNumberFormat="1" applyFont="1" applyBorder="1" applyAlignment="1">
      <alignment horizontal="center" vertical="center" wrapText="1"/>
    </xf>
    <xf numFmtId="1" fontId="3" fillId="0" borderId="20" xfId="0" applyNumberFormat="1" applyFont="1" applyFill="1" applyBorder="1" applyAlignment="1">
      <alignment horizontal="center" vertical="center"/>
    </xf>
    <xf numFmtId="1" fontId="3" fillId="0" borderId="25" xfId="0" applyNumberFormat="1" applyFont="1" applyFill="1" applyBorder="1" applyAlignment="1">
      <alignment horizontal="center" vertical="center"/>
    </xf>
    <xf numFmtId="1" fontId="3" fillId="0" borderId="27" xfId="0" applyNumberFormat="1" applyFont="1" applyFill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1" fontId="3" fillId="0" borderId="23" xfId="0" applyNumberFormat="1" applyFont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 wrapText="1"/>
    </xf>
    <xf numFmtId="1" fontId="3" fillId="0" borderId="24" xfId="0" applyNumberFormat="1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 vertical="center" wrapText="1"/>
    </xf>
    <xf numFmtId="1" fontId="3" fillId="0" borderId="28" xfId="0" applyNumberFormat="1" applyFont="1" applyFill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 wrapText="1"/>
    </xf>
    <xf numFmtId="1" fontId="3" fillId="0" borderId="4" xfId="0" applyNumberFormat="1" applyFont="1" applyFill="1" applyBorder="1" applyAlignment="1">
      <alignment horizontal="center" vertical="center"/>
    </xf>
    <xf numFmtId="2" fontId="1" fillId="7" borderId="10" xfId="5" applyNumberFormat="1" applyFont="1" applyFill="1" applyBorder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1" fontId="3" fillId="0" borderId="9" xfId="0" applyNumberFormat="1" applyFont="1" applyFill="1" applyBorder="1" applyAlignment="1">
      <alignment horizontal="center" vertical="center" wrapText="1"/>
    </xf>
    <xf numFmtId="1" fontId="3" fillId="0" borderId="6" xfId="0" applyNumberFormat="1" applyFont="1" applyFill="1" applyBorder="1" applyAlignment="1">
      <alignment horizontal="center" vertical="center" wrapText="1"/>
    </xf>
    <xf numFmtId="1" fontId="3" fillId="0" borderId="8" xfId="0" applyNumberFormat="1" applyFont="1" applyFill="1" applyBorder="1" applyAlignment="1">
      <alignment horizontal="center" vertical="center" wrapText="1"/>
    </xf>
    <xf numFmtId="2" fontId="1" fillId="7" borderId="10" xfId="5" applyNumberFormat="1" applyFont="1" applyFill="1" applyBorder="1">
      <alignment horizontal="center" vertical="center" wrapText="1"/>
    </xf>
    <xf numFmtId="164" fontId="30" fillId="0" borderId="10" xfId="0" applyNumberFormat="1" applyFont="1" applyBorder="1" applyAlignment="1">
      <alignment horizontal="center"/>
    </xf>
    <xf numFmtId="2" fontId="2" fillId="9" borderId="10" xfId="4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/>
    </xf>
    <xf numFmtId="2" fontId="2" fillId="7" borderId="10" xfId="5" applyNumberFormat="1" applyFont="1" applyFill="1" applyBorder="1" applyAlignment="1">
      <alignment horizontal="center" vertical="center" wrapText="1"/>
    </xf>
    <xf numFmtId="0" fontId="2" fillId="5" borderId="10" xfId="4" applyFont="1" applyFill="1" applyBorder="1" applyAlignment="1">
      <alignment horizontal="center" vertical="center"/>
    </xf>
    <xf numFmtId="1" fontId="2" fillId="5" borderId="10" xfId="4" applyNumberFormat="1" applyFont="1" applyFill="1" applyBorder="1" applyAlignment="1">
      <alignment horizontal="center" vertical="center"/>
    </xf>
    <xf numFmtId="165" fontId="2" fillId="5" borderId="10" xfId="4" applyNumberFormat="1" applyFont="1" applyFill="1" applyBorder="1" applyAlignment="1">
      <alignment horizontal="center" vertical="center"/>
    </xf>
    <xf numFmtId="2" fontId="2" fillId="5" borderId="10" xfId="4" applyNumberFormat="1" applyFont="1" applyFill="1" applyBorder="1" applyAlignment="1">
      <alignment horizontal="center" vertical="center"/>
    </xf>
    <xf numFmtId="164" fontId="2" fillId="5" borderId="10" xfId="4" applyNumberFormat="1" applyFont="1" applyFill="1" applyBorder="1" applyAlignment="1">
      <alignment horizontal="center" vertical="center"/>
    </xf>
    <xf numFmtId="49" fontId="3" fillId="0" borderId="29" xfId="0" applyNumberFormat="1" applyFont="1" applyFill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vertical="center"/>
    </xf>
    <xf numFmtId="1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2" fontId="1" fillId="7" borderId="10" xfId="5" applyFont="1" applyFill="1" applyBorder="1">
      <alignment horizontal="center" vertical="center" wrapText="1"/>
    </xf>
    <xf numFmtId="2" fontId="1" fillId="7" borderId="10" xfId="5" applyNumberFormat="1" applyFont="1" applyFill="1" applyBorder="1">
      <alignment horizontal="center" vertical="center" wrapText="1"/>
    </xf>
    <xf numFmtId="1" fontId="0" fillId="0" borderId="10" xfId="0" applyNumberFormat="1" applyFont="1" applyBorder="1" applyAlignment="1">
      <alignment horizontal="center" vertical="center"/>
    </xf>
    <xf numFmtId="2" fontId="1" fillId="7" borderId="10" xfId="5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1" fillId="7" borderId="10" xfId="5" applyNumberFormat="1" applyFont="1" applyFill="1" applyBorder="1">
      <alignment horizontal="center" vertical="center" wrapText="1"/>
    </xf>
    <xf numFmtId="2" fontId="1" fillId="7" borderId="10" xfId="5" applyFont="1" applyFill="1" applyBorder="1">
      <alignment horizontal="center" vertical="center" wrapText="1"/>
    </xf>
    <xf numFmtId="2" fontId="1" fillId="7" borderId="10" xfId="5" applyFill="1" applyBorder="1">
      <alignment horizontal="center" vertical="center" wrapText="1"/>
    </xf>
    <xf numFmtId="1" fontId="2" fillId="7" borderId="13" xfId="5" applyNumberFormat="1" applyFont="1" applyFill="1" applyBorder="1">
      <alignment horizontal="center" vertical="center" wrapText="1"/>
    </xf>
    <xf numFmtId="2" fontId="1" fillId="7" borderId="10" xfId="5" applyFont="1" applyFill="1" applyBorder="1">
      <alignment horizontal="center" vertical="center" wrapText="1"/>
    </xf>
    <xf numFmtId="2" fontId="1" fillId="5" borderId="10" xfId="4" applyNumberFormat="1" applyFont="1" applyFill="1" applyBorder="1" applyAlignment="1">
      <alignment horizontal="center" vertical="center"/>
    </xf>
    <xf numFmtId="2" fontId="1" fillId="7" borderId="10" xfId="5" applyNumberFormat="1" applyFont="1" applyFill="1" applyBorder="1">
      <alignment horizontal="center" vertical="center" wrapText="1"/>
    </xf>
    <xf numFmtId="164" fontId="30" fillId="0" borderId="10" xfId="0" applyNumberFormat="1" applyFont="1" applyBorder="1" applyAlignment="1">
      <alignment horizontal="center" vertical="center"/>
    </xf>
    <xf numFmtId="165" fontId="1" fillId="0" borderId="13" xfId="4" applyNumberFormat="1" applyFont="1" applyFill="1" applyBorder="1" applyAlignment="1">
      <alignment horizontal="center" vertical="center"/>
    </xf>
    <xf numFmtId="165" fontId="1" fillId="0" borderId="15" xfId="4" applyNumberFormat="1" applyFont="1" applyFill="1" applyBorder="1" applyAlignment="1">
      <alignment horizontal="center" vertical="center"/>
    </xf>
    <xf numFmtId="165" fontId="1" fillId="0" borderId="16" xfId="4" applyNumberFormat="1" applyFont="1" applyFill="1" applyBorder="1" applyAlignment="1">
      <alignment horizontal="center" vertical="center"/>
    </xf>
    <xf numFmtId="165" fontId="1" fillId="0" borderId="11" xfId="4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5" fontId="1" fillId="0" borderId="30" xfId="4" applyNumberFormat="1" applyFont="1" applyFill="1" applyBorder="1" applyAlignment="1">
      <alignment horizontal="center" vertical="center"/>
    </xf>
    <xf numFmtId="2" fontId="1" fillId="7" borderId="10" xfId="5" applyNumberFormat="1" applyFont="1" applyFill="1" applyBorder="1">
      <alignment horizontal="center" vertical="center" wrapText="1"/>
    </xf>
    <xf numFmtId="1" fontId="3" fillId="0" borderId="29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7" fontId="18" fillId="0" borderId="4" xfId="0" applyNumberFormat="1" applyFont="1" applyBorder="1" applyAlignment="1">
      <alignment horizontal="center" vertical="center"/>
    </xf>
    <xf numFmtId="165" fontId="33" fillId="0" borderId="4" xfId="0" applyNumberFormat="1" applyFont="1" applyBorder="1" applyAlignment="1">
      <alignment horizontal="center"/>
    </xf>
    <xf numFmtId="165" fontId="3" fillId="0" borderId="20" xfId="0" applyNumberFormat="1" applyFont="1" applyBorder="1" applyAlignment="1">
      <alignment horizontal="center" vertical="center" wrapText="1"/>
    </xf>
    <xf numFmtId="165" fontId="3" fillId="0" borderId="21" xfId="0" applyNumberFormat="1" applyFont="1" applyBorder="1" applyAlignment="1">
      <alignment horizontal="center" vertical="center" wrapText="1"/>
    </xf>
    <xf numFmtId="165" fontId="18" fillId="0" borderId="4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 wrapText="1"/>
    </xf>
    <xf numFmtId="2" fontId="1" fillId="7" borderId="10" xfId="5" applyNumberFormat="1" applyFont="1" applyFill="1" applyBorder="1">
      <alignment horizontal="center" vertical="center" wrapText="1"/>
    </xf>
    <xf numFmtId="2" fontId="1" fillId="7" borderId="10" xfId="5" applyFill="1" applyBorder="1">
      <alignment horizontal="center" vertical="center" wrapText="1"/>
    </xf>
    <xf numFmtId="2" fontId="1" fillId="7" borderId="10" xfId="5" applyFont="1" applyFill="1" applyBorder="1">
      <alignment horizontal="center" vertical="center" wrapText="1"/>
    </xf>
    <xf numFmtId="2" fontId="1" fillId="7" borderId="10" xfId="5" applyFill="1" applyBorder="1" applyAlignment="1">
      <alignment horizontal="center" vertical="center"/>
    </xf>
    <xf numFmtId="2" fontId="1" fillId="7" borderId="10" xfId="5" applyNumberFormat="1" applyFont="1" applyFill="1" applyBorder="1">
      <alignment horizontal="center" vertical="center" wrapText="1"/>
    </xf>
    <xf numFmtId="0" fontId="20" fillId="0" borderId="0" xfId="0" applyFont="1" applyAlignment="1">
      <alignment horizontal="left"/>
    </xf>
    <xf numFmtId="0" fontId="26" fillId="0" borderId="35" xfId="0" applyFont="1" applyBorder="1" applyAlignment="1">
      <alignment horizontal="left"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 vertical="center"/>
    </xf>
    <xf numFmtId="0" fontId="35" fillId="0" borderId="0" xfId="0" applyFont="1" applyBorder="1" applyAlignment="1">
      <alignment horizontal="right" vertical="center"/>
    </xf>
    <xf numFmtId="164" fontId="2" fillId="7" borderId="10" xfId="5" applyNumberFormat="1" applyFont="1" applyFill="1" applyBorder="1" applyAlignment="1">
      <alignment horizontal="center" vertical="center" wrapText="1"/>
    </xf>
    <xf numFmtId="2" fontId="2" fillId="7" borderId="10" xfId="5" applyFont="1" applyFill="1" applyBorder="1">
      <alignment horizontal="center" vertical="center" wrapText="1"/>
    </xf>
    <xf numFmtId="165" fontId="1" fillId="7" borderId="16" xfId="5" applyNumberFormat="1" applyFont="1" applyFill="1" applyBorder="1" applyAlignment="1">
      <alignment horizontal="center" vertical="center" wrapText="1"/>
    </xf>
    <xf numFmtId="165" fontId="1" fillId="7" borderId="31" xfId="5" applyNumberFormat="1" applyFont="1" applyFill="1" applyBorder="1" applyAlignment="1">
      <alignment horizontal="center" vertical="center" wrapText="1"/>
    </xf>
    <xf numFmtId="165" fontId="1" fillId="7" borderId="11" xfId="5" applyNumberFormat="1" applyFont="1" applyFill="1" applyBorder="1" applyAlignment="1">
      <alignment horizontal="center" vertical="center" wrapText="1"/>
    </xf>
    <xf numFmtId="2" fontId="1" fillId="7" borderId="16" xfId="5" applyNumberFormat="1" applyFont="1" applyFill="1" applyBorder="1" applyAlignment="1">
      <alignment horizontal="center" vertical="center" wrapText="1"/>
    </xf>
    <xf numFmtId="2" fontId="1" fillId="7" borderId="31" xfId="5" applyNumberFormat="1" applyFont="1" applyFill="1" applyBorder="1" applyAlignment="1">
      <alignment horizontal="center" vertical="center" wrapText="1"/>
    </xf>
    <xf numFmtId="2" fontId="1" fillId="7" borderId="11" xfId="5" applyNumberFormat="1" applyFont="1" applyFill="1" applyBorder="1" applyAlignment="1">
      <alignment horizontal="center" vertical="center" wrapText="1"/>
    </xf>
    <xf numFmtId="0" fontId="32" fillId="0" borderId="34" xfId="0" applyFont="1" applyBorder="1" applyAlignment="1">
      <alignment horizontal="left" vertical="center"/>
    </xf>
    <xf numFmtId="0" fontId="35" fillId="0" borderId="34" xfId="0" applyFont="1" applyBorder="1" applyAlignment="1">
      <alignment horizontal="right" vertical="center"/>
    </xf>
    <xf numFmtId="165" fontId="3" fillId="7" borderId="10" xfId="5" applyNumberFormat="1" applyFont="1" applyFill="1" applyBorder="1" applyAlignment="1">
      <alignment horizontal="center" vertical="center" wrapText="1"/>
    </xf>
    <xf numFmtId="2" fontId="3" fillId="7" borderId="10" xfId="5" applyNumberFormat="1" applyFont="1" applyFill="1" applyBorder="1" applyAlignment="1">
      <alignment horizontal="center" vertical="center" wrapText="1"/>
    </xf>
    <xf numFmtId="164" fontId="3" fillId="7" borderId="10" xfId="5" applyNumberFormat="1" applyFont="1" applyFill="1" applyBorder="1" applyAlignment="1">
      <alignment horizontal="center" vertical="center" wrapText="1"/>
    </xf>
    <xf numFmtId="0" fontId="32" fillId="0" borderId="32" xfId="0" applyFont="1" applyBorder="1" applyAlignment="1">
      <alignment horizontal="left" vertical="center"/>
    </xf>
    <xf numFmtId="2" fontId="2" fillId="7" borderId="13" xfId="5" applyNumberFormat="1" applyFont="1" applyFill="1" applyBorder="1" applyAlignment="1">
      <alignment horizontal="center" vertical="center" wrapText="1"/>
    </xf>
    <xf numFmtId="2" fontId="2" fillId="7" borderId="33" xfId="5" applyNumberFormat="1" applyFont="1" applyFill="1" applyBorder="1" applyAlignment="1">
      <alignment horizontal="center" vertical="center" wrapText="1"/>
    </xf>
    <xf numFmtId="2" fontId="2" fillId="7" borderId="15" xfId="5" applyNumberFormat="1" applyFont="1" applyFill="1" applyBorder="1" applyAlignment="1">
      <alignment horizontal="center" vertical="center" wrapText="1"/>
    </xf>
    <xf numFmtId="2" fontId="1" fillId="7" borderId="10" xfId="5" applyNumberFormat="1" applyFont="1" applyFill="1" applyBorder="1">
      <alignment horizontal="center" vertical="center" wrapText="1"/>
    </xf>
    <xf numFmtId="49" fontId="1" fillId="0" borderId="10" xfId="4" applyNumberFormat="1" applyFont="1" applyFill="1" applyBorder="1" applyAlignment="1">
      <alignment horizontal="left" vertical="center"/>
    </xf>
    <xf numFmtId="165" fontId="3" fillId="7" borderId="10" xfId="5" applyNumberFormat="1" applyFont="1" applyFill="1" applyBorder="1">
      <alignment horizontal="center" vertical="center" wrapText="1"/>
    </xf>
    <xf numFmtId="1" fontId="1" fillId="7" borderId="16" xfId="5" applyNumberFormat="1" applyFont="1" applyFill="1" applyBorder="1" applyAlignment="1">
      <alignment horizontal="center" vertical="center" wrapText="1"/>
    </xf>
    <xf numFmtId="1" fontId="1" fillId="7" borderId="31" xfId="5" applyNumberFormat="1" applyFont="1" applyFill="1" applyBorder="1" applyAlignment="1">
      <alignment horizontal="center" vertical="center" wrapText="1"/>
    </xf>
    <xf numFmtId="1" fontId="1" fillId="7" borderId="11" xfId="5" applyNumberFormat="1" applyFont="1" applyFill="1" applyBorder="1" applyAlignment="1">
      <alignment horizontal="center" vertical="center" wrapText="1"/>
    </xf>
    <xf numFmtId="1" fontId="3" fillId="7" borderId="16" xfId="5" applyNumberFormat="1" applyFont="1" applyFill="1" applyBorder="1" applyAlignment="1">
      <alignment horizontal="center" vertical="center" wrapText="1"/>
    </xf>
    <xf numFmtId="1" fontId="3" fillId="7" borderId="31" xfId="5" applyNumberFormat="1" applyFont="1" applyFill="1" applyBorder="1" applyAlignment="1">
      <alignment horizontal="center" vertical="center" wrapText="1"/>
    </xf>
    <xf numFmtId="1" fontId="3" fillId="7" borderId="11" xfId="5" applyNumberFormat="1" applyFont="1" applyFill="1" applyBorder="1" applyAlignment="1">
      <alignment horizontal="center" vertical="center" wrapText="1"/>
    </xf>
    <xf numFmtId="2" fontId="1" fillId="7" borderId="10" xfId="5" applyFont="1" applyFill="1" applyBorder="1">
      <alignment horizontal="center" vertical="center" wrapText="1"/>
    </xf>
    <xf numFmtId="164" fontId="3" fillId="7" borderId="10" xfId="5" applyNumberFormat="1" applyFont="1" applyFill="1" applyBorder="1">
      <alignment horizontal="center" vertical="center" wrapText="1"/>
    </xf>
    <xf numFmtId="2" fontId="2" fillId="7" borderId="10" xfId="5" applyNumberFormat="1" applyFont="1" applyFill="1" applyBorder="1" applyAlignment="1">
      <alignment horizontal="center" vertical="center" wrapText="1"/>
    </xf>
    <xf numFmtId="17" fontId="20" fillId="0" borderId="0" xfId="0" applyNumberFormat="1" applyFont="1" applyBorder="1" applyAlignment="1">
      <alignment horizontal="left"/>
    </xf>
    <xf numFmtId="2" fontId="2" fillId="7" borderId="10" xfId="4" applyNumberFormat="1" applyFont="1" applyFill="1" applyBorder="1" applyAlignment="1">
      <alignment horizontal="center" vertical="center" wrapText="1"/>
    </xf>
    <xf numFmtId="2" fontId="3" fillId="7" borderId="10" xfId="5" applyFont="1" applyFill="1" applyBorder="1">
      <alignment horizontal="center" vertical="center" wrapText="1"/>
    </xf>
    <xf numFmtId="168" fontId="3" fillId="7" borderId="10" xfId="5" applyNumberFormat="1" applyFont="1" applyFill="1" applyBorder="1" applyAlignment="1">
      <alignment horizontal="center" vertical="center" wrapText="1"/>
    </xf>
    <xf numFmtId="49" fontId="3" fillId="0" borderId="10" xfId="4" applyNumberFormat="1" applyFont="1" applyFill="1" applyBorder="1" applyAlignment="1">
      <alignment horizontal="left" vertical="center"/>
    </xf>
    <xf numFmtId="0" fontId="36" fillId="0" borderId="0" xfId="0" applyFont="1" applyBorder="1" applyAlignment="1">
      <alignment horizontal="right" vertical="center"/>
    </xf>
    <xf numFmtId="49" fontId="37" fillId="8" borderId="10" xfId="4" applyNumberFormat="1" applyFont="1" applyFill="1" applyBorder="1" applyAlignment="1">
      <alignment horizontal="center" vertical="center"/>
    </xf>
    <xf numFmtId="0" fontId="35" fillId="0" borderId="0" xfId="0" applyFont="1" applyBorder="1" applyAlignment="1">
      <alignment horizontal="right"/>
    </xf>
    <xf numFmtId="2" fontId="3" fillId="7" borderId="10" xfId="5" applyNumberFormat="1" applyFont="1" applyFill="1" applyBorder="1">
      <alignment horizontal="center" vertical="center" wrapText="1"/>
    </xf>
    <xf numFmtId="1" fontId="3" fillId="7" borderId="10" xfId="5" applyNumberFormat="1" applyFont="1" applyFill="1" applyBorder="1" applyAlignment="1">
      <alignment horizontal="center" vertical="center" wrapText="1"/>
    </xf>
    <xf numFmtId="2" fontId="3" fillId="7" borderId="10" xfId="5" applyFont="1" applyFill="1" applyBorder="1" applyAlignment="1">
      <alignment horizontal="center" vertical="center" wrapText="1"/>
    </xf>
    <xf numFmtId="2" fontId="1" fillId="7" borderId="10" xfId="5" applyNumberFormat="1" applyFont="1" applyFill="1" applyBorder="1" applyAlignment="1">
      <alignment horizontal="center" vertical="center" wrapText="1"/>
    </xf>
    <xf numFmtId="1" fontId="1" fillId="7" borderId="10" xfId="5" applyNumberFormat="1" applyFont="1" applyFill="1" applyBorder="1" applyAlignment="1">
      <alignment horizontal="center" vertical="center" wrapText="1"/>
    </xf>
    <xf numFmtId="1" fontId="2" fillId="7" borderId="10" xfId="5" applyNumberFormat="1" applyFont="1" applyFill="1" applyBorder="1" applyAlignment="1">
      <alignment horizontal="center" vertical="center" wrapText="1"/>
    </xf>
    <xf numFmtId="2" fontId="2" fillId="7" borderId="10" xfId="5" applyFont="1" applyFill="1" applyBorder="1" applyAlignment="1">
      <alignment horizontal="center" vertical="center" wrapText="1"/>
    </xf>
    <xf numFmtId="2" fontId="1" fillId="7" borderId="10" xfId="5" applyFont="1" applyFill="1" applyBorder="1" applyAlignment="1">
      <alignment horizontal="center" vertical="center" wrapText="1"/>
    </xf>
    <xf numFmtId="49" fontId="1" fillId="7" borderId="10" xfId="4" applyNumberFormat="1" applyFont="1" applyFill="1" applyBorder="1" applyAlignment="1">
      <alignment horizontal="center" vertical="center" wrapText="1"/>
    </xf>
    <xf numFmtId="1" fontId="2" fillId="7" borderId="13" xfId="5" applyNumberFormat="1" applyFont="1" applyFill="1" applyBorder="1" applyAlignment="1">
      <alignment horizontal="center" vertical="center" wrapText="1"/>
    </xf>
    <xf numFmtId="1" fontId="2" fillId="7" borderId="33" xfId="5" applyNumberFormat="1" applyFont="1" applyFill="1" applyBorder="1" applyAlignment="1">
      <alignment horizontal="center" vertical="center" wrapText="1"/>
    </xf>
    <xf numFmtId="1" fontId="2" fillId="7" borderId="15" xfId="5" applyNumberFormat="1" applyFont="1" applyFill="1" applyBorder="1" applyAlignment="1">
      <alignment horizontal="center" vertical="center" wrapText="1"/>
    </xf>
    <xf numFmtId="2" fontId="1" fillId="7" borderId="10" xfId="4" applyNumberFormat="1" applyFont="1" applyFill="1" applyBorder="1" applyAlignment="1">
      <alignment horizontal="center" vertical="center" wrapText="1"/>
    </xf>
    <xf numFmtId="1" fontId="3" fillId="7" borderId="10" xfId="5" applyNumberFormat="1" applyFont="1" applyFill="1" applyBorder="1">
      <alignment horizontal="center" vertical="center" wrapText="1"/>
    </xf>
    <xf numFmtId="2" fontId="1" fillId="7" borderId="10" xfId="5" applyFill="1" applyBorder="1">
      <alignment horizontal="center" vertical="center" wrapText="1"/>
    </xf>
    <xf numFmtId="1" fontId="2" fillId="7" borderId="10" xfId="5" applyNumberFormat="1" applyFont="1" applyFill="1" applyBorder="1">
      <alignment horizontal="center" vertical="center" wrapText="1"/>
    </xf>
    <xf numFmtId="165" fontId="35" fillId="0" borderId="0" xfId="0" applyNumberFormat="1" applyFont="1" applyBorder="1" applyAlignment="1">
      <alignment horizontal="right" vertical="center"/>
    </xf>
    <xf numFmtId="0" fontId="35" fillId="0" borderId="32" xfId="0" applyFont="1" applyBorder="1" applyAlignment="1">
      <alignment horizontal="right" vertical="center"/>
    </xf>
    <xf numFmtId="165" fontId="20" fillId="0" borderId="0" xfId="0" applyNumberFormat="1" applyFont="1" applyBorder="1" applyAlignment="1">
      <alignment horizontal="left"/>
    </xf>
    <xf numFmtId="0" fontId="36" fillId="0" borderId="0" xfId="0" applyFont="1" applyAlignment="1">
      <alignment horizontal="left"/>
    </xf>
    <xf numFmtId="49" fontId="20" fillId="0" borderId="0" xfId="0" applyNumberFormat="1" applyFont="1" applyBorder="1" applyAlignment="1">
      <alignment horizontal="left"/>
    </xf>
    <xf numFmtId="49" fontId="1" fillId="0" borderId="13" xfId="4" applyNumberFormat="1" applyFont="1" applyFill="1" applyBorder="1" applyAlignment="1">
      <alignment horizontal="center" vertical="center"/>
    </xf>
    <xf numFmtId="49" fontId="1" fillId="0" borderId="33" xfId="4" applyNumberFormat="1" applyFont="1" applyFill="1" applyBorder="1" applyAlignment="1">
      <alignment horizontal="center" vertical="center"/>
    </xf>
    <xf numFmtId="49" fontId="1" fillId="0" borderId="15" xfId="4" applyNumberFormat="1" applyFont="1" applyFill="1" applyBorder="1" applyAlignment="1">
      <alignment horizontal="center" vertical="center"/>
    </xf>
    <xf numFmtId="49" fontId="1" fillId="5" borderId="10" xfId="4" applyNumberFormat="1" applyFont="1" applyFill="1" applyBorder="1" applyAlignment="1">
      <alignment horizontal="left" vertical="center"/>
    </xf>
    <xf numFmtId="49" fontId="3" fillId="10" borderId="10" xfId="4" applyNumberFormat="1" applyFont="1" applyFill="1" applyBorder="1" applyAlignment="1">
      <alignment horizontal="left" vertical="center"/>
    </xf>
    <xf numFmtId="49" fontId="1" fillId="10" borderId="10" xfId="4" applyNumberFormat="1" applyFont="1" applyFill="1" applyBorder="1" applyAlignment="1">
      <alignment horizontal="left" vertical="center"/>
    </xf>
    <xf numFmtId="49" fontId="13" fillId="0" borderId="10" xfId="4" applyNumberFormat="1" applyFont="1" applyFill="1" applyBorder="1" applyAlignment="1">
      <alignment horizontal="left" vertical="center"/>
    </xf>
    <xf numFmtId="1" fontId="1" fillId="7" borderId="10" xfId="4" applyNumberFormat="1" applyFont="1" applyFill="1" applyBorder="1" applyAlignment="1">
      <alignment horizontal="center" textRotation="90" wrapText="1"/>
    </xf>
    <xf numFmtId="168" fontId="1" fillId="7" borderId="10" xfId="4" applyNumberFormat="1" applyFont="1" applyFill="1" applyBorder="1" applyAlignment="1">
      <alignment horizontal="center" textRotation="90" wrapText="1"/>
    </xf>
    <xf numFmtId="165" fontId="6" fillId="7" borderId="10" xfId="4" applyNumberFormat="1" applyFont="1" applyFill="1" applyBorder="1" applyAlignment="1">
      <alignment horizontal="center" vertical="center" wrapText="1"/>
    </xf>
    <xf numFmtId="165" fontId="1" fillId="7" borderId="10" xfId="4" applyNumberFormat="1" applyFont="1" applyFill="1" applyBorder="1" applyAlignment="1">
      <alignment horizontal="center" textRotation="90" wrapText="1"/>
    </xf>
    <xf numFmtId="164" fontId="1" fillId="7" borderId="10" xfId="5" applyNumberFormat="1" applyFont="1" applyFill="1" applyBorder="1" applyAlignment="1">
      <alignment horizontal="center" textRotation="90" wrapText="1"/>
    </xf>
    <xf numFmtId="164" fontId="35" fillId="0" borderId="0" xfId="0" applyNumberFormat="1" applyFont="1" applyBorder="1" applyAlignment="1">
      <alignment horizontal="right" vertical="center"/>
    </xf>
    <xf numFmtId="2" fontId="1" fillId="7" borderId="10" xfId="4" applyNumberFormat="1" applyFont="1" applyFill="1" applyBorder="1" applyAlignment="1">
      <alignment horizontal="center" textRotation="90" wrapText="1"/>
    </xf>
    <xf numFmtId="1" fontId="6" fillId="7" borderId="10" xfId="4" applyNumberFormat="1" applyFont="1" applyFill="1" applyBorder="1" applyAlignment="1">
      <alignment horizontal="center" vertical="center" wrapText="1"/>
    </xf>
    <xf numFmtId="165" fontId="12" fillId="7" borderId="16" xfId="5" applyNumberFormat="1" applyFont="1" applyFill="1" applyBorder="1" applyAlignment="1">
      <alignment horizontal="center" textRotation="90" wrapText="1"/>
    </xf>
    <xf numFmtId="165" fontId="12" fillId="7" borderId="31" xfId="5" applyNumberFormat="1" applyFont="1" applyFill="1" applyBorder="1" applyAlignment="1">
      <alignment horizontal="center" textRotation="90" wrapText="1"/>
    </xf>
    <xf numFmtId="165" fontId="12" fillId="7" borderId="11" xfId="5" applyNumberFormat="1" applyFont="1" applyFill="1" applyBorder="1" applyAlignment="1">
      <alignment horizontal="center" textRotation="90" wrapText="1"/>
    </xf>
    <xf numFmtId="2" fontId="6" fillId="7" borderId="10" xfId="4" applyNumberFormat="1" applyFont="1" applyFill="1" applyBorder="1" applyAlignment="1">
      <alignment horizontal="center" vertical="center" wrapText="1"/>
    </xf>
    <xf numFmtId="168" fontId="1" fillId="7" borderId="16" xfId="4" applyNumberFormat="1" applyFont="1" applyFill="1" applyBorder="1" applyAlignment="1">
      <alignment horizontal="center" textRotation="90" wrapText="1"/>
    </xf>
    <xf numFmtId="168" fontId="1" fillId="7" borderId="31" xfId="4" applyNumberFormat="1" applyFont="1" applyFill="1" applyBorder="1" applyAlignment="1">
      <alignment horizontal="center" textRotation="90" wrapText="1"/>
    </xf>
    <xf numFmtId="168" fontId="1" fillId="7" borderId="11" xfId="4" applyNumberFormat="1" applyFont="1" applyFill="1" applyBorder="1" applyAlignment="1">
      <alignment horizontal="center" textRotation="90" wrapText="1"/>
    </xf>
    <xf numFmtId="164" fontId="1" fillId="7" borderId="10" xfId="4" applyNumberFormat="1" applyFont="1" applyFill="1" applyBorder="1" applyAlignment="1">
      <alignment horizontal="center" textRotation="90" wrapText="1"/>
    </xf>
    <xf numFmtId="2" fontId="35" fillId="0" borderId="32" xfId="0" applyNumberFormat="1" applyFont="1" applyBorder="1" applyAlignment="1">
      <alignment horizontal="right" vertical="center"/>
    </xf>
    <xf numFmtId="164" fontId="6" fillId="7" borderId="10" xfId="5" applyNumberFormat="1" applyFont="1" applyFill="1" applyBorder="1" applyAlignment="1">
      <alignment horizontal="center" vertical="center" wrapText="1"/>
    </xf>
    <xf numFmtId="0" fontId="11" fillId="0" borderId="32" xfId="0" applyFont="1" applyBorder="1" applyAlignment="1">
      <alignment horizontal="right" vertical="center"/>
    </xf>
    <xf numFmtId="1" fontId="6" fillId="7" borderId="13" xfId="4" applyNumberFormat="1" applyFont="1" applyFill="1" applyBorder="1" applyAlignment="1">
      <alignment horizontal="center" vertical="center" wrapText="1"/>
    </xf>
    <xf numFmtId="1" fontId="6" fillId="7" borderId="33" xfId="4" applyNumberFormat="1" applyFont="1" applyFill="1" applyBorder="1" applyAlignment="1">
      <alignment horizontal="center" vertical="center" wrapText="1"/>
    </xf>
    <xf numFmtId="1" fontId="6" fillId="7" borderId="15" xfId="4" applyNumberFormat="1" applyFont="1" applyFill="1" applyBorder="1" applyAlignment="1">
      <alignment horizontal="center" vertical="center" wrapText="1"/>
    </xf>
    <xf numFmtId="0" fontId="20" fillId="0" borderId="0" xfId="0" applyNumberFormat="1" applyFont="1" applyBorder="1" applyAlignment="1">
      <alignment horizontal="left"/>
    </xf>
    <xf numFmtId="164" fontId="6" fillId="7" borderId="9" xfId="4" applyNumberFormat="1" applyFont="1" applyFill="1" applyBorder="1" applyAlignment="1">
      <alignment horizontal="center" vertical="center" wrapText="1"/>
    </xf>
    <xf numFmtId="164" fontId="6" fillId="7" borderId="6" xfId="4" applyNumberFormat="1" applyFont="1" applyFill="1" applyBorder="1" applyAlignment="1">
      <alignment horizontal="center" vertical="center" wrapText="1"/>
    </xf>
    <xf numFmtId="164" fontId="6" fillId="7" borderId="8" xfId="4" applyNumberFormat="1" applyFont="1" applyFill="1" applyBorder="1" applyAlignment="1">
      <alignment horizontal="center" vertical="center" wrapText="1"/>
    </xf>
    <xf numFmtId="49" fontId="1" fillId="7" borderId="8" xfId="4" applyNumberFormat="1" applyFont="1" applyFill="1" applyBorder="1" applyAlignment="1">
      <alignment horizontal="center" textRotation="90" wrapText="1"/>
    </xf>
    <xf numFmtId="49" fontId="1" fillId="7" borderId="22" xfId="4" applyNumberFormat="1" applyFont="1" applyFill="1" applyBorder="1" applyAlignment="1">
      <alignment horizontal="center" textRotation="90" wrapText="1"/>
    </xf>
    <xf numFmtId="1" fontId="1" fillId="7" borderId="8" xfId="4" applyNumberFormat="1" applyFont="1" applyFill="1" applyBorder="1" applyAlignment="1">
      <alignment horizontal="center" textRotation="90" wrapText="1"/>
    </xf>
    <xf numFmtId="1" fontId="1" fillId="7" borderId="22" xfId="4" applyNumberFormat="1" applyFont="1" applyFill="1" applyBorder="1" applyAlignment="1">
      <alignment horizontal="center" textRotation="90" wrapText="1"/>
    </xf>
    <xf numFmtId="2" fontId="6" fillId="7" borderId="9" xfId="4" applyNumberFormat="1" applyFont="1" applyFill="1" applyBorder="1" applyAlignment="1">
      <alignment horizontal="center" vertical="center" wrapText="1"/>
    </xf>
    <xf numFmtId="2" fontId="6" fillId="7" borderId="6" xfId="4" applyNumberFormat="1" applyFont="1" applyFill="1" applyBorder="1" applyAlignment="1">
      <alignment horizontal="center" vertical="center" wrapText="1"/>
    </xf>
    <xf numFmtId="2" fontId="6" fillId="7" borderId="8" xfId="4" applyNumberFormat="1" applyFont="1" applyFill="1" applyBorder="1" applyAlignment="1">
      <alignment horizontal="center" vertical="center" wrapText="1"/>
    </xf>
    <xf numFmtId="1" fontId="1" fillId="7" borderId="6" xfId="4" applyNumberFormat="1" applyFont="1" applyFill="1" applyBorder="1" applyAlignment="1">
      <alignment horizontal="center" textRotation="90" wrapText="1"/>
    </xf>
    <xf numFmtId="1" fontId="1" fillId="7" borderId="21" xfId="4" applyNumberFormat="1" applyFont="1" applyFill="1" applyBorder="1" applyAlignment="1">
      <alignment horizontal="center" textRotation="90" wrapText="1"/>
    </xf>
    <xf numFmtId="164" fontId="6" fillId="7" borderId="7" xfId="4" applyNumberFormat="1" applyFont="1" applyFill="1" applyBorder="1" applyAlignment="1">
      <alignment horizontal="center" vertical="center" wrapText="1"/>
    </xf>
    <xf numFmtId="49" fontId="1" fillId="7" borderId="6" xfId="4" applyNumberFormat="1" applyFont="1" applyFill="1" applyBorder="1" applyAlignment="1">
      <alignment horizontal="center" textRotation="90" wrapText="1"/>
    </xf>
    <xf numFmtId="49" fontId="1" fillId="7" borderId="41" xfId="4" applyNumberFormat="1" applyFont="1" applyFill="1" applyBorder="1" applyAlignment="1">
      <alignment horizontal="center" textRotation="90" wrapText="1"/>
    </xf>
    <xf numFmtId="49" fontId="1" fillId="7" borderId="20" xfId="4" applyNumberFormat="1" applyFont="1" applyFill="1" applyBorder="1" applyAlignment="1">
      <alignment horizontal="center" textRotation="90" wrapText="1"/>
    </xf>
    <xf numFmtId="165" fontId="6" fillId="7" borderId="7" xfId="4" applyNumberFormat="1" applyFont="1" applyFill="1" applyBorder="1" applyAlignment="1">
      <alignment horizontal="center" vertical="center" wrapText="1"/>
    </xf>
    <xf numFmtId="165" fontId="6" fillId="7" borderId="6" xfId="4" applyNumberFormat="1" applyFont="1" applyFill="1" applyBorder="1" applyAlignment="1">
      <alignment horizontal="center" vertical="center" wrapText="1"/>
    </xf>
    <xf numFmtId="165" fontId="1" fillId="7" borderId="6" xfId="4" applyNumberFormat="1" applyFont="1" applyFill="1" applyBorder="1" applyAlignment="1">
      <alignment horizontal="center" textRotation="90" wrapText="1"/>
    </xf>
    <xf numFmtId="165" fontId="1" fillId="7" borderId="21" xfId="4" applyNumberFormat="1" applyFont="1" applyFill="1" applyBorder="1" applyAlignment="1">
      <alignment horizontal="center" textRotation="90" wrapText="1"/>
    </xf>
    <xf numFmtId="49" fontId="1" fillId="7" borderId="21" xfId="4" applyNumberFormat="1" applyFont="1" applyFill="1" applyBorder="1" applyAlignment="1">
      <alignment horizontal="center" textRotation="90" wrapText="1"/>
    </xf>
    <xf numFmtId="1" fontId="1" fillId="7" borderId="9" xfId="4" applyNumberFormat="1" applyFont="1" applyFill="1" applyBorder="1" applyAlignment="1">
      <alignment horizontal="center" textRotation="90" wrapText="1"/>
    </xf>
    <xf numFmtId="1" fontId="1" fillId="7" borderId="23" xfId="4" applyNumberFormat="1" applyFont="1" applyFill="1" applyBorder="1" applyAlignment="1">
      <alignment horizontal="center" textRotation="90" wrapText="1"/>
    </xf>
    <xf numFmtId="0" fontId="32" fillId="0" borderId="39" xfId="0" applyFont="1" applyBorder="1" applyAlignment="1">
      <alignment horizontal="left" vertical="center"/>
    </xf>
    <xf numFmtId="165" fontId="35" fillId="0" borderId="39" xfId="0" applyNumberFormat="1" applyFont="1" applyBorder="1" applyAlignment="1">
      <alignment horizontal="right" vertical="center"/>
    </xf>
    <xf numFmtId="164" fontId="6" fillId="7" borderId="29" xfId="4" applyNumberFormat="1" applyFont="1" applyFill="1" applyBorder="1" applyAlignment="1">
      <alignment horizontal="left" vertical="center" wrapText="1"/>
    </xf>
    <xf numFmtId="164" fontId="6" fillId="7" borderId="40" xfId="4" applyNumberFormat="1" applyFont="1" applyFill="1" applyBorder="1" applyAlignment="1">
      <alignment horizontal="left" vertical="center" wrapText="1"/>
    </xf>
    <xf numFmtId="164" fontId="6" fillId="7" borderId="7" xfId="4" applyNumberFormat="1" applyFont="1" applyFill="1" applyBorder="1" applyAlignment="1">
      <alignment horizontal="left" vertical="center" wrapText="1"/>
    </xf>
    <xf numFmtId="49" fontId="3" fillId="0" borderId="29" xfId="0" applyNumberFormat="1" applyFont="1" applyBorder="1" applyAlignment="1">
      <alignment horizontal="left" vertical="top"/>
    </xf>
    <xf numFmtId="49" fontId="3" fillId="0" borderId="40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1" fillId="7" borderId="7" xfId="4" applyNumberFormat="1" applyFont="1" applyFill="1" applyBorder="1" applyAlignment="1">
      <alignment horizontal="center" textRotation="90" wrapText="1"/>
    </xf>
    <xf numFmtId="1" fontId="1" fillId="7" borderId="7" xfId="4" applyNumberFormat="1" applyFont="1" applyFill="1" applyBorder="1" applyAlignment="1">
      <alignment horizontal="center" textRotation="90" wrapText="1"/>
    </xf>
    <xf numFmtId="1" fontId="1" fillId="7" borderId="24" xfId="4" applyNumberFormat="1" applyFont="1" applyFill="1" applyBorder="1" applyAlignment="1">
      <alignment horizontal="center" textRotation="90" wrapText="1"/>
    </xf>
    <xf numFmtId="1" fontId="20" fillId="0" borderId="0" xfId="0" applyNumberFormat="1" applyFont="1" applyBorder="1" applyAlignment="1">
      <alignment horizontal="left"/>
    </xf>
    <xf numFmtId="165" fontId="35" fillId="0" borderId="0" xfId="0" applyNumberFormat="1" applyFont="1" applyBorder="1" applyAlignment="1">
      <alignment horizontal="center" vertical="center"/>
    </xf>
    <xf numFmtId="0" fontId="38" fillId="0" borderId="0" xfId="0" applyFont="1" applyBorder="1" applyAlignment="1">
      <alignment horizontal="right" vertical="center"/>
    </xf>
    <xf numFmtId="2" fontId="3" fillId="7" borderId="16" xfId="5" applyFont="1" applyFill="1" applyBorder="1">
      <alignment horizontal="center" vertical="center" wrapText="1"/>
    </xf>
    <xf numFmtId="2" fontId="2" fillId="7" borderId="16" xfId="5" applyFont="1" applyFill="1" applyBorder="1">
      <alignment horizontal="center" vertical="center" wrapText="1"/>
    </xf>
    <xf numFmtId="2" fontId="3" fillId="7" borderId="16" xfId="5" applyNumberFormat="1" applyFont="1" applyFill="1" applyBorder="1" applyAlignment="1">
      <alignment horizontal="center" vertical="center" wrapText="1"/>
    </xf>
    <xf numFmtId="164" fontId="3" fillId="7" borderId="16" xfId="5" applyNumberFormat="1" applyFont="1" applyFill="1" applyBorder="1">
      <alignment horizontal="center" vertical="center" wrapText="1"/>
    </xf>
    <xf numFmtId="164" fontId="3" fillId="7" borderId="16" xfId="5" applyNumberFormat="1" applyFont="1" applyFill="1" applyBorder="1" applyAlignment="1">
      <alignment horizontal="center" vertical="center" wrapText="1"/>
    </xf>
    <xf numFmtId="2" fontId="3" fillId="7" borderId="16" xfId="5" applyNumberFormat="1" applyFont="1" applyFill="1" applyBorder="1">
      <alignment horizontal="center" vertical="center" wrapText="1"/>
    </xf>
    <xf numFmtId="1" fontId="3" fillId="7" borderId="16" xfId="5" applyNumberFormat="1" applyFont="1" applyFill="1" applyBorder="1">
      <alignment horizontal="center" vertical="center" wrapText="1"/>
    </xf>
    <xf numFmtId="165" fontId="3" fillId="7" borderId="16" xfId="5" applyNumberFormat="1" applyFont="1" applyFill="1" applyBorder="1">
      <alignment horizontal="center" vertical="center" wrapText="1"/>
    </xf>
    <xf numFmtId="165" fontId="3" fillId="7" borderId="16" xfId="5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wrapText="1"/>
    </xf>
    <xf numFmtId="2" fontId="3" fillId="0" borderId="2" xfId="0" applyNumberFormat="1" applyFont="1" applyFill="1" applyBorder="1" applyAlignment="1">
      <alignment horizontal="center" wrapText="1"/>
    </xf>
    <xf numFmtId="165" fontId="3" fillId="0" borderId="1" xfId="0" applyNumberFormat="1" applyFont="1" applyFill="1" applyBorder="1" applyAlignment="1">
      <alignment horizontal="center" wrapText="1"/>
    </xf>
    <xf numFmtId="165" fontId="3" fillId="0" borderId="2" xfId="0" applyNumberFormat="1" applyFont="1" applyFill="1" applyBorder="1" applyAlignment="1">
      <alignment horizontal="center" wrapText="1"/>
    </xf>
    <xf numFmtId="0" fontId="47" fillId="0" borderId="2" xfId="0" applyFont="1" applyFill="1" applyBorder="1" applyAlignment="1">
      <alignment horizontal="left" wrapText="1"/>
    </xf>
    <xf numFmtId="0" fontId="27" fillId="0" borderId="3" xfId="0" applyFont="1" applyFill="1" applyBorder="1" applyAlignment="1">
      <alignment horizontal="center" wrapText="1"/>
    </xf>
    <xf numFmtId="165" fontId="27" fillId="0" borderId="1" xfId="0" applyNumberFormat="1" applyFont="1" applyFill="1" applyBorder="1" applyAlignment="1">
      <alignment horizontal="center" wrapText="1"/>
    </xf>
    <xf numFmtId="165" fontId="27" fillId="0" borderId="14" xfId="0" applyNumberFormat="1" applyFont="1" applyFill="1" applyBorder="1" applyAlignment="1">
      <alignment horizontal="center" wrapText="1"/>
    </xf>
    <xf numFmtId="1" fontId="3" fillId="0" borderId="1" xfId="0" applyNumberFormat="1" applyFont="1" applyFill="1" applyBorder="1" applyAlignment="1">
      <alignment horizontal="center" wrapText="1"/>
    </xf>
    <xf numFmtId="1" fontId="3" fillId="0" borderId="2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wrapText="1"/>
    </xf>
    <xf numFmtId="1" fontId="27" fillId="0" borderId="3" xfId="0" applyNumberFormat="1" applyFont="1" applyFill="1" applyBorder="1" applyAlignment="1">
      <alignment horizontal="center" wrapText="1"/>
    </xf>
    <xf numFmtId="0" fontId="45" fillId="0" borderId="50" xfId="0" applyFont="1" applyBorder="1" applyAlignment="1">
      <alignment horizontal="left" vertical="center" wrapText="1"/>
    </xf>
    <xf numFmtId="0" fontId="45" fillId="0" borderId="51" xfId="0" applyFont="1" applyBorder="1" applyAlignment="1">
      <alignment horizontal="left" vertical="center" wrapText="1"/>
    </xf>
    <xf numFmtId="0" fontId="45" fillId="0" borderId="52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wrapText="1"/>
    </xf>
    <xf numFmtId="0" fontId="22" fillId="12" borderId="50" xfId="0" applyFont="1" applyFill="1" applyBorder="1" applyAlignment="1">
      <alignment horizontal="left" vertical="center" wrapText="1"/>
    </xf>
    <xf numFmtId="0" fontId="22" fillId="12" borderId="51" xfId="0" applyFont="1" applyFill="1" applyBorder="1" applyAlignment="1">
      <alignment horizontal="left" vertical="center" wrapText="1"/>
    </xf>
    <xf numFmtId="0" fontId="22" fillId="12" borderId="52" xfId="0" applyFont="1" applyFill="1" applyBorder="1" applyAlignment="1">
      <alignment horizontal="left" vertical="center" wrapText="1"/>
    </xf>
    <xf numFmtId="0" fontId="22" fillId="0" borderId="50" xfId="0" applyFont="1" applyBorder="1" applyAlignment="1">
      <alignment horizontal="left" vertical="center" wrapText="1"/>
    </xf>
    <xf numFmtId="0" fontId="22" fillId="0" borderId="51" xfId="0" applyFont="1" applyBorder="1" applyAlignment="1">
      <alignment horizontal="left" vertical="center" wrapText="1"/>
    </xf>
    <xf numFmtId="0" fontId="22" fillId="0" borderId="52" xfId="0" applyFont="1" applyBorder="1" applyAlignment="1">
      <alignment horizontal="left" vertical="center" wrapText="1"/>
    </xf>
    <xf numFmtId="0" fontId="46" fillId="0" borderId="0" xfId="0" applyFont="1" applyFill="1" applyBorder="1" applyAlignment="1">
      <alignment horizontal="left" wrapText="1"/>
    </xf>
    <xf numFmtId="1" fontId="27" fillId="0" borderId="1" xfId="0" applyNumberFormat="1" applyFont="1" applyFill="1" applyBorder="1" applyAlignment="1">
      <alignment horizontal="center" wrapText="1"/>
    </xf>
    <xf numFmtId="1" fontId="27" fillId="0" borderId="14" xfId="0" applyNumberFormat="1" applyFont="1" applyFill="1" applyBorder="1" applyAlignment="1">
      <alignment horizontal="center" wrapText="1"/>
    </xf>
    <xf numFmtId="0" fontId="27" fillId="0" borderId="70" xfId="0" applyFont="1" applyFill="1" applyBorder="1" applyAlignment="1">
      <alignment horizontal="center" wrapText="1"/>
    </xf>
    <xf numFmtId="0" fontId="22" fillId="12" borderId="42" xfId="0" applyFont="1" applyFill="1" applyBorder="1" applyAlignment="1">
      <alignment horizontal="left" vertical="center" wrapText="1"/>
    </xf>
    <xf numFmtId="0" fontId="22" fillId="12" borderId="43" xfId="0" applyFont="1" applyFill="1" applyBorder="1" applyAlignment="1">
      <alignment horizontal="left" vertical="center" wrapText="1"/>
    </xf>
    <xf numFmtId="0" fontId="22" fillId="12" borderId="44" xfId="0" applyFont="1" applyFill="1" applyBorder="1" applyAlignment="1">
      <alignment horizontal="left" vertical="center" wrapText="1"/>
    </xf>
    <xf numFmtId="0" fontId="24" fillId="0" borderId="45" xfId="4" applyFont="1" applyFill="1" applyBorder="1" applyAlignment="1">
      <alignment horizontal="right" wrapText="1"/>
    </xf>
    <xf numFmtId="0" fontId="24" fillId="0" borderId="0" xfId="4" applyFont="1" applyFill="1" applyBorder="1" applyAlignment="1">
      <alignment horizontal="right" wrapText="1"/>
    </xf>
    <xf numFmtId="0" fontId="24" fillId="0" borderId="53" xfId="4" applyFont="1" applyFill="1" applyBorder="1" applyAlignment="1">
      <alignment horizontal="right" wrapText="1"/>
    </xf>
    <xf numFmtId="0" fontId="24" fillId="0" borderId="61" xfId="4" applyFont="1" applyFill="1" applyBorder="1" applyAlignment="1">
      <alignment horizontal="right" wrapText="1"/>
    </xf>
    <xf numFmtId="0" fontId="24" fillId="0" borderId="54" xfId="4" applyFont="1" applyFill="1" applyBorder="1" applyAlignment="1">
      <alignment horizontal="right" wrapText="1"/>
    </xf>
    <xf numFmtId="0" fontId="24" fillId="0" borderId="55" xfId="4" applyFont="1" applyFill="1" applyBorder="1" applyAlignment="1">
      <alignment horizontal="right" wrapText="1"/>
    </xf>
    <xf numFmtId="0" fontId="44" fillId="11" borderId="62" xfId="2" applyFont="1" applyFill="1" applyBorder="1" applyAlignment="1" applyProtection="1">
      <alignment horizontal="center" vertical="center" wrapText="1"/>
    </xf>
    <xf numFmtId="0" fontId="44" fillId="11" borderId="63" xfId="2" applyFont="1" applyFill="1" applyBorder="1" applyAlignment="1" applyProtection="1">
      <alignment horizontal="center" vertical="center" wrapText="1"/>
    </xf>
    <xf numFmtId="0" fontId="44" fillId="11" borderId="64" xfId="2" applyFont="1" applyFill="1" applyBorder="1" applyAlignment="1" applyProtection="1">
      <alignment horizontal="center" vertical="center" wrapText="1"/>
    </xf>
    <xf numFmtId="0" fontId="44" fillId="11" borderId="65" xfId="2" applyFont="1" applyFill="1" applyBorder="1" applyAlignment="1" applyProtection="1">
      <alignment horizontal="center" vertical="center" wrapText="1"/>
    </xf>
    <xf numFmtId="0" fontId="44" fillId="11" borderId="5" xfId="2" applyFont="1" applyFill="1" applyBorder="1" applyAlignment="1" applyProtection="1">
      <alignment horizontal="center" vertical="center" wrapText="1"/>
    </xf>
    <xf numFmtId="0" fontId="44" fillId="11" borderId="66" xfId="2" applyFont="1" applyFill="1" applyBorder="1" applyAlignment="1" applyProtection="1">
      <alignment horizontal="center" vertical="center" wrapText="1"/>
    </xf>
    <xf numFmtId="0" fontId="44" fillId="11" borderId="67" xfId="2" applyFont="1" applyFill="1" applyBorder="1" applyAlignment="1" applyProtection="1">
      <alignment horizontal="center" vertical="center" wrapText="1"/>
    </xf>
    <xf numFmtId="0" fontId="44" fillId="11" borderId="68" xfId="2" applyFont="1" applyFill="1" applyBorder="1" applyAlignment="1" applyProtection="1">
      <alignment horizontal="center" vertical="center" wrapText="1"/>
    </xf>
    <xf numFmtId="0" fontId="44" fillId="11" borderId="69" xfId="2" applyFont="1" applyFill="1" applyBorder="1" applyAlignment="1" applyProtection="1">
      <alignment horizontal="center" vertical="center" wrapText="1"/>
    </xf>
    <xf numFmtId="0" fontId="22" fillId="0" borderId="48" xfId="0" applyFont="1" applyBorder="1" applyAlignment="1">
      <alignment horizontal="left" vertical="center" wrapText="1"/>
    </xf>
    <xf numFmtId="2" fontId="39" fillId="11" borderId="42" xfId="5" applyFont="1" applyFill="1" applyBorder="1" applyAlignment="1">
      <alignment horizontal="center" vertical="center" wrapText="1"/>
    </xf>
    <xf numFmtId="2" fontId="40" fillId="11" borderId="43" xfId="5" applyFont="1" applyFill="1" applyBorder="1" applyAlignment="1">
      <alignment horizontal="center" vertical="center" wrapText="1"/>
    </xf>
    <xf numFmtId="2" fontId="40" fillId="11" borderId="44" xfId="5" applyFont="1" applyFill="1" applyBorder="1" applyAlignment="1">
      <alignment horizontal="center" vertical="center" wrapText="1"/>
    </xf>
    <xf numFmtId="2" fontId="40" fillId="11" borderId="45" xfId="5" applyFont="1" applyFill="1" applyBorder="1" applyAlignment="1">
      <alignment horizontal="center" vertical="center" wrapText="1"/>
    </xf>
    <xf numFmtId="2" fontId="40" fillId="11" borderId="0" xfId="5" applyFont="1" applyFill="1" applyBorder="1" applyAlignment="1">
      <alignment horizontal="center" vertical="center" wrapText="1"/>
    </xf>
    <xf numFmtId="2" fontId="40" fillId="11" borderId="46" xfId="5" applyFont="1" applyFill="1" applyBorder="1" applyAlignment="1">
      <alignment horizontal="center" vertical="center" wrapText="1"/>
    </xf>
    <xf numFmtId="2" fontId="40" fillId="11" borderId="47" xfId="5" applyFont="1" applyFill="1" applyBorder="1" applyAlignment="1">
      <alignment horizontal="center" vertical="center" wrapText="1"/>
    </xf>
    <xf numFmtId="2" fontId="40" fillId="11" borderId="48" xfId="5" applyFont="1" applyFill="1" applyBorder="1" applyAlignment="1">
      <alignment horizontal="center" vertical="center" wrapText="1"/>
    </xf>
    <xf numFmtId="2" fontId="40" fillId="11" borderId="49" xfId="5" applyFont="1" applyFill="1" applyBorder="1" applyAlignment="1">
      <alignment horizontal="center" vertical="center" wrapText="1"/>
    </xf>
    <xf numFmtId="0" fontId="41" fillId="11" borderId="56" xfId="4" applyFont="1" applyFill="1" applyBorder="1" applyAlignment="1">
      <alignment horizontal="center" vertical="center"/>
    </xf>
    <xf numFmtId="0" fontId="41" fillId="11" borderId="57" xfId="4" applyFont="1" applyFill="1" applyBorder="1" applyAlignment="1">
      <alignment horizontal="center" vertical="center"/>
    </xf>
    <xf numFmtId="0" fontId="41" fillId="11" borderId="58" xfId="4" applyFont="1" applyFill="1" applyBorder="1" applyAlignment="1">
      <alignment horizontal="center" vertical="center"/>
    </xf>
    <xf numFmtId="0" fontId="41" fillId="11" borderId="59" xfId="4" applyFont="1" applyFill="1" applyBorder="1" applyAlignment="1">
      <alignment horizontal="center" vertical="center"/>
    </xf>
    <xf numFmtId="0" fontId="41" fillId="11" borderId="0" xfId="4" applyFont="1" applyFill="1" applyBorder="1" applyAlignment="1">
      <alignment horizontal="center" vertical="center"/>
    </xf>
    <xf numFmtId="0" fontId="41" fillId="11" borderId="53" xfId="4" applyFont="1" applyFill="1" applyBorder="1" applyAlignment="1">
      <alignment horizontal="center" vertical="center"/>
    </xf>
    <xf numFmtId="0" fontId="41" fillId="11" borderId="60" xfId="4" applyFont="1" applyFill="1" applyBorder="1" applyAlignment="1">
      <alignment horizontal="center" vertical="center"/>
    </xf>
    <xf numFmtId="0" fontId="41" fillId="11" borderId="54" xfId="4" applyFont="1" applyFill="1" applyBorder="1" applyAlignment="1">
      <alignment horizontal="center" vertical="center"/>
    </xf>
    <xf numFmtId="0" fontId="41" fillId="11" borderId="55" xfId="4" applyFont="1" applyFill="1" applyBorder="1" applyAlignment="1">
      <alignment horizontal="center" vertical="center"/>
    </xf>
    <xf numFmtId="0" fontId="42" fillId="0" borderId="43" xfId="0" applyFont="1" applyBorder="1" applyAlignment="1">
      <alignment horizontal="center" vertical="center" wrapText="1"/>
    </xf>
    <xf numFmtId="0" fontId="43" fillId="0" borderId="43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</cellXfs>
  <cellStyles count="6">
    <cellStyle name="Accent1 - 20%" xfId="1"/>
    <cellStyle name="Hyperlink" xfId="2" builtinId="8"/>
    <cellStyle name="Hyperlink 2" xfId="3"/>
    <cellStyle name="Normal" xfId="0" builtinId="0"/>
    <cellStyle name="Output" xfId="4" builtinId="21"/>
    <cellStyle name="Style 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CA" sz="900">
                <a:latin typeface="Arial" pitchFamily="34" charset="0"/>
                <a:cs typeface="Arial" pitchFamily="34" charset="0"/>
              </a:defRPr>
            </a:pPr>
            <a:r>
              <a:rPr lang="en-US" sz="900" b="1">
                <a:solidFill>
                  <a:srgbClr val="008100"/>
                </a:solidFill>
                <a:latin typeface="Arial" pitchFamily="34" charset="0"/>
                <a:cs typeface="Arial" pitchFamily="34" charset="0"/>
              </a:rPr>
              <a:t>Figure 1: </a:t>
            </a:r>
            <a:r>
              <a:rPr lang="en-US" sz="900" b="1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rPr>
              <a:t>Year-to-date average and maximum daily treated water flows.</a:t>
            </a:r>
          </a:p>
        </c:rich>
      </c:tx>
      <c:layout>
        <c:manualLayout>
          <c:xMode val="edge"/>
          <c:yMode val="edge"/>
          <c:x val="1.0847580052493441E-2"/>
          <c:y val="1.763669785179291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72036122603379"/>
          <c:y val="0.12454150548254662"/>
          <c:w val="0.81382806276903963"/>
          <c:h val="0.64419032986730318"/>
        </c:manualLayout>
      </c:layout>
      <c:barChart>
        <c:barDir val="col"/>
        <c:grouping val="clustered"/>
        <c:varyColors val="0"/>
        <c:ser>
          <c:idx val="0"/>
          <c:order val="0"/>
          <c:tx>
            <c:v>Average Daily Flow</c:v>
          </c:tx>
          <c:spPr>
            <a:solidFill>
              <a:schemeClr val="accent1">
                <a:lumMod val="20000"/>
                <a:lumOff val="80000"/>
              </a:schemeClr>
            </a:solidFill>
            <a:ln>
              <a:solidFill>
                <a:srgbClr val="0000BD"/>
              </a:solidFill>
            </a:ln>
          </c:spPr>
          <c:invertIfNegative val="0"/>
          <c:cat>
            <c:numRef>
              <c:f>'(Monthly Report Generation) '!$S$50:$S$61</c:f>
              <c:numCache>
                <c:formatCode>General</c:formatCode>
                <c:ptCount val="12"/>
              </c:numCache>
            </c:numRef>
          </c:cat>
          <c:val>
            <c:numRef>
              <c:f>'(Monthly Report Generation) '!$O$50:$O$61</c:f>
              <c:numCache>
                <c:formatCode>0</c:formatCode>
                <c:ptCount val="12"/>
              </c:numCache>
            </c:numRef>
          </c:val>
        </c:ser>
        <c:ser>
          <c:idx val="1"/>
          <c:order val="1"/>
          <c:tx>
            <c:v>Maximum Daily Flow</c:v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FF0000"/>
              </a:solidFill>
            </a:ln>
          </c:spPr>
          <c:invertIfNegative val="0"/>
          <c:cat>
            <c:numRef>
              <c:f>'(Monthly Report Generation) '!$S$50:$S$61</c:f>
              <c:numCache>
                <c:formatCode>General</c:formatCode>
                <c:ptCount val="12"/>
              </c:numCache>
            </c:numRef>
          </c:cat>
          <c:val>
            <c:numRef>
              <c:f>'(Monthly Report Generation) '!$P$50:$P$61</c:f>
              <c:numCache>
                <c:formatCode>0</c:formatCode>
                <c:ptCount val="1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9"/>
        <c:axId val="122359168"/>
        <c:axId val="122377344"/>
      </c:barChart>
      <c:lineChart>
        <c:grouping val="standard"/>
        <c:varyColors val="0"/>
        <c:ser>
          <c:idx val="2"/>
          <c:order val="2"/>
          <c:tx>
            <c:v>Rated Capacity</c:v>
          </c:tx>
          <c:spPr>
            <a:ln w="1587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'(Monthly Report Generation) '!$S$50:$S$61</c:f>
              <c:numCache>
                <c:formatCode>General</c:formatCode>
                <c:ptCount val="12"/>
              </c:numCache>
            </c:numRef>
          </c:cat>
          <c:val>
            <c:numRef>
              <c:f>'(Monthly Report Generation) '!$T$50:$T$61</c:f>
              <c:numCache>
                <c:formatCode>General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79264"/>
        <c:axId val="122389248"/>
      </c:lineChart>
      <c:catAx>
        <c:axId val="122359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8100"/>
            </a:solidFill>
          </a:ln>
        </c:spPr>
        <c:txPr>
          <a:bodyPr/>
          <a:lstStyle/>
          <a:p>
            <a:pPr>
              <a:defRPr lang="en-CA" sz="800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22377344"/>
        <c:crosses val="autoZero"/>
        <c:auto val="1"/>
        <c:lblAlgn val="ctr"/>
        <c:lblOffset val="100"/>
        <c:noMultiLvlLbl val="0"/>
      </c:catAx>
      <c:valAx>
        <c:axId val="122377344"/>
        <c:scaling>
          <c:orientation val="minMax"/>
          <c:max val="65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en-CA" sz="800" b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itchFamily="34" charset="0"/>
                    <a:cs typeface="Arial" pitchFamily="34" charset="0"/>
                  </a:defRPr>
                </a:pPr>
                <a:r>
                  <a:rPr lang="en-CA" sz="800" b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itchFamily="34" charset="0"/>
                    <a:cs typeface="Arial" pitchFamily="34" charset="0"/>
                  </a:rPr>
                  <a:t>Flow (m</a:t>
                </a:r>
                <a:r>
                  <a:rPr lang="en-CA" sz="800" b="0" baseline="3000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itchFamily="34" charset="0"/>
                    <a:cs typeface="Arial" pitchFamily="34" charset="0"/>
                  </a:rPr>
                  <a:t>3</a:t>
                </a:r>
                <a:r>
                  <a:rPr lang="en-CA" sz="800" b="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itchFamily="34" charset="0"/>
                    <a:cs typeface="Arial" pitchFamily="34" charset="0"/>
                  </a:rPr>
                  <a:t>/day)</a:t>
                </a:r>
                <a:endParaRPr lang="en-CA" sz="800" b="0">
                  <a:solidFill>
                    <a:schemeClr val="tx1">
                      <a:lumMod val="85000"/>
                      <a:lumOff val="15000"/>
                    </a:schemeClr>
                  </a:solidFill>
                  <a:latin typeface="Arial" pitchFamily="34" charset="0"/>
                  <a:cs typeface="Arial" pitchFamily="34" charset="0"/>
                </a:endParaRPr>
              </a:p>
            </c:rich>
          </c:tx>
          <c:layout>
            <c:manualLayout>
              <c:xMode val="edge"/>
              <c:yMode val="edge"/>
              <c:x val="1.7674750656168022E-2"/>
              <c:y val="0.33541770693297618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8100"/>
            </a:solidFill>
          </a:ln>
        </c:spPr>
        <c:txPr>
          <a:bodyPr/>
          <a:lstStyle/>
          <a:p>
            <a:pPr>
              <a:defRPr lang="en-CA" sz="800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22359168"/>
        <c:crosses val="autoZero"/>
        <c:crossBetween val="between"/>
      </c:valAx>
      <c:catAx>
        <c:axId val="122379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22389248"/>
        <c:crosses val="autoZero"/>
        <c:auto val="1"/>
        <c:lblAlgn val="ctr"/>
        <c:lblOffset val="100"/>
        <c:noMultiLvlLbl val="0"/>
      </c:catAx>
      <c:valAx>
        <c:axId val="122389248"/>
        <c:scaling>
          <c:orientation val="minMax"/>
          <c:max val="65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8100"/>
            </a:solidFill>
          </a:ln>
        </c:spPr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22379264"/>
        <c:crosses val="max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2810649868766424"/>
          <c:y val="0.89773071049045694"/>
          <c:w val="0.80899930708661461"/>
          <c:h val="8.8332007279577907E-2"/>
        </c:manualLayout>
      </c:layout>
      <c:overlay val="0"/>
      <c:spPr>
        <a:ln>
          <a:noFill/>
        </a:ln>
      </c:spPr>
      <c:txPr>
        <a:bodyPr/>
        <a:lstStyle/>
        <a:p>
          <a:pPr>
            <a:defRPr lang="en-CA" sz="800">
              <a:solidFill>
                <a:schemeClr val="tx1">
                  <a:lumMod val="85000"/>
                  <a:lumOff val="15000"/>
                </a:schemeClr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chemeClr val="tx1">
          <a:lumMod val="85000"/>
          <a:lumOff val="15000"/>
        </a:schemeClr>
      </a:solidFill>
    </a:ln>
  </c:spPr>
  <c:txPr>
    <a:bodyPr/>
    <a:lstStyle/>
    <a:p>
      <a:pPr>
        <a:defRPr>
          <a:latin typeface="Tw Cen MT Condensed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CA" sz="900">
                <a:latin typeface="Arial" pitchFamily="34" charset="0"/>
                <a:cs typeface="Arial" pitchFamily="34" charset="0"/>
              </a:defRPr>
            </a:pPr>
            <a:r>
              <a:rPr lang="en-CA" sz="900" b="1">
                <a:solidFill>
                  <a:srgbClr val="008100"/>
                </a:solidFill>
                <a:latin typeface="Arial" pitchFamily="34" charset="0"/>
                <a:cs typeface="Arial" pitchFamily="34" charset="0"/>
              </a:rPr>
              <a:t>Figure 2: </a:t>
            </a:r>
            <a:r>
              <a:rPr lang="en-CA" sz="900" b="1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rPr>
              <a:t>Turbidity</a:t>
            </a:r>
          </a:p>
        </c:rich>
      </c:tx>
      <c:layout>
        <c:manualLayout>
          <c:xMode val="edge"/>
          <c:yMode val="edge"/>
          <c:x val="1.482336667376038E-2"/>
          <c:y val="1.173010413409517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415230190820739"/>
          <c:y val="0.12346142360947397"/>
          <c:w val="0.70016244591047738"/>
          <c:h val="0.68127689814946413"/>
        </c:manualLayout>
      </c:layout>
      <c:lineChart>
        <c:grouping val="standard"/>
        <c:varyColors val="0"/>
        <c:ser>
          <c:idx val="0"/>
          <c:order val="0"/>
          <c:tx>
            <c:v>Raw Water</c:v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numRef>
              <c:f>'(Monthly Report Generation) '!$AB$93:$AB$104</c:f>
              <c:numCache>
                <c:formatCode>General</c:formatCode>
                <c:ptCount val="12"/>
              </c:numCache>
            </c:numRef>
          </c:cat>
          <c:val>
            <c:numRef>
              <c:f>'(Monthly Report Generation) '!$U$93:$U$104</c:f>
              <c:numCache>
                <c:formatCode>0.00</c:formatCode>
                <c:ptCount val="12"/>
              </c:numCache>
            </c:numRef>
          </c:val>
          <c:smooth val="0"/>
        </c:ser>
        <c:ser>
          <c:idx val="1"/>
          <c:order val="1"/>
          <c:tx>
            <c:v>Treated Water</c:v>
          </c:tx>
          <c:spPr>
            <a:ln>
              <a:solidFill>
                <a:srgbClr val="0000BD"/>
              </a:solidFill>
            </a:ln>
          </c:spPr>
          <c:marker>
            <c:symbol val="none"/>
          </c:marker>
          <c:cat>
            <c:numRef>
              <c:f>'(Monthly Report Generation) '!$AB$93:$AB$104</c:f>
              <c:numCache>
                <c:formatCode>General</c:formatCode>
                <c:ptCount val="12"/>
              </c:numCache>
            </c:numRef>
          </c:cat>
          <c:val>
            <c:numRef>
              <c:f>'(Monthly Report Generation) '!$X$93:$X$104</c:f>
              <c:numCache>
                <c:formatCode>0.000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07168"/>
        <c:axId val="122486784"/>
      </c:lineChart>
      <c:catAx>
        <c:axId val="122407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8100"/>
            </a:solidFill>
          </a:ln>
        </c:spPr>
        <c:txPr>
          <a:bodyPr/>
          <a:lstStyle/>
          <a:p>
            <a:pPr>
              <a:defRPr lang="en-CA" sz="800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22486784"/>
        <c:crosses val="autoZero"/>
        <c:auto val="1"/>
        <c:lblAlgn val="ctr"/>
        <c:lblOffset val="100"/>
        <c:noMultiLvlLbl val="0"/>
      </c:catAx>
      <c:valAx>
        <c:axId val="122486784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en-CA" sz="800" b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itchFamily="34" charset="0"/>
                    <a:cs typeface="Arial" pitchFamily="34" charset="0"/>
                  </a:defRPr>
                </a:pPr>
                <a:r>
                  <a:rPr lang="en-CA" sz="800" b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itchFamily="34" charset="0"/>
                    <a:cs typeface="Arial" pitchFamily="34" charset="0"/>
                  </a:rPr>
                  <a:t>Turbidity (NTU)</a:t>
                </a:r>
              </a:p>
            </c:rich>
          </c:tx>
          <c:layout>
            <c:manualLayout>
              <c:xMode val="edge"/>
              <c:yMode val="edge"/>
              <c:x val="3.0001418741576295E-2"/>
              <c:y val="0.28979864881510725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8100"/>
            </a:solidFill>
          </a:ln>
        </c:spPr>
        <c:txPr>
          <a:bodyPr/>
          <a:lstStyle/>
          <a:p>
            <a:pPr>
              <a:defRPr lang="en-CA" sz="800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224071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9890437681776313"/>
          <c:y val="0.91631257284175038"/>
          <c:w val="0.79664822302617821"/>
          <c:h val="4.843268237679689E-2"/>
        </c:manualLayout>
      </c:layout>
      <c:overlay val="0"/>
      <c:spPr>
        <a:ln>
          <a:noFill/>
        </a:ln>
      </c:spPr>
      <c:txPr>
        <a:bodyPr/>
        <a:lstStyle/>
        <a:p>
          <a:pPr>
            <a:defRPr lang="en-CA" sz="800">
              <a:solidFill>
                <a:schemeClr val="tx1">
                  <a:lumMod val="85000"/>
                  <a:lumOff val="15000"/>
                </a:schemeClr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chemeClr val="tx1">
          <a:lumMod val="85000"/>
          <a:lumOff val="15000"/>
        </a:schemeClr>
      </a:solidFill>
    </a:ln>
  </c:spPr>
  <c:txPr>
    <a:bodyPr/>
    <a:lstStyle/>
    <a:p>
      <a:pPr>
        <a:defRPr>
          <a:latin typeface="Tw Cen MT Condensed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CA" sz="900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defRPr>
            </a:pPr>
            <a:r>
              <a:rPr lang="en-CA" sz="900" b="1">
                <a:solidFill>
                  <a:srgbClr val="008100"/>
                </a:solidFill>
                <a:latin typeface="Arial" pitchFamily="34" charset="0"/>
                <a:cs typeface="Arial" pitchFamily="34" charset="0"/>
              </a:rPr>
              <a:t>Figure 3: </a:t>
            </a:r>
            <a:r>
              <a:rPr lang="en-CA" sz="900" b="1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rPr>
              <a:t>Free Chlorine Residual</a:t>
            </a:r>
          </a:p>
        </c:rich>
      </c:tx>
      <c:layout>
        <c:manualLayout>
          <c:xMode val="edge"/>
          <c:yMode val="edge"/>
          <c:x val="1.4823652093993299E-2"/>
          <c:y val="1.173010413409517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2162986619679534"/>
          <c:y val="0.12346142360947397"/>
          <c:w val="0.72268487418093763"/>
          <c:h val="0.68127689814946413"/>
        </c:manualLayout>
      </c:layout>
      <c:lineChart>
        <c:grouping val="standard"/>
        <c:varyColors val="0"/>
        <c:ser>
          <c:idx val="0"/>
          <c:order val="0"/>
          <c:tx>
            <c:v>Distribution Water</c:v>
          </c:tx>
          <c:spPr>
            <a:ln>
              <a:solidFill>
                <a:schemeClr val="accent5"/>
              </a:solidFill>
            </a:ln>
          </c:spPr>
          <c:marker>
            <c:symbol val="none"/>
          </c:marker>
          <c:cat>
            <c:numRef>
              <c:f>'(Monthly Report Generation) '!$AB$93:$AB$104</c:f>
              <c:numCache>
                <c:formatCode>General</c:formatCode>
                <c:ptCount val="12"/>
              </c:numCache>
            </c:numRef>
          </c:cat>
          <c:val>
            <c:numRef>
              <c:f>'(Monthly Report Generation) '!$AA$93:$AA$104</c:f>
              <c:numCache>
                <c:formatCode>0.00</c:formatCode>
                <c:ptCount val="12"/>
              </c:numCache>
            </c:numRef>
          </c:val>
          <c:smooth val="0"/>
        </c:ser>
        <c:ser>
          <c:idx val="1"/>
          <c:order val="1"/>
          <c:tx>
            <c:v>Treated Water</c:v>
          </c:tx>
          <c:spPr>
            <a:ln>
              <a:solidFill>
                <a:srgbClr val="0000BD"/>
              </a:solidFill>
            </a:ln>
          </c:spPr>
          <c:marker>
            <c:symbol val="none"/>
          </c:marker>
          <c:cat>
            <c:numRef>
              <c:f>'(Monthly Report Generation) '!$AB$93:$AB$104</c:f>
              <c:numCache>
                <c:formatCode>General</c:formatCode>
                <c:ptCount val="12"/>
              </c:numCache>
            </c:numRef>
          </c:cat>
          <c:val>
            <c:numRef>
              <c:f>'(Monthly Report Generation) '!$Z$93:$Z$104</c:f>
              <c:numCache>
                <c:formatCode>0.00</c:formatCode>
                <c:ptCount val="12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30048"/>
        <c:axId val="122531840"/>
      </c:lineChart>
      <c:catAx>
        <c:axId val="12253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8100"/>
            </a:solidFill>
          </a:ln>
        </c:spPr>
        <c:txPr>
          <a:bodyPr/>
          <a:lstStyle/>
          <a:p>
            <a:pPr>
              <a:defRPr lang="en-CA" sz="800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22531840"/>
        <c:crosses val="autoZero"/>
        <c:auto val="1"/>
        <c:lblAlgn val="ctr"/>
        <c:lblOffset val="100"/>
        <c:noMultiLvlLbl val="0"/>
      </c:catAx>
      <c:valAx>
        <c:axId val="122531840"/>
        <c:scaling>
          <c:orientation val="minMax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en-CA" sz="800" b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itchFamily="34" charset="0"/>
                    <a:cs typeface="Arial" pitchFamily="34" charset="0"/>
                  </a:defRPr>
                </a:pPr>
                <a:r>
                  <a:rPr lang="en-CA" sz="800" b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Arial" pitchFamily="34" charset="0"/>
                    <a:cs typeface="Arial" pitchFamily="34" charset="0"/>
                  </a:rPr>
                  <a:t>Free Chlorine Resdiaul (mg/L)</a:t>
                </a:r>
              </a:p>
            </c:rich>
          </c:tx>
          <c:layout>
            <c:manualLayout>
              <c:xMode val="edge"/>
              <c:yMode val="edge"/>
              <c:x val="3.44908401601315E-2"/>
              <c:y val="0.1839021385864682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8100"/>
            </a:solidFill>
          </a:ln>
        </c:spPr>
        <c:txPr>
          <a:bodyPr/>
          <a:lstStyle/>
          <a:p>
            <a:pPr>
              <a:defRPr lang="en-CA" sz="800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  <c:crossAx val="1225300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>
                <a:solidFill>
                  <a:schemeClr val="tx1">
                    <a:lumMod val="85000"/>
                    <a:lumOff val="15000"/>
                  </a:schemeClr>
                </a:solidFill>
                <a:latin typeface="Arial" pitchFamily="34" charset="0"/>
                <a:cs typeface="Arial" pitchFamily="3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16279258022040174"/>
          <c:y val="0.911499095104088"/>
          <c:w val="0.77432310860132381"/>
          <c:h val="4.843268237679689E-2"/>
        </c:manualLayout>
      </c:layout>
      <c:overlay val="0"/>
      <c:spPr>
        <a:ln>
          <a:noFill/>
        </a:ln>
      </c:spPr>
      <c:txPr>
        <a:bodyPr/>
        <a:lstStyle/>
        <a:p>
          <a:pPr>
            <a:defRPr lang="en-CA" sz="800">
              <a:solidFill>
                <a:schemeClr val="tx1">
                  <a:lumMod val="85000"/>
                  <a:lumOff val="15000"/>
                </a:schemeClr>
              </a:solidFill>
              <a:latin typeface="Arial" pitchFamily="34" charset="0"/>
              <a:cs typeface="Arial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chemeClr val="tx1">
          <a:lumMod val="85000"/>
          <a:lumOff val="15000"/>
        </a:schemeClr>
      </a:solidFill>
    </a:ln>
  </c:spPr>
  <c:txPr>
    <a:bodyPr/>
    <a:lstStyle/>
    <a:p>
      <a:pPr>
        <a:defRPr>
          <a:latin typeface="Tw Cen MT Condensed" pitchFamily="34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161925</xdr:colOff>
      <xdr:row>63</xdr:row>
      <xdr:rowOff>142875</xdr:rowOff>
    </xdr:from>
    <xdr:to>
      <xdr:col>18</xdr:col>
      <xdr:colOff>114300</xdr:colOff>
      <xdr:row>78</xdr:row>
      <xdr:rowOff>19050</xdr:rowOff>
    </xdr:to>
    <xdr:graphicFrame macro="">
      <xdr:nvGraphicFramePr>
        <xdr:cNvPr id="4214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104775</xdr:colOff>
      <xdr:row>105</xdr:row>
      <xdr:rowOff>161925</xdr:rowOff>
    </xdr:from>
    <xdr:to>
      <xdr:col>24</xdr:col>
      <xdr:colOff>142875</xdr:colOff>
      <xdr:row>119</xdr:row>
      <xdr:rowOff>133350</xdr:rowOff>
    </xdr:to>
    <xdr:graphicFrame macro="">
      <xdr:nvGraphicFramePr>
        <xdr:cNvPr id="4215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238125</xdr:colOff>
      <xdr:row>105</xdr:row>
      <xdr:rowOff>133350</xdr:rowOff>
    </xdr:from>
    <xdr:to>
      <xdr:col>27</xdr:col>
      <xdr:colOff>333375</xdr:colOff>
      <xdr:row>119</xdr:row>
      <xdr:rowOff>104775</xdr:rowOff>
    </xdr:to>
    <xdr:graphicFrame macro="">
      <xdr:nvGraphicFramePr>
        <xdr:cNvPr id="421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EX45"/>
  <sheetViews>
    <sheetView showGridLines="0" tabSelected="1" view="pageLayout" zoomScaleNormal="100" zoomScaleSheetLayoutView="145" workbookViewId="0">
      <selection activeCell="K3" sqref="K3:N3"/>
    </sheetView>
  </sheetViews>
  <sheetFormatPr defaultColWidth="9.1796875" defaultRowHeight="14.5" x14ac:dyDescent="0.35"/>
  <cols>
    <col min="1" max="1" width="6" style="20" customWidth="1"/>
    <col min="2" max="2" width="14" style="5" customWidth="1"/>
    <col min="3" max="3" width="8.54296875" style="5" customWidth="1"/>
    <col min="4" max="4" width="9.7265625" style="23" customWidth="1"/>
    <col min="5" max="5" width="14" style="5" customWidth="1"/>
    <col min="6" max="6" width="8.54296875" style="5" customWidth="1"/>
    <col min="7" max="7" width="9.7265625" style="23" customWidth="1"/>
    <col min="8" max="8" width="14" style="5" customWidth="1"/>
    <col min="9" max="9" width="8.54296875" style="5" customWidth="1"/>
    <col min="10" max="10" width="8.26953125" style="20" customWidth="1"/>
    <col min="11" max="11" width="5.54296875" style="20" customWidth="1"/>
    <col min="12" max="12" width="11.453125" style="5" customWidth="1"/>
    <col min="13" max="13" width="8" style="5" customWidth="1"/>
    <col min="14" max="14" width="11.453125" style="5" customWidth="1"/>
    <col min="15" max="15" width="8" style="5" customWidth="1"/>
    <col min="16" max="16" width="11.453125" style="5" customWidth="1"/>
    <col min="17" max="17" width="8" style="5" customWidth="1"/>
    <col min="18" max="21" width="7.453125" style="5" customWidth="1"/>
    <col min="22" max="22" width="7.7265625" style="5" customWidth="1"/>
    <col min="23" max="23" width="6" style="5" customWidth="1"/>
    <col min="24" max="24" width="12.7265625" style="23" customWidth="1"/>
    <col min="25" max="25" width="9" style="23" customWidth="1"/>
    <col min="26" max="26" width="12.7265625" style="23" customWidth="1"/>
    <col min="27" max="27" width="9" style="23" customWidth="1"/>
    <col min="28" max="28" width="12.7265625" style="23" customWidth="1"/>
    <col min="29" max="29" width="9" style="23" customWidth="1"/>
    <col min="30" max="30" width="12.7265625" style="23" customWidth="1"/>
    <col min="31" max="31" width="9" style="23" customWidth="1"/>
    <col min="32" max="32" width="8" style="22" customWidth="1"/>
    <col min="33" max="33" width="6" style="20" customWidth="1"/>
    <col min="34" max="34" width="12.7265625" style="20" customWidth="1"/>
    <col min="35" max="35" width="9" style="5" customWidth="1"/>
    <col min="36" max="36" width="12.7265625" style="5" customWidth="1"/>
    <col min="37" max="37" width="9" style="5" customWidth="1"/>
    <col min="38" max="38" width="12.7265625" style="5" customWidth="1"/>
    <col min="39" max="39" width="9" style="5" customWidth="1"/>
    <col min="40" max="40" width="12.7265625" style="5" customWidth="1"/>
    <col min="41" max="41" width="9" style="22" customWidth="1"/>
    <col min="42" max="42" width="8" style="5" customWidth="1"/>
    <col min="43" max="43" width="6" style="5" customWidth="1"/>
    <col min="44" max="44" width="12.7265625" style="23" customWidth="1"/>
    <col min="45" max="45" width="9" style="23" customWidth="1"/>
    <col min="46" max="46" width="12.7265625" style="23" customWidth="1"/>
    <col min="47" max="47" width="9" style="23" customWidth="1"/>
    <col min="48" max="48" width="12.7265625" style="23" customWidth="1"/>
    <col min="49" max="49" width="9" style="23" customWidth="1"/>
    <col min="50" max="50" width="12.7265625" style="23" customWidth="1"/>
    <col min="51" max="51" width="9" style="23" customWidth="1"/>
    <col min="52" max="52" width="8" style="5" customWidth="1"/>
    <col min="53" max="53" width="5.7265625" style="21" customWidth="1"/>
    <col min="54" max="54" width="7.1796875" style="23" customWidth="1"/>
    <col min="55" max="55" width="6.7265625" style="5" customWidth="1"/>
    <col min="56" max="57" width="6.7265625" style="22" customWidth="1"/>
    <col min="58" max="58" width="7.1796875" style="22" customWidth="1"/>
    <col min="59" max="59" width="6.7265625" style="22" customWidth="1"/>
    <col min="60" max="65" width="8" style="21" customWidth="1"/>
    <col min="66" max="66" width="6.81640625" style="22" customWidth="1"/>
    <col min="67" max="67" width="5.7265625" style="23" customWidth="1"/>
    <col min="68" max="68" width="8.54296875" style="21" customWidth="1"/>
    <col min="69" max="69" width="6.81640625" style="5" customWidth="1"/>
    <col min="70" max="70" width="6.7265625" style="22" customWidth="1"/>
    <col min="71" max="71" width="7.1796875" style="22" customWidth="1"/>
    <col min="72" max="72" width="8" style="22" customWidth="1"/>
    <col min="73" max="73" width="8.453125" style="21" customWidth="1"/>
    <col min="74" max="75" width="8.26953125" style="23" customWidth="1"/>
    <col min="76" max="76" width="8" style="22" customWidth="1"/>
    <col min="77" max="77" width="18.1796875" style="5" customWidth="1"/>
    <col min="78" max="78" width="7.453125" style="5" customWidth="1"/>
    <col min="79" max="79" width="7.1796875" style="20" customWidth="1"/>
    <col min="80" max="82" width="12" style="22" customWidth="1"/>
    <col min="83" max="84" width="12" style="23" customWidth="1"/>
    <col min="85" max="86" width="12" style="5" customWidth="1"/>
    <col min="87" max="87" width="9.1796875" style="22" customWidth="1"/>
    <col min="88" max="88" width="7.1796875" style="23" customWidth="1"/>
    <col min="89" max="93" width="12" style="22" customWidth="1"/>
    <col min="94" max="95" width="12" style="20" customWidth="1"/>
    <col min="96" max="96" width="9.1796875" style="20" customWidth="1"/>
    <col min="97" max="97" width="6.26953125" style="20" customWidth="1"/>
    <col min="98" max="98" width="9.453125" style="20" customWidth="1"/>
    <col min="99" max="99" width="13.81640625" style="23" customWidth="1"/>
    <col min="100" max="100" width="9.7265625" style="5" customWidth="1"/>
    <col min="101" max="101" width="9.7265625" style="22" customWidth="1"/>
    <col min="102" max="102" width="10" style="23" customWidth="1"/>
    <col min="103" max="104" width="12" style="22" customWidth="1"/>
    <col min="105" max="105" width="10.54296875" style="21" customWidth="1"/>
    <col min="106" max="106" width="8" style="22" customWidth="1"/>
    <col min="107" max="107" width="7.1796875" style="21" customWidth="1"/>
    <col min="108" max="110" width="12" style="22" customWidth="1"/>
    <col min="111" max="111" width="12" style="23" customWidth="1"/>
    <col min="112" max="112" width="12" style="22" customWidth="1"/>
    <col min="113" max="114" width="12" style="5" customWidth="1"/>
    <col min="115" max="115" width="9.1796875" style="21" customWidth="1"/>
    <col min="116" max="116" width="4.81640625" style="20" customWidth="1"/>
    <col min="117" max="117" width="6.453125" style="23" customWidth="1"/>
    <col min="118" max="120" width="7.7265625" style="21" customWidth="1"/>
    <col min="121" max="121" width="6.81640625" style="23" customWidth="1"/>
    <col min="122" max="122" width="6.81640625" style="22" customWidth="1"/>
    <col min="123" max="123" width="7.7265625" style="21" customWidth="1"/>
    <col min="124" max="124" width="7.1796875" style="22" customWidth="1"/>
    <col min="125" max="125" width="7.453125" style="23" customWidth="1"/>
    <col min="126" max="127" width="8.54296875" style="21" customWidth="1"/>
    <col min="128" max="128" width="7.1796875" style="20" customWidth="1"/>
    <col min="129" max="129" width="6.81640625" style="20" customWidth="1"/>
    <col min="130" max="130" width="6.54296875" style="20" customWidth="1"/>
    <col min="131" max="131" width="13" style="20" customWidth="1"/>
    <col min="132" max="133" width="13" style="54" customWidth="1"/>
    <col min="134" max="137" width="10" style="23" customWidth="1"/>
    <col min="138" max="138" width="11.453125" style="20" customWidth="1"/>
    <col min="139" max="139" width="7.26953125" style="20" customWidth="1"/>
    <col min="140" max="146" width="12" style="20" customWidth="1"/>
    <col min="147" max="16384" width="9.1796875" style="20"/>
  </cols>
  <sheetData>
    <row r="1" spans="1:154" ht="15" customHeight="1" x14ac:dyDescent="0.35">
      <c r="A1" s="373" t="s">
        <v>225</v>
      </c>
      <c r="B1" s="373"/>
      <c r="C1" s="373"/>
      <c r="D1" s="373"/>
      <c r="E1" s="373"/>
      <c r="F1" s="373"/>
      <c r="G1" s="373"/>
      <c r="H1" s="373"/>
      <c r="I1" s="373"/>
      <c r="J1" s="373"/>
      <c r="K1" s="345" t="str">
        <f>IF(A1="","",A1)</f>
        <v>Jan 2016</v>
      </c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 t="str">
        <f>IF(A1="","",A1)</f>
        <v>Jan 2016</v>
      </c>
      <c r="X1" s="345"/>
      <c r="Y1" s="345"/>
      <c r="Z1" s="345"/>
      <c r="AA1" s="345"/>
      <c r="AB1" s="345"/>
      <c r="AC1" s="345"/>
      <c r="AD1" s="345"/>
      <c r="AE1" s="345"/>
      <c r="AF1" s="345"/>
      <c r="AG1" s="345" t="str">
        <f>IF(A1="","",A1)</f>
        <v>Jan 2016</v>
      </c>
      <c r="AH1" s="345"/>
      <c r="AI1" s="345"/>
      <c r="AJ1" s="345"/>
      <c r="AK1" s="345"/>
      <c r="AL1" s="345"/>
      <c r="AM1" s="345"/>
      <c r="AN1" s="345"/>
      <c r="AO1" s="345"/>
      <c r="AP1" s="345"/>
      <c r="AQ1" s="345" t="str">
        <f>IF(A1="","",A1)</f>
        <v>Jan 2016</v>
      </c>
      <c r="AR1" s="345"/>
      <c r="AS1" s="345"/>
      <c r="AT1" s="345"/>
      <c r="AU1" s="345"/>
      <c r="AV1" s="345"/>
      <c r="AW1" s="345"/>
      <c r="AX1" s="345"/>
      <c r="AY1" s="345"/>
      <c r="AZ1" s="345"/>
      <c r="BA1" s="371" t="str">
        <f>IF(A1="","",A1)</f>
        <v>Jan 2016</v>
      </c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07" t="str">
        <f>IF(A1="","",A1)</f>
        <v>Jan 2016</v>
      </c>
      <c r="BP1" s="307"/>
      <c r="BQ1" s="307"/>
      <c r="BR1" s="307"/>
      <c r="BS1" s="307"/>
      <c r="BT1" s="307"/>
      <c r="BU1" s="307"/>
      <c r="BV1" s="307"/>
      <c r="BW1" s="307"/>
      <c r="BX1" s="307"/>
      <c r="BY1" s="307"/>
      <c r="BZ1" s="307"/>
      <c r="CA1" s="372" t="str">
        <f>IF(A1="","",A1)</f>
        <v>Jan 2016</v>
      </c>
      <c r="CB1" s="372"/>
      <c r="CC1" s="372"/>
      <c r="CD1" s="372"/>
      <c r="CE1" s="372"/>
      <c r="CF1" s="372"/>
      <c r="CG1" s="372"/>
      <c r="CH1" s="372"/>
      <c r="CI1" s="372"/>
      <c r="CJ1" s="372" t="str">
        <f>IF(A1="","",A1)</f>
        <v>Jan 2016</v>
      </c>
      <c r="CK1" s="372"/>
      <c r="CL1" s="372"/>
      <c r="CM1" s="372"/>
      <c r="CN1" s="372"/>
      <c r="CO1" s="372"/>
      <c r="CP1" s="372"/>
      <c r="CQ1" s="372"/>
      <c r="CR1" s="372"/>
      <c r="CS1" s="372" t="str">
        <f>IF(A1="","",A1)</f>
        <v>Jan 2016</v>
      </c>
      <c r="CT1" s="372"/>
      <c r="CU1" s="372"/>
      <c r="CV1" s="372"/>
      <c r="CW1" s="372"/>
      <c r="CX1" s="372"/>
      <c r="CY1" s="372"/>
      <c r="CZ1" s="372"/>
      <c r="DA1" s="372"/>
      <c r="DB1" s="372"/>
      <c r="DC1" s="372" t="str">
        <f>IF(A1="","",A1)</f>
        <v>Jan 2016</v>
      </c>
      <c r="DD1" s="372"/>
      <c r="DE1" s="372"/>
      <c r="DF1" s="372"/>
      <c r="DG1" s="372"/>
      <c r="DH1" s="372"/>
      <c r="DI1" s="372"/>
      <c r="DJ1" s="372"/>
      <c r="DK1" s="372"/>
      <c r="DL1" s="307" t="str">
        <f>IF(A1="","",A1)</f>
        <v>Jan 2016</v>
      </c>
      <c r="DM1" s="307"/>
      <c r="DN1" s="307"/>
      <c r="DO1" s="307"/>
      <c r="DP1" s="307"/>
      <c r="DQ1" s="53"/>
      <c r="DR1" s="85"/>
      <c r="DS1" s="39"/>
      <c r="DT1" s="85"/>
      <c r="DU1" s="53"/>
      <c r="DV1" s="39"/>
      <c r="DW1" s="39"/>
      <c r="DX1" s="39"/>
      <c r="DY1" s="126"/>
      <c r="DZ1" s="307" t="str">
        <f>IF(A1="","",A1)</f>
        <v>Jan 2016</v>
      </c>
      <c r="EA1" s="307"/>
      <c r="EB1" s="308" t="s">
        <v>196</v>
      </c>
      <c r="EC1" s="309"/>
      <c r="ED1" s="309"/>
      <c r="EE1" s="309"/>
      <c r="EF1" s="309"/>
      <c r="EG1" s="310"/>
      <c r="EH1" s="190"/>
      <c r="EI1" s="307" t="str">
        <f>IF(A1="","",A1)</f>
        <v>Jan 2016</v>
      </c>
      <c r="EJ1" s="307"/>
      <c r="EK1" s="307"/>
      <c r="EL1" s="307"/>
      <c r="EM1" s="307"/>
      <c r="EN1" s="307"/>
      <c r="EO1" s="307"/>
      <c r="EP1" s="307"/>
      <c r="EQ1" s="307"/>
    </row>
    <row r="2" spans="1:154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07"/>
      <c r="BP2" s="307"/>
      <c r="BQ2" s="307"/>
      <c r="BR2" s="307"/>
      <c r="BS2" s="307"/>
      <c r="BT2" s="307"/>
      <c r="BU2" s="307"/>
      <c r="BV2" s="307"/>
      <c r="BW2" s="307"/>
      <c r="BX2" s="307"/>
      <c r="BY2" s="307"/>
      <c r="BZ2" s="307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  <c r="CL2" s="372"/>
      <c r="CM2" s="372"/>
      <c r="CN2" s="372"/>
      <c r="CO2" s="372"/>
      <c r="CP2" s="372"/>
      <c r="CQ2" s="372"/>
      <c r="CR2" s="372"/>
      <c r="CS2" s="372"/>
      <c r="CT2" s="372"/>
      <c r="CU2" s="372"/>
      <c r="CV2" s="372"/>
      <c r="CW2" s="372"/>
      <c r="CX2" s="372"/>
      <c r="CY2" s="372"/>
      <c r="CZ2" s="372"/>
      <c r="DA2" s="372"/>
      <c r="DB2" s="372"/>
      <c r="DC2" s="372"/>
      <c r="DD2" s="372"/>
      <c r="DE2" s="372"/>
      <c r="DF2" s="372"/>
      <c r="DG2" s="372"/>
      <c r="DH2" s="372"/>
      <c r="DI2" s="372"/>
      <c r="DJ2" s="372"/>
      <c r="DK2" s="372"/>
      <c r="DL2" s="307"/>
      <c r="DM2" s="307"/>
      <c r="DN2" s="307"/>
      <c r="DO2" s="307"/>
      <c r="DP2" s="307"/>
      <c r="DQ2" s="53"/>
      <c r="DR2" s="85"/>
      <c r="DS2" s="39"/>
      <c r="DT2" s="85"/>
      <c r="DU2" s="53"/>
      <c r="DV2" s="39"/>
      <c r="DW2" s="39"/>
      <c r="DX2" s="39"/>
      <c r="DY2" s="126"/>
      <c r="DZ2" s="307"/>
      <c r="EA2" s="307"/>
      <c r="EB2" s="311"/>
      <c r="EC2" s="312"/>
      <c r="ED2" s="312"/>
      <c r="EE2" s="312"/>
      <c r="EF2" s="312"/>
      <c r="EG2" s="313"/>
      <c r="EH2" s="190"/>
      <c r="EI2" s="307"/>
      <c r="EJ2" s="307"/>
      <c r="EK2" s="307"/>
      <c r="EL2" s="307"/>
      <c r="EM2" s="307"/>
      <c r="EN2" s="307"/>
      <c r="EO2" s="307"/>
      <c r="EP2" s="307"/>
      <c r="EQ2" s="307"/>
    </row>
    <row r="3" spans="1:154" ht="25.5" customHeight="1" x14ac:dyDescent="0.25">
      <c r="A3" s="314" t="s">
        <v>449</v>
      </c>
      <c r="B3" s="314"/>
      <c r="C3" s="314"/>
      <c r="D3" s="314"/>
      <c r="E3" s="314"/>
      <c r="F3" s="315" t="s">
        <v>114</v>
      </c>
      <c r="G3" s="315"/>
      <c r="H3" s="315"/>
      <c r="I3" s="315"/>
      <c r="J3" s="315"/>
      <c r="K3" s="314" t="str">
        <f>IF(A3="","",A3)</f>
        <v>Drinking Water System</v>
      </c>
      <c r="L3" s="314"/>
      <c r="M3" s="314"/>
      <c r="N3" s="314"/>
      <c r="O3" s="315" t="s">
        <v>125</v>
      </c>
      <c r="P3" s="315"/>
      <c r="Q3" s="315"/>
      <c r="R3" s="315"/>
      <c r="S3" s="315"/>
      <c r="T3" s="315"/>
      <c r="U3" s="315"/>
      <c r="V3" s="315"/>
      <c r="W3" s="314" t="str">
        <f>IF(A3="","",A3)</f>
        <v>Drinking Water System</v>
      </c>
      <c r="X3" s="314"/>
      <c r="Y3" s="314"/>
      <c r="Z3" s="314"/>
      <c r="AA3" s="314"/>
      <c r="AB3" s="350" t="s">
        <v>129</v>
      </c>
      <c r="AC3" s="315"/>
      <c r="AD3" s="315"/>
      <c r="AE3" s="315"/>
      <c r="AF3" s="315"/>
      <c r="AG3" s="314" t="str">
        <f>IF(A3="","",A3)</f>
        <v>Drinking Water System</v>
      </c>
      <c r="AH3" s="314"/>
      <c r="AI3" s="314"/>
      <c r="AJ3" s="314"/>
      <c r="AK3" s="314"/>
      <c r="AL3" s="315" t="s">
        <v>93</v>
      </c>
      <c r="AM3" s="315"/>
      <c r="AN3" s="315"/>
      <c r="AO3" s="315"/>
      <c r="AP3" s="315"/>
      <c r="AQ3" s="314" t="str">
        <f>IF(A3="","",A3)</f>
        <v>Drinking Water System</v>
      </c>
      <c r="AR3" s="314"/>
      <c r="AS3" s="314"/>
      <c r="AT3" s="314"/>
      <c r="AU3" s="314"/>
      <c r="AV3" s="315" t="s">
        <v>135</v>
      </c>
      <c r="AW3" s="315"/>
      <c r="AX3" s="315"/>
      <c r="AY3" s="315"/>
      <c r="AZ3" s="315"/>
      <c r="BA3" s="314" t="str">
        <f>IF(A3="","",A3)</f>
        <v>Drinking Water System</v>
      </c>
      <c r="BB3" s="314"/>
      <c r="BC3" s="314"/>
      <c r="BD3" s="314"/>
      <c r="BE3" s="314"/>
      <c r="BF3" s="369" t="s">
        <v>145</v>
      </c>
      <c r="BG3" s="369"/>
      <c r="BH3" s="369"/>
      <c r="BI3" s="369"/>
      <c r="BJ3" s="369"/>
      <c r="BK3" s="369"/>
      <c r="BL3" s="369"/>
      <c r="BM3" s="369"/>
      <c r="BN3" s="369"/>
      <c r="BO3" s="314" t="str">
        <f>IF(A3="","",A3)</f>
        <v>Drinking Water System</v>
      </c>
      <c r="BP3" s="314"/>
      <c r="BQ3" s="314"/>
      <c r="BR3" s="314"/>
      <c r="BS3" s="314"/>
      <c r="BT3" s="315" t="s">
        <v>100</v>
      </c>
      <c r="BU3" s="315"/>
      <c r="BV3" s="315"/>
      <c r="BW3" s="315"/>
      <c r="BX3" s="315"/>
      <c r="BY3" s="315"/>
      <c r="BZ3" s="315"/>
      <c r="CA3" s="314" t="str">
        <f>IF(A3="","",A3)</f>
        <v>Drinking Water System</v>
      </c>
      <c r="CB3" s="314"/>
      <c r="CC3" s="314"/>
      <c r="CD3" s="314"/>
      <c r="CE3" s="315" t="s">
        <v>154</v>
      </c>
      <c r="CF3" s="315"/>
      <c r="CG3" s="315"/>
      <c r="CH3" s="315"/>
      <c r="CI3" s="315"/>
      <c r="CJ3" s="314" t="str">
        <f>IF(A3="","",A3)</f>
        <v>Drinking Water System</v>
      </c>
      <c r="CK3" s="314"/>
      <c r="CL3" s="314"/>
      <c r="CM3" s="314"/>
      <c r="CN3" s="315" t="s">
        <v>155</v>
      </c>
      <c r="CO3" s="315"/>
      <c r="CP3" s="315"/>
      <c r="CQ3" s="315"/>
      <c r="CR3" s="315"/>
      <c r="CS3" s="314" t="str">
        <f>IF(A3="","",A3)</f>
        <v>Drinking Water System</v>
      </c>
      <c r="CT3" s="314"/>
      <c r="CU3" s="314"/>
      <c r="CV3" s="314"/>
      <c r="CW3" s="315" t="s">
        <v>101</v>
      </c>
      <c r="CX3" s="315"/>
      <c r="CY3" s="315"/>
      <c r="CZ3" s="315"/>
      <c r="DA3" s="315"/>
      <c r="DB3" s="315"/>
      <c r="DC3" s="314" t="str">
        <f>IF(A3="","",A3)</f>
        <v>Drinking Water System</v>
      </c>
      <c r="DD3" s="314"/>
      <c r="DE3" s="314"/>
      <c r="DF3" s="314"/>
      <c r="DG3" s="315" t="s">
        <v>159</v>
      </c>
      <c r="DH3" s="315"/>
      <c r="DI3" s="315"/>
      <c r="DJ3" s="315"/>
      <c r="DK3" s="315"/>
      <c r="DL3" s="329" t="str">
        <f>IF(A3="","",A3)</f>
        <v>Drinking Water System</v>
      </c>
      <c r="DM3" s="329"/>
      <c r="DN3" s="329"/>
      <c r="DO3" s="329"/>
      <c r="DP3" s="329"/>
      <c r="DQ3" s="370" t="s">
        <v>168</v>
      </c>
      <c r="DR3" s="370"/>
      <c r="DS3" s="370"/>
      <c r="DT3" s="370"/>
      <c r="DU3" s="370"/>
      <c r="DV3" s="370"/>
      <c r="DW3" s="370"/>
      <c r="DX3" s="370"/>
      <c r="DY3" s="370"/>
      <c r="DZ3" s="329" t="str">
        <f>IF(A3="","",A3)</f>
        <v>Drinking Water System</v>
      </c>
      <c r="EA3" s="329"/>
      <c r="EB3" s="329"/>
      <c r="EC3" s="329"/>
      <c r="ED3" s="329"/>
      <c r="EE3" s="329"/>
      <c r="EF3" s="370" t="s">
        <v>91</v>
      </c>
      <c r="EG3" s="370"/>
      <c r="EH3" s="370"/>
      <c r="EI3" s="314" t="str">
        <f>IF(A3="","",A3)</f>
        <v>Drinking Water System</v>
      </c>
      <c r="EJ3" s="314"/>
      <c r="EK3" s="314"/>
      <c r="EL3" s="314"/>
      <c r="EM3" s="315" t="s">
        <v>33</v>
      </c>
      <c r="EN3" s="315"/>
      <c r="EO3" s="315"/>
      <c r="EP3" s="315"/>
      <c r="EQ3" s="315"/>
    </row>
    <row r="4" spans="1:154" ht="17.149999999999999" customHeight="1" x14ac:dyDescent="0.35">
      <c r="A4" s="359" t="s">
        <v>1</v>
      </c>
      <c r="B4" s="359" t="s">
        <v>38</v>
      </c>
      <c r="C4" s="359"/>
      <c r="D4" s="359"/>
      <c r="E4" s="317" t="s">
        <v>24</v>
      </c>
      <c r="F4" s="317"/>
      <c r="G4" s="317"/>
      <c r="H4" s="358" t="s">
        <v>112</v>
      </c>
      <c r="I4" s="358"/>
      <c r="J4" s="360" t="s">
        <v>0</v>
      </c>
      <c r="K4" s="359" t="s">
        <v>1</v>
      </c>
      <c r="L4" s="358" t="s">
        <v>117</v>
      </c>
      <c r="M4" s="358"/>
      <c r="N4" s="358" t="s">
        <v>118</v>
      </c>
      <c r="O4" s="358"/>
      <c r="P4" s="358" t="s">
        <v>119</v>
      </c>
      <c r="Q4" s="358"/>
      <c r="R4" s="362" t="s">
        <v>120</v>
      </c>
      <c r="S4" s="363"/>
      <c r="T4" s="363"/>
      <c r="U4" s="364"/>
      <c r="V4" s="360" t="s">
        <v>0</v>
      </c>
      <c r="W4" s="346" t="s">
        <v>1</v>
      </c>
      <c r="X4" s="344" t="s">
        <v>63</v>
      </c>
      <c r="Y4" s="344"/>
      <c r="Z4" s="344"/>
      <c r="AA4" s="344"/>
      <c r="AB4" s="344" t="s">
        <v>126</v>
      </c>
      <c r="AC4" s="344"/>
      <c r="AD4" s="344"/>
      <c r="AE4" s="344"/>
      <c r="AF4" s="342" t="s">
        <v>0</v>
      </c>
      <c r="AG4" s="346" t="s">
        <v>1</v>
      </c>
      <c r="AH4" s="330" t="s">
        <v>93</v>
      </c>
      <c r="AI4" s="331"/>
      <c r="AJ4" s="331"/>
      <c r="AK4" s="331"/>
      <c r="AL4" s="331"/>
      <c r="AM4" s="331"/>
      <c r="AN4" s="331"/>
      <c r="AO4" s="332"/>
      <c r="AP4" s="342" t="s">
        <v>0</v>
      </c>
      <c r="AQ4" s="346" t="s">
        <v>1</v>
      </c>
      <c r="AR4" s="344" t="s">
        <v>132</v>
      </c>
      <c r="AS4" s="344"/>
      <c r="AT4" s="344"/>
      <c r="AU4" s="344"/>
      <c r="AV4" s="344" t="s">
        <v>94</v>
      </c>
      <c r="AW4" s="344"/>
      <c r="AX4" s="344"/>
      <c r="AY4" s="344"/>
      <c r="AZ4" s="342" t="s">
        <v>0</v>
      </c>
      <c r="BA4" s="317" t="s">
        <v>1</v>
      </c>
      <c r="BB4" s="317" t="s">
        <v>38</v>
      </c>
      <c r="BC4" s="317"/>
      <c r="BD4" s="317"/>
      <c r="BE4" s="317"/>
      <c r="BF4" s="317"/>
      <c r="BG4" s="326" t="s">
        <v>146</v>
      </c>
      <c r="BH4" s="316" t="s">
        <v>136</v>
      </c>
      <c r="BI4" s="316"/>
      <c r="BJ4" s="316" t="s">
        <v>139</v>
      </c>
      <c r="BK4" s="316"/>
      <c r="BL4" s="316" t="s">
        <v>142</v>
      </c>
      <c r="BM4" s="316"/>
      <c r="BN4" s="347" t="s">
        <v>0</v>
      </c>
      <c r="BO4" s="317" t="s">
        <v>1</v>
      </c>
      <c r="BP4" s="344" t="s">
        <v>147</v>
      </c>
      <c r="BQ4" s="344"/>
      <c r="BR4" s="344"/>
      <c r="BS4" s="344"/>
      <c r="BT4" s="344"/>
      <c r="BU4" s="344"/>
      <c r="BV4" s="344"/>
      <c r="BW4" s="344" t="s">
        <v>148</v>
      </c>
      <c r="BX4" s="344"/>
      <c r="BY4" s="344"/>
      <c r="BZ4" s="347" t="s">
        <v>0</v>
      </c>
      <c r="CA4" s="317" t="s">
        <v>1</v>
      </c>
      <c r="CB4" s="318" t="s">
        <v>150</v>
      </c>
      <c r="CC4" s="318" t="s">
        <v>151</v>
      </c>
      <c r="CD4" s="318" t="s">
        <v>78</v>
      </c>
      <c r="CE4" s="321" t="s">
        <v>79</v>
      </c>
      <c r="CF4" s="321" t="s">
        <v>77</v>
      </c>
      <c r="CG4" s="336" t="s">
        <v>152</v>
      </c>
      <c r="CH4" s="336" t="s">
        <v>153</v>
      </c>
      <c r="CI4" s="342" t="s">
        <v>0</v>
      </c>
      <c r="CJ4" s="317" t="s">
        <v>1</v>
      </c>
      <c r="CK4" s="318" t="s">
        <v>150</v>
      </c>
      <c r="CL4" s="318" t="s">
        <v>151</v>
      </c>
      <c r="CM4" s="318" t="s">
        <v>78</v>
      </c>
      <c r="CN4" s="318" t="s">
        <v>79</v>
      </c>
      <c r="CO4" s="318" t="s">
        <v>77</v>
      </c>
      <c r="CP4" s="336" t="s">
        <v>152</v>
      </c>
      <c r="CQ4" s="336" t="s">
        <v>153</v>
      </c>
      <c r="CR4" s="342" t="s">
        <v>0</v>
      </c>
      <c r="CS4" s="317" t="s">
        <v>1</v>
      </c>
      <c r="CT4" s="318" t="s">
        <v>150</v>
      </c>
      <c r="CU4" s="318" t="s">
        <v>157</v>
      </c>
      <c r="CV4" s="318" t="s">
        <v>78</v>
      </c>
      <c r="CW4" s="318" t="s">
        <v>158</v>
      </c>
      <c r="CX4" s="321" t="s">
        <v>77</v>
      </c>
      <c r="CY4" s="336" t="s">
        <v>152</v>
      </c>
      <c r="CZ4" s="336" t="s">
        <v>153</v>
      </c>
      <c r="DA4" s="339" t="s">
        <v>156</v>
      </c>
      <c r="DB4" s="342" t="s">
        <v>0</v>
      </c>
      <c r="DC4" s="317" t="s">
        <v>1</v>
      </c>
      <c r="DD4" s="318" t="s">
        <v>150</v>
      </c>
      <c r="DE4" s="318" t="s">
        <v>151</v>
      </c>
      <c r="DF4" s="318" t="s">
        <v>78</v>
      </c>
      <c r="DG4" s="321" t="s">
        <v>160</v>
      </c>
      <c r="DH4" s="318" t="s">
        <v>77</v>
      </c>
      <c r="DI4" s="336" t="s">
        <v>152</v>
      </c>
      <c r="DJ4" s="336" t="s">
        <v>153</v>
      </c>
      <c r="DK4" s="342" t="s">
        <v>0</v>
      </c>
      <c r="DL4" s="317" t="s">
        <v>1</v>
      </c>
      <c r="DM4" s="129" t="s">
        <v>37</v>
      </c>
      <c r="DN4" s="316" t="s">
        <v>76</v>
      </c>
      <c r="DO4" s="316"/>
      <c r="DP4" s="316" t="s">
        <v>92</v>
      </c>
      <c r="DQ4" s="316"/>
      <c r="DR4" s="316"/>
      <c r="DS4" s="316"/>
      <c r="DT4" s="316"/>
      <c r="DU4" s="316"/>
      <c r="DV4" s="316" t="s">
        <v>165</v>
      </c>
      <c r="DW4" s="316"/>
      <c r="DX4" s="316"/>
      <c r="DY4" s="347" t="s">
        <v>0</v>
      </c>
      <c r="DZ4" s="368" t="s">
        <v>1</v>
      </c>
      <c r="EA4" s="344" t="s">
        <v>170</v>
      </c>
      <c r="EB4" s="344"/>
      <c r="EC4" s="344"/>
      <c r="ED4" s="344" t="s">
        <v>104</v>
      </c>
      <c r="EE4" s="344"/>
      <c r="EF4" s="132" t="s">
        <v>121</v>
      </c>
      <c r="EG4" s="132" t="s">
        <v>122</v>
      </c>
      <c r="EH4" s="367" t="s">
        <v>0</v>
      </c>
      <c r="EI4" s="346" t="s">
        <v>1</v>
      </c>
      <c r="EJ4" s="361" t="s">
        <v>34</v>
      </c>
      <c r="EK4" s="361"/>
      <c r="EL4" s="361"/>
      <c r="EM4" s="361"/>
      <c r="EN4" s="361"/>
      <c r="EO4" s="361"/>
      <c r="EP4" s="361"/>
      <c r="EQ4" s="365" t="s">
        <v>0</v>
      </c>
    </row>
    <row r="5" spans="1:154" ht="17.149999999999999" customHeight="1" x14ac:dyDescent="0.35">
      <c r="A5" s="359"/>
      <c r="B5" s="357" t="s">
        <v>83</v>
      </c>
      <c r="C5" s="357" t="s">
        <v>111</v>
      </c>
      <c r="D5" s="356" t="s">
        <v>32</v>
      </c>
      <c r="E5" s="357" t="s">
        <v>83</v>
      </c>
      <c r="F5" s="357" t="s">
        <v>110</v>
      </c>
      <c r="G5" s="356" t="s">
        <v>32</v>
      </c>
      <c r="H5" s="357" t="s">
        <v>83</v>
      </c>
      <c r="I5" s="357" t="s">
        <v>109</v>
      </c>
      <c r="J5" s="360"/>
      <c r="K5" s="359"/>
      <c r="L5" s="357" t="s">
        <v>83</v>
      </c>
      <c r="M5" s="357" t="s">
        <v>116</v>
      </c>
      <c r="N5" s="357" t="s">
        <v>83</v>
      </c>
      <c r="O5" s="357" t="s">
        <v>66</v>
      </c>
      <c r="P5" s="357" t="s">
        <v>83</v>
      </c>
      <c r="Q5" s="357" t="s">
        <v>116</v>
      </c>
      <c r="R5" s="336" t="s">
        <v>121</v>
      </c>
      <c r="S5" s="336" t="s">
        <v>122</v>
      </c>
      <c r="T5" s="336" t="s">
        <v>123</v>
      </c>
      <c r="U5" s="336" t="s">
        <v>124</v>
      </c>
      <c r="V5" s="360"/>
      <c r="W5" s="346"/>
      <c r="X5" s="333" t="s">
        <v>20</v>
      </c>
      <c r="Y5" s="333"/>
      <c r="Z5" s="333" t="s">
        <v>21</v>
      </c>
      <c r="AA5" s="333"/>
      <c r="AB5" s="333" t="s">
        <v>127</v>
      </c>
      <c r="AC5" s="333"/>
      <c r="AD5" s="333" t="s">
        <v>128</v>
      </c>
      <c r="AE5" s="333"/>
      <c r="AF5" s="342"/>
      <c r="AG5" s="346"/>
      <c r="AH5" s="333" t="s">
        <v>130</v>
      </c>
      <c r="AI5" s="333"/>
      <c r="AJ5" s="333" t="s">
        <v>131</v>
      </c>
      <c r="AK5" s="333"/>
      <c r="AL5" s="333" t="s">
        <v>65</v>
      </c>
      <c r="AM5" s="333"/>
      <c r="AN5" s="333" t="s">
        <v>75</v>
      </c>
      <c r="AO5" s="333"/>
      <c r="AP5" s="342"/>
      <c r="AQ5" s="346"/>
      <c r="AR5" s="333" t="s">
        <v>133</v>
      </c>
      <c r="AS5" s="333"/>
      <c r="AT5" s="333" t="s">
        <v>134</v>
      </c>
      <c r="AU5" s="333"/>
      <c r="AV5" s="333" t="s">
        <v>95</v>
      </c>
      <c r="AW5" s="333"/>
      <c r="AX5" s="333" t="s">
        <v>96</v>
      </c>
      <c r="AY5" s="333"/>
      <c r="AZ5" s="342"/>
      <c r="BA5" s="317"/>
      <c r="BB5" s="353" t="s">
        <v>25</v>
      </c>
      <c r="BC5" s="366" t="s">
        <v>29</v>
      </c>
      <c r="BD5" s="335" t="s">
        <v>4</v>
      </c>
      <c r="BE5" s="335" t="s">
        <v>80</v>
      </c>
      <c r="BF5" s="335" t="s">
        <v>81</v>
      </c>
      <c r="BG5" s="326"/>
      <c r="BH5" s="343" t="s">
        <v>137</v>
      </c>
      <c r="BI5" s="343" t="s">
        <v>138</v>
      </c>
      <c r="BJ5" s="343" t="s">
        <v>140</v>
      </c>
      <c r="BK5" s="343" t="s">
        <v>141</v>
      </c>
      <c r="BL5" s="343" t="s">
        <v>143</v>
      </c>
      <c r="BM5" s="343" t="s">
        <v>144</v>
      </c>
      <c r="BN5" s="347"/>
      <c r="BO5" s="317"/>
      <c r="BP5" s="328" t="s">
        <v>31</v>
      </c>
      <c r="BQ5" s="354" t="s">
        <v>22</v>
      </c>
      <c r="BR5" s="326" t="s">
        <v>4</v>
      </c>
      <c r="BS5" s="326" t="s">
        <v>82</v>
      </c>
      <c r="BT5" s="326" t="s">
        <v>149</v>
      </c>
      <c r="BU5" s="328" t="s">
        <v>23</v>
      </c>
      <c r="BV5" s="327" t="s">
        <v>99</v>
      </c>
      <c r="BW5" s="327" t="s">
        <v>98</v>
      </c>
      <c r="BX5" s="355" t="s">
        <v>26</v>
      </c>
      <c r="BY5" s="355" t="s">
        <v>97</v>
      </c>
      <c r="BZ5" s="347"/>
      <c r="CA5" s="317"/>
      <c r="CB5" s="319"/>
      <c r="CC5" s="319"/>
      <c r="CD5" s="319"/>
      <c r="CE5" s="322"/>
      <c r="CF5" s="322"/>
      <c r="CG5" s="337"/>
      <c r="CH5" s="337"/>
      <c r="CI5" s="342"/>
      <c r="CJ5" s="317"/>
      <c r="CK5" s="319"/>
      <c r="CL5" s="319"/>
      <c r="CM5" s="319"/>
      <c r="CN5" s="319"/>
      <c r="CO5" s="319"/>
      <c r="CP5" s="337"/>
      <c r="CQ5" s="337"/>
      <c r="CR5" s="342"/>
      <c r="CS5" s="317"/>
      <c r="CT5" s="319"/>
      <c r="CU5" s="319"/>
      <c r="CV5" s="319"/>
      <c r="CW5" s="319"/>
      <c r="CX5" s="322"/>
      <c r="CY5" s="337"/>
      <c r="CZ5" s="337"/>
      <c r="DA5" s="340"/>
      <c r="DB5" s="342"/>
      <c r="DC5" s="317"/>
      <c r="DD5" s="319"/>
      <c r="DE5" s="319"/>
      <c r="DF5" s="319"/>
      <c r="DG5" s="322"/>
      <c r="DH5" s="319"/>
      <c r="DI5" s="337"/>
      <c r="DJ5" s="337"/>
      <c r="DK5" s="342"/>
      <c r="DL5" s="317"/>
      <c r="DM5" s="327" t="s">
        <v>4</v>
      </c>
      <c r="DN5" s="328" t="s">
        <v>161</v>
      </c>
      <c r="DO5" s="328" t="s">
        <v>162</v>
      </c>
      <c r="DP5" s="328" t="s">
        <v>85</v>
      </c>
      <c r="DQ5" s="327" t="s">
        <v>4</v>
      </c>
      <c r="DR5" s="326" t="s">
        <v>82</v>
      </c>
      <c r="DS5" s="328" t="s">
        <v>163</v>
      </c>
      <c r="DT5" s="326" t="s">
        <v>164</v>
      </c>
      <c r="DU5" s="327" t="s">
        <v>169</v>
      </c>
      <c r="DV5" s="328" t="s">
        <v>172</v>
      </c>
      <c r="DW5" s="328" t="s">
        <v>166</v>
      </c>
      <c r="DX5" s="328" t="s">
        <v>167</v>
      </c>
      <c r="DY5" s="347"/>
      <c r="DZ5" s="368"/>
      <c r="EA5" s="348" t="s">
        <v>173</v>
      </c>
      <c r="EB5" s="348" t="s">
        <v>174</v>
      </c>
      <c r="EC5" s="348" t="s">
        <v>171</v>
      </c>
      <c r="ED5" s="327" t="s">
        <v>86</v>
      </c>
      <c r="EE5" s="327"/>
      <c r="EF5" s="327" t="s">
        <v>84</v>
      </c>
      <c r="EG5" s="327" t="s">
        <v>84</v>
      </c>
      <c r="EH5" s="367"/>
      <c r="EI5" s="346"/>
      <c r="EJ5" s="361"/>
      <c r="EK5" s="361"/>
      <c r="EL5" s="361"/>
      <c r="EM5" s="361"/>
      <c r="EN5" s="361"/>
      <c r="EO5" s="361"/>
      <c r="EP5" s="361"/>
      <c r="EQ5" s="365"/>
    </row>
    <row r="6" spans="1:154" ht="17.149999999999999" customHeight="1" x14ac:dyDescent="0.35">
      <c r="A6" s="359"/>
      <c r="B6" s="357"/>
      <c r="C6" s="357"/>
      <c r="D6" s="356"/>
      <c r="E6" s="357"/>
      <c r="F6" s="357"/>
      <c r="G6" s="356"/>
      <c r="H6" s="357"/>
      <c r="I6" s="357"/>
      <c r="J6" s="360"/>
      <c r="K6" s="359"/>
      <c r="L6" s="357"/>
      <c r="M6" s="357"/>
      <c r="N6" s="357"/>
      <c r="O6" s="357"/>
      <c r="P6" s="357"/>
      <c r="Q6" s="357"/>
      <c r="R6" s="337"/>
      <c r="S6" s="337"/>
      <c r="T6" s="337"/>
      <c r="U6" s="337"/>
      <c r="V6" s="360"/>
      <c r="W6" s="346"/>
      <c r="X6" s="333" t="s">
        <v>5</v>
      </c>
      <c r="Y6" s="333" t="s">
        <v>6</v>
      </c>
      <c r="Z6" s="333" t="s">
        <v>5</v>
      </c>
      <c r="AA6" s="333" t="s">
        <v>6</v>
      </c>
      <c r="AB6" s="333" t="s">
        <v>5</v>
      </c>
      <c r="AC6" s="333" t="s">
        <v>6</v>
      </c>
      <c r="AD6" s="333" t="s">
        <v>5</v>
      </c>
      <c r="AE6" s="333" t="s">
        <v>6</v>
      </c>
      <c r="AF6" s="342"/>
      <c r="AG6" s="346"/>
      <c r="AH6" s="333" t="s">
        <v>5</v>
      </c>
      <c r="AI6" s="333" t="s">
        <v>6</v>
      </c>
      <c r="AJ6" s="333" t="s">
        <v>5</v>
      </c>
      <c r="AK6" s="333" t="s">
        <v>6</v>
      </c>
      <c r="AL6" s="333" t="s">
        <v>5</v>
      </c>
      <c r="AM6" s="333" t="s">
        <v>6</v>
      </c>
      <c r="AN6" s="333" t="s">
        <v>5</v>
      </c>
      <c r="AO6" s="333" t="s">
        <v>6</v>
      </c>
      <c r="AP6" s="342"/>
      <c r="AQ6" s="346"/>
      <c r="AR6" s="333" t="s">
        <v>5</v>
      </c>
      <c r="AS6" s="333" t="s">
        <v>6</v>
      </c>
      <c r="AT6" s="333" t="s">
        <v>5</v>
      </c>
      <c r="AU6" s="333" t="s">
        <v>6</v>
      </c>
      <c r="AV6" s="333" t="s">
        <v>5</v>
      </c>
      <c r="AW6" s="333" t="s">
        <v>6</v>
      </c>
      <c r="AX6" s="333" t="s">
        <v>5</v>
      </c>
      <c r="AY6" s="333" t="s">
        <v>6</v>
      </c>
      <c r="AZ6" s="342"/>
      <c r="BA6" s="317"/>
      <c r="BB6" s="353"/>
      <c r="BC6" s="366"/>
      <c r="BD6" s="335"/>
      <c r="BE6" s="335"/>
      <c r="BF6" s="335"/>
      <c r="BG6" s="326"/>
      <c r="BH6" s="343"/>
      <c r="BI6" s="343"/>
      <c r="BJ6" s="343"/>
      <c r="BK6" s="343"/>
      <c r="BL6" s="343"/>
      <c r="BM6" s="343"/>
      <c r="BN6" s="347"/>
      <c r="BO6" s="317"/>
      <c r="BP6" s="328"/>
      <c r="BQ6" s="354"/>
      <c r="BR6" s="326"/>
      <c r="BS6" s="326"/>
      <c r="BT6" s="326"/>
      <c r="BU6" s="328"/>
      <c r="BV6" s="327"/>
      <c r="BW6" s="327"/>
      <c r="BX6" s="355"/>
      <c r="BY6" s="355"/>
      <c r="BZ6" s="347"/>
      <c r="CA6" s="317"/>
      <c r="CB6" s="319"/>
      <c r="CC6" s="319"/>
      <c r="CD6" s="319"/>
      <c r="CE6" s="322"/>
      <c r="CF6" s="322"/>
      <c r="CG6" s="337"/>
      <c r="CH6" s="337"/>
      <c r="CI6" s="342"/>
      <c r="CJ6" s="317"/>
      <c r="CK6" s="319"/>
      <c r="CL6" s="319"/>
      <c r="CM6" s="319"/>
      <c r="CN6" s="319"/>
      <c r="CO6" s="319"/>
      <c r="CP6" s="337"/>
      <c r="CQ6" s="337"/>
      <c r="CR6" s="342"/>
      <c r="CS6" s="317"/>
      <c r="CT6" s="319"/>
      <c r="CU6" s="319"/>
      <c r="CV6" s="319"/>
      <c r="CW6" s="319"/>
      <c r="CX6" s="322"/>
      <c r="CY6" s="337"/>
      <c r="CZ6" s="337"/>
      <c r="DA6" s="340"/>
      <c r="DB6" s="342"/>
      <c r="DC6" s="317"/>
      <c r="DD6" s="319"/>
      <c r="DE6" s="319"/>
      <c r="DF6" s="319"/>
      <c r="DG6" s="322"/>
      <c r="DH6" s="319"/>
      <c r="DI6" s="337"/>
      <c r="DJ6" s="337"/>
      <c r="DK6" s="342"/>
      <c r="DL6" s="317"/>
      <c r="DM6" s="327"/>
      <c r="DN6" s="328"/>
      <c r="DO6" s="328"/>
      <c r="DP6" s="328"/>
      <c r="DQ6" s="327"/>
      <c r="DR6" s="326"/>
      <c r="DS6" s="328"/>
      <c r="DT6" s="326"/>
      <c r="DU6" s="327"/>
      <c r="DV6" s="328"/>
      <c r="DW6" s="328"/>
      <c r="DX6" s="328"/>
      <c r="DY6" s="347"/>
      <c r="DZ6" s="368"/>
      <c r="EA6" s="348"/>
      <c r="EB6" s="348"/>
      <c r="EC6" s="348"/>
      <c r="ED6" s="327" t="s">
        <v>102</v>
      </c>
      <c r="EE6" s="327" t="s">
        <v>103</v>
      </c>
      <c r="EF6" s="327"/>
      <c r="EG6" s="327"/>
      <c r="EH6" s="367"/>
      <c r="EI6" s="346"/>
      <c r="EJ6" s="361"/>
      <c r="EK6" s="361"/>
      <c r="EL6" s="361"/>
      <c r="EM6" s="361"/>
      <c r="EN6" s="361"/>
      <c r="EO6" s="361"/>
      <c r="EP6" s="361"/>
      <c r="EQ6" s="365"/>
    </row>
    <row r="7" spans="1:154" ht="17.149999999999999" customHeight="1" x14ac:dyDescent="0.35">
      <c r="A7" s="359"/>
      <c r="B7" s="357"/>
      <c r="C7" s="357"/>
      <c r="D7" s="356"/>
      <c r="E7" s="357"/>
      <c r="F7" s="357"/>
      <c r="G7" s="356"/>
      <c r="H7" s="357"/>
      <c r="I7" s="357"/>
      <c r="J7" s="360"/>
      <c r="K7" s="359"/>
      <c r="L7" s="357"/>
      <c r="M7" s="357"/>
      <c r="N7" s="357"/>
      <c r="O7" s="357"/>
      <c r="P7" s="357"/>
      <c r="Q7" s="357"/>
      <c r="R7" s="338"/>
      <c r="S7" s="338"/>
      <c r="T7" s="338"/>
      <c r="U7" s="338"/>
      <c r="V7" s="360"/>
      <c r="W7" s="346"/>
      <c r="X7" s="333"/>
      <c r="Y7" s="333"/>
      <c r="Z7" s="333"/>
      <c r="AA7" s="333"/>
      <c r="AB7" s="333"/>
      <c r="AC7" s="333"/>
      <c r="AD7" s="333"/>
      <c r="AE7" s="333"/>
      <c r="AF7" s="342"/>
      <c r="AG7" s="346"/>
      <c r="AH7" s="333"/>
      <c r="AI7" s="333"/>
      <c r="AJ7" s="333"/>
      <c r="AK7" s="333"/>
      <c r="AL7" s="333"/>
      <c r="AM7" s="333"/>
      <c r="AN7" s="333"/>
      <c r="AO7" s="333"/>
      <c r="AP7" s="342"/>
      <c r="AQ7" s="346"/>
      <c r="AR7" s="333"/>
      <c r="AS7" s="333"/>
      <c r="AT7" s="333"/>
      <c r="AU7" s="333"/>
      <c r="AV7" s="333"/>
      <c r="AW7" s="333"/>
      <c r="AX7" s="333"/>
      <c r="AY7" s="333"/>
      <c r="AZ7" s="342"/>
      <c r="BA7" s="317"/>
      <c r="BB7" s="353"/>
      <c r="BC7" s="366"/>
      <c r="BD7" s="335"/>
      <c r="BE7" s="335"/>
      <c r="BF7" s="335"/>
      <c r="BG7" s="326"/>
      <c r="BH7" s="343"/>
      <c r="BI7" s="343"/>
      <c r="BJ7" s="343"/>
      <c r="BK7" s="343"/>
      <c r="BL7" s="343"/>
      <c r="BM7" s="343"/>
      <c r="BN7" s="347"/>
      <c r="BO7" s="317"/>
      <c r="BP7" s="328"/>
      <c r="BQ7" s="354"/>
      <c r="BR7" s="326"/>
      <c r="BS7" s="326"/>
      <c r="BT7" s="326"/>
      <c r="BU7" s="328"/>
      <c r="BV7" s="327"/>
      <c r="BW7" s="327"/>
      <c r="BX7" s="355"/>
      <c r="BY7" s="355"/>
      <c r="BZ7" s="347"/>
      <c r="CA7" s="317"/>
      <c r="CB7" s="320"/>
      <c r="CC7" s="320"/>
      <c r="CD7" s="320"/>
      <c r="CE7" s="323"/>
      <c r="CF7" s="323"/>
      <c r="CG7" s="338"/>
      <c r="CH7" s="338"/>
      <c r="CI7" s="342"/>
      <c r="CJ7" s="317"/>
      <c r="CK7" s="320"/>
      <c r="CL7" s="320"/>
      <c r="CM7" s="320"/>
      <c r="CN7" s="320"/>
      <c r="CO7" s="320"/>
      <c r="CP7" s="338"/>
      <c r="CQ7" s="338"/>
      <c r="CR7" s="342"/>
      <c r="CS7" s="317"/>
      <c r="CT7" s="320"/>
      <c r="CU7" s="320"/>
      <c r="CV7" s="320"/>
      <c r="CW7" s="320"/>
      <c r="CX7" s="323"/>
      <c r="CY7" s="338"/>
      <c r="CZ7" s="338"/>
      <c r="DA7" s="341"/>
      <c r="DB7" s="342"/>
      <c r="DC7" s="317"/>
      <c r="DD7" s="320"/>
      <c r="DE7" s="320"/>
      <c r="DF7" s="320"/>
      <c r="DG7" s="323"/>
      <c r="DH7" s="320"/>
      <c r="DI7" s="338"/>
      <c r="DJ7" s="338"/>
      <c r="DK7" s="342"/>
      <c r="DL7" s="317"/>
      <c r="DM7" s="327"/>
      <c r="DN7" s="328"/>
      <c r="DO7" s="328"/>
      <c r="DP7" s="328"/>
      <c r="DQ7" s="327"/>
      <c r="DR7" s="326"/>
      <c r="DS7" s="328"/>
      <c r="DT7" s="326"/>
      <c r="DU7" s="327"/>
      <c r="DV7" s="328"/>
      <c r="DW7" s="328"/>
      <c r="DX7" s="328"/>
      <c r="DY7" s="347"/>
      <c r="DZ7" s="368"/>
      <c r="EA7" s="348"/>
      <c r="EB7" s="348"/>
      <c r="EC7" s="348"/>
      <c r="ED7" s="327"/>
      <c r="EE7" s="327"/>
      <c r="EF7" s="327"/>
      <c r="EG7" s="327"/>
      <c r="EH7" s="367"/>
      <c r="EI7" s="346"/>
      <c r="EJ7" s="361"/>
      <c r="EK7" s="361"/>
      <c r="EL7" s="361"/>
      <c r="EM7" s="361"/>
      <c r="EN7" s="361"/>
      <c r="EO7" s="361"/>
      <c r="EP7" s="361"/>
      <c r="EQ7" s="365"/>
    </row>
    <row r="8" spans="1:154" s="3" customFormat="1" ht="17.149999999999999" customHeight="1" x14ac:dyDescent="0.25">
      <c r="A8" s="56">
        <v>11</v>
      </c>
      <c r="B8" s="57">
        <v>859798</v>
      </c>
      <c r="C8" s="58">
        <f>IF(B9="","",IF(B9=B8,"",(B9-B8)))</f>
        <v>185</v>
      </c>
      <c r="D8" s="167">
        <v>9.5</v>
      </c>
      <c r="E8" s="59">
        <v>764208</v>
      </c>
      <c r="F8" s="58">
        <f>IF(E9="","",IF(E9=E8,"",(E9-E8)))</f>
        <v>147</v>
      </c>
      <c r="G8" s="168">
        <v>0.41</v>
      </c>
      <c r="H8" s="57">
        <v>728126</v>
      </c>
      <c r="I8" s="58">
        <f t="shared" ref="I8:I37" si="0">IF(H9="","",IF(H9=H8,"",(H9-H8)))</f>
        <v>128</v>
      </c>
      <c r="J8" s="60" t="s">
        <v>237</v>
      </c>
      <c r="K8" s="56">
        <v>1</v>
      </c>
      <c r="L8" s="57">
        <v>67390</v>
      </c>
      <c r="M8" s="58">
        <f>IF(L9="","",IF(L9=L8,"",(L9-L8)))</f>
        <v>40</v>
      </c>
      <c r="N8" s="59">
        <v>169848</v>
      </c>
      <c r="O8" s="58">
        <f>IF(N9="","",IF(N9=N8,"",(N9-N8)))</f>
        <v>51</v>
      </c>
      <c r="P8" s="57">
        <v>194713</v>
      </c>
      <c r="Q8" s="58" t="str">
        <f t="shared" ref="Q8:Q37" si="1">IF(P9="","",IF(P9=P8,"",(P9-P8)))</f>
        <v/>
      </c>
      <c r="R8" s="57">
        <v>651</v>
      </c>
      <c r="S8" s="57">
        <v>660</v>
      </c>
      <c r="T8" s="170">
        <v>136</v>
      </c>
      <c r="U8" s="57">
        <v>133</v>
      </c>
      <c r="V8" s="58" t="str">
        <f>IF(J8="","",J8)</f>
        <v>SA/ME</v>
      </c>
      <c r="W8" s="56">
        <v>1</v>
      </c>
      <c r="X8" s="63">
        <v>11305.65</v>
      </c>
      <c r="Y8" s="130">
        <f>IF(X9="","",IF(X9=X8,"",X9-X8))</f>
        <v>3.430000000000291</v>
      </c>
      <c r="Z8" s="63">
        <v>12074.26</v>
      </c>
      <c r="AA8" s="130">
        <f>IF(Z9="","",IF(Z9=Z8,"",Z9-Z8))</f>
        <v>1.8899999999994179</v>
      </c>
      <c r="AB8" s="63">
        <v>9557.7199999999993</v>
      </c>
      <c r="AC8" s="130">
        <f>IF(AB9="","",IF(AB9=AB8,"",AB9-AB8))</f>
        <v>2.0400000000008731</v>
      </c>
      <c r="AD8" s="63">
        <v>9655.17</v>
      </c>
      <c r="AE8" s="130">
        <f t="shared" ref="AE8:AE37" si="2">IF(AD9="","",IF(AD9=AD8,"",AD9-AD8))</f>
        <v>1.4899999999997817</v>
      </c>
      <c r="AF8" s="125" t="str">
        <f>IF(J8="","",J8)</f>
        <v>SA/ME</v>
      </c>
      <c r="AG8" s="56">
        <v>1</v>
      </c>
      <c r="AH8" s="63">
        <v>45038.49</v>
      </c>
      <c r="AI8" s="130">
        <f>IF(AH9="","",IF(AH9=AH8,"",AH9-AH8))</f>
        <v>15.830000000001746</v>
      </c>
      <c r="AJ8" s="63">
        <v>47177.24</v>
      </c>
      <c r="AK8" s="130">
        <f>IF(AJ9="","",IF(AJ9=AJ8,"",AJ9-AJ8))</f>
        <v>8.8300000000017462</v>
      </c>
      <c r="AL8" s="63">
        <v>585.23</v>
      </c>
      <c r="AM8" s="130" t="str">
        <f>IF(AL9="","",IF(AL9=AL8,"",AL9-AL8))</f>
        <v/>
      </c>
      <c r="AN8" s="63">
        <v>546.24</v>
      </c>
      <c r="AO8" s="130" t="str">
        <f t="shared" ref="AO8:AO37" si="3">IF(AN9="","",IF(AN9=AN8,"",AN9-AN8))</f>
        <v/>
      </c>
      <c r="AP8" s="125" t="str">
        <f>IF(J8="","",J8)</f>
        <v>SA/ME</v>
      </c>
      <c r="AQ8" s="56">
        <v>1</v>
      </c>
      <c r="AR8" s="63">
        <v>6506.38</v>
      </c>
      <c r="AS8" s="130" t="str">
        <f>IF(AR9="","",IF(AR9=AR8,"",AR9-AR8))</f>
        <v/>
      </c>
      <c r="AT8" s="63">
        <v>7123.46</v>
      </c>
      <c r="AU8" s="130">
        <f>IF(AT9="","",IF(AT9=AT8,"",AT9-AT8))</f>
        <v>4.0600000000004002</v>
      </c>
      <c r="AV8" s="63">
        <v>246.89</v>
      </c>
      <c r="AW8" s="130">
        <f>IF(AV9="","",IF(AV9=AV8,"",AV9-AV8))</f>
        <v>0.34000000000000341</v>
      </c>
      <c r="AX8" s="63">
        <v>235.02</v>
      </c>
      <c r="AY8" s="130" t="str">
        <f t="shared" ref="AY8:AY37" si="4">IF(AX9="","",IF(AX9=AX8,"",AX9-AX8))</f>
        <v/>
      </c>
      <c r="AZ8" s="125" t="str">
        <f>IF(J8="","",J8)</f>
        <v>SA/ME</v>
      </c>
      <c r="BA8" s="56">
        <v>1</v>
      </c>
      <c r="BB8" s="64"/>
      <c r="BC8" s="62"/>
      <c r="BD8" s="61"/>
      <c r="BE8" s="61"/>
      <c r="BF8" s="61"/>
      <c r="BG8" s="61"/>
      <c r="BH8" s="64"/>
      <c r="BI8" s="64"/>
      <c r="BJ8" s="64"/>
      <c r="BK8" s="64"/>
      <c r="BL8" s="64"/>
      <c r="BM8" s="64"/>
      <c r="BN8" s="65" t="str">
        <f>IF(J8="","",J8)</f>
        <v>SA/ME</v>
      </c>
      <c r="BO8" s="56">
        <v>1</v>
      </c>
      <c r="BP8" s="64">
        <v>7.9000000000000001E-2</v>
      </c>
      <c r="BQ8" s="62">
        <v>0</v>
      </c>
      <c r="BR8" s="61">
        <v>7.3</v>
      </c>
      <c r="BS8" s="61">
        <v>7.5</v>
      </c>
      <c r="BT8" s="61">
        <v>16.7</v>
      </c>
      <c r="BU8" s="64">
        <v>2.7E-2</v>
      </c>
      <c r="BV8" s="63">
        <v>1.08</v>
      </c>
      <c r="BW8" s="63">
        <v>0.98</v>
      </c>
      <c r="BX8" s="66" t="s">
        <v>238</v>
      </c>
      <c r="BY8" s="172" t="s">
        <v>239</v>
      </c>
      <c r="BZ8" s="67" t="str">
        <f>IF(J8="","",J8)</f>
        <v>SA/ME</v>
      </c>
      <c r="CA8" s="56">
        <v>1</v>
      </c>
      <c r="CB8" s="61">
        <v>84.2</v>
      </c>
      <c r="CC8" s="61"/>
      <c r="CD8" s="68">
        <f>IF(CB9="","",IF(CC8="",IF(CB8=CB9,"",(CB8-CB9)),IF(CC8=CB9,"",(CC8-CB9))))</f>
        <v>1.5</v>
      </c>
      <c r="CE8" s="69">
        <f>IF(CD8="","",(CD8*(0.785*77*77)/1000))</f>
        <v>6.9813975000000008</v>
      </c>
      <c r="CF8" s="69">
        <f>IF(CE8="","",(CE8*0.12*1000)/I8)</f>
        <v>6.5450601562500008</v>
      </c>
      <c r="CG8" s="62">
        <v>125</v>
      </c>
      <c r="CH8" s="62">
        <v>100</v>
      </c>
      <c r="CI8" s="65" t="str">
        <f>IF(J8="","",J8)</f>
        <v>SA/ME</v>
      </c>
      <c r="CJ8" s="56">
        <v>1</v>
      </c>
      <c r="CK8" s="61">
        <v>88.3</v>
      </c>
      <c r="CL8" s="61"/>
      <c r="CM8" s="68">
        <f>IF(CK9="","",IF(CL8="",IF(CK8=CK9,"",(CK8-CK9)),IF(CL8=CK9,"",(CL8-CK9))))</f>
        <v>2.0999999999999943</v>
      </c>
      <c r="CN8" s="68">
        <f>IF(CM8="","",(CM8*(0.785*77*77)/1000))</f>
        <v>9.773956499999974</v>
      </c>
      <c r="CO8" s="68">
        <f>IF(CN8="","",(CN8*0.33*1.205*1000)/C8)</f>
        <v>21.008723255270219</v>
      </c>
      <c r="CP8" s="62">
        <v>54</v>
      </c>
      <c r="CQ8" s="62">
        <v>83</v>
      </c>
      <c r="CR8" s="65" t="str">
        <f>IF(J8="","",J8)</f>
        <v>SA/ME</v>
      </c>
      <c r="CS8" s="56">
        <v>1</v>
      </c>
      <c r="CT8" s="61">
        <v>96.6</v>
      </c>
      <c r="CU8" s="61"/>
      <c r="CV8" s="68">
        <f>IF(CT9="","",IF(CU8="",IF(CT8=CT9,"",(CT8-CT9)),IF(CU8=CT9,"",(CU8-CT9))))</f>
        <v>1.5999999999999943</v>
      </c>
      <c r="CW8" s="68">
        <f>IF(CV8="","",(CV8*(0.785*92*92)/1000))</f>
        <v>10.630783999999961</v>
      </c>
      <c r="CX8" s="69">
        <f>IF(CW8="","",(CW8)/C8)</f>
        <v>5.7463697297297084E-2</v>
      </c>
      <c r="CY8" s="66" t="s">
        <v>240</v>
      </c>
      <c r="CZ8" s="66" t="s">
        <v>241</v>
      </c>
      <c r="DA8" s="66"/>
      <c r="DB8" s="65" t="str">
        <f>IF(J8="","",J8)</f>
        <v>SA/ME</v>
      </c>
      <c r="DC8" s="56">
        <v>1</v>
      </c>
      <c r="DD8" s="61">
        <v>88.2</v>
      </c>
      <c r="DE8" s="61">
        <v>105.7</v>
      </c>
      <c r="DF8" s="68">
        <f>IF(DD9="","",IF(DE8="",IF(DD8=DD9,"",(DD8-DD9)),IF(DE8=DD9,"",(DE8-DD9))))</f>
        <v>16.900000000000006</v>
      </c>
      <c r="DG8" s="69">
        <f>IF(DF8="","",(DF8*(0.785*92*92)*0.00812/1000))</f>
        <v>0.91177576672000027</v>
      </c>
      <c r="DH8" s="68">
        <f>IF(DG8="","",(DG8*1000)/C8)</f>
        <v>4.9285176579459478</v>
      </c>
      <c r="DI8" s="62">
        <v>90</v>
      </c>
      <c r="DJ8" s="62">
        <v>54</v>
      </c>
      <c r="DK8" s="65" t="str">
        <f>IF(J8="","",J8)</f>
        <v>SA/ME</v>
      </c>
      <c r="DL8" s="56">
        <v>1</v>
      </c>
      <c r="DM8" s="63">
        <v>8.5</v>
      </c>
      <c r="DN8" s="64">
        <v>2.1000000000000001E-2</v>
      </c>
      <c r="DO8" s="64">
        <v>2.5000000000000001E-2</v>
      </c>
      <c r="DP8" s="64">
        <v>5.1999999999999998E-2</v>
      </c>
      <c r="DQ8" s="63">
        <v>6.83</v>
      </c>
      <c r="DR8" s="61">
        <v>7.5</v>
      </c>
      <c r="DS8" s="64">
        <v>1.0680000000000001</v>
      </c>
      <c r="DT8" s="61">
        <v>85</v>
      </c>
      <c r="DU8" s="63">
        <v>4.25</v>
      </c>
      <c r="DV8" s="64">
        <v>1.101</v>
      </c>
      <c r="DW8" s="64">
        <v>0.46</v>
      </c>
      <c r="DX8" s="66" t="s">
        <v>242</v>
      </c>
      <c r="DY8" s="65" t="str">
        <f>IF(J8="","",J8)</f>
        <v>SA/ME</v>
      </c>
      <c r="DZ8" s="128">
        <v>1</v>
      </c>
      <c r="EA8" s="173">
        <f>IF(C8="","",C8/1496)</f>
        <v>0.12366310160427807</v>
      </c>
      <c r="EB8" s="173">
        <f>IF(F8="","",IF(Q8="",F8/1360,(F8+Q8)/1360))</f>
        <v>0.10808823529411765</v>
      </c>
      <c r="EC8" s="173">
        <f>IF(I8="","",IF(C8="","",I8/C8))</f>
        <v>0.69189189189189193</v>
      </c>
      <c r="ED8" s="63">
        <v>0.03</v>
      </c>
      <c r="EE8" s="63">
        <v>0.09</v>
      </c>
      <c r="EF8" s="63">
        <v>1.06</v>
      </c>
      <c r="EG8" s="63">
        <v>1.1000000000000001</v>
      </c>
      <c r="EH8" s="127" t="str">
        <f t="shared" ref="EH8:EH38" si="5">IF(J8="","",J8)</f>
        <v>SA/ME</v>
      </c>
      <c r="EI8" s="56">
        <v>1</v>
      </c>
      <c r="EJ8" s="334"/>
      <c r="EK8" s="334"/>
      <c r="EL8" s="334"/>
      <c r="EM8" s="334"/>
      <c r="EN8" s="334"/>
      <c r="EO8" s="334"/>
      <c r="EP8" s="334"/>
      <c r="EQ8" s="65" t="str">
        <f>IF(J8="","",J8)</f>
        <v>SA/ME</v>
      </c>
      <c r="ER8" s="20"/>
      <c r="ES8" s="20"/>
      <c r="ET8" s="20"/>
      <c r="EU8" s="20"/>
      <c r="EV8" s="20"/>
      <c r="EW8" s="20"/>
      <c r="EX8" s="20"/>
    </row>
    <row r="9" spans="1:154" s="3" customFormat="1" ht="17.149999999999999" customHeight="1" x14ac:dyDescent="0.25">
      <c r="A9" s="56">
        <v>2</v>
      </c>
      <c r="B9" s="57">
        <v>859983</v>
      </c>
      <c r="C9" s="58">
        <f t="shared" ref="C9:C37" si="6">IF(B10="","",IF(B10=B9,"",(B10-B9)))</f>
        <v>143</v>
      </c>
      <c r="D9" s="167">
        <v>8.9600000000000009</v>
      </c>
      <c r="E9" s="57">
        <v>764355</v>
      </c>
      <c r="F9" s="58">
        <f t="shared" ref="F9:F37" si="7">IF(E10="","",IF(E10=E9,"",(E10-E9)))</f>
        <v>145</v>
      </c>
      <c r="G9" s="168">
        <v>1.24</v>
      </c>
      <c r="H9" s="57">
        <v>728254</v>
      </c>
      <c r="I9" s="58">
        <f t="shared" si="0"/>
        <v>123</v>
      </c>
      <c r="J9" s="60" t="s">
        <v>237</v>
      </c>
      <c r="K9" s="56">
        <v>2</v>
      </c>
      <c r="L9" s="57">
        <v>67430</v>
      </c>
      <c r="M9" s="58" t="str">
        <f t="shared" ref="M9:M37" si="8">IF(L10="","",IF(L10=L9,"",(L10-L9)))</f>
        <v/>
      </c>
      <c r="N9" s="57">
        <v>169899</v>
      </c>
      <c r="O9" s="58">
        <f t="shared" ref="O9:O37" si="9">IF(N10="","",IF(N10=N9,"",(N10-N9)))</f>
        <v>47</v>
      </c>
      <c r="P9" s="57">
        <v>194713</v>
      </c>
      <c r="Q9" s="58" t="str">
        <f t="shared" si="1"/>
        <v/>
      </c>
      <c r="R9" s="57">
        <v>652</v>
      </c>
      <c r="S9" s="57">
        <v>660</v>
      </c>
      <c r="T9" s="170">
        <v>136</v>
      </c>
      <c r="U9" s="57">
        <v>133</v>
      </c>
      <c r="V9" s="58" t="str">
        <f t="shared" ref="V9:V38" si="10">IF(J9="","",J9)</f>
        <v>SA/ME</v>
      </c>
      <c r="W9" s="56">
        <v>2</v>
      </c>
      <c r="X9" s="63">
        <v>11309.08</v>
      </c>
      <c r="Y9" s="130">
        <f t="shared" ref="Y9:Y37" si="11">IF(X10="","",IF(X10=X9,"",X10-X9))</f>
        <v>2.2100000000009459</v>
      </c>
      <c r="Z9" s="63">
        <v>12076.15</v>
      </c>
      <c r="AA9" s="130">
        <f t="shared" ref="AA9:AA37" si="12">IF(Z10="","",IF(Z10=Z9,"",Z10-Z9))</f>
        <v>2.0100000000002183</v>
      </c>
      <c r="AB9" s="63">
        <v>9559.76</v>
      </c>
      <c r="AC9" s="130">
        <f t="shared" ref="AC9:AC37" si="13">IF(AB10="","",IF(AB10=AB9,"",AB10-AB9))</f>
        <v>1.7600000000002183</v>
      </c>
      <c r="AD9" s="63">
        <v>9656.66</v>
      </c>
      <c r="AE9" s="130">
        <f t="shared" si="2"/>
        <v>1.5</v>
      </c>
      <c r="AF9" s="125" t="str">
        <f t="shared" ref="AF9:AF38" si="14">IF(J9="","",J9)</f>
        <v>SA/ME</v>
      </c>
      <c r="AG9" s="56">
        <v>2</v>
      </c>
      <c r="AH9" s="63">
        <v>45054.32</v>
      </c>
      <c r="AI9" s="130">
        <f t="shared" ref="AI9:AI37" si="15">IF(AH10="","",IF(AH10=AH9,"",AH10-AH9))</f>
        <v>8.1699999999982538</v>
      </c>
      <c r="AJ9" s="63">
        <v>47186.07</v>
      </c>
      <c r="AK9" s="130">
        <f t="shared" ref="AK9:AK37" si="16">IF(AJ10="","",IF(AJ10=AJ9,"",AJ10-AJ9))</f>
        <v>15.400000000001455</v>
      </c>
      <c r="AL9" s="63">
        <v>585.23</v>
      </c>
      <c r="AM9" s="130" t="str">
        <f t="shared" ref="AM9:AM37" si="17">IF(AL10="","",IF(AL10=AL9,"",AL10-AL9))</f>
        <v/>
      </c>
      <c r="AN9" s="63">
        <v>546.24</v>
      </c>
      <c r="AO9" s="130" t="str">
        <f t="shared" si="3"/>
        <v/>
      </c>
      <c r="AP9" s="125" t="str">
        <f t="shared" ref="AP9:AP38" si="18">IF(J9="","",J9)</f>
        <v>SA/ME</v>
      </c>
      <c r="AQ9" s="56">
        <v>2</v>
      </c>
      <c r="AR9" s="63">
        <v>6506.38</v>
      </c>
      <c r="AS9" s="130" t="str">
        <f t="shared" ref="AS9:AS37" si="19">IF(AR10="","",IF(AR10=AR9,"",AR10-AR9))</f>
        <v/>
      </c>
      <c r="AT9" s="63">
        <v>7127.52</v>
      </c>
      <c r="AU9" s="130">
        <f t="shared" ref="AU9:AU37" si="20">IF(AT10="","",IF(AT10=AT9,"",AT10-AT9))</f>
        <v>4.2899999999999636</v>
      </c>
      <c r="AV9" s="63">
        <v>247.23</v>
      </c>
      <c r="AW9" s="279" t="str">
        <f t="shared" ref="AW9:AW14" si="21">IF(AV10="","",IF(AV10=AV9,"",AV10-AV9))</f>
        <v/>
      </c>
      <c r="AX9" s="63">
        <v>235.02</v>
      </c>
      <c r="AY9" s="130" t="str">
        <f t="shared" si="4"/>
        <v/>
      </c>
      <c r="AZ9" s="125" t="str">
        <f t="shared" ref="AZ9:AZ38" si="22">IF(J9="","",J9)</f>
        <v>SA/ME</v>
      </c>
      <c r="BA9" s="56">
        <v>2</v>
      </c>
      <c r="BB9" s="64">
        <v>0.78800000000000003</v>
      </c>
      <c r="BC9" s="62">
        <v>41</v>
      </c>
      <c r="BD9" s="61">
        <v>7.4</v>
      </c>
      <c r="BE9" s="61">
        <v>2.6</v>
      </c>
      <c r="BF9" s="61">
        <v>16</v>
      </c>
      <c r="BG9" s="61">
        <v>7.4</v>
      </c>
      <c r="BH9" s="260">
        <v>0.38100000000000001</v>
      </c>
      <c r="BI9" s="64">
        <v>0.38400000000000001</v>
      </c>
      <c r="BJ9" s="64">
        <v>6.0999999999999999E-2</v>
      </c>
      <c r="BK9" s="64">
        <v>5.3999999999999999E-2</v>
      </c>
      <c r="BL9" s="64">
        <v>6.7000000000000004E-2</v>
      </c>
      <c r="BM9" s="64">
        <v>6.7000000000000004E-2</v>
      </c>
      <c r="BN9" s="65" t="str">
        <f t="shared" ref="BN9:BN38" si="23">IF(J9="","",J9)</f>
        <v>SA/ME</v>
      </c>
      <c r="BO9" s="56">
        <v>2</v>
      </c>
      <c r="BP9" s="64">
        <v>0.08</v>
      </c>
      <c r="BQ9" s="62">
        <v>0</v>
      </c>
      <c r="BR9" s="61">
        <v>7.3</v>
      </c>
      <c r="BS9" s="61">
        <v>7.4</v>
      </c>
      <c r="BT9" s="61">
        <v>14.7</v>
      </c>
      <c r="BU9" s="64">
        <v>8.0000000000000002E-3</v>
      </c>
      <c r="BV9" s="63">
        <v>1.1599999999999999</v>
      </c>
      <c r="BW9" s="63">
        <v>0.99</v>
      </c>
      <c r="BX9" s="66" t="s">
        <v>243</v>
      </c>
      <c r="BY9" s="172" t="s">
        <v>239</v>
      </c>
      <c r="BZ9" s="67" t="str">
        <f t="shared" ref="BZ9:BZ38" si="24">IF(J9="","",J9)</f>
        <v>SA/ME</v>
      </c>
      <c r="CA9" s="56">
        <v>2</v>
      </c>
      <c r="CB9" s="61">
        <v>82.7</v>
      </c>
      <c r="CC9" s="61"/>
      <c r="CD9" s="68">
        <f t="shared" ref="CD9:CD37" si="25">IF(CB10="","",IF(CC9="",IF(CB9=CB10,"",(CB9-CB10)),IF(CC9=CB10,"",(CC9-CB10))))</f>
        <v>1.1000000000000085</v>
      </c>
      <c r="CE9" s="69">
        <f t="shared" ref="CE9:CE38" si="26">IF(CD9="","",(CD9*(0.785*77*77)/1000))</f>
        <v>5.11969150000004</v>
      </c>
      <c r="CF9" s="69">
        <f t="shared" ref="CF9:CF38" si="27">IF(CE9="","",(CE9*0.12*1000)/I9)</f>
        <v>4.9948209756097945</v>
      </c>
      <c r="CG9" s="62">
        <v>125</v>
      </c>
      <c r="CH9" s="62">
        <v>100</v>
      </c>
      <c r="CI9" s="65" t="str">
        <f t="shared" ref="CI9:CI38" si="28">IF(J9="","",J9)</f>
        <v>SA/ME</v>
      </c>
      <c r="CJ9" s="56">
        <v>2</v>
      </c>
      <c r="CK9" s="61">
        <v>86.2</v>
      </c>
      <c r="CL9" s="61"/>
      <c r="CM9" s="68">
        <f t="shared" ref="CM9:CM37" si="29">IF(CK10="","",IF(CL9="",IF(CK9=CK10,"",(CK9-CK10)),IF(CL9=CK10,"",(CL9-CK10))))</f>
        <v>1.6000000000000085</v>
      </c>
      <c r="CN9" s="68">
        <f t="shared" ref="CN9:CN38" si="30">IF(CM9="","",(CM9*(0.785*77*77)/1000))</f>
        <v>7.4468240000000403</v>
      </c>
      <c r="CO9" s="68">
        <f t="shared" ref="CO9:CO38" si="31">IF(CN9="","",(CN9*0.33*1.205*1000)/C9)</f>
        <v>20.707899046153958</v>
      </c>
      <c r="CP9" s="62">
        <v>54</v>
      </c>
      <c r="CQ9" s="62">
        <v>83</v>
      </c>
      <c r="CR9" s="65" t="str">
        <f t="shared" ref="CR9:CR38" si="32">IF(J9="","",J9)</f>
        <v>SA/ME</v>
      </c>
      <c r="CS9" s="56">
        <v>2</v>
      </c>
      <c r="CT9" s="61">
        <v>95</v>
      </c>
      <c r="CU9" s="61"/>
      <c r="CV9" s="68">
        <f t="shared" ref="CV9:CV37" si="33">IF(CT10="","",IF(CU9="",IF(CT9=CT10,"",(CT9-CT10)),IF(CU9=CT10,"",(CU9-CT10))))</f>
        <v>3.5</v>
      </c>
      <c r="CW9" s="68">
        <f t="shared" ref="CW9:CW38" si="34">IF(CV9="","",(CV9*(0.785*92*92)/1000))</f>
        <v>23.254840000000002</v>
      </c>
      <c r="CX9" s="69">
        <f t="shared" ref="CX9:CX38" si="35">IF(CW9="","",(CW9)/C9)</f>
        <v>0.16262125874125874</v>
      </c>
      <c r="CY9" s="66" t="s">
        <v>240</v>
      </c>
      <c r="CZ9" s="66" t="s">
        <v>241</v>
      </c>
      <c r="DA9" s="66"/>
      <c r="DB9" s="65" t="str">
        <f t="shared" ref="DB9:DB38" si="36">IF(J9="","",J9)</f>
        <v>SA/ME</v>
      </c>
      <c r="DC9" s="56">
        <v>2</v>
      </c>
      <c r="DD9" s="61">
        <v>88.8</v>
      </c>
      <c r="DE9" s="61">
        <v>103.2</v>
      </c>
      <c r="DF9" s="68">
        <f t="shared" ref="DF9:DF37" si="37">IF(DD10="","",IF(DE9="",IF(DD9=DD10,"",(DD9-DD10)),IF(DE9=DD10,"",(DE9-DD10))))</f>
        <v>9.2999999999999972</v>
      </c>
      <c r="DG9" s="69">
        <f t="shared" ref="DG9:DG38" si="38">IF(DF9="","",(DF9*(0.785*92*92)*0.00812/1000))</f>
        <v>0.5017464278399999</v>
      </c>
      <c r="DH9" s="68">
        <f t="shared" ref="DH9:DH38" si="39">IF(DG9="","",(DG9*1000)/C9)</f>
        <v>3.5087162786013981</v>
      </c>
      <c r="DI9" s="62">
        <v>90</v>
      </c>
      <c r="DJ9" s="62">
        <v>54</v>
      </c>
      <c r="DK9" s="65" t="str">
        <f t="shared" ref="DK9:DK38" si="40">IF(J9="","",J9)</f>
        <v>SA/ME</v>
      </c>
      <c r="DL9" s="56">
        <v>2</v>
      </c>
      <c r="DM9" s="63">
        <v>8.5299999999999994</v>
      </c>
      <c r="DN9" s="64">
        <v>8.9999999999999993E-3</v>
      </c>
      <c r="DO9" s="64">
        <v>2.1000000000000001E-2</v>
      </c>
      <c r="DP9" s="64">
        <v>5.1999999999999998E-2</v>
      </c>
      <c r="DQ9" s="63">
        <v>6.84</v>
      </c>
      <c r="DR9" s="61">
        <v>7.4</v>
      </c>
      <c r="DS9" s="64">
        <v>1.1259999999999999</v>
      </c>
      <c r="DT9" s="61">
        <v>86.6</v>
      </c>
      <c r="DU9" s="63">
        <v>4.28</v>
      </c>
      <c r="DV9" s="64">
        <v>1.746</v>
      </c>
      <c r="DW9" s="64">
        <v>0.89100000000000001</v>
      </c>
      <c r="DX9" s="66" t="s">
        <v>242</v>
      </c>
      <c r="DY9" s="65" t="str">
        <f t="shared" ref="DY9:DY38" si="41">IF(J9="","",J9)</f>
        <v>SA/ME</v>
      </c>
      <c r="DZ9" s="128">
        <v>2</v>
      </c>
      <c r="EA9" s="173">
        <f t="shared" ref="EA9:EA38" si="42">IF(C9="","",C9/1496)</f>
        <v>9.5588235294117641E-2</v>
      </c>
      <c r="EB9" s="173">
        <f t="shared" ref="EB9:EB38" si="43">IF(F9="","",IF(Q9="",F9/1360,(F9+Q9)/1360))</f>
        <v>0.10661764705882353</v>
      </c>
      <c r="EC9" s="173">
        <f t="shared" ref="EC9:EC38" si="44">IF(I9="","",IF(C9="","",I9/C9))</f>
        <v>0.8601398601398601</v>
      </c>
      <c r="ED9" s="63">
        <v>0.03</v>
      </c>
      <c r="EE9" s="63">
        <v>0.04</v>
      </c>
      <c r="EF9" s="63">
        <v>1.05</v>
      </c>
      <c r="EG9" s="63">
        <v>1.1599999999999999</v>
      </c>
      <c r="EH9" s="127" t="str">
        <f t="shared" si="5"/>
        <v>SA/ME</v>
      </c>
      <c r="EI9" s="56">
        <v>2</v>
      </c>
      <c r="EJ9" s="334"/>
      <c r="EK9" s="334"/>
      <c r="EL9" s="334"/>
      <c r="EM9" s="334"/>
      <c r="EN9" s="334"/>
      <c r="EO9" s="334"/>
      <c r="EP9" s="334"/>
      <c r="EQ9" s="65" t="str">
        <f t="shared" ref="EQ9:EQ38" si="45">IF(J9="","",J9)</f>
        <v>SA/ME</v>
      </c>
      <c r="ER9" s="20"/>
      <c r="ES9" s="20"/>
      <c r="ET9" s="20"/>
      <c r="EU9" s="20"/>
      <c r="EV9" s="20"/>
      <c r="EW9" s="20"/>
      <c r="EX9" s="20"/>
    </row>
    <row r="10" spans="1:154" s="3" customFormat="1" ht="17.149999999999999" customHeight="1" x14ac:dyDescent="0.25">
      <c r="A10" s="56">
        <v>3</v>
      </c>
      <c r="B10" s="57">
        <v>860126</v>
      </c>
      <c r="C10" s="58">
        <f t="shared" si="6"/>
        <v>106</v>
      </c>
      <c r="D10" s="167">
        <v>8.9499999999999993</v>
      </c>
      <c r="E10" s="57">
        <v>764500</v>
      </c>
      <c r="F10" s="58">
        <f t="shared" si="7"/>
        <v>133</v>
      </c>
      <c r="G10" s="168">
        <v>0.79</v>
      </c>
      <c r="H10" s="57">
        <v>728377</v>
      </c>
      <c r="I10" s="58">
        <f t="shared" si="0"/>
        <v>81</v>
      </c>
      <c r="J10" s="60" t="s">
        <v>237</v>
      </c>
      <c r="K10" s="56">
        <v>3</v>
      </c>
      <c r="L10" s="57">
        <v>67430</v>
      </c>
      <c r="M10" s="58" t="str">
        <f t="shared" si="8"/>
        <v/>
      </c>
      <c r="N10" s="57">
        <v>169946</v>
      </c>
      <c r="O10" s="58">
        <f t="shared" si="9"/>
        <v>35</v>
      </c>
      <c r="P10" s="57">
        <v>194713</v>
      </c>
      <c r="Q10" s="58" t="str">
        <f t="shared" si="1"/>
        <v/>
      </c>
      <c r="R10" s="57">
        <v>652</v>
      </c>
      <c r="S10" s="57">
        <v>660</v>
      </c>
      <c r="T10" s="170">
        <v>136</v>
      </c>
      <c r="U10" s="57">
        <v>133</v>
      </c>
      <c r="V10" s="58" t="str">
        <f t="shared" si="10"/>
        <v>SA/ME</v>
      </c>
      <c r="W10" s="56">
        <v>3</v>
      </c>
      <c r="X10" s="63">
        <v>11311.29</v>
      </c>
      <c r="Y10" s="130">
        <f t="shared" si="11"/>
        <v>1.3999999999996362</v>
      </c>
      <c r="Z10" s="63">
        <v>12078.16</v>
      </c>
      <c r="AA10" s="130">
        <f t="shared" si="12"/>
        <v>1.9200000000000728</v>
      </c>
      <c r="AB10" s="63">
        <v>9561.52</v>
      </c>
      <c r="AC10" s="130">
        <f t="shared" si="13"/>
        <v>0.6000000000003638</v>
      </c>
      <c r="AD10" s="63">
        <v>9658.16</v>
      </c>
      <c r="AE10" s="130">
        <f t="shared" si="2"/>
        <v>1.4799999999995634</v>
      </c>
      <c r="AF10" s="125" t="str">
        <f t="shared" si="14"/>
        <v>SA/ME</v>
      </c>
      <c r="AG10" s="56">
        <v>3</v>
      </c>
      <c r="AH10" s="63">
        <v>45062.49</v>
      </c>
      <c r="AI10" s="130">
        <f t="shared" si="15"/>
        <v>15.690000000002328</v>
      </c>
      <c r="AJ10" s="63">
        <v>47201.47</v>
      </c>
      <c r="AK10" s="130">
        <f t="shared" si="16"/>
        <v>8.5999999999985448</v>
      </c>
      <c r="AL10" s="63">
        <v>585.23</v>
      </c>
      <c r="AM10" s="130" t="str">
        <f t="shared" si="17"/>
        <v/>
      </c>
      <c r="AN10" s="63">
        <v>546.24</v>
      </c>
      <c r="AO10" s="130" t="str">
        <f t="shared" si="3"/>
        <v/>
      </c>
      <c r="AP10" s="125" t="str">
        <f t="shared" si="18"/>
        <v>SA/ME</v>
      </c>
      <c r="AQ10" s="56">
        <v>3</v>
      </c>
      <c r="AR10" s="63">
        <v>6506.38</v>
      </c>
      <c r="AS10" s="130" t="str">
        <f t="shared" si="19"/>
        <v/>
      </c>
      <c r="AT10" s="63">
        <v>7131.81</v>
      </c>
      <c r="AU10" s="130">
        <f t="shared" si="20"/>
        <v>4.0499999999992724</v>
      </c>
      <c r="AV10" s="63">
        <v>247.23</v>
      </c>
      <c r="AW10" s="279" t="str">
        <f t="shared" si="21"/>
        <v/>
      </c>
      <c r="AX10" s="63">
        <v>235.02</v>
      </c>
      <c r="AY10" s="130" t="str">
        <f t="shared" si="4"/>
        <v/>
      </c>
      <c r="AZ10" s="125" t="str">
        <f t="shared" si="22"/>
        <v>SA/ME</v>
      </c>
      <c r="BA10" s="56">
        <v>3</v>
      </c>
      <c r="BB10" s="64">
        <v>0.75700000000000001</v>
      </c>
      <c r="BC10" s="62">
        <v>13</v>
      </c>
      <c r="BD10" s="61">
        <v>7.3</v>
      </c>
      <c r="BE10" s="61">
        <v>2.6</v>
      </c>
      <c r="BF10" s="61">
        <v>16.8</v>
      </c>
      <c r="BG10" s="61">
        <v>7.3</v>
      </c>
      <c r="BH10" s="64">
        <v>0.41399999999999998</v>
      </c>
      <c r="BI10" s="64">
        <v>0.41099999999999998</v>
      </c>
      <c r="BJ10" s="64">
        <v>4.8000000000000001E-2</v>
      </c>
      <c r="BK10" s="64">
        <v>4.8000000000000001E-2</v>
      </c>
      <c r="BL10" s="64">
        <v>5.3999999999999999E-2</v>
      </c>
      <c r="BM10" s="64">
        <v>6.3E-2</v>
      </c>
      <c r="BN10" s="65" t="str">
        <f t="shared" si="23"/>
        <v>SA/ME</v>
      </c>
      <c r="BO10" s="56">
        <v>3</v>
      </c>
      <c r="BP10" s="64">
        <v>7.5999999999999998E-2</v>
      </c>
      <c r="BQ10" s="62">
        <v>0</v>
      </c>
      <c r="BR10" s="61">
        <v>7.3</v>
      </c>
      <c r="BS10" s="61">
        <v>7.3</v>
      </c>
      <c r="BT10" s="61">
        <v>16.899999999999999</v>
      </c>
      <c r="BU10" s="64">
        <v>8.9999999999999993E-3</v>
      </c>
      <c r="BV10" s="63">
        <v>1.23</v>
      </c>
      <c r="BW10" s="63">
        <v>1.01</v>
      </c>
      <c r="BX10" s="66" t="s">
        <v>244</v>
      </c>
      <c r="BY10" s="172" t="s">
        <v>239</v>
      </c>
      <c r="BZ10" s="67" t="str">
        <f t="shared" si="24"/>
        <v>SA/ME</v>
      </c>
      <c r="CA10" s="56">
        <v>3</v>
      </c>
      <c r="CB10" s="61">
        <v>81.599999999999994</v>
      </c>
      <c r="CC10" s="61"/>
      <c r="CD10" s="68">
        <f t="shared" si="25"/>
        <v>1.0999999999999943</v>
      </c>
      <c r="CE10" s="69">
        <f t="shared" si="26"/>
        <v>5.1196914999999734</v>
      </c>
      <c r="CF10" s="69">
        <f t="shared" si="27"/>
        <v>7.584728148148109</v>
      </c>
      <c r="CG10" s="62">
        <v>125</v>
      </c>
      <c r="CH10" s="62">
        <v>100</v>
      </c>
      <c r="CI10" s="65" t="str">
        <f t="shared" si="28"/>
        <v>SA/ME</v>
      </c>
      <c r="CJ10" s="56">
        <v>3</v>
      </c>
      <c r="CK10" s="61">
        <v>84.6</v>
      </c>
      <c r="CL10" s="61"/>
      <c r="CM10" s="68">
        <f t="shared" si="29"/>
        <v>1.5</v>
      </c>
      <c r="CN10" s="68">
        <f t="shared" si="30"/>
        <v>6.9813975000000008</v>
      </c>
      <c r="CO10" s="68">
        <f t="shared" si="31"/>
        <v>26.19011996108491</v>
      </c>
      <c r="CP10" s="62">
        <v>54</v>
      </c>
      <c r="CQ10" s="62">
        <v>83</v>
      </c>
      <c r="CR10" s="65" t="str">
        <f t="shared" si="32"/>
        <v>SA/ME</v>
      </c>
      <c r="CS10" s="56">
        <v>3</v>
      </c>
      <c r="CT10" s="61">
        <v>91.5</v>
      </c>
      <c r="CU10" s="61"/>
      <c r="CV10" s="68">
        <f t="shared" si="33"/>
        <v>1.2000000000000028</v>
      </c>
      <c r="CW10" s="68">
        <f t="shared" si="34"/>
        <v>7.9730880000000193</v>
      </c>
      <c r="CX10" s="69">
        <f t="shared" si="35"/>
        <v>7.5217811320754904E-2</v>
      </c>
      <c r="CY10" s="66" t="s">
        <v>240</v>
      </c>
      <c r="CZ10" s="66" t="s">
        <v>241</v>
      </c>
      <c r="DA10" s="66" t="s">
        <v>242</v>
      </c>
      <c r="DB10" s="65" t="str">
        <f t="shared" si="36"/>
        <v>SA/ME</v>
      </c>
      <c r="DC10" s="56">
        <v>3</v>
      </c>
      <c r="DD10" s="61">
        <v>93.9</v>
      </c>
      <c r="DE10" s="61">
        <v>106.1</v>
      </c>
      <c r="DF10" s="68">
        <f t="shared" si="37"/>
        <v>7.1999999999999886</v>
      </c>
      <c r="DG10" s="69">
        <f t="shared" si="38"/>
        <v>0.38844884735999946</v>
      </c>
      <c r="DH10" s="68">
        <f t="shared" si="39"/>
        <v>3.6646117675471643</v>
      </c>
      <c r="DI10" s="62">
        <v>90</v>
      </c>
      <c r="DJ10" s="62">
        <v>54</v>
      </c>
      <c r="DK10" s="65" t="str">
        <f t="shared" si="40"/>
        <v>SA/ME</v>
      </c>
      <c r="DL10" s="56">
        <v>3</v>
      </c>
      <c r="DM10" s="63">
        <v>7.9</v>
      </c>
      <c r="DN10" s="64">
        <v>0.01</v>
      </c>
      <c r="DO10" s="64">
        <v>2.5999999999999999E-2</v>
      </c>
      <c r="DP10" s="64">
        <v>5.0999999999999997E-2</v>
      </c>
      <c r="DQ10" s="63">
        <v>6.83</v>
      </c>
      <c r="DR10" s="61">
        <v>7.3</v>
      </c>
      <c r="DS10" s="64">
        <v>1.18</v>
      </c>
      <c r="DT10" s="61">
        <v>86</v>
      </c>
      <c r="DU10" s="63">
        <v>4.28</v>
      </c>
      <c r="DV10" s="64">
        <v>1.089</v>
      </c>
      <c r="DW10" s="64">
        <v>1.1100000000000001</v>
      </c>
      <c r="DX10" s="66" t="s">
        <v>242</v>
      </c>
      <c r="DY10" s="65" t="str">
        <f t="shared" si="41"/>
        <v>SA/ME</v>
      </c>
      <c r="DZ10" s="128">
        <v>3</v>
      </c>
      <c r="EA10" s="173">
        <f t="shared" si="42"/>
        <v>7.0855614973262038E-2</v>
      </c>
      <c r="EB10" s="173">
        <f t="shared" si="43"/>
        <v>9.7794117647058823E-2</v>
      </c>
      <c r="EC10" s="173">
        <f t="shared" si="44"/>
        <v>0.76415094339622647</v>
      </c>
      <c r="ED10" s="63">
        <v>1.1100000000000001</v>
      </c>
      <c r="EE10" s="63">
        <v>1.19</v>
      </c>
      <c r="EF10" s="63">
        <v>0.03</v>
      </c>
      <c r="EG10" s="63">
        <v>0.05</v>
      </c>
      <c r="EH10" s="127" t="str">
        <f t="shared" si="5"/>
        <v>SA/ME</v>
      </c>
      <c r="EI10" s="56">
        <v>3</v>
      </c>
      <c r="EJ10" s="334"/>
      <c r="EK10" s="334"/>
      <c r="EL10" s="334"/>
      <c r="EM10" s="334"/>
      <c r="EN10" s="334"/>
      <c r="EO10" s="334"/>
      <c r="EP10" s="334"/>
      <c r="EQ10" s="65" t="str">
        <f t="shared" si="45"/>
        <v>SA/ME</v>
      </c>
      <c r="ER10" s="20"/>
      <c r="ES10" s="20"/>
      <c r="ET10" s="20"/>
      <c r="EU10" s="20"/>
      <c r="EV10" s="20"/>
      <c r="EW10" s="20"/>
      <c r="EX10" s="20"/>
    </row>
    <row r="11" spans="1:154" s="3" customFormat="1" ht="17.149999999999999" customHeight="1" x14ac:dyDescent="0.25">
      <c r="A11" s="56">
        <v>4</v>
      </c>
      <c r="B11" s="57">
        <v>860232</v>
      </c>
      <c r="C11" s="58">
        <f t="shared" si="6"/>
        <v>139</v>
      </c>
      <c r="D11" s="167">
        <v>9.1300000000000008</v>
      </c>
      <c r="E11" s="57">
        <v>764633</v>
      </c>
      <c r="F11" s="58">
        <f t="shared" si="7"/>
        <v>166</v>
      </c>
      <c r="G11" s="168">
        <v>1.08</v>
      </c>
      <c r="H11" s="57">
        <v>728458</v>
      </c>
      <c r="I11" s="58">
        <f t="shared" si="0"/>
        <v>117</v>
      </c>
      <c r="J11" s="60" t="s">
        <v>194</v>
      </c>
      <c r="K11" s="56">
        <v>4</v>
      </c>
      <c r="L11" s="57">
        <v>67430</v>
      </c>
      <c r="M11" s="58" t="str">
        <f t="shared" si="8"/>
        <v/>
      </c>
      <c r="N11" s="57">
        <v>169981</v>
      </c>
      <c r="O11" s="58">
        <f t="shared" si="9"/>
        <v>29</v>
      </c>
      <c r="P11" s="57">
        <v>194713</v>
      </c>
      <c r="Q11" s="169" t="str">
        <f t="shared" si="1"/>
        <v/>
      </c>
      <c r="R11" s="57">
        <v>652</v>
      </c>
      <c r="S11" s="57">
        <v>660</v>
      </c>
      <c r="T11" s="57">
        <v>136</v>
      </c>
      <c r="U11" s="57">
        <v>133</v>
      </c>
      <c r="V11" s="58" t="str">
        <f t="shared" si="10"/>
        <v>ME</v>
      </c>
      <c r="W11" s="56">
        <v>4</v>
      </c>
      <c r="X11" s="63">
        <v>11312.69</v>
      </c>
      <c r="Y11" s="130">
        <f t="shared" si="11"/>
        <v>2.0100000000002183</v>
      </c>
      <c r="Z11" s="63">
        <v>12080.08</v>
      </c>
      <c r="AA11" s="130">
        <f t="shared" si="12"/>
        <v>2.0400000000008731</v>
      </c>
      <c r="AB11" s="63">
        <v>9562.1200000000008</v>
      </c>
      <c r="AC11" s="130">
        <f t="shared" si="13"/>
        <v>1.5399999999990541</v>
      </c>
      <c r="AD11" s="63">
        <v>9659.64</v>
      </c>
      <c r="AE11" s="130">
        <f t="shared" si="2"/>
        <v>1.5799999999999272</v>
      </c>
      <c r="AF11" s="125" t="str">
        <f t="shared" si="14"/>
        <v>ME</v>
      </c>
      <c r="AG11" s="56">
        <v>4</v>
      </c>
      <c r="AH11" s="63">
        <v>45078.18</v>
      </c>
      <c r="AI11" s="130">
        <f t="shared" si="15"/>
        <v>8.319999999999709</v>
      </c>
      <c r="AJ11" s="63">
        <v>47210.07</v>
      </c>
      <c r="AK11" s="130">
        <f t="shared" si="16"/>
        <v>13.730000000003201</v>
      </c>
      <c r="AL11" s="63">
        <v>585.23</v>
      </c>
      <c r="AM11" s="130" t="str">
        <f t="shared" si="17"/>
        <v/>
      </c>
      <c r="AN11" s="63">
        <v>546.24</v>
      </c>
      <c r="AO11" s="130" t="str">
        <f t="shared" si="3"/>
        <v/>
      </c>
      <c r="AP11" s="125" t="str">
        <f t="shared" si="18"/>
        <v>ME</v>
      </c>
      <c r="AQ11" s="56">
        <v>4</v>
      </c>
      <c r="AR11" s="63">
        <v>6506.38</v>
      </c>
      <c r="AS11" s="130">
        <f t="shared" si="19"/>
        <v>0.22000000000025466</v>
      </c>
      <c r="AT11" s="63">
        <v>7135.86</v>
      </c>
      <c r="AU11" s="130">
        <f t="shared" si="20"/>
        <v>2.9200000000000728</v>
      </c>
      <c r="AV11" s="63">
        <v>247.23</v>
      </c>
      <c r="AW11" s="279" t="str">
        <f t="shared" si="21"/>
        <v/>
      </c>
      <c r="AX11" s="63">
        <v>235.02</v>
      </c>
      <c r="AY11" s="130" t="str">
        <f t="shared" si="4"/>
        <v/>
      </c>
      <c r="AZ11" s="125" t="str">
        <f t="shared" si="22"/>
        <v>ME</v>
      </c>
      <c r="BA11" s="56">
        <v>4</v>
      </c>
      <c r="BB11" s="64">
        <v>0.78100000000000003</v>
      </c>
      <c r="BC11" s="62">
        <v>36</v>
      </c>
      <c r="BD11" s="61">
        <v>7.3</v>
      </c>
      <c r="BE11" s="61">
        <v>2.6</v>
      </c>
      <c r="BF11" s="61">
        <v>16.600000000000001</v>
      </c>
      <c r="BG11" s="61">
        <v>7.3</v>
      </c>
      <c r="BH11" s="64">
        <v>0.24</v>
      </c>
      <c r="BI11" s="64">
        <v>0.23599999999999999</v>
      </c>
      <c r="BJ11" s="64">
        <v>5.1999999999999998E-2</v>
      </c>
      <c r="BK11" s="64">
        <v>5.3999999999999999E-2</v>
      </c>
      <c r="BL11" s="64">
        <v>5.1999999999999998E-2</v>
      </c>
      <c r="BM11" s="64">
        <v>5.5E-2</v>
      </c>
      <c r="BN11" s="65" t="str">
        <f t="shared" si="23"/>
        <v>ME</v>
      </c>
      <c r="BO11" s="56">
        <v>4</v>
      </c>
      <c r="BP11" s="64">
        <v>7.4999999999999997E-2</v>
      </c>
      <c r="BQ11" s="62">
        <v>0</v>
      </c>
      <c r="BR11" s="61">
        <v>7.3</v>
      </c>
      <c r="BS11" s="61">
        <v>7.4</v>
      </c>
      <c r="BT11" s="61">
        <v>17.7</v>
      </c>
      <c r="BU11" s="64">
        <v>1.0999999999999999E-2</v>
      </c>
      <c r="BV11" s="63">
        <v>1.18</v>
      </c>
      <c r="BW11" s="63">
        <v>0.94</v>
      </c>
      <c r="BX11" s="66" t="s">
        <v>245</v>
      </c>
      <c r="BY11" s="172" t="s">
        <v>246</v>
      </c>
      <c r="BZ11" s="67" t="str">
        <f t="shared" si="24"/>
        <v>ME</v>
      </c>
      <c r="CA11" s="56">
        <v>4</v>
      </c>
      <c r="CB11" s="61">
        <v>80.5</v>
      </c>
      <c r="CC11" s="61">
        <v>90.8</v>
      </c>
      <c r="CD11" s="68">
        <f t="shared" si="25"/>
        <v>1.3999999999999915</v>
      </c>
      <c r="CE11" s="69">
        <f t="shared" si="26"/>
        <v>6.5159709999999604</v>
      </c>
      <c r="CF11" s="69">
        <f t="shared" si="27"/>
        <v>6.6830471794871382</v>
      </c>
      <c r="CG11" s="62">
        <v>128</v>
      </c>
      <c r="CH11" s="62">
        <v>100</v>
      </c>
      <c r="CI11" s="65" t="str">
        <f t="shared" si="28"/>
        <v>ME</v>
      </c>
      <c r="CJ11" s="56">
        <v>4</v>
      </c>
      <c r="CK11" s="61">
        <v>83.1</v>
      </c>
      <c r="CL11" s="61">
        <v>93.5</v>
      </c>
      <c r="CM11" s="68">
        <f t="shared" si="29"/>
        <v>1.7999999999999972</v>
      </c>
      <c r="CN11" s="68">
        <f t="shared" si="30"/>
        <v>8.3776769999999878</v>
      </c>
      <c r="CO11" s="68">
        <f t="shared" si="31"/>
        <v>23.966786036330902</v>
      </c>
      <c r="CP11" s="62">
        <v>53</v>
      </c>
      <c r="CQ11" s="62">
        <v>83</v>
      </c>
      <c r="CR11" s="65" t="str">
        <f t="shared" si="32"/>
        <v>ME</v>
      </c>
      <c r="CS11" s="56">
        <v>4</v>
      </c>
      <c r="CT11" s="61">
        <v>90.3</v>
      </c>
      <c r="CU11" s="61">
        <v>113.5</v>
      </c>
      <c r="CV11" s="68">
        <f t="shared" si="33"/>
        <v>1.2999999999999972</v>
      </c>
      <c r="CW11" s="68">
        <f t="shared" si="34"/>
        <v>8.6375119999999814</v>
      </c>
      <c r="CX11" s="69">
        <f t="shared" si="35"/>
        <v>6.2140374100719292E-2</v>
      </c>
      <c r="CY11" s="66" t="s">
        <v>240</v>
      </c>
      <c r="CZ11" s="66" t="s">
        <v>241</v>
      </c>
      <c r="DA11" s="66"/>
      <c r="DB11" s="65" t="str">
        <f t="shared" si="36"/>
        <v>ME</v>
      </c>
      <c r="DC11" s="56">
        <v>4</v>
      </c>
      <c r="DD11" s="61">
        <v>98.9</v>
      </c>
      <c r="DE11" s="61"/>
      <c r="DF11" s="68">
        <f t="shared" si="37"/>
        <v>10.900000000000006</v>
      </c>
      <c r="DG11" s="69">
        <f t="shared" si="38"/>
        <v>0.58806839392000032</v>
      </c>
      <c r="DH11" s="68">
        <f t="shared" si="39"/>
        <v>4.23070786992806</v>
      </c>
      <c r="DI11" s="62">
        <v>90</v>
      </c>
      <c r="DJ11" s="62">
        <v>54</v>
      </c>
      <c r="DK11" s="65" t="str">
        <f t="shared" si="40"/>
        <v>ME</v>
      </c>
      <c r="DL11" s="56">
        <v>4</v>
      </c>
      <c r="DM11" s="63">
        <v>8.7899999999999991</v>
      </c>
      <c r="DN11" s="64">
        <v>2.3E-2</v>
      </c>
      <c r="DO11" s="64">
        <v>2.8000000000000001E-2</v>
      </c>
      <c r="DP11" s="64">
        <v>5.1999999999999998E-2</v>
      </c>
      <c r="DQ11" s="63">
        <v>6.84</v>
      </c>
      <c r="DR11" s="61">
        <v>7.4</v>
      </c>
      <c r="DS11" s="64">
        <v>1.1890000000000001</v>
      </c>
      <c r="DT11" s="61">
        <v>87.4</v>
      </c>
      <c r="DU11" s="63">
        <v>4.2</v>
      </c>
      <c r="DV11" s="64">
        <v>0.70899999999999996</v>
      </c>
      <c r="DW11" s="64">
        <v>3.9</v>
      </c>
      <c r="DX11" s="66" t="s">
        <v>247</v>
      </c>
      <c r="DY11" s="65" t="str">
        <f t="shared" si="41"/>
        <v>ME</v>
      </c>
      <c r="DZ11" s="128">
        <v>4</v>
      </c>
      <c r="EA11" s="173">
        <f t="shared" si="42"/>
        <v>9.2914438502673793E-2</v>
      </c>
      <c r="EB11" s="173">
        <f t="shared" si="43"/>
        <v>0.12205882352941176</v>
      </c>
      <c r="EC11" s="173">
        <f t="shared" si="44"/>
        <v>0.84172661870503596</v>
      </c>
      <c r="ED11" s="63">
        <v>1.1000000000000001</v>
      </c>
      <c r="EE11" s="63">
        <v>1.2</v>
      </c>
      <c r="EF11" s="63">
        <v>0.03</v>
      </c>
      <c r="EG11" s="63">
        <v>0.04</v>
      </c>
      <c r="EH11" s="127" t="str">
        <f t="shared" si="5"/>
        <v>ME</v>
      </c>
      <c r="EI11" s="56">
        <v>4</v>
      </c>
      <c r="EJ11" s="334"/>
      <c r="EK11" s="334"/>
      <c r="EL11" s="334"/>
      <c r="EM11" s="334"/>
      <c r="EN11" s="334"/>
      <c r="EO11" s="334"/>
      <c r="EP11" s="334"/>
      <c r="EQ11" s="65" t="str">
        <f t="shared" si="45"/>
        <v>ME</v>
      </c>
      <c r="ER11" s="20"/>
      <c r="ES11" s="20"/>
      <c r="ET11" s="20"/>
      <c r="EU11" s="20"/>
      <c r="EV11" s="20"/>
      <c r="EW11" s="20"/>
      <c r="EX11" s="20"/>
    </row>
    <row r="12" spans="1:154" s="3" customFormat="1" ht="17.149999999999999" customHeight="1" x14ac:dyDescent="0.25">
      <c r="A12" s="56">
        <v>5</v>
      </c>
      <c r="B12" s="57">
        <v>860371</v>
      </c>
      <c r="C12" s="58">
        <f t="shared" si="6"/>
        <v>218</v>
      </c>
      <c r="D12" s="167">
        <v>9.3000000000000007</v>
      </c>
      <c r="E12" s="57">
        <v>764799</v>
      </c>
      <c r="F12" s="58">
        <f t="shared" si="7"/>
        <v>164</v>
      </c>
      <c r="G12" s="168">
        <v>1.88</v>
      </c>
      <c r="H12" s="57">
        <v>728575</v>
      </c>
      <c r="I12" s="58">
        <f t="shared" si="0"/>
        <v>148</v>
      </c>
      <c r="J12" s="60" t="s">
        <v>194</v>
      </c>
      <c r="K12" s="56">
        <v>5</v>
      </c>
      <c r="L12" s="57">
        <v>67430</v>
      </c>
      <c r="M12" s="58">
        <f t="shared" si="8"/>
        <v>41</v>
      </c>
      <c r="N12" s="57">
        <v>170010</v>
      </c>
      <c r="O12" s="58">
        <f t="shared" si="9"/>
        <v>40</v>
      </c>
      <c r="P12" s="57">
        <v>194713</v>
      </c>
      <c r="Q12" s="169" t="str">
        <f t="shared" si="1"/>
        <v/>
      </c>
      <c r="R12" s="57">
        <v>652</v>
      </c>
      <c r="S12" s="57">
        <v>660</v>
      </c>
      <c r="T12" s="57">
        <v>136</v>
      </c>
      <c r="U12" s="57">
        <v>133</v>
      </c>
      <c r="V12" s="58" t="str">
        <f t="shared" si="10"/>
        <v>ME</v>
      </c>
      <c r="W12" s="56">
        <v>5</v>
      </c>
      <c r="X12" s="63">
        <v>11314.7</v>
      </c>
      <c r="Y12" s="130">
        <f t="shared" si="11"/>
        <v>4.5599999999994907</v>
      </c>
      <c r="Z12" s="63">
        <v>12082.12</v>
      </c>
      <c r="AA12" s="130">
        <f t="shared" si="12"/>
        <v>1.9499999999989086</v>
      </c>
      <c r="AB12" s="63">
        <v>9563.66</v>
      </c>
      <c r="AC12" s="130">
        <f t="shared" si="13"/>
        <v>3.5900000000001455</v>
      </c>
      <c r="AD12" s="63">
        <v>9661.2199999999993</v>
      </c>
      <c r="AE12" s="130">
        <f t="shared" si="2"/>
        <v>0.36000000000058208</v>
      </c>
      <c r="AF12" s="125" t="str">
        <f t="shared" si="14"/>
        <v>ME</v>
      </c>
      <c r="AG12" s="56">
        <v>5</v>
      </c>
      <c r="AH12" s="63">
        <v>45086.5</v>
      </c>
      <c r="AI12" s="130">
        <f t="shared" si="15"/>
        <v>15.610000000000582</v>
      </c>
      <c r="AJ12" s="63">
        <v>47223.8</v>
      </c>
      <c r="AK12" s="130">
        <f t="shared" si="16"/>
        <v>10.279999999998836</v>
      </c>
      <c r="AL12" s="63">
        <v>585.23</v>
      </c>
      <c r="AM12" s="130">
        <f t="shared" si="17"/>
        <v>2.9999999999972715E-2</v>
      </c>
      <c r="AN12" s="63">
        <v>546.24</v>
      </c>
      <c r="AO12" s="130" t="str">
        <f t="shared" si="3"/>
        <v/>
      </c>
      <c r="AP12" s="125" t="str">
        <f t="shared" si="18"/>
        <v>ME</v>
      </c>
      <c r="AQ12" s="56">
        <v>5</v>
      </c>
      <c r="AR12" s="63">
        <v>6506.6</v>
      </c>
      <c r="AS12" s="130" t="str">
        <f t="shared" si="19"/>
        <v/>
      </c>
      <c r="AT12" s="63">
        <v>7138.78</v>
      </c>
      <c r="AU12" s="130">
        <f t="shared" si="20"/>
        <v>3.5900000000001455</v>
      </c>
      <c r="AV12" s="63">
        <v>247.23</v>
      </c>
      <c r="AW12" s="279" t="str">
        <f t="shared" si="21"/>
        <v/>
      </c>
      <c r="AX12" s="63">
        <v>235.02</v>
      </c>
      <c r="AY12" s="130">
        <f t="shared" si="4"/>
        <v>0.34000000000000341</v>
      </c>
      <c r="AZ12" s="125" t="str">
        <f t="shared" si="22"/>
        <v>ME</v>
      </c>
      <c r="BA12" s="56">
        <v>5</v>
      </c>
      <c r="BB12" s="64">
        <v>0.872</v>
      </c>
      <c r="BC12" s="62">
        <v>27</v>
      </c>
      <c r="BD12" s="61">
        <v>7.4</v>
      </c>
      <c r="BE12" s="61">
        <v>2.6</v>
      </c>
      <c r="BF12" s="61">
        <v>17.100000000000001</v>
      </c>
      <c r="BG12" s="61">
        <v>7.4</v>
      </c>
      <c r="BH12" s="64">
        <v>0.33100000000000002</v>
      </c>
      <c r="BI12" s="64">
        <v>0.36499999999999999</v>
      </c>
      <c r="BJ12" s="64">
        <v>0.6</v>
      </c>
      <c r="BK12" s="64">
        <v>4.8000000000000001E-2</v>
      </c>
      <c r="BL12" s="64">
        <v>6.7000000000000004E-2</v>
      </c>
      <c r="BM12" s="64">
        <v>6.3E-2</v>
      </c>
      <c r="BN12" s="65" t="str">
        <f t="shared" si="23"/>
        <v>ME</v>
      </c>
      <c r="BO12" s="56">
        <v>5</v>
      </c>
      <c r="BP12" s="64">
        <v>7.5999999999999998E-2</v>
      </c>
      <c r="BQ12" s="62">
        <v>0</v>
      </c>
      <c r="BR12" s="61">
        <v>7.3</v>
      </c>
      <c r="BS12" s="61">
        <v>7.4</v>
      </c>
      <c r="BT12" s="61">
        <v>18.600000000000001</v>
      </c>
      <c r="BU12" s="64">
        <v>1.2999999999999999E-2</v>
      </c>
      <c r="BV12" s="63">
        <v>1.32</v>
      </c>
      <c r="BW12" s="63">
        <v>0.87</v>
      </c>
      <c r="BX12" s="66" t="s">
        <v>245</v>
      </c>
      <c r="BY12" s="172" t="s">
        <v>246</v>
      </c>
      <c r="BZ12" s="67" t="str">
        <f t="shared" si="24"/>
        <v>ME</v>
      </c>
      <c r="CA12" s="56">
        <v>5</v>
      </c>
      <c r="CB12" s="61">
        <v>89.4</v>
      </c>
      <c r="CC12" s="61"/>
      <c r="CD12" s="68">
        <f t="shared" si="25"/>
        <v>0.80000000000001137</v>
      </c>
      <c r="CE12" s="69">
        <f t="shared" si="26"/>
        <v>3.723412000000053</v>
      </c>
      <c r="CF12" s="69">
        <f t="shared" si="27"/>
        <v>3.0189827027027452</v>
      </c>
      <c r="CG12" s="62">
        <v>123</v>
      </c>
      <c r="CH12" s="62">
        <v>100</v>
      </c>
      <c r="CI12" s="65" t="str">
        <f t="shared" si="28"/>
        <v>ME</v>
      </c>
      <c r="CJ12" s="56">
        <v>5</v>
      </c>
      <c r="CK12" s="61">
        <v>91.7</v>
      </c>
      <c r="CL12" s="61"/>
      <c r="CM12" s="68">
        <f t="shared" si="29"/>
        <v>2.7000000000000028</v>
      </c>
      <c r="CN12" s="68">
        <f t="shared" si="30"/>
        <v>12.566515500000014</v>
      </c>
      <c r="CO12" s="68">
        <f t="shared" si="31"/>
        <v>22.922361874197275</v>
      </c>
      <c r="CP12" s="62">
        <v>52</v>
      </c>
      <c r="CQ12" s="62">
        <v>83</v>
      </c>
      <c r="CR12" s="65" t="str">
        <f t="shared" si="32"/>
        <v>ME</v>
      </c>
      <c r="CS12" s="56">
        <v>5</v>
      </c>
      <c r="CT12" s="61">
        <v>112.2</v>
      </c>
      <c r="CU12" s="61">
        <v>107.8</v>
      </c>
      <c r="CV12" s="68">
        <f t="shared" si="33"/>
        <v>2</v>
      </c>
      <c r="CW12" s="68">
        <f t="shared" si="34"/>
        <v>13.28848</v>
      </c>
      <c r="CX12" s="69">
        <f t="shared" si="35"/>
        <v>6.0956330275229356E-2</v>
      </c>
      <c r="CY12" s="66" t="s">
        <v>240</v>
      </c>
      <c r="CZ12" s="66" t="s">
        <v>241</v>
      </c>
      <c r="DA12" s="66" t="s">
        <v>242</v>
      </c>
      <c r="DB12" s="65" t="str">
        <f t="shared" si="36"/>
        <v>ME</v>
      </c>
      <c r="DC12" s="56">
        <v>5</v>
      </c>
      <c r="DD12" s="61">
        <v>88</v>
      </c>
      <c r="DE12" s="61">
        <v>104.4</v>
      </c>
      <c r="DF12" s="68">
        <f t="shared" si="37"/>
        <v>18.600000000000009</v>
      </c>
      <c r="DG12" s="69">
        <f t="shared" si="38"/>
        <v>1.0034928556800005</v>
      </c>
      <c r="DH12" s="68">
        <f t="shared" si="39"/>
        <v>4.6031782370642222</v>
      </c>
      <c r="DI12" s="62">
        <v>90</v>
      </c>
      <c r="DJ12" s="62">
        <v>54</v>
      </c>
      <c r="DK12" s="65" t="str">
        <f t="shared" si="40"/>
        <v>ME</v>
      </c>
      <c r="DL12" s="56">
        <v>5</v>
      </c>
      <c r="DM12" s="63">
        <v>8.56</v>
      </c>
      <c r="DN12" s="64">
        <v>2.3E-2</v>
      </c>
      <c r="DO12" s="64">
        <v>2.5999999999999999E-2</v>
      </c>
      <c r="DP12" s="64">
        <v>5.7000000000000002E-2</v>
      </c>
      <c r="DQ12" s="63">
        <v>6.84</v>
      </c>
      <c r="DR12" s="61">
        <v>7.4</v>
      </c>
      <c r="DS12" s="64">
        <v>1.2210000000000001</v>
      </c>
      <c r="DT12" s="61">
        <v>85.6</v>
      </c>
      <c r="DU12" s="63">
        <v>4.1500000000000004</v>
      </c>
      <c r="DV12" s="64">
        <v>0.68</v>
      </c>
      <c r="DW12" s="64">
        <v>0.58799999999999997</v>
      </c>
      <c r="DX12" s="66" t="s">
        <v>242</v>
      </c>
      <c r="DY12" s="65" t="str">
        <f t="shared" si="41"/>
        <v>ME</v>
      </c>
      <c r="DZ12" s="128">
        <v>5</v>
      </c>
      <c r="EA12" s="173">
        <f t="shared" si="42"/>
        <v>0.14572192513368984</v>
      </c>
      <c r="EB12" s="173">
        <f t="shared" si="43"/>
        <v>0.12058823529411765</v>
      </c>
      <c r="EC12" s="173">
        <f t="shared" si="44"/>
        <v>0.67889908256880738</v>
      </c>
      <c r="ED12" s="63">
        <v>1.1599999999999999</v>
      </c>
      <c r="EE12" s="63">
        <v>1.24</v>
      </c>
      <c r="EF12" s="63">
        <v>0.03</v>
      </c>
      <c r="EG12" s="63">
        <v>0.04</v>
      </c>
      <c r="EH12" s="127" t="str">
        <f t="shared" si="5"/>
        <v>ME</v>
      </c>
      <c r="EI12" s="56">
        <v>5</v>
      </c>
      <c r="EJ12" s="334"/>
      <c r="EK12" s="334"/>
      <c r="EL12" s="334"/>
      <c r="EM12" s="334"/>
      <c r="EN12" s="334"/>
      <c r="EO12" s="334"/>
      <c r="EP12" s="334"/>
      <c r="EQ12" s="65" t="str">
        <f t="shared" si="45"/>
        <v>ME</v>
      </c>
      <c r="ER12" s="20"/>
      <c r="ES12" s="20"/>
      <c r="ET12" s="20"/>
      <c r="EU12" s="20"/>
      <c r="EV12" s="20"/>
      <c r="EW12" s="20"/>
      <c r="EX12" s="20"/>
    </row>
    <row r="13" spans="1:154" s="3" customFormat="1" ht="17.149999999999999" customHeight="1" x14ac:dyDescent="0.25">
      <c r="A13" s="56">
        <v>6</v>
      </c>
      <c r="B13" s="57">
        <v>860589</v>
      </c>
      <c r="C13" s="58">
        <f t="shared" si="6"/>
        <v>138</v>
      </c>
      <c r="D13" s="167">
        <v>9</v>
      </c>
      <c r="E13" s="57">
        <v>764963</v>
      </c>
      <c r="F13" s="58">
        <f t="shared" si="7"/>
        <v>143</v>
      </c>
      <c r="G13" s="168">
        <v>2.31</v>
      </c>
      <c r="H13" s="57">
        <v>728723</v>
      </c>
      <c r="I13" s="58">
        <f t="shared" si="0"/>
        <v>116</v>
      </c>
      <c r="J13" s="60" t="s">
        <v>194</v>
      </c>
      <c r="K13" s="56">
        <v>6</v>
      </c>
      <c r="L13" s="57">
        <v>67471</v>
      </c>
      <c r="M13" s="58" t="str">
        <f t="shared" si="8"/>
        <v/>
      </c>
      <c r="N13" s="57">
        <v>170050</v>
      </c>
      <c r="O13" s="58">
        <f t="shared" si="9"/>
        <v>42</v>
      </c>
      <c r="P13" s="57">
        <v>194713</v>
      </c>
      <c r="Q13" s="169" t="str">
        <f t="shared" si="1"/>
        <v/>
      </c>
      <c r="R13" s="57">
        <v>652</v>
      </c>
      <c r="S13" s="57">
        <v>661</v>
      </c>
      <c r="T13" s="57">
        <v>136</v>
      </c>
      <c r="U13" s="57">
        <v>133</v>
      </c>
      <c r="V13" s="58" t="str">
        <f t="shared" si="10"/>
        <v>ME</v>
      </c>
      <c r="W13" s="56">
        <v>6</v>
      </c>
      <c r="X13" s="63">
        <v>11319.26</v>
      </c>
      <c r="Y13" s="130">
        <f t="shared" si="11"/>
        <v>1.9599999999991269</v>
      </c>
      <c r="Z13" s="63">
        <v>12084.07</v>
      </c>
      <c r="AA13" s="130">
        <f t="shared" si="12"/>
        <v>2.0900000000001455</v>
      </c>
      <c r="AB13" s="63">
        <v>9567.25</v>
      </c>
      <c r="AC13" s="130">
        <f t="shared" si="13"/>
        <v>1.4899999999997817</v>
      </c>
      <c r="AD13" s="63">
        <v>9661.58</v>
      </c>
      <c r="AE13" s="130">
        <f t="shared" si="2"/>
        <v>1.6200000000008004</v>
      </c>
      <c r="AF13" s="125" t="str">
        <f t="shared" si="14"/>
        <v>ME</v>
      </c>
      <c r="AG13" s="56">
        <v>6</v>
      </c>
      <c r="AH13" s="63">
        <v>45102.11</v>
      </c>
      <c r="AI13" s="130">
        <f t="shared" si="15"/>
        <v>8.4000000000014552</v>
      </c>
      <c r="AJ13" s="63">
        <v>47234.080000000002</v>
      </c>
      <c r="AK13" s="130">
        <f t="shared" si="16"/>
        <v>14.739999999997963</v>
      </c>
      <c r="AL13" s="63">
        <v>585.26</v>
      </c>
      <c r="AM13" s="130" t="str">
        <f t="shared" si="17"/>
        <v/>
      </c>
      <c r="AN13" s="63">
        <v>546.24</v>
      </c>
      <c r="AO13" s="130" t="str">
        <f t="shared" si="3"/>
        <v/>
      </c>
      <c r="AP13" s="125" t="str">
        <f t="shared" si="18"/>
        <v>ME</v>
      </c>
      <c r="AQ13" s="56">
        <v>6</v>
      </c>
      <c r="AR13" s="63">
        <v>6506.6</v>
      </c>
      <c r="AS13" s="130" t="str">
        <f t="shared" si="19"/>
        <v/>
      </c>
      <c r="AT13" s="63">
        <v>7142.37</v>
      </c>
      <c r="AU13" s="130">
        <f t="shared" si="20"/>
        <v>3.4000000000005457</v>
      </c>
      <c r="AV13" s="63">
        <v>247.23</v>
      </c>
      <c r="AW13" s="279" t="str">
        <f t="shared" si="21"/>
        <v/>
      </c>
      <c r="AX13" s="63">
        <v>235.36</v>
      </c>
      <c r="AY13" s="130" t="str">
        <f t="shared" si="4"/>
        <v/>
      </c>
      <c r="AZ13" s="125" t="str">
        <f t="shared" si="22"/>
        <v>ME</v>
      </c>
      <c r="BA13" s="56">
        <v>6</v>
      </c>
      <c r="BB13" s="64"/>
      <c r="BC13" s="62"/>
      <c r="BD13" s="61"/>
      <c r="BE13" s="61"/>
      <c r="BF13" s="61"/>
      <c r="BG13" s="61"/>
      <c r="BH13" s="64"/>
      <c r="BI13" s="64"/>
      <c r="BJ13" s="64"/>
      <c r="BK13" s="64"/>
      <c r="BL13" s="64"/>
      <c r="BM13" s="64"/>
      <c r="BN13" s="65" t="str">
        <f t="shared" si="23"/>
        <v>ME</v>
      </c>
      <c r="BO13" s="56">
        <v>6</v>
      </c>
      <c r="BP13" s="64">
        <v>7.9000000000000001E-2</v>
      </c>
      <c r="BQ13" s="62">
        <v>0</v>
      </c>
      <c r="BR13" s="61">
        <v>7.4</v>
      </c>
      <c r="BS13" s="61">
        <v>7.4</v>
      </c>
      <c r="BT13" s="61">
        <v>16.600000000000001</v>
      </c>
      <c r="BU13" s="64">
        <v>1.4999999999999999E-2</v>
      </c>
      <c r="BV13" s="63">
        <v>1.24</v>
      </c>
      <c r="BW13" s="63">
        <v>0.87</v>
      </c>
      <c r="BX13" s="66" t="s">
        <v>248</v>
      </c>
      <c r="BY13" s="172" t="s">
        <v>246</v>
      </c>
      <c r="BZ13" s="67" t="str">
        <f t="shared" si="24"/>
        <v>ME</v>
      </c>
      <c r="CA13" s="56">
        <v>6</v>
      </c>
      <c r="CB13" s="61">
        <v>88.6</v>
      </c>
      <c r="CC13" s="61"/>
      <c r="CD13" s="68">
        <f t="shared" si="25"/>
        <v>1.0999999999999943</v>
      </c>
      <c r="CE13" s="69">
        <f t="shared" si="26"/>
        <v>5.1196914999999734</v>
      </c>
      <c r="CF13" s="69">
        <f t="shared" si="27"/>
        <v>5.2962325862068687</v>
      </c>
      <c r="CG13" s="62">
        <v>125</v>
      </c>
      <c r="CH13" s="62">
        <v>100</v>
      </c>
      <c r="CI13" s="65" t="str">
        <f t="shared" si="28"/>
        <v>ME</v>
      </c>
      <c r="CJ13" s="56">
        <v>6</v>
      </c>
      <c r="CK13" s="61">
        <v>89</v>
      </c>
      <c r="CL13" s="61"/>
      <c r="CM13" s="68">
        <f t="shared" si="29"/>
        <v>1.5999999999999943</v>
      </c>
      <c r="CN13" s="68">
        <f t="shared" si="30"/>
        <v>7.4468239999999746</v>
      </c>
      <c r="CO13" s="68">
        <f t="shared" si="31"/>
        <v>21.458185243478191</v>
      </c>
      <c r="CP13" s="62">
        <v>53</v>
      </c>
      <c r="CQ13" s="62">
        <v>83</v>
      </c>
      <c r="CR13" s="65" t="str">
        <f t="shared" si="32"/>
        <v>ME</v>
      </c>
      <c r="CS13" s="56">
        <v>6</v>
      </c>
      <c r="CT13" s="61">
        <v>105.8</v>
      </c>
      <c r="CU13" s="61"/>
      <c r="CV13" s="68">
        <f t="shared" si="33"/>
        <v>1.5999999999999943</v>
      </c>
      <c r="CW13" s="68">
        <f t="shared" si="34"/>
        <v>10.630783999999961</v>
      </c>
      <c r="CX13" s="69">
        <f t="shared" si="35"/>
        <v>7.703466666666639E-2</v>
      </c>
      <c r="CY13" s="66" t="s">
        <v>240</v>
      </c>
      <c r="CZ13" s="66" t="s">
        <v>241</v>
      </c>
      <c r="DA13" s="66"/>
      <c r="DB13" s="65" t="str">
        <f t="shared" si="36"/>
        <v>ME</v>
      </c>
      <c r="DC13" s="56">
        <v>6</v>
      </c>
      <c r="DD13" s="61">
        <v>85.8</v>
      </c>
      <c r="DE13" s="61">
        <v>103</v>
      </c>
      <c r="DF13" s="68">
        <f t="shared" si="37"/>
        <v>11.799999999999997</v>
      </c>
      <c r="DG13" s="69">
        <f t="shared" si="38"/>
        <v>0.63662449983999991</v>
      </c>
      <c r="DH13" s="68">
        <f t="shared" si="39"/>
        <v>4.6132210133333329</v>
      </c>
      <c r="DI13" s="62">
        <v>90</v>
      </c>
      <c r="DJ13" s="62">
        <v>54</v>
      </c>
      <c r="DK13" s="65" t="str">
        <f t="shared" si="40"/>
        <v>ME</v>
      </c>
      <c r="DL13" s="56">
        <v>6</v>
      </c>
      <c r="DM13" s="63">
        <v>9.0500000000000007</v>
      </c>
      <c r="DN13" s="64">
        <v>2.1999999999999999E-2</v>
      </c>
      <c r="DO13" s="64">
        <v>2.7E-2</v>
      </c>
      <c r="DP13" s="64">
        <v>4.2759999999999998</v>
      </c>
      <c r="DQ13" s="63">
        <v>6.83</v>
      </c>
      <c r="DR13" s="61">
        <v>7.4</v>
      </c>
      <c r="DS13" s="64">
        <v>1.196</v>
      </c>
      <c r="DT13" s="61">
        <v>86.7</v>
      </c>
      <c r="DU13" s="63">
        <v>4.2</v>
      </c>
      <c r="DV13" s="64">
        <v>0.72299999999999998</v>
      </c>
      <c r="DW13" s="64">
        <v>1.861</v>
      </c>
      <c r="DX13" s="66" t="s">
        <v>242</v>
      </c>
      <c r="DY13" s="65" t="str">
        <f t="shared" si="41"/>
        <v>ME</v>
      </c>
      <c r="DZ13" s="128">
        <v>6</v>
      </c>
      <c r="EA13" s="173">
        <f t="shared" si="42"/>
        <v>9.2245989304812828E-2</v>
      </c>
      <c r="EB13" s="173">
        <f t="shared" si="43"/>
        <v>0.10514705882352941</v>
      </c>
      <c r="EC13" s="173">
        <f t="shared" si="44"/>
        <v>0.84057971014492749</v>
      </c>
      <c r="ED13" s="63">
        <v>0.91</v>
      </c>
      <c r="EE13" s="63">
        <v>1.24</v>
      </c>
      <c r="EF13" s="63">
        <v>0.03</v>
      </c>
      <c r="EG13" s="63">
        <v>0.05</v>
      </c>
      <c r="EH13" s="127" t="str">
        <f t="shared" si="5"/>
        <v>ME</v>
      </c>
      <c r="EI13" s="56">
        <v>6</v>
      </c>
      <c r="EJ13" s="334" t="s">
        <v>249</v>
      </c>
      <c r="EK13" s="334"/>
      <c r="EL13" s="334"/>
      <c r="EM13" s="334"/>
      <c r="EN13" s="334"/>
      <c r="EO13" s="334"/>
      <c r="EP13" s="334"/>
      <c r="EQ13" s="65" t="str">
        <f t="shared" si="45"/>
        <v>ME</v>
      </c>
      <c r="ER13" s="20"/>
      <c r="ES13" s="20"/>
      <c r="ET13" s="20"/>
      <c r="EU13" s="20"/>
      <c r="EV13" s="20"/>
      <c r="EW13" s="20"/>
      <c r="EX13" s="20"/>
    </row>
    <row r="14" spans="1:154" s="3" customFormat="1" ht="17.149999999999999" customHeight="1" x14ac:dyDescent="0.25">
      <c r="A14" s="56">
        <v>7</v>
      </c>
      <c r="B14" s="57">
        <v>860727</v>
      </c>
      <c r="C14" s="58">
        <f t="shared" si="6"/>
        <v>144</v>
      </c>
      <c r="D14" s="167">
        <v>9.4</v>
      </c>
      <c r="E14" s="57">
        <v>765106</v>
      </c>
      <c r="F14" s="58">
        <f t="shared" si="7"/>
        <v>149</v>
      </c>
      <c r="G14" s="168">
        <v>3.38</v>
      </c>
      <c r="H14" s="57">
        <v>728839</v>
      </c>
      <c r="I14" s="58">
        <f t="shared" si="0"/>
        <v>122</v>
      </c>
      <c r="J14" s="60" t="s">
        <v>194</v>
      </c>
      <c r="K14" s="56">
        <v>7</v>
      </c>
      <c r="L14" s="57">
        <v>67471</v>
      </c>
      <c r="M14" s="58">
        <f t="shared" si="8"/>
        <v>1</v>
      </c>
      <c r="N14" s="57">
        <v>170092</v>
      </c>
      <c r="O14" s="58">
        <f t="shared" si="9"/>
        <v>37</v>
      </c>
      <c r="P14" s="57">
        <v>194713</v>
      </c>
      <c r="Q14" s="169" t="str">
        <f t="shared" si="1"/>
        <v/>
      </c>
      <c r="R14" s="57">
        <v>652</v>
      </c>
      <c r="S14" s="57">
        <v>661</v>
      </c>
      <c r="T14" s="57">
        <v>136</v>
      </c>
      <c r="U14" s="57">
        <v>133</v>
      </c>
      <c r="V14" s="58" t="str">
        <f t="shared" si="10"/>
        <v>ME</v>
      </c>
      <c r="W14" s="56">
        <v>7</v>
      </c>
      <c r="X14" s="63">
        <v>11321.22</v>
      </c>
      <c r="Y14" s="130">
        <f t="shared" si="11"/>
        <v>2.0200000000004366</v>
      </c>
      <c r="Z14" s="63">
        <v>12086.16</v>
      </c>
      <c r="AA14" s="130">
        <f t="shared" si="12"/>
        <v>2.2100000000009459</v>
      </c>
      <c r="AB14" s="63">
        <v>9568.74</v>
      </c>
      <c r="AC14" s="130">
        <f t="shared" si="13"/>
        <v>1.5799999999999272</v>
      </c>
      <c r="AD14" s="63">
        <v>9663.2000000000007</v>
      </c>
      <c r="AE14" s="130">
        <f t="shared" si="2"/>
        <v>1.6399999999994179</v>
      </c>
      <c r="AF14" s="125" t="str">
        <f t="shared" si="14"/>
        <v>ME</v>
      </c>
      <c r="AG14" s="56">
        <v>7</v>
      </c>
      <c r="AH14" s="63">
        <v>45110.51</v>
      </c>
      <c r="AI14" s="130">
        <f t="shared" si="15"/>
        <v>10.400000000001455</v>
      </c>
      <c r="AJ14" s="63">
        <v>47248.82</v>
      </c>
      <c r="AK14" s="130">
        <f t="shared" si="16"/>
        <v>9.2699999999967986</v>
      </c>
      <c r="AL14" s="63">
        <v>585.26</v>
      </c>
      <c r="AM14" s="130" t="str">
        <f t="shared" si="17"/>
        <v/>
      </c>
      <c r="AN14" s="63">
        <v>546.24</v>
      </c>
      <c r="AO14" s="130">
        <f t="shared" si="3"/>
        <v>0.10000000000002274</v>
      </c>
      <c r="AP14" s="125" t="str">
        <f t="shared" si="18"/>
        <v>ME</v>
      </c>
      <c r="AQ14" s="56">
        <v>7</v>
      </c>
      <c r="AR14" s="63">
        <v>6506.6</v>
      </c>
      <c r="AS14" s="130">
        <f t="shared" si="19"/>
        <v>0.5499999999992724</v>
      </c>
      <c r="AT14" s="63">
        <v>7145.77</v>
      </c>
      <c r="AU14" s="130">
        <f t="shared" si="20"/>
        <v>3.0199999999995271</v>
      </c>
      <c r="AV14" s="63">
        <v>247.23</v>
      </c>
      <c r="AW14" s="279" t="str">
        <f t="shared" si="21"/>
        <v/>
      </c>
      <c r="AX14" s="63">
        <v>235.36</v>
      </c>
      <c r="AY14" s="130" t="str">
        <f t="shared" si="4"/>
        <v/>
      </c>
      <c r="AZ14" s="125" t="str">
        <f t="shared" si="22"/>
        <v>ME</v>
      </c>
      <c r="BA14" s="56">
        <v>7</v>
      </c>
      <c r="BB14" s="64"/>
      <c r="BC14" s="62"/>
      <c r="BD14" s="61"/>
      <c r="BE14" s="61"/>
      <c r="BF14" s="61"/>
      <c r="BG14" s="61"/>
      <c r="BH14" s="64"/>
      <c r="BI14" s="64"/>
      <c r="BJ14" s="64"/>
      <c r="BK14" s="64"/>
      <c r="BL14" s="64"/>
      <c r="BM14" s="64"/>
      <c r="BN14" s="65" t="str">
        <f t="shared" si="23"/>
        <v>ME</v>
      </c>
      <c r="BO14" s="56">
        <v>7</v>
      </c>
      <c r="BP14" s="64">
        <v>9.9000000000000005E-2</v>
      </c>
      <c r="BQ14" s="62">
        <v>0</v>
      </c>
      <c r="BR14" s="61">
        <v>7.3</v>
      </c>
      <c r="BS14" s="61">
        <v>7.4</v>
      </c>
      <c r="BT14" s="61">
        <v>18</v>
      </c>
      <c r="BU14" s="64">
        <v>1.2999999999999999E-2</v>
      </c>
      <c r="BV14" s="63">
        <v>1.24</v>
      </c>
      <c r="BW14" s="63">
        <v>1.1100000000000001</v>
      </c>
      <c r="BX14" s="66" t="s">
        <v>250</v>
      </c>
      <c r="BY14" s="172" t="s">
        <v>246</v>
      </c>
      <c r="BZ14" s="67" t="str">
        <f t="shared" si="24"/>
        <v>ME</v>
      </c>
      <c r="CA14" s="56">
        <v>7</v>
      </c>
      <c r="CB14" s="61">
        <v>87.5</v>
      </c>
      <c r="CC14" s="61"/>
      <c r="CD14" s="68">
        <f t="shared" si="25"/>
        <v>0.90000000000000568</v>
      </c>
      <c r="CE14" s="69">
        <f t="shared" si="26"/>
        <v>4.1888385000000268</v>
      </c>
      <c r="CF14" s="69">
        <f t="shared" si="27"/>
        <v>4.1201690163934694</v>
      </c>
      <c r="CG14" s="62">
        <v>123</v>
      </c>
      <c r="CH14" s="62">
        <v>100</v>
      </c>
      <c r="CI14" s="65" t="str">
        <f t="shared" si="28"/>
        <v>ME</v>
      </c>
      <c r="CJ14" s="56">
        <v>7</v>
      </c>
      <c r="CK14" s="61">
        <v>87.4</v>
      </c>
      <c r="CL14" s="61"/>
      <c r="CM14" s="68">
        <f t="shared" si="29"/>
        <v>1.8000000000000114</v>
      </c>
      <c r="CN14" s="68">
        <f t="shared" si="30"/>
        <v>8.3776770000000536</v>
      </c>
      <c r="CO14" s="68">
        <f t="shared" si="31"/>
        <v>23.134605965625148</v>
      </c>
      <c r="CP14" s="62">
        <v>53</v>
      </c>
      <c r="CQ14" s="62">
        <v>83</v>
      </c>
      <c r="CR14" s="65" t="str">
        <f t="shared" si="32"/>
        <v>ME</v>
      </c>
      <c r="CS14" s="56">
        <v>7</v>
      </c>
      <c r="CT14" s="61">
        <v>104.2</v>
      </c>
      <c r="CU14" s="61"/>
      <c r="CV14" s="68">
        <f t="shared" si="33"/>
        <v>1.5</v>
      </c>
      <c r="CW14" s="68">
        <f t="shared" si="34"/>
        <v>9.9663599999999999</v>
      </c>
      <c r="CX14" s="69">
        <f t="shared" si="35"/>
        <v>6.9210833333333333E-2</v>
      </c>
      <c r="CY14" s="66" t="s">
        <v>240</v>
      </c>
      <c r="CZ14" s="66" t="s">
        <v>241</v>
      </c>
      <c r="DA14" s="66"/>
      <c r="DB14" s="65" t="str">
        <f t="shared" si="36"/>
        <v>ME</v>
      </c>
      <c r="DC14" s="56">
        <v>7</v>
      </c>
      <c r="DD14" s="61">
        <v>91.2</v>
      </c>
      <c r="DE14" s="61">
        <v>103.9</v>
      </c>
      <c r="DF14" s="68">
        <f t="shared" si="37"/>
        <v>12.300000000000011</v>
      </c>
      <c r="DG14" s="69">
        <f t="shared" si="38"/>
        <v>0.66360011424000065</v>
      </c>
      <c r="DH14" s="68">
        <f t="shared" si="39"/>
        <v>4.6083341266666711</v>
      </c>
      <c r="DI14" s="62">
        <v>90</v>
      </c>
      <c r="DJ14" s="62">
        <v>54</v>
      </c>
      <c r="DK14" s="65" t="str">
        <f t="shared" si="40"/>
        <v>ME</v>
      </c>
      <c r="DL14" s="56">
        <v>7</v>
      </c>
      <c r="DM14" s="63">
        <v>8.43</v>
      </c>
      <c r="DN14" s="64">
        <v>2.3E-2</v>
      </c>
      <c r="DO14" s="64">
        <v>0.03</v>
      </c>
      <c r="DP14" s="64">
        <v>8.1000000000000003E-2</v>
      </c>
      <c r="DQ14" s="63">
        <v>6.84</v>
      </c>
      <c r="DR14" s="61">
        <v>7.4</v>
      </c>
      <c r="DS14" s="64">
        <v>1.2050000000000001</v>
      </c>
      <c r="DT14" s="61">
        <v>86.8</v>
      </c>
      <c r="DU14" s="63">
        <v>4.2</v>
      </c>
      <c r="DV14" s="64">
        <v>1.3939999999999999</v>
      </c>
      <c r="DW14" s="64">
        <v>0.72199999999999998</v>
      </c>
      <c r="DX14" s="66" t="s">
        <v>242</v>
      </c>
      <c r="DY14" s="65" t="str">
        <f t="shared" si="41"/>
        <v>ME</v>
      </c>
      <c r="DZ14" s="128">
        <v>7</v>
      </c>
      <c r="EA14" s="173">
        <f t="shared" si="42"/>
        <v>9.6256684491978606E-2</v>
      </c>
      <c r="EB14" s="173">
        <f t="shared" si="43"/>
        <v>0.10955882352941176</v>
      </c>
      <c r="EC14" s="173">
        <f t="shared" si="44"/>
        <v>0.84722222222222221</v>
      </c>
      <c r="ED14" s="63">
        <v>0.98</v>
      </c>
      <c r="EE14" s="63">
        <v>1.2</v>
      </c>
      <c r="EF14" s="63">
        <v>0.04</v>
      </c>
      <c r="EG14" s="63">
        <v>0.05</v>
      </c>
      <c r="EH14" s="127" t="str">
        <f t="shared" si="5"/>
        <v>ME</v>
      </c>
      <c r="EI14" s="56">
        <v>7</v>
      </c>
      <c r="EJ14" s="334" t="s">
        <v>249</v>
      </c>
      <c r="EK14" s="334"/>
      <c r="EL14" s="334"/>
      <c r="EM14" s="334"/>
      <c r="EN14" s="334"/>
      <c r="EO14" s="334"/>
      <c r="EP14" s="334"/>
      <c r="EQ14" s="65" t="str">
        <f t="shared" si="45"/>
        <v>ME</v>
      </c>
      <c r="ER14" s="20"/>
      <c r="ES14" s="20"/>
      <c r="ET14" s="20"/>
      <c r="EU14" s="20"/>
      <c r="EV14" s="20"/>
      <c r="EW14" s="20"/>
      <c r="EX14" s="20"/>
    </row>
    <row r="15" spans="1:154" s="3" customFormat="1" ht="17.149999999999999" customHeight="1" x14ac:dyDescent="0.25">
      <c r="A15" s="56">
        <v>8</v>
      </c>
      <c r="B15" s="57">
        <v>860871</v>
      </c>
      <c r="C15" s="58">
        <f t="shared" si="6"/>
        <v>154</v>
      </c>
      <c r="D15" s="167">
        <v>9.82</v>
      </c>
      <c r="E15" s="57">
        <v>765255</v>
      </c>
      <c r="F15" s="58">
        <f t="shared" si="7"/>
        <v>159</v>
      </c>
      <c r="G15" s="168">
        <v>2.4</v>
      </c>
      <c r="H15" s="57">
        <v>728961</v>
      </c>
      <c r="I15" s="58">
        <f t="shared" si="0"/>
        <v>133</v>
      </c>
      <c r="J15" s="60" t="s">
        <v>194</v>
      </c>
      <c r="K15" s="56">
        <v>8</v>
      </c>
      <c r="L15" s="57">
        <v>67472</v>
      </c>
      <c r="M15" s="58" t="str">
        <f t="shared" si="8"/>
        <v/>
      </c>
      <c r="N15" s="57">
        <v>170129</v>
      </c>
      <c r="O15" s="58">
        <f t="shared" si="9"/>
        <v>40</v>
      </c>
      <c r="P15" s="57">
        <v>194713</v>
      </c>
      <c r="Q15" s="169" t="str">
        <f t="shared" si="1"/>
        <v/>
      </c>
      <c r="R15" s="57">
        <v>652</v>
      </c>
      <c r="S15" s="57">
        <v>661</v>
      </c>
      <c r="T15" s="57">
        <v>136</v>
      </c>
      <c r="U15" s="57">
        <v>133</v>
      </c>
      <c r="V15" s="58" t="str">
        <f t="shared" si="10"/>
        <v>ME</v>
      </c>
      <c r="W15" s="56">
        <v>8</v>
      </c>
      <c r="X15" s="63">
        <v>11323.24</v>
      </c>
      <c r="Y15" s="130">
        <f t="shared" si="11"/>
        <v>2.1499999999996362</v>
      </c>
      <c r="Z15" s="63">
        <v>12088.37</v>
      </c>
      <c r="AA15" s="130">
        <f t="shared" si="12"/>
        <v>2.2299999999995634</v>
      </c>
      <c r="AB15" s="63">
        <v>9570.32</v>
      </c>
      <c r="AC15" s="130">
        <f t="shared" si="13"/>
        <v>1.7100000000009459</v>
      </c>
      <c r="AD15" s="63">
        <v>9664.84</v>
      </c>
      <c r="AE15" s="130">
        <f t="shared" si="2"/>
        <v>2.2299999999995634</v>
      </c>
      <c r="AF15" s="125" t="str">
        <f t="shared" si="14"/>
        <v>ME</v>
      </c>
      <c r="AG15" s="56">
        <v>8</v>
      </c>
      <c r="AH15" s="63">
        <v>45120.91</v>
      </c>
      <c r="AI15" s="130">
        <f t="shared" si="15"/>
        <v>13.599999999998545</v>
      </c>
      <c r="AJ15" s="63">
        <v>47258.09</v>
      </c>
      <c r="AK15" s="130">
        <f t="shared" si="16"/>
        <v>8.25</v>
      </c>
      <c r="AL15" s="63">
        <v>585.26</v>
      </c>
      <c r="AM15" s="130" t="str">
        <f t="shared" si="17"/>
        <v/>
      </c>
      <c r="AN15" s="63">
        <v>546.34</v>
      </c>
      <c r="AO15" s="130" t="str">
        <f t="shared" si="3"/>
        <v/>
      </c>
      <c r="AP15" s="125" t="str">
        <f t="shared" si="18"/>
        <v>ME</v>
      </c>
      <c r="AQ15" s="56">
        <v>8</v>
      </c>
      <c r="AR15" s="63">
        <v>6507.15</v>
      </c>
      <c r="AS15" s="130" t="str">
        <f t="shared" si="19"/>
        <v/>
      </c>
      <c r="AT15" s="63">
        <v>7148.79</v>
      </c>
      <c r="AU15" s="130">
        <f t="shared" si="20"/>
        <v>4.2600000000002183</v>
      </c>
      <c r="AV15" s="63">
        <v>247.23</v>
      </c>
      <c r="AW15" s="130" t="str">
        <f t="shared" ref="AW15:AW37" si="46">IF(AV16="","",IF(AV16=AV15,"",AV16-AV15))</f>
        <v/>
      </c>
      <c r="AX15" s="63">
        <v>235.36</v>
      </c>
      <c r="AY15" s="130" t="str">
        <f t="shared" si="4"/>
        <v/>
      </c>
      <c r="AZ15" s="125" t="str">
        <f t="shared" si="22"/>
        <v>ME</v>
      </c>
      <c r="BA15" s="56">
        <v>8</v>
      </c>
      <c r="BB15" s="64">
        <v>0.81200000000000006</v>
      </c>
      <c r="BC15" s="62">
        <v>46</v>
      </c>
      <c r="BD15" s="61">
        <v>7.3</v>
      </c>
      <c r="BE15" s="61">
        <v>2.6</v>
      </c>
      <c r="BF15" s="61">
        <v>14.2</v>
      </c>
      <c r="BG15" s="61">
        <v>7.3</v>
      </c>
      <c r="BH15" s="64">
        <v>0.26100000000000001</v>
      </c>
      <c r="BI15" s="64">
        <v>0.27300000000000002</v>
      </c>
      <c r="BJ15" s="64">
        <v>6.0999999999999999E-2</v>
      </c>
      <c r="BK15" s="64">
        <v>6.2E-2</v>
      </c>
      <c r="BL15" s="64">
        <v>7.3999999999999996E-2</v>
      </c>
      <c r="BM15" s="64">
        <v>6.8000000000000005E-2</v>
      </c>
      <c r="BN15" s="65" t="str">
        <f t="shared" si="23"/>
        <v>ME</v>
      </c>
      <c r="BO15" s="56">
        <v>8</v>
      </c>
      <c r="BP15" s="64">
        <v>0.11700000000000001</v>
      </c>
      <c r="BQ15" s="62">
        <v>0</v>
      </c>
      <c r="BR15" s="61">
        <v>7.3</v>
      </c>
      <c r="BS15" s="61">
        <v>7.3</v>
      </c>
      <c r="BT15" s="61">
        <v>18.100000000000001</v>
      </c>
      <c r="BU15" s="64">
        <v>1.4999999999999999E-2</v>
      </c>
      <c r="BV15" s="63">
        <v>1.25</v>
      </c>
      <c r="BW15" s="63">
        <v>0.99</v>
      </c>
      <c r="BX15" s="66" t="s">
        <v>245</v>
      </c>
      <c r="BY15" s="172" t="s">
        <v>246</v>
      </c>
      <c r="BZ15" s="67" t="str">
        <f t="shared" si="24"/>
        <v>ME</v>
      </c>
      <c r="CA15" s="56">
        <v>8</v>
      </c>
      <c r="CB15" s="61">
        <v>86.6</v>
      </c>
      <c r="CC15" s="61"/>
      <c r="CD15" s="68">
        <f t="shared" si="25"/>
        <v>1</v>
      </c>
      <c r="CE15" s="69">
        <f t="shared" si="26"/>
        <v>4.6542650000000005</v>
      </c>
      <c r="CF15" s="69">
        <f t="shared" si="27"/>
        <v>4.1993368421052635</v>
      </c>
      <c r="CG15" s="62">
        <v>115</v>
      </c>
      <c r="CH15" s="62">
        <v>100</v>
      </c>
      <c r="CI15" s="65" t="str">
        <f t="shared" si="28"/>
        <v>ME</v>
      </c>
      <c r="CJ15" s="56">
        <v>8</v>
      </c>
      <c r="CK15" s="61">
        <v>85.6</v>
      </c>
      <c r="CL15" s="61">
        <v>97.1</v>
      </c>
      <c r="CM15" s="68">
        <f t="shared" si="29"/>
        <v>2.2999999999999972</v>
      </c>
      <c r="CN15" s="68">
        <f t="shared" si="30"/>
        <v>10.704809499999987</v>
      </c>
      <c r="CO15" s="68">
        <f t="shared" si="31"/>
        <v>27.641347387499966</v>
      </c>
      <c r="CP15" s="62">
        <v>55</v>
      </c>
      <c r="CQ15" s="62">
        <v>83</v>
      </c>
      <c r="CR15" s="65" t="str">
        <f t="shared" si="32"/>
        <v>ME</v>
      </c>
      <c r="CS15" s="56">
        <v>8</v>
      </c>
      <c r="CT15" s="61">
        <v>102.7</v>
      </c>
      <c r="CU15" s="61"/>
      <c r="CV15" s="68">
        <f t="shared" si="33"/>
        <v>1.6000000000000085</v>
      </c>
      <c r="CW15" s="68">
        <f t="shared" si="34"/>
        <v>10.630784000000055</v>
      </c>
      <c r="CX15" s="69">
        <f t="shared" si="35"/>
        <v>6.9031064935065292E-2</v>
      </c>
      <c r="CY15" s="66" t="s">
        <v>251</v>
      </c>
      <c r="CZ15" s="66" t="s">
        <v>241</v>
      </c>
      <c r="DA15" s="66"/>
      <c r="DB15" s="65" t="str">
        <f t="shared" si="36"/>
        <v>ME</v>
      </c>
      <c r="DC15" s="56">
        <v>8</v>
      </c>
      <c r="DD15" s="61">
        <v>91.6</v>
      </c>
      <c r="DE15" s="61">
        <v>102.9</v>
      </c>
      <c r="DF15" s="68">
        <f t="shared" si="37"/>
        <v>13.600000000000009</v>
      </c>
      <c r="DG15" s="69">
        <f t="shared" si="38"/>
        <v>0.73373671168000043</v>
      </c>
      <c r="DH15" s="68">
        <f t="shared" si="39"/>
        <v>4.7645241018181848</v>
      </c>
      <c r="DI15" s="62">
        <v>92</v>
      </c>
      <c r="DJ15" s="62">
        <v>54</v>
      </c>
      <c r="DK15" s="65" t="str">
        <f t="shared" si="40"/>
        <v>ME</v>
      </c>
      <c r="DL15" s="56">
        <v>8</v>
      </c>
      <c r="DM15" s="63">
        <v>8.77</v>
      </c>
      <c r="DN15" s="64">
        <v>2.1999999999999999E-2</v>
      </c>
      <c r="DO15" s="64">
        <v>2.9000000000000001E-2</v>
      </c>
      <c r="DP15" s="64">
        <v>8.5000000000000006E-2</v>
      </c>
      <c r="DQ15" s="63">
        <v>6.82</v>
      </c>
      <c r="DR15" s="61">
        <v>7.3</v>
      </c>
      <c r="DS15" s="64">
        <v>1.216</v>
      </c>
      <c r="DT15" s="61">
        <v>86.5</v>
      </c>
      <c r="DU15" s="63">
        <v>4.2</v>
      </c>
      <c r="DV15" s="64">
        <v>1.1850000000000001</v>
      </c>
      <c r="DW15" s="64">
        <v>0.5</v>
      </c>
      <c r="DX15" s="66" t="s">
        <v>242</v>
      </c>
      <c r="DY15" s="65" t="str">
        <f t="shared" si="41"/>
        <v>ME</v>
      </c>
      <c r="DZ15" s="128">
        <v>8</v>
      </c>
      <c r="EA15" s="173">
        <f t="shared" si="42"/>
        <v>0.10294117647058823</v>
      </c>
      <c r="EB15" s="173">
        <f t="shared" si="43"/>
        <v>0.11691176470588235</v>
      </c>
      <c r="EC15" s="173">
        <f t="shared" si="44"/>
        <v>0.86363636363636365</v>
      </c>
      <c r="ED15" s="63">
        <v>1.1200000000000001</v>
      </c>
      <c r="EE15" s="63">
        <v>1.23</v>
      </c>
      <c r="EF15" s="63">
        <v>0.03</v>
      </c>
      <c r="EG15" s="63">
        <v>0.05</v>
      </c>
      <c r="EH15" s="127" t="str">
        <f t="shared" si="5"/>
        <v>ME</v>
      </c>
      <c r="EI15" s="56">
        <v>8</v>
      </c>
      <c r="EJ15" s="334" t="s">
        <v>254</v>
      </c>
      <c r="EK15" s="334"/>
      <c r="EL15" s="334"/>
      <c r="EM15" s="334"/>
      <c r="EN15" s="334"/>
      <c r="EO15" s="334"/>
      <c r="EP15" s="334"/>
      <c r="EQ15" s="65" t="str">
        <f t="shared" si="45"/>
        <v>ME</v>
      </c>
      <c r="ER15" s="20"/>
      <c r="ES15" s="20"/>
      <c r="ET15" s="20"/>
      <c r="EU15" s="20"/>
      <c r="EV15" s="20"/>
      <c r="EW15" s="20"/>
      <c r="EX15" s="20"/>
    </row>
    <row r="16" spans="1:154" s="3" customFormat="1" ht="17.149999999999999" customHeight="1" x14ac:dyDescent="0.25">
      <c r="A16" s="56">
        <v>9</v>
      </c>
      <c r="B16" s="57">
        <v>861025</v>
      </c>
      <c r="C16" s="58">
        <f t="shared" si="6"/>
        <v>252</v>
      </c>
      <c r="D16" s="167">
        <v>9.4499999999999993</v>
      </c>
      <c r="E16" s="57">
        <v>765414</v>
      </c>
      <c r="F16" s="58">
        <f t="shared" si="7"/>
        <v>193</v>
      </c>
      <c r="G16" s="168">
        <v>1.06</v>
      </c>
      <c r="H16" s="57">
        <v>729094</v>
      </c>
      <c r="I16" s="58">
        <f t="shared" si="0"/>
        <v>180</v>
      </c>
      <c r="J16" s="60" t="s">
        <v>194</v>
      </c>
      <c r="K16" s="56">
        <v>9</v>
      </c>
      <c r="L16" s="57">
        <v>67472</v>
      </c>
      <c r="M16" s="58">
        <f t="shared" si="8"/>
        <v>41</v>
      </c>
      <c r="N16" s="57">
        <v>170169</v>
      </c>
      <c r="O16" s="58">
        <f t="shared" si="9"/>
        <v>44</v>
      </c>
      <c r="P16" s="57">
        <v>194713</v>
      </c>
      <c r="Q16" s="169" t="str">
        <f t="shared" si="1"/>
        <v/>
      </c>
      <c r="R16" s="57">
        <v>652</v>
      </c>
      <c r="S16" s="57">
        <v>661</v>
      </c>
      <c r="T16" s="57">
        <v>136</v>
      </c>
      <c r="U16" s="57">
        <v>133</v>
      </c>
      <c r="V16" s="58" t="str">
        <f t="shared" si="10"/>
        <v>ME</v>
      </c>
      <c r="W16" s="56">
        <v>9</v>
      </c>
      <c r="X16" s="63">
        <v>11325.39</v>
      </c>
      <c r="Y16" s="130">
        <f t="shared" si="11"/>
        <v>3.5</v>
      </c>
      <c r="Z16" s="63">
        <v>12090.6</v>
      </c>
      <c r="AA16" s="130">
        <f t="shared" si="12"/>
        <v>4.1199999999989814</v>
      </c>
      <c r="AB16" s="63">
        <v>9572.0300000000007</v>
      </c>
      <c r="AC16" s="130">
        <f t="shared" si="13"/>
        <v>1.6899999999986903</v>
      </c>
      <c r="AD16" s="63">
        <v>9667.07</v>
      </c>
      <c r="AE16" s="130">
        <f t="shared" si="2"/>
        <v>2.7299999999995634</v>
      </c>
      <c r="AF16" s="125" t="str">
        <f t="shared" si="14"/>
        <v>ME</v>
      </c>
      <c r="AG16" s="56">
        <v>9</v>
      </c>
      <c r="AH16" s="63">
        <v>45134.51</v>
      </c>
      <c r="AI16" s="130">
        <f t="shared" si="15"/>
        <v>8.7699999999967986</v>
      </c>
      <c r="AJ16" s="63">
        <v>47266.34</v>
      </c>
      <c r="AK16" s="130">
        <f t="shared" si="16"/>
        <v>15.75</v>
      </c>
      <c r="AL16" s="63">
        <v>585.26</v>
      </c>
      <c r="AM16" s="130" t="str">
        <f t="shared" si="17"/>
        <v/>
      </c>
      <c r="AN16" s="63">
        <v>546.34</v>
      </c>
      <c r="AO16" s="130" t="str">
        <f t="shared" si="3"/>
        <v/>
      </c>
      <c r="AP16" s="125" t="str">
        <f t="shared" si="18"/>
        <v>ME</v>
      </c>
      <c r="AQ16" s="56">
        <v>9</v>
      </c>
      <c r="AR16" s="63">
        <v>6507.15</v>
      </c>
      <c r="AS16" s="130" t="str">
        <f t="shared" si="19"/>
        <v/>
      </c>
      <c r="AT16" s="63">
        <v>7153.05</v>
      </c>
      <c r="AU16" s="130">
        <f t="shared" si="20"/>
        <v>4.0599999999994907</v>
      </c>
      <c r="AV16" s="63">
        <v>247.23</v>
      </c>
      <c r="AW16" s="130">
        <f t="shared" si="46"/>
        <v>0.34000000000000341</v>
      </c>
      <c r="AX16" s="63">
        <v>235.36</v>
      </c>
      <c r="AY16" s="130" t="str">
        <f t="shared" si="4"/>
        <v/>
      </c>
      <c r="AZ16" s="125" t="str">
        <f t="shared" si="22"/>
        <v>ME</v>
      </c>
      <c r="BA16" s="56">
        <v>9</v>
      </c>
      <c r="BB16" s="64">
        <v>0.879</v>
      </c>
      <c r="BC16" s="62">
        <v>15</v>
      </c>
      <c r="BD16" s="61">
        <v>7.3</v>
      </c>
      <c r="BE16" s="61">
        <v>2.7</v>
      </c>
      <c r="BF16" s="61">
        <v>16.2</v>
      </c>
      <c r="BG16" s="61">
        <v>7.3</v>
      </c>
      <c r="BH16" s="64">
        <v>0.372</v>
      </c>
      <c r="BI16" s="64">
        <v>0.35599999999999998</v>
      </c>
      <c r="BJ16" s="64">
        <v>7.0999999999999994E-2</v>
      </c>
      <c r="BK16" s="64">
        <v>6.7000000000000004E-2</v>
      </c>
      <c r="BL16" s="64">
        <v>5.1999999999999998E-2</v>
      </c>
      <c r="BM16" s="64">
        <v>5.8999999999999997E-2</v>
      </c>
      <c r="BN16" s="65" t="str">
        <f t="shared" si="23"/>
        <v>ME</v>
      </c>
      <c r="BO16" s="56">
        <v>9</v>
      </c>
      <c r="BP16" s="64">
        <v>9.7000000000000003E-2</v>
      </c>
      <c r="BQ16" s="62">
        <v>0</v>
      </c>
      <c r="BR16" s="61">
        <v>7.3</v>
      </c>
      <c r="BS16" s="61">
        <v>7.3</v>
      </c>
      <c r="BT16" s="61">
        <v>17.399999999999999</v>
      </c>
      <c r="BU16" s="64">
        <v>0.01</v>
      </c>
      <c r="BV16" s="63">
        <v>1.1599999999999999</v>
      </c>
      <c r="BW16" s="63">
        <v>1</v>
      </c>
      <c r="BX16" s="66" t="s">
        <v>245</v>
      </c>
      <c r="BY16" s="172" t="s">
        <v>246</v>
      </c>
      <c r="BZ16" s="67" t="str">
        <f t="shared" si="24"/>
        <v>ME</v>
      </c>
      <c r="CA16" s="56">
        <v>9</v>
      </c>
      <c r="CB16" s="61">
        <v>85.6</v>
      </c>
      <c r="CC16" s="61"/>
      <c r="CD16" s="68">
        <f t="shared" si="25"/>
        <v>1.6999999999999886</v>
      </c>
      <c r="CE16" s="69">
        <f t="shared" si="26"/>
        <v>7.9122504999999475</v>
      </c>
      <c r="CF16" s="69">
        <f t="shared" si="27"/>
        <v>5.2748336666666313</v>
      </c>
      <c r="CG16" s="62">
        <v>121</v>
      </c>
      <c r="CH16" s="62">
        <v>100</v>
      </c>
      <c r="CI16" s="65" t="str">
        <f t="shared" si="28"/>
        <v>ME</v>
      </c>
      <c r="CJ16" s="56">
        <v>9</v>
      </c>
      <c r="CK16" s="61">
        <v>94.8</v>
      </c>
      <c r="CL16" s="61"/>
      <c r="CM16" s="68">
        <f t="shared" si="29"/>
        <v>3.2000000000000028</v>
      </c>
      <c r="CN16" s="68">
        <f t="shared" si="30"/>
        <v>14.893648000000013</v>
      </c>
      <c r="CO16" s="68">
        <f t="shared" si="31"/>
        <v>23.501821933333357</v>
      </c>
      <c r="CP16" s="62">
        <v>53</v>
      </c>
      <c r="CQ16" s="62">
        <v>83</v>
      </c>
      <c r="CR16" s="65" t="str">
        <f t="shared" si="32"/>
        <v>ME</v>
      </c>
      <c r="CS16" s="56">
        <v>9</v>
      </c>
      <c r="CT16" s="61">
        <v>101.1</v>
      </c>
      <c r="CU16" s="61"/>
      <c r="CV16" s="68">
        <f t="shared" si="33"/>
        <v>2.5999999999999943</v>
      </c>
      <c r="CW16" s="68">
        <f t="shared" si="34"/>
        <v>17.275023999999963</v>
      </c>
      <c r="CX16" s="69">
        <f t="shared" si="35"/>
        <v>6.8551682539682399E-2</v>
      </c>
      <c r="CY16" s="66" t="s">
        <v>240</v>
      </c>
      <c r="CZ16" s="66" t="s">
        <v>241</v>
      </c>
      <c r="DA16" s="66"/>
      <c r="DB16" s="65" t="str">
        <f t="shared" si="36"/>
        <v>ME</v>
      </c>
      <c r="DC16" s="56">
        <v>9</v>
      </c>
      <c r="DD16" s="61">
        <v>89.3</v>
      </c>
      <c r="DE16" s="61">
        <v>103.8</v>
      </c>
      <c r="DF16" s="68">
        <f t="shared" si="37"/>
        <v>20.5</v>
      </c>
      <c r="DG16" s="69">
        <f t="shared" si="38"/>
        <v>1.1060001903999999</v>
      </c>
      <c r="DH16" s="68">
        <f t="shared" si="39"/>
        <v>4.3888896444444434</v>
      </c>
      <c r="DI16" s="62">
        <v>90</v>
      </c>
      <c r="DJ16" s="62">
        <v>54</v>
      </c>
      <c r="DK16" s="65" t="str">
        <f t="shared" si="40"/>
        <v>ME</v>
      </c>
      <c r="DL16" s="56">
        <v>9</v>
      </c>
      <c r="DM16" s="63">
        <v>8.7200000000000006</v>
      </c>
      <c r="DN16" s="64">
        <v>1.9E-2</v>
      </c>
      <c r="DO16" s="64">
        <v>2.9000000000000001E-2</v>
      </c>
      <c r="DP16" s="64">
        <v>6.9000000000000006E-2</v>
      </c>
      <c r="DQ16" s="63">
        <v>6.82</v>
      </c>
      <c r="DR16" s="61">
        <v>7.3</v>
      </c>
      <c r="DS16" s="64">
        <v>1.149</v>
      </c>
      <c r="DT16" s="61">
        <v>86.2</v>
      </c>
      <c r="DU16" s="63">
        <v>4.2</v>
      </c>
      <c r="DV16" s="64">
        <v>0.81599999999999995</v>
      </c>
      <c r="DW16" s="64">
        <v>0.44800000000000001</v>
      </c>
      <c r="DX16" s="66" t="s">
        <v>242</v>
      </c>
      <c r="DY16" s="65" t="str">
        <f t="shared" si="41"/>
        <v>ME</v>
      </c>
      <c r="DZ16" s="128">
        <v>9</v>
      </c>
      <c r="EA16" s="173">
        <f t="shared" si="42"/>
        <v>0.16844919786096257</v>
      </c>
      <c r="EB16" s="173">
        <f t="shared" si="43"/>
        <v>0.14191176470588235</v>
      </c>
      <c r="EC16" s="173">
        <f t="shared" si="44"/>
        <v>0.7142857142857143</v>
      </c>
      <c r="ED16" s="63">
        <v>1.1000000000000001</v>
      </c>
      <c r="EE16" s="63">
        <v>1.18</v>
      </c>
      <c r="EF16" s="63">
        <v>0.03</v>
      </c>
      <c r="EG16" s="63">
        <v>0.05</v>
      </c>
      <c r="EH16" s="127" t="str">
        <f t="shared" si="5"/>
        <v>ME</v>
      </c>
      <c r="EI16" s="56">
        <v>9</v>
      </c>
      <c r="EJ16" s="334"/>
      <c r="EK16" s="334"/>
      <c r="EL16" s="334"/>
      <c r="EM16" s="334"/>
      <c r="EN16" s="334"/>
      <c r="EO16" s="334"/>
      <c r="EP16" s="334"/>
      <c r="EQ16" s="65" t="str">
        <f t="shared" si="45"/>
        <v>ME</v>
      </c>
      <c r="ER16" s="20"/>
      <c r="ES16" s="20"/>
      <c r="ET16" s="20"/>
      <c r="EU16" s="20"/>
      <c r="EV16" s="20"/>
      <c r="EW16" s="20"/>
      <c r="EX16" s="20"/>
    </row>
    <row r="17" spans="1:154" s="3" customFormat="1" ht="17.149999999999999" customHeight="1" x14ac:dyDescent="0.25">
      <c r="A17" s="56">
        <v>10</v>
      </c>
      <c r="B17" s="57">
        <v>861277</v>
      </c>
      <c r="C17" s="58">
        <f t="shared" si="6"/>
        <v>151</v>
      </c>
      <c r="D17" s="167">
        <v>9.31</v>
      </c>
      <c r="E17" s="57">
        <v>765607</v>
      </c>
      <c r="F17" s="58">
        <f t="shared" si="7"/>
        <v>221</v>
      </c>
      <c r="G17" s="168">
        <v>0.47</v>
      </c>
      <c r="H17" s="57">
        <v>729274</v>
      </c>
      <c r="I17" s="58">
        <f t="shared" si="0"/>
        <v>131</v>
      </c>
      <c r="J17" s="60" t="s">
        <v>194</v>
      </c>
      <c r="K17" s="56">
        <v>10</v>
      </c>
      <c r="L17" s="57">
        <v>67513</v>
      </c>
      <c r="M17" s="58" t="str">
        <f t="shared" si="8"/>
        <v/>
      </c>
      <c r="N17" s="57">
        <v>170213</v>
      </c>
      <c r="O17" s="58">
        <f t="shared" si="9"/>
        <v>50</v>
      </c>
      <c r="P17" s="57">
        <v>194713</v>
      </c>
      <c r="Q17" s="169" t="str">
        <f t="shared" si="1"/>
        <v/>
      </c>
      <c r="R17" s="57">
        <v>653</v>
      </c>
      <c r="S17" s="57">
        <v>661</v>
      </c>
      <c r="T17" s="57">
        <v>136</v>
      </c>
      <c r="U17" s="57">
        <v>133</v>
      </c>
      <c r="V17" s="58" t="str">
        <f t="shared" si="10"/>
        <v>ME</v>
      </c>
      <c r="W17" s="56">
        <v>10</v>
      </c>
      <c r="X17" s="63">
        <v>11328.89</v>
      </c>
      <c r="Y17" s="130">
        <f t="shared" si="11"/>
        <v>2.2100000000009459</v>
      </c>
      <c r="Z17" s="63">
        <v>12094.72</v>
      </c>
      <c r="AA17" s="130">
        <f t="shared" si="12"/>
        <v>2.180000000000291</v>
      </c>
      <c r="AB17" s="63">
        <v>9573.7199999999993</v>
      </c>
      <c r="AC17" s="130">
        <f t="shared" si="13"/>
        <v>1.75</v>
      </c>
      <c r="AD17" s="63">
        <v>9669.7999999999993</v>
      </c>
      <c r="AE17" s="130">
        <f t="shared" si="2"/>
        <v>1.7300000000013824</v>
      </c>
      <c r="AF17" s="125" t="str">
        <f t="shared" si="14"/>
        <v>ME</v>
      </c>
      <c r="AG17" s="56">
        <v>10</v>
      </c>
      <c r="AH17" s="63">
        <v>45143.28</v>
      </c>
      <c r="AI17" s="130">
        <f t="shared" si="15"/>
        <v>15.239999999997963</v>
      </c>
      <c r="AJ17" s="63">
        <v>47282.09</v>
      </c>
      <c r="AK17" s="130">
        <f t="shared" si="16"/>
        <v>12.75</v>
      </c>
      <c r="AL17" s="63">
        <v>585.26</v>
      </c>
      <c r="AM17" s="130" t="str">
        <f t="shared" si="17"/>
        <v/>
      </c>
      <c r="AN17" s="63">
        <v>546.34</v>
      </c>
      <c r="AO17" s="130" t="str">
        <f t="shared" si="3"/>
        <v/>
      </c>
      <c r="AP17" s="125" t="str">
        <f t="shared" si="18"/>
        <v>ME</v>
      </c>
      <c r="AQ17" s="56">
        <v>10</v>
      </c>
      <c r="AR17" s="63">
        <v>6507.15</v>
      </c>
      <c r="AS17" s="130" t="str">
        <f t="shared" si="19"/>
        <v/>
      </c>
      <c r="AT17" s="63">
        <v>7157.11</v>
      </c>
      <c r="AU17" s="130">
        <f t="shared" si="20"/>
        <v>4.2100000000000364</v>
      </c>
      <c r="AV17" s="63">
        <v>247.57</v>
      </c>
      <c r="AW17" s="130" t="str">
        <f t="shared" si="46"/>
        <v/>
      </c>
      <c r="AX17" s="63">
        <v>235.36</v>
      </c>
      <c r="AY17" s="130" t="str">
        <f t="shared" si="4"/>
        <v/>
      </c>
      <c r="AZ17" s="125" t="str">
        <f t="shared" si="22"/>
        <v>ME</v>
      </c>
      <c r="BA17" s="56">
        <v>10</v>
      </c>
      <c r="BB17" s="64"/>
      <c r="BC17" s="62"/>
      <c r="BD17" s="61"/>
      <c r="BE17" s="61"/>
      <c r="BF17" s="61"/>
      <c r="BG17" s="61"/>
      <c r="BH17" s="64"/>
      <c r="BI17" s="64"/>
      <c r="BJ17" s="64"/>
      <c r="BK17" s="64"/>
      <c r="BL17" s="64"/>
      <c r="BM17" s="64"/>
      <c r="BN17" s="65" t="str">
        <f t="shared" si="23"/>
        <v>ME</v>
      </c>
      <c r="BO17" s="56">
        <v>10</v>
      </c>
      <c r="BP17" s="64">
        <v>8.2000000000000003E-2</v>
      </c>
      <c r="BQ17" s="62"/>
      <c r="BR17" s="61"/>
      <c r="BS17" s="61"/>
      <c r="BT17" s="61"/>
      <c r="BU17" s="64"/>
      <c r="BV17" s="63">
        <v>1.1399999999999999</v>
      </c>
      <c r="BW17" s="63">
        <v>1.07</v>
      </c>
      <c r="BX17" s="66" t="s">
        <v>253</v>
      </c>
      <c r="BY17" s="172" t="s">
        <v>246</v>
      </c>
      <c r="BZ17" s="67" t="str">
        <f t="shared" si="24"/>
        <v>ME</v>
      </c>
      <c r="CA17" s="56">
        <v>10</v>
      </c>
      <c r="CB17" s="61">
        <v>83.9</v>
      </c>
      <c r="CC17" s="61"/>
      <c r="CD17" s="68">
        <f t="shared" si="25"/>
        <v>0.90000000000000568</v>
      </c>
      <c r="CE17" s="69">
        <f t="shared" si="26"/>
        <v>4.1888385000000268</v>
      </c>
      <c r="CF17" s="69">
        <f t="shared" si="27"/>
        <v>3.8371039694656734</v>
      </c>
      <c r="CG17" s="62">
        <v>121</v>
      </c>
      <c r="CH17" s="62">
        <v>100</v>
      </c>
      <c r="CI17" s="65" t="str">
        <f t="shared" si="28"/>
        <v>ME</v>
      </c>
      <c r="CJ17" s="56">
        <v>10</v>
      </c>
      <c r="CK17" s="61">
        <v>91.6</v>
      </c>
      <c r="CL17" s="61"/>
      <c r="CM17" s="68">
        <f t="shared" si="29"/>
        <v>1.6999999999999886</v>
      </c>
      <c r="CN17" s="68">
        <f t="shared" si="30"/>
        <v>7.9122504999999475</v>
      </c>
      <c r="CO17" s="68">
        <f t="shared" si="31"/>
        <v>20.836466300165426</v>
      </c>
      <c r="CP17" s="62">
        <v>53</v>
      </c>
      <c r="CQ17" s="62">
        <v>83</v>
      </c>
      <c r="CR17" s="65" t="str">
        <f t="shared" si="32"/>
        <v>ME</v>
      </c>
      <c r="CS17" s="56">
        <v>10</v>
      </c>
      <c r="CT17" s="61">
        <v>98.5</v>
      </c>
      <c r="CU17" s="61"/>
      <c r="CV17" s="68">
        <f t="shared" si="33"/>
        <v>1.5999999999999943</v>
      </c>
      <c r="CW17" s="68">
        <f t="shared" si="34"/>
        <v>10.630783999999961</v>
      </c>
      <c r="CX17" s="69">
        <f t="shared" si="35"/>
        <v>7.040254304635736E-2</v>
      </c>
      <c r="CY17" s="66" t="s">
        <v>240</v>
      </c>
      <c r="CZ17" s="66" t="s">
        <v>241</v>
      </c>
      <c r="DA17" s="66"/>
      <c r="DB17" s="65" t="str">
        <f t="shared" si="36"/>
        <v>ME</v>
      </c>
      <c r="DC17" s="56">
        <v>10</v>
      </c>
      <c r="DD17" s="61">
        <v>83.3</v>
      </c>
      <c r="DE17" s="61">
        <v>103.3</v>
      </c>
      <c r="DF17" s="68">
        <f t="shared" si="37"/>
        <v>13.700000000000003</v>
      </c>
      <c r="DG17" s="69">
        <f t="shared" si="38"/>
        <v>0.7391318345600002</v>
      </c>
      <c r="DH17" s="68">
        <f t="shared" si="39"/>
        <v>4.8949128116556304</v>
      </c>
      <c r="DI17" s="62">
        <v>90</v>
      </c>
      <c r="DJ17" s="62">
        <v>54</v>
      </c>
      <c r="DK17" s="65" t="str">
        <f t="shared" si="40"/>
        <v>ME</v>
      </c>
      <c r="DL17" s="56">
        <v>10</v>
      </c>
      <c r="DM17" s="63">
        <v>8.65</v>
      </c>
      <c r="DN17" s="64">
        <v>2.1999999999999999E-2</v>
      </c>
      <c r="DO17" s="64">
        <v>2.9000000000000001E-2</v>
      </c>
      <c r="DP17" s="64">
        <v>5.8000000000000003E-2</v>
      </c>
      <c r="DQ17" s="63">
        <v>6.82</v>
      </c>
      <c r="DR17" s="61">
        <v>7.2</v>
      </c>
      <c r="DS17" s="64">
        <v>1.143</v>
      </c>
      <c r="DT17" s="61">
        <v>86.3</v>
      </c>
      <c r="DU17" s="63">
        <v>4.28</v>
      </c>
      <c r="DV17" s="64">
        <v>1.8320000000000001</v>
      </c>
      <c r="DW17" s="64">
        <v>0.746</v>
      </c>
      <c r="DX17" s="66" t="s">
        <v>242</v>
      </c>
      <c r="DY17" s="65" t="str">
        <f t="shared" si="41"/>
        <v>ME</v>
      </c>
      <c r="DZ17" s="128">
        <v>10</v>
      </c>
      <c r="EA17" s="173">
        <f t="shared" si="42"/>
        <v>0.10093582887700535</v>
      </c>
      <c r="EB17" s="173">
        <f t="shared" si="43"/>
        <v>0.16250000000000001</v>
      </c>
      <c r="EC17" s="173">
        <f t="shared" si="44"/>
        <v>0.86754966887417218</v>
      </c>
      <c r="ED17" s="63">
        <v>1.07</v>
      </c>
      <c r="EE17" s="63">
        <v>1.1499999999999999</v>
      </c>
      <c r="EF17" s="63">
        <v>0.04</v>
      </c>
      <c r="EG17" s="63">
        <v>7.0000000000000007E-2</v>
      </c>
      <c r="EH17" s="127" t="str">
        <f t="shared" si="5"/>
        <v>ME</v>
      </c>
      <c r="EI17" s="56">
        <v>10</v>
      </c>
      <c r="EJ17" s="334"/>
      <c r="EK17" s="334"/>
      <c r="EL17" s="334"/>
      <c r="EM17" s="334"/>
      <c r="EN17" s="334"/>
      <c r="EO17" s="334"/>
      <c r="EP17" s="334"/>
      <c r="EQ17" s="65" t="str">
        <f t="shared" si="45"/>
        <v>ME</v>
      </c>
      <c r="ER17" s="20"/>
      <c r="ES17" s="20"/>
      <c r="ET17" s="20"/>
      <c r="EU17" s="20"/>
      <c r="EV17" s="20"/>
      <c r="EW17" s="20"/>
      <c r="EX17" s="20"/>
    </row>
    <row r="18" spans="1:154" s="3" customFormat="1" ht="17.149999999999999" customHeight="1" x14ac:dyDescent="0.25">
      <c r="A18" s="56">
        <v>11</v>
      </c>
      <c r="B18" s="57">
        <v>861428</v>
      </c>
      <c r="C18" s="58">
        <f t="shared" si="6"/>
        <v>175</v>
      </c>
      <c r="D18" s="167">
        <v>9.66</v>
      </c>
      <c r="E18" s="57">
        <v>765828</v>
      </c>
      <c r="F18" s="58">
        <f t="shared" si="7"/>
        <v>148</v>
      </c>
      <c r="G18" s="168">
        <v>1.44</v>
      </c>
      <c r="H18" s="57">
        <v>729405</v>
      </c>
      <c r="I18" s="58">
        <f t="shared" si="0"/>
        <v>151</v>
      </c>
      <c r="J18" s="60" t="s">
        <v>194</v>
      </c>
      <c r="K18" s="56">
        <v>11</v>
      </c>
      <c r="L18" s="57">
        <v>67513</v>
      </c>
      <c r="M18" s="58" t="str">
        <f t="shared" si="8"/>
        <v/>
      </c>
      <c r="N18" s="57">
        <v>170263</v>
      </c>
      <c r="O18" s="58">
        <f t="shared" si="9"/>
        <v>40</v>
      </c>
      <c r="P18" s="57">
        <v>194713</v>
      </c>
      <c r="Q18" s="169" t="str">
        <f t="shared" si="1"/>
        <v/>
      </c>
      <c r="R18" s="57">
        <v>653</v>
      </c>
      <c r="S18" s="57">
        <v>661</v>
      </c>
      <c r="T18" s="57">
        <v>136</v>
      </c>
      <c r="U18" s="57">
        <v>133</v>
      </c>
      <c r="V18" s="58" t="str">
        <f t="shared" si="10"/>
        <v>ME</v>
      </c>
      <c r="W18" s="56">
        <v>11</v>
      </c>
      <c r="X18" s="63">
        <v>11331.1</v>
      </c>
      <c r="Y18" s="130">
        <f t="shared" si="11"/>
        <v>3.1499999999996362</v>
      </c>
      <c r="Z18" s="63">
        <v>12096.9</v>
      </c>
      <c r="AA18" s="130">
        <f t="shared" si="12"/>
        <v>1.9099999999998545</v>
      </c>
      <c r="AB18" s="63">
        <v>9575.4699999999993</v>
      </c>
      <c r="AC18" s="130">
        <f t="shared" si="13"/>
        <v>2.5500000000010914</v>
      </c>
      <c r="AD18" s="63">
        <v>9671.5300000000007</v>
      </c>
      <c r="AE18" s="130">
        <f t="shared" si="2"/>
        <v>1.4799999999995634</v>
      </c>
      <c r="AF18" s="125" t="str">
        <f t="shared" si="14"/>
        <v>ME</v>
      </c>
      <c r="AG18" s="56">
        <v>11</v>
      </c>
      <c r="AH18" s="63">
        <v>45158.52</v>
      </c>
      <c r="AI18" s="130">
        <f t="shared" si="15"/>
        <v>12.069999999999709</v>
      </c>
      <c r="AJ18" s="63">
        <v>47294.84</v>
      </c>
      <c r="AK18" s="130">
        <f t="shared" si="16"/>
        <v>11.260000000002037</v>
      </c>
      <c r="AL18" s="63">
        <v>585.26</v>
      </c>
      <c r="AM18" s="130" t="str">
        <f t="shared" si="17"/>
        <v/>
      </c>
      <c r="AN18" s="63">
        <v>546.34</v>
      </c>
      <c r="AO18" s="130" t="str">
        <f t="shared" si="3"/>
        <v/>
      </c>
      <c r="AP18" s="125" t="str">
        <f t="shared" si="18"/>
        <v>ME</v>
      </c>
      <c r="AQ18" s="56">
        <v>11</v>
      </c>
      <c r="AR18" s="63">
        <v>6507.15</v>
      </c>
      <c r="AS18" s="130" t="str">
        <f t="shared" si="19"/>
        <v/>
      </c>
      <c r="AT18" s="63">
        <v>7161.32</v>
      </c>
      <c r="AU18" s="130">
        <f t="shared" si="20"/>
        <v>4.4000000000005457</v>
      </c>
      <c r="AV18" s="63">
        <v>247.57</v>
      </c>
      <c r="AW18" s="130" t="str">
        <f t="shared" si="46"/>
        <v/>
      </c>
      <c r="AX18" s="63">
        <v>235.36</v>
      </c>
      <c r="AY18" s="130" t="str">
        <f t="shared" si="4"/>
        <v/>
      </c>
      <c r="AZ18" s="125" t="str">
        <f t="shared" si="22"/>
        <v>ME</v>
      </c>
      <c r="BA18" s="56">
        <v>11</v>
      </c>
      <c r="BB18" s="64">
        <v>0.86199999999999999</v>
      </c>
      <c r="BC18" s="62">
        <v>13</v>
      </c>
      <c r="BD18" s="61">
        <v>7.3</v>
      </c>
      <c r="BE18" s="61">
        <v>2.6</v>
      </c>
      <c r="BF18" s="61">
        <v>12.2</v>
      </c>
      <c r="BG18" s="61">
        <v>7.3</v>
      </c>
      <c r="BH18" s="64">
        <v>0.26900000000000002</v>
      </c>
      <c r="BI18" s="64">
        <v>0.25600000000000001</v>
      </c>
      <c r="BJ18" s="64">
        <v>5.5E-2</v>
      </c>
      <c r="BK18" s="64">
        <v>4.8000000000000001E-2</v>
      </c>
      <c r="BL18" s="64">
        <v>5.3999999999999999E-2</v>
      </c>
      <c r="BM18" s="64">
        <v>5.1999999999999998E-2</v>
      </c>
      <c r="BN18" s="65" t="str">
        <f t="shared" si="23"/>
        <v>ME</v>
      </c>
      <c r="BO18" s="56">
        <v>11</v>
      </c>
      <c r="BP18" s="64">
        <v>8.1000000000000003E-2</v>
      </c>
      <c r="BQ18" s="62">
        <v>0</v>
      </c>
      <c r="BR18" s="61">
        <v>7.3</v>
      </c>
      <c r="BS18" s="61">
        <v>7.1</v>
      </c>
      <c r="BT18" s="61">
        <v>16.899999999999999</v>
      </c>
      <c r="BU18" s="64">
        <v>1.2E-2</v>
      </c>
      <c r="BV18" s="63">
        <v>1.1000000000000001</v>
      </c>
      <c r="BW18" s="63">
        <v>1.02</v>
      </c>
      <c r="BX18" s="66" t="s">
        <v>245</v>
      </c>
      <c r="BY18" s="172" t="s">
        <v>246</v>
      </c>
      <c r="BZ18" s="67" t="str">
        <f t="shared" si="24"/>
        <v>ME</v>
      </c>
      <c r="CA18" s="56">
        <v>11</v>
      </c>
      <c r="CB18" s="61">
        <v>83</v>
      </c>
      <c r="CC18" s="61">
        <v>95.6</v>
      </c>
      <c r="CD18" s="68">
        <f t="shared" si="25"/>
        <v>1.6999999999999886</v>
      </c>
      <c r="CE18" s="69">
        <f t="shared" si="26"/>
        <v>7.9122504999999475</v>
      </c>
      <c r="CF18" s="69">
        <f t="shared" si="27"/>
        <v>6.2878811920529376</v>
      </c>
      <c r="CG18" s="62">
        <v>136</v>
      </c>
      <c r="CH18" s="62">
        <v>100</v>
      </c>
      <c r="CI18" s="65" t="str">
        <f t="shared" si="28"/>
        <v>ME</v>
      </c>
      <c r="CJ18" s="56">
        <v>11</v>
      </c>
      <c r="CK18" s="61">
        <v>89.9</v>
      </c>
      <c r="CL18" s="61"/>
      <c r="CM18" s="68">
        <f t="shared" si="29"/>
        <v>2.1000000000000085</v>
      </c>
      <c r="CN18" s="68">
        <f t="shared" si="30"/>
        <v>9.7739565000000397</v>
      </c>
      <c r="CO18" s="68">
        <f t="shared" si="31"/>
        <v>22.209221727000092</v>
      </c>
      <c r="CP18" s="62">
        <v>53</v>
      </c>
      <c r="CQ18" s="62">
        <v>83</v>
      </c>
      <c r="CR18" s="65" t="str">
        <f t="shared" si="32"/>
        <v>ME</v>
      </c>
      <c r="CS18" s="56">
        <v>11</v>
      </c>
      <c r="CT18" s="61">
        <v>96.9</v>
      </c>
      <c r="CU18" s="61">
        <v>92.5</v>
      </c>
      <c r="CV18" s="68">
        <f t="shared" si="33"/>
        <v>1.7999999999999972</v>
      </c>
      <c r="CW18" s="68">
        <f t="shared" si="34"/>
        <v>11.959631999999981</v>
      </c>
      <c r="CX18" s="69">
        <f t="shared" si="35"/>
        <v>6.8340754285714178E-2</v>
      </c>
      <c r="CY18" s="66" t="s">
        <v>240</v>
      </c>
      <c r="CZ18" s="66" t="s">
        <v>241</v>
      </c>
      <c r="DA18" s="66" t="s">
        <v>242</v>
      </c>
      <c r="DB18" s="65" t="str">
        <f t="shared" si="36"/>
        <v>ME</v>
      </c>
      <c r="DC18" s="56">
        <v>11</v>
      </c>
      <c r="DD18" s="61">
        <v>89.6</v>
      </c>
      <c r="DE18" s="61">
        <v>103.4</v>
      </c>
      <c r="DF18" s="68">
        <f t="shared" si="37"/>
        <v>12.900000000000006</v>
      </c>
      <c r="DG18" s="69">
        <f t="shared" si="38"/>
        <v>0.69597085152000038</v>
      </c>
      <c r="DH18" s="68">
        <f t="shared" si="39"/>
        <v>3.9769762944000018</v>
      </c>
      <c r="DI18" s="62">
        <v>90</v>
      </c>
      <c r="DJ18" s="62">
        <v>54</v>
      </c>
      <c r="DK18" s="65" t="str">
        <f t="shared" si="40"/>
        <v>ME</v>
      </c>
      <c r="DL18" s="56">
        <v>11</v>
      </c>
      <c r="DM18" s="63">
        <v>7.12</v>
      </c>
      <c r="DN18" s="64">
        <v>2.4E-2</v>
      </c>
      <c r="DO18" s="64">
        <v>2.5000000000000001E-2</v>
      </c>
      <c r="DP18" s="64">
        <v>5.7000000000000002E-2</v>
      </c>
      <c r="DQ18" s="63">
        <v>6.81</v>
      </c>
      <c r="DR18" s="61">
        <v>7.1</v>
      </c>
      <c r="DS18" s="64">
        <v>1.026</v>
      </c>
      <c r="DT18" s="61">
        <v>86.4</v>
      </c>
      <c r="DU18" s="63">
        <v>4.1100000000000003</v>
      </c>
      <c r="DV18" s="64">
        <v>1.147</v>
      </c>
      <c r="DW18" s="64">
        <v>0.434</v>
      </c>
      <c r="DX18" s="66" t="s">
        <v>242</v>
      </c>
      <c r="DY18" s="65" t="str">
        <f t="shared" si="41"/>
        <v>ME</v>
      </c>
      <c r="DZ18" s="128">
        <v>11</v>
      </c>
      <c r="EA18" s="173">
        <f t="shared" si="42"/>
        <v>0.11697860962566844</v>
      </c>
      <c r="EB18" s="173">
        <f t="shared" si="43"/>
        <v>0.10882352941176471</v>
      </c>
      <c r="EC18" s="173">
        <f t="shared" si="44"/>
        <v>0.86285714285714288</v>
      </c>
      <c r="ED18" s="63">
        <v>0.99</v>
      </c>
      <c r="EE18" s="63">
        <v>1.27</v>
      </c>
      <c r="EF18" s="63">
        <v>0.03</v>
      </c>
      <c r="EG18" s="63">
        <v>0.06</v>
      </c>
      <c r="EH18" s="127" t="str">
        <f t="shared" si="5"/>
        <v>ME</v>
      </c>
      <c r="EI18" s="56">
        <v>11</v>
      </c>
      <c r="EJ18" s="334"/>
      <c r="EK18" s="334"/>
      <c r="EL18" s="334"/>
      <c r="EM18" s="334"/>
      <c r="EN18" s="334"/>
      <c r="EO18" s="334"/>
      <c r="EP18" s="334"/>
      <c r="EQ18" s="65" t="str">
        <f t="shared" si="45"/>
        <v>ME</v>
      </c>
      <c r="ER18" s="20"/>
      <c r="ES18" s="20"/>
      <c r="ET18" s="20"/>
      <c r="EU18" s="20"/>
      <c r="EV18" s="20"/>
      <c r="EW18" s="20"/>
      <c r="EX18" s="20"/>
    </row>
    <row r="19" spans="1:154" s="3" customFormat="1" ht="17.149999999999999" customHeight="1" x14ac:dyDescent="0.25">
      <c r="A19" s="56">
        <v>12</v>
      </c>
      <c r="B19" s="57">
        <v>861603</v>
      </c>
      <c r="C19" s="58">
        <f t="shared" si="6"/>
        <v>135</v>
      </c>
      <c r="D19" s="167">
        <v>9.81</v>
      </c>
      <c r="E19" s="57">
        <v>765976</v>
      </c>
      <c r="F19" s="58">
        <f t="shared" si="7"/>
        <v>148</v>
      </c>
      <c r="G19" s="168">
        <v>3.33</v>
      </c>
      <c r="H19" s="57">
        <v>729556</v>
      </c>
      <c r="I19" s="58">
        <f t="shared" si="0"/>
        <v>115</v>
      </c>
      <c r="J19" s="60" t="s">
        <v>194</v>
      </c>
      <c r="K19" s="56">
        <v>12</v>
      </c>
      <c r="L19" s="57">
        <v>67513</v>
      </c>
      <c r="M19" s="58" t="str">
        <f t="shared" si="8"/>
        <v/>
      </c>
      <c r="N19" s="57">
        <v>170303</v>
      </c>
      <c r="O19" s="58">
        <f t="shared" si="9"/>
        <v>28</v>
      </c>
      <c r="P19" s="57">
        <v>194713</v>
      </c>
      <c r="Q19" s="169" t="str">
        <f t="shared" si="1"/>
        <v/>
      </c>
      <c r="R19" s="57">
        <v>653</v>
      </c>
      <c r="S19" s="57">
        <v>661</v>
      </c>
      <c r="T19" s="57">
        <v>136</v>
      </c>
      <c r="U19" s="57">
        <v>133</v>
      </c>
      <c r="V19" s="58" t="str">
        <f t="shared" si="10"/>
        <v>ME</v>
      </c>
      <c r="W19" s="56">
        <v>12</v>
      </c>
      <c r="X19" s="63">
        <v>11334.25</v>
      </c>
      <c r="Y19" s="130">
        <f t="shared" si="11"/>
        <v>1.9099999999998545</v>
      </c>
      <c r="Z19" s="63">
        <v>12098.81</v>
      </c>
      <c r="AA19" s="130">
        <f t="shared" si="12"/>
        <v>2.0200000000004366</v>
      </c>
      <c r="AB19" s="63">
        <v>9578.02</v>
      </c>
      <c r="AC19" s="130">
        <f t="shared" si="13"/>
        <v>1.5</v>
      </c>
      <c r="AD19" s="63">
        <v>9673.01</v>
      </c>
      <c r="AE19" s="130">
        <f t="shared" si="2"/>
        <v>1.5599999999994907</v>
      </c>
      <c r="AF19" s="125" t="str">
        <f t="shared" si="14"/>
        <v>ME</v>
      </c>
      <c r="AG19" s="56">
        <v>12</v>
      </c>
      <c r="AH19" s="63">
        <v>45170.59</v>
      </c>
      <c r="AI19" s="130">
        <f t="shared" si="15"/>
        <v>11.940000000002328</v>
      </c>
      <c r="AJ19" s="63">
        <v>47306.1</v>
      </c>
      <c r="AK19" s="130">
        <f t="shared" si="16"/>
        <v>11.880000000004657</v>
      </c>
      <c r="AL19" s="63">
        <v>585.26</v>
      </c>
      <c r="AM19" s="130" t="str">
        <f t="shared" si="17"/>
        <v/>
      </c>
      <c r="AN19" s="63">
        <v>546.34</v>
      </c>
      <c r="AO19" s="130" t="str">
        <f t="shared" si="3"/>
        <v/>
      </c>
      <c r="AP19" s="125" t="str">
        <f t="shared" si="18"/>
        <v>ME</v>
      </c>
      <c r="AQ19" s="56">
        <v>12</v>
      </c>
      <c r="AR19" s="63">
        <v>6507.15</v>
      </c>
      <c r="AS19" s="130" t="str">
        <f t="shared" si="19"/>
        <v/>
      </c>
      <c r="AT19" s="63">
        <v>7165.72</v>
      </c>
      <c r="AU19" s="130">
        <f t="shared" si="20"/>
        <v>2.9699999999993452</v>
      </c>
      <c r="AV19" s="63">
        <v>247.57</v>
      </c>
      <c r="AW19" s="130" t="str">
        <f t="shared" si="46"/>
        <v/>
      </c>
      <c r="AX19" s="63">
        <v>235.36</v>
      </c>
      <c r="AY19" s="130" t="str">
        <f t="shared" si="4"/>
        <v/>
      </c>
      <c r="AZ19" s="125" t="str">
        <f t="shared" si="22"/>
        <v>ME</v>
      </c>
      <c r="BA19" s="56">
        <v>12</v>
      </c>
      <c r="BB19" s="64">
        <v>0.71499999999999997</v>
      </c>
      <c r="BC19" s="62">
        <v>43</v>
      </c>
      <c r="BD19" s="61">
        <v>7.3</v>
      </c>
      <c r="BE19" s="61">
        <v>2.6</v>
      </c>
      <c r="BF19" s="61">
        <v>14.2</v>
      </c>
      <c r="BG19" s="61">
        <v>7.3</v>
      </c>
      <c r="BH19" s="64">
        <v>0.31900000000000001</v>
      </c>
      <c r="BI19" s="64">
        <v>0.246</v>
      </c>
      <c r="BJ19" s="64">
        <v>0.05</v>
      </c>
      <c r="BK19" s="64">
        <v>4.5999999999999999E-2</v>
      </c>
      <c r="BL19" s="64">
        <v>6.0999999999999999E-2</v>
      </c>
      <c r="BM19" s="64">
        <v>4.8000000000000001E-2</v>
      </c>
      <c r="BN19" s="65" t="str">
        <f t="shared" si="23"/>
        <v>ME</v>
      </c>
      <c r="BO19" s="56">
        <v>12</v>
      </c>
      <c r="BP19" s="64">
        <v>8.7999999999999995E-2</v>
      </c>
      <c r="BQ19" s="62">
        <v>0</v>
      </c>
      <c r="BR19" s="61">
        <v>7.3</v>
      </c>
      <c r="BS19" s="61">
        <v>7.1</v>
      </c>
      <c r="BT19" s="61">
        <v>17.399999999999999</v>
      </c>
      <c r="BU19" s="64">
        <v>8.0000000000000002E-3</v>
      </c>
      <c r="BV19" s="63">
        <v>1.17</v>
      </c>
      <c r="BW19" s="63">
        <v>1.08</v>
      </c>
      <c r="BX19" s="66" t="s">
        <v>245</v>
      </c>
      <c r="BY19" s="172" t="s">
        <v>246</v>
      </c>
      <c r="BZ19" s="67" t="str">
        <f t="shared" si="24"/>
        <v>ME</v>
      </c>
      <c r="CA19" s="56">
        <v>12</v>
      </c>
      <c r="CB19" s="61">
        <v>93.9</v>
      </c>
      <c r="CC19" s="61"/>
      <c r="CD19" s="68">
        <f t="shared" si="25"/>
        <v>1.7000000000000028</v>
      </c>
      <c r="CE19" s="69">
        <f t="shared" si="26"/>
        <v>7.9122505000000141</v>
      </c>
      <c r="CF19" s="69">
        <f t="shared" si="27"/>
        <v>8.2562613913043634</v>
      </c>
      <c r="CG19" s="62">
        <v>128</v>
      </c>
      <c r="CH19" s="62">
        <v>100</v>
      </c>
      <c r="CI19" s="65" t="str">
        <f t="shared" si="28"/>
        <v>ME</v>
      </c>
      <c r="CJ19" s="56">
        <v>12</v>
      </c>
      <c r="CK19" s="61">
        <v>87.8</v>
      </c>
      <c r="CL19" s="61"/>
      <c r="CM19" s="68">
        <f t="shared" si="29"/>
        <v>1.5999999999999943</v>
      </c>
      <c r="CN19" s="68">
        <f t="shared" si="30"/>
        <v>7.4468239999999746</v>
      </c>
      <c r="CO19" s="68">
        <f t="shared" si="31"/>
        <v>21.935033804444373</v>
      </c>
      <c r="CP19" s="62">
        <v>55</v>
      </c>
      <c r="CQ19" s="62">
        <v>83</v>
      </c>
      <c r="CR19" s="65" t="str">
        <f t="shared" si="32"/>
        <v>ME</v>
      </c>
      <c r="CS19" s="56">
        <v>12</v>
      </c>
      <c r="CT19" s="61">
        <v>90.7</v>
      </c>
      <c r="CU19" s="61"/>
      <c r="CV19" s="68">
        <f t="shared" si="33"/>
        <v>1.5</v>
      </c>
      <c r="CW19" s="68">
        <f t="shared" si="34"/>
        <v>9.9663599999999999</v>
      </c>
      <c r="CX19" s="69">
        <f t="shared" si="35"/>
        <v>7.3824888888888884E-2</v>
      </c>
      <c r="CY19" s="66" t="s">
        <v>251</v>
      </c>
      <c r="CZ19" s="66" t="s">
        <v>241</v>
      </c>
      <c r="DA19" s="66"/>
      <c r="DB19" s="65" t="str">
        <f t="shared" si="36"/>
        <v>ME</v>
      </c>
      <c r="DC19" s="56">
        <v>12</v>
      </c>
      <c r="DD19" s="61">
        <v>90.5</v>
      </c>
      <c r="DE19" s="61">
        <v>103</v>
      </c>
      <c r="DF19" s="68">
        <f t="shared" si="37"/>
        <v>11.900000000000006</v>
      </c>
      <c r="DG19" s="69">
        <f t="shared" si="38"/>
        <v>0.64201962272000035</v>
      </c>
      <c r="DH19" s="68">
        <f t="shared" si="39"/>
        <v>4.7557009090370395</v>
      </c>
      <c r="DI19" s="62">
        <v>92</v>
      </c>
      <c r="DJ19" s="62">
        <v>54</v>
      </c>
      <c r="DK19" s="65" t="str">
        <f t="shared" si="40"/>
        <v>ME</v>
      </c>
      <c r="DL19" s="56">
        <v>12</v>
      </c>
      <c r="DM19" s="63">
        <v>8.8699999999999992</v>
      </c>
      <c r="DN19" s="64">
        <v>2.3E-2</v>
      </c>
      <c r="DO19" s="64">
        <v>2.5999999999999999E-2</v>
      </c>
      <c r="DP19" s="64">
        <v>5.5E-2</v>
      </c>
      <c r="DQ19" s="63">
        <v>6.82</v>
      </c>
      <c r="DR19" s="61">
        <v>7.1</v>
      </c>
      <c r="DS19" s="64">
        <v>1.147</v>
      </c>
      <c r="DT19" s="61">
        <v>85.3</v>
      </c>
      <c r="DU19" s="63">
        <v>4.21</v>
      </c>
      <c r="DV19" s="64">
        <v>0.66800000000000004</v>
      </c>
      <c r="DW19" s="64">
        <v>0.48599999999999999</v>
      </c>
      <c r="DX19" s="66" t="s">
        <v>242</v>
      </c>
      <c r="DY19" s="65" t="str">
        <f t="shared" si="41"/>
        <v>ME</v>
      </c>
      <c r="DZ19" s="128">
        <v>12</v>
      </c>
      <c r="EA19" s="173">
        <f t="shared" si="42"/>
        <v>9.0240641711229946E-2</v>
      </c>
      <c r="EB19" s="173">
        <f t="shared" si="43"/>
        <v>0.10882352941176471</v>
      </c>
      <c r="EC19" s="173">
        <f t="shared" si="44"/>
        <v>0.85185185185185186</v>
      </c>
      <c r="ED19" s="63">
        <v>1.04</v>
      </c>
      <c r="EE19" s="63">
        <v>1.19</v>
      </c>
      <c r="EF19" s="63">
        <v>0.03</v>
      </c>
      <c r="EG19" s="63">
        <v>0.06</v>
      </c>
      <c r="EH19" s="127" t="str">
        <f t="shared" si="5"/>
        <v>ME</v>
      </c>
      <c r="EI19" s="56">
        <v>12</v>
      </c>
      <c r="EJ19" s="334"/>
      <c r="EK19" s="334"/>
      <c r="EL19" s="334"/>
      <c r="EM19" s="334"/>
      <c r="EN19" s="334"/>
      <c r="EO19" s="334"/>
      <c r="EP19" s="334"/>
      <c r="EQ19" s="65" t="str">
        <f t="shared" si="45"/>
        <v>ME</v>
      </c>
      <c r="ER19" s="20"/>
      <c r="ES19" s="20"/>
      <c r="ET19" s="20"/>
      <c r="EU19" s="20"/>
      <c r="EV19" s="20"/>
      <c r="EW19" s="20"/>
      <c r="EX19" s="20"/>
    </row>
    <row r="20" spans="1:154" s="3" customFormat="1" ht="17.149999999999999" customHeight="1" x14ac:dyDescent="0.25">
      <c r="A20" s="56">
        <v>13</v>
      </c>
      <c r="B20" s="57">
        <v>861738</v>
      </c>
      <c r="C20" s="58">
        <f t="shared" si="6"/>
        <v>182</v>
      </c>
      <c r="D20" s="167">
        <v>9.89</v>
      </c>
      <c r="E20" s="59">
        <v>766124</v>
      </c>
      <c r="F20" s="58">
        <f t="shared" si="7"/>
        <v>153</v>
      </c>
      <c r="G20" s="168">
        <v>2.83</v>
      </c>
      <c r="H20" s="57">
        <v>729671</v>
      </c>
      <c r="I20" s="58">
        <f t="shared" si="0"/>
        <v>120</v>
      </c>
      <c r="J20" s="60" t="s">
        <v>194</v>
      </c>
      <c r="K20" s="56">
        <v>13</v>
      </c>
      <c r="L20" s="57">
        <v>67513</v>
      </c>
      <c r="M20" s="58">
        <f t="shared" si="8"/>
        <v>42</v>
      </c>
      <c r="N20" s="59">
        <v>170331</v>
      </c>
      <c r="O20" s="58">
        <f t="shared" si="9"/>
        <v>45</v>
      </c>
      <c r="P20" s="57">
        <v>194713</v>
      </c>
      <c r="Q20" s="169" t="str">
        <f t="shared" si="1"/>
        <v/>
      </c>
      <c r="R20" s="57">
        <v>653</v>
      </c>
      <c r="S20" s="57">
        <v>661</v>
      </c>
      <c r="T20" s="57">
        <v>136</v>
      </c>
      <c r="U20" s="57">
        <v>133</v>
      </c>
      <c r="V20" s="58" t="str">
        <f t="shared" si="10"/>
        <v>ME</v>
      </c>
      <c r="W20" s="56">
        <v>13</v>
      </c>
      <c r="X20" s="63">
        <v>11336.16</v>
      </c>
      <c r="Y20" s="130">
        <f t="shared" si="11"/>
        <v>4.1200000000008004</v>
      </c>
      <c r="Z20" s="63">
        <v>12100.83</v>
      </c>
      <c r="AA20" s="130">
        <f t="shared" si="12"/>
        <v>1.3299999999999272</v>
      </c>
      <c r="AB20" s="63">
        <v>9579.52</v>
      </c>
      <c r="AC20" s="130">
        <f t="shared" si="13"/>
        <v>1.6199999999989814</v>
      </c>
      <c r="AD20" s="63">
        <v>9674.57</v>
      </c>
      <c r="AE20" s="130">
        <f t="shared" si="2"/>
        <v>1.5799999999999272</v>
      </c>
      <c r="AF20" s="125" t="str">
        <f t="shared" si="14"/>
        <v>ME</v>
      </c>
      <c r="AG20" s="56">
        <v>13</v>
      </c>
      <c r="AH20" s="63">
        <v>45182.53</v>
      </c>
      <c r="AI20" s="130">
        <f t="shared" si="15"/>
        <v>11.919999999998254</v>
      </c>
      <c r="AJ20" s="63">
        <v>47317.98</v>
      </c>
      <c r="AK20" s="130">
        <f t="shared" si="16"/>
        <v>12.129999999997381</v>
      </c>
      <c r="AL20" s="63">
        <v>585.26</v>
      </c>
      <c r="AM20" s="130" t="str">
        <f t="shared" si="17"/>
        <v/>
      </c>
      <c r="AN20" s="63">
        <v>546.34</v>
      </c>
      <c r="AO20" s="130" t="str">
        <f t="shared" si="3"/>
        <v/>
      </c>
      <c r="AP20" s="125" t="str">
        <f t="shared" si="18"/>
        <v>ME</v>
      </c>
      <c r="AQ20" s="56">
        <v>13</v>
      </c>
      <c r="AR20" s="63">
        <v>6507.15</v>
      </c>
      <c r="AS20" s="130" t="str">
        <f t="shared" si="19"/>
        <v/>
      </c>
      <c r="AT20" s="63">
        <v>7168.69</v>
      </c>
      <c r="AU20" s="130">
        <f t="shared" si="20"/>
        <v>3.7600000000002183</v>
      </c>
      <c r="AV20" s="63">
        <v>247.57</v>
      </c>
      <c r="AW20" s="130" t="str">
        <f t="shared" si="46"/>
        <v/>
      </c>
      <c r="AX20" s="63">
        <v>235.36</v>
      </c>
      <c r="AY20" s="130">
        <f t="shared" si="4"/>
        <v>0.33999999999997499</v>
      </c>
      <c r="AZ20" s="125" t="str">
        <f t="shared" si="22"/>
        <v>ME</v>
      </c>
      <c r="BA20" s="56">
        <v>13</v>
      </c>
      <c r="BB20" s="64">
        <v>0.69399999999999995</v>
      </c>
      <c r="BC20" s="62">
        <v>28</v>
      </c>
      <c r="BD20" s="61">
        <v>7.2</v>
      </c>
      <c r="BE20" s="61">
        <v>2.8</v>
      </c>
      <c r="BF20" s="61">
        <v>13.7</v>
      </c>
      <c r="BG20" s="61">
        <v>7.2</v>
      </c>
      <c r="BH20" s="64">
        <v>0.29599999999999999</v>
      </c>
      <c r="BI20" s="64">
        <v>0.27100000000000002</v>
      </c>
      <c r="BJ20" s="64">
        <v>5.8000000000000003E-2</v>
      </c>
      <c r="BK20" s="64">
        <v>5.7000000000000002E-2</v>
      </c>
      <c r="BL20" s="64">
        <v>0.05</v>
      </c>
      <c r="BM20" s="64">
        <v>4.9000000000000002E-2</v>
      </c>
      <c r="BN20" s="65" t="str">
        <f t="shared" si="23"/>
        <v>ME</v>
      </c>
      <c r="BO20" s="56">
        <v>13</v>
      </c>
      <c r="BP20" s="64">
        <v>0.08</v>
      </c>
      <c r="BQ20" s="62">
        <v>0</v>
      </c>
      <c r="BR20" s="61">
        <v>7.2</v>
      </c>
      <c r="BS20" s="61">
        <v>7.2</v>
      </c>
      <c r="BT20" s="61">
        <v>17.2</v>
      </c>
      <c r="BU20" s="64">
        <v>0.01</v>
      </c>
      <c r="BV20" s="63">
        <v>1.23</v>
      </c>
      <c r="BW20" s="63">
        <v>1.1000000000000001</v>
      </c>
      <c r="BX20" s="66" t="s">
        <v>253</v>
      </c>
      <c r="BY20" s="172" t="s">
        <v>246</v>
      </c>
      <c r="BZ20" s="67" t="str">
        <f t="shared" si="24"/>
        <v>ME</v>
      </c>
      <c r="CA20" s="56">
        <v>13</v>
      </c>
      <c r="CB20" s="61">
        <v>92.2</v>
      </c>
      <c r="CC20" s="61"/>
      <c r="CD20" s="68">
        <f t="shared" si="25"/>
        <v>1.4000000000000057</v>
      </c>
      <c r="CE20" s="69">
        <f t="shared" si="26"/>
        <v>6.515971000000027</v>
      </c>
      <c r="CF20" s="69">
        <f t="shared" si="27"/>
        <v>6.5159710000000262</v>
      </c>
      <c r="CG20" s="62">
        <v>100</v>
      </c>
      <c r="CH20" s="62">
        <v>100</v>
      </c>
      <c r="CI20" s="65" t="str">
        <f t="shared" si="28"/>
        <v>ME</v>
      </c>
      <c r="CJ20" s="56">
        <v>13</v>
      </c>
      <c r="CK20" s="61">
        <v>86.2</v>
      </c>
      <c r="CL20" s="61">
        <v>97.9</v>
      </c>
      <c r="CM20" s="68">
        <f t="shared" si="29"/>
        <v>2.3000000000000114</v>
      </c>
      <c r="CN20" s="68">
        <f t="shared" si="30"/>
        <v>10.704809500000055</v>
      </c>
      <c r="CO20" s="68">
        <f t="shared" si="31"/>
        <v>23.388832404807815</v>
      </c>
      <c r="CP20" s="62">
        <v>55</v>
      </c>
      <c r="CQ20" s="62">
        <v>83</v>
      </c>
      <c r="CR20" s="65" t="str">
        <f t="shared" si="32"/>
        <v>ME</v>
      </c>
      <c r="CS20" s="56">
        <v>13</v>
      </c>
      <c r="CT20" s="61">
        <v>89.2</v>
      </c>
      <c r="CU20" s="61">
        <v>113.5</v>
      </c>
      <c r="CV20" s="68">
        <f t="shared" si="33"/>
        <v>1.2999999999999972</v>
      </c>
      <c r="CW20" s="68">
        <f t="shared" si="34"/>
        <v>8.6375119999999814</v>
      </c>
      <c r="CX20" s="69">
        <f t="shared" si="35"/>
        <v>4.7458857142857039E-2</v>
      </c>
      <c r="CY20" s="66" t="s">
        <v>251</v>
      </c>
      <c r="CZ20" s="66" t="s">
        <v>241</v>
      </c>
      <c r="DA20" s="66"/>
      <c r="DB20" s="65" t="str">
        <f t="shared" si="36"/>
        <v>ME</v>
      </c>
      <c r="DC20" s="56">
        <v>13</v>
      </c>
      <c r="DD20" s="61">
        <v>91.1</v>
      </c>
      <c r="DE20" s="61">
        <v>106.9</v>
      </c>
      <c r="DF20" s="68">
        <f t="shared" si="37"/>
        <v>17.600000000000009</v>
      </c>
      <c r="DG20" s="69">
        <f t="shared" si="38"/>
        <v>0.94954162688000054</v>
      </c>
      <c r="DH20" s="68">
        <f t="shared" si="39"/>
        <v>5.217261686153849</v>
      </c>
      <c r="DI20" s="62">
        <v>93</v>
      </c>
      <c r="DJ20" s="62">
        <v>54</v>
      </c>
      <c r="DK20" s="65" t="str">
        <f t="shared" si="40"/>
        <v>ME</v>
      </c>
      <c r="DL20" s="56">
        <v>13</v>
      </c>
      <c r="DM20" s="63">
        <v>8.67</v>
      </c>
      <c r="DN20" s="64">
        <v>2.3E-2</v>
      </c>
      <c r="DO20" s="64">
        <v>2.5999999999999999E-2</v>
      </c>
      <c r="DP20" s="64">
        <v>5.3999999999999999E-2</v>
      </c>
      <c r="DQ20" s="63">
        <v>6.84</v>
      </c>
      <c r="DR20" s="61">
        <v>7.2</v>
      </c>
      <c r="DS20" s="64">
        <v>1.2070000000000001</v>
      </c>
      <c r="DT20" s="61">
        <v>83.5</v>
      </c>
      <c r="DU20" s="63">
        <v>4.2</v>
      </c>
      <c r="DV20" s="64">
        <v>0.68600000000000005</v>
      </c>
      <c r="DW20" s="64">
        <v>0.65800000000000003</v>
      </c>
      <c r="DX20" s="66" t="s">
        <v>247</v>
      </c>
      <c r="DY20" s="65" t="str">
        <f t="shared" si="41"/>
        <v>ME</v>
      </c>
      <c r="DZ20" s="128">
        <v>13</v>
      </c>
      <c r="EA20" s="173">
        <f t="shared" si="42"/>
        <v>0.12165775401069519</v>
      </c>
      <c r="EB20" s="173">
        <f t="shared" si="43"/>
        <v>0.1125</v>
      </c>
      <c r="EC20" s="173">
        <f t="shared" si="44"/>
        <v>0.65934065934065933</v>
      </c>
      <c r="ED20" s="63">
        <v>1.1599999999999999</v>
      </c>
      <c r="EE20" s="63">
        <v>1.26</v>
      </c>
      <c r="EF20" s="63">
        <v>0.03</v>
      </c>
      <c r="EG20" s="63">
        <v>7.0000000000000007E-2</v>
      </c>
      <c r="EH20" s="127" t="str">
        <f t="shared" si="5"/>
        <v>ME</v>
      </c>
      <c r="EI20" s="56">
        <v>13</v>
      </c>
      <c r="EJ20" s="334" t="s">
        <v>257</v>
      </c>
      <c r="EK20" s="334"/>
      <c r="EL20" s="334"/>
      <c r="EM20" s="334"/>
      <c r="EN20" s="334"/>
      <c r="EO20" s="334"/>
      <c r="EP20" s="334"/>
      <c r="EQ20" s="65" t="str">
        <f t="shared" si="45"/>
        <v>ME</v>
      </c>
      <c r="ER20" s="20"/>
      <c r="ES20" s="20"/>
      <c r="ET20" s="20"/>
      <c r="EU20" s="20"/>
      <c r="EV20" s="20"/>
      <c r="EW20" s="20"/>
      <c r="EX20" s="20"/>
    </row>
    <row r="21" spans="1:154" s="3" customFormat="1" ht="17.149999999999999" customHeight="1" x14ac:dyDescent="0.25">
      <c r="A21" s="56">
        <v>14</v>
      </c>
      <c r="B21" s="57">
        <v>861920</v>
      </c>
      <c r="C21" s="58">
        <f t="shared" si="6"/>
        <v>141</v>
      </c>
      <c r="D21" s="167">
        <v>8.82</v>
      </c>
      <c r="E21" s="59">
        <v>766277</v>
      </c>
      <c r="F21" s="58">
        <f t="shared" si="7"/>
        <v>136</v>
      </c>
      <c r="G21" s="168">
        <v>3.54</v>
      </c>
      <c r="H21" s="57">
        <v>729791</v>
      </c>
      <c r="I21" s="58">
        <f t="shared" si="0"/>
        <v>119</v>
      </c>
      <c r="J21" s="60" t="s">
        <v>194</v>
      </c>
      <c r="K21" s="56">
        <v>14</v>
      </c>
      <c r="L21" s="57">
        <v>67555</v>
      </c>
      <c r="M21" s="58" t="str">
        <f t="shared" si="8"/>
        <v/>
      </c>
      <c r="N21" s="59">
        <v>170376</v>
      </c>
      <c r="O21" s="58">
        <f t="shared" si="9"/>
        <v>40</v>
      </c>
      <c r="P21" s="57">
        <v>194713</v>
      </c>
      <c r="Q21" s="169" t="str">
        <f t="shared" si="1"/>
        <v/>
      </c>
      <c r="R21" s="57">
        <v>653</v>
      </c>
      <c r="S21" s="57">
        <v>662</v>
      </c>
      <c r="T21" s="57">
        <v>136</v>
      </c>
      <c r="U21" s="57">
        <v>133</v>
      </c>
      <c r="V21" s="58" t="str">
        <f t="shared" si="10"/>
        <v>ME</v>
      </c>
      <c r="W21" s="56">
        <v>14</v>
      </c>
      <c r="X21" s="63">
        <v>11340.28</v>
      </c>
      <c r="Y21" s="130">
        <f t="shared" si="11"/>
        <v>1.9599999999991269</v>
      </c>
      <c r="Z21" s="63">
        <v>12102.16</v>
      </c>
      <c r="AA21" s="130">
        <f t="shared" si="12"/>
        <v>2.1399999999994179</v>
      </c>
      <c r="AB21" s="63">
        <v>9581.14</v>
      </c>
      <c r="AC21" s="130">
        <f t="shared" si="13"/>
        <v>1.6500000000014552</v>
      </c>
      <c r="AD21" s="63">
        <v>9676.15</v>
      </c>
      <c r="AE21" s="130">
        <f t="shared" si="2"/>
        <v>1.5300000000006548</v>
      </c>
      <c r="AF21" s="125" t="str">
        <f t="shared" si="14"/>
        <v>ME</v>
      </c>
      <c r="AG21" s="56">
        <v>14</v>
      </c>
      <c r="AH21" s="63">
        <v>45194.45</v>
      </c>
      <c r="AI21" s="130">
        <f t="shared" si="15"/>
        <v>12.080000000001746</v>
      </c>
      <c r="AJ21" s="63">
        <v>47330.11</v>
      </c>
      <c r="AK21" s="130">
        <f t="shared" si="16"/>
        <v>10.069999999999709</v>
      </c>
      <c r="AL21" s="63">
        <v>585.26</v>
      </c>
      <c r="AM21" s="130" t="str">
        <f t="shared" si="17"/>
        <v/>
      </c>
      <c r="AN21" s="63">
        <v>546.34</v>
      </c>
      <c r="AO21" s="130" t="str">
        <f t="shared" si="3"/>
        <v/>
      </c>
      <c r="AP21" s="125" t="str">
        <f t="shared" si="18"/>
        <v>ME</v>
      </c>
      <c r="AQ21" s="56">
        <v>14</v>
      </c>
      <c r="AR21" s="63">
        <v>6507.15</v>
      </c>
      <c r="AS21" s="130" t="str">
        <f t="shared" si="19"/>
        <v/>
      </c>
      <c r="AT21" s="63">
        <v>7172.45</v>
      </c>
      <c r="AU21" s="130">
        <f t="shared" si="20"/>
        <v>3.6999999999998181</v>
      </c>
      <c r="AV21" s="63">
        <v>247.57</v>
      </c>
      <c r="AW21" s="130" t="str">
        <f t="shared" si="46"/>
        <v/>
      </c>
      <c r="AX21" s="63">
        <v>235.7</v>
      </c>
      <c r="AY21" s="130" t="str">
        <f t="shared" si="4"/>
        <v/>
      </c>
      <c r="AZ21" s="125" t="str">
        <f t="shared" si="22"/>
        <v>ME</v>
      </c>
      <c r="BA21" s="56">
        <v>14</v>
      </c>
      <c r="BB21" s="64">
        <v>0.69799999999999995</v>
      </c>
      <c r="BC21" s="62">
        <v>25</v>
      </c>
      <c r="BD21" s="61">
        <v>7.3</v>
      </c>
      <c r="BE21" s="61">
        <v>2.8</v>
      </c>
      <c r="BF21" s="61">
        <v>15.8</v>
      </c>
      <c r="BG21" s="61">
        <v>7.3</v>
      </c>
      <c r="BH21" s="64">
        <v>0.23200000000000001</v>
      </c>
      <c r="BI21" s="64">
        <v>0.217</v>
      </c>
      <c r="BJ21" s="64">
        <v>0.06</v>
      </c>
      <c r="BK21" s="64">
        <v>5.2999999999999999E-2</v>
      </c>
      <c r="BL21" s="64">
        <v>5.1999999999999998E-2</v>
      </c>
      <c r="BM21" s="64">
        <v>5.0999999999999997E-2</v>
      </c>
      <c r="BN21" s="65" t="str">
        <f t="shared" si="23"/>
        <v>ME</v>
      </c>
      <c r="BO21" s="56">
        <v>14</v>
      </c>
      <c r="BP21" s="64">
        <v>0.08</v>
      </c>
      <c r="BQ21" s="62">
        <v>0</v>
      </c>
      <c r="BR21" s="61">
        <v>7.3</v>
      </c>
      <c r="BS21" s="61">
        <v>7.2</v>
      </c>
      <c r="BT21" s="61">
        <v>17.8</v>
      </c>
      <c r="BU21" s="64">
        <v>1.2999999999999999E-2</v>
      </c>
      <c r="BV21" s="63">
        <v>1.27</v>
      </c>
      <c r="BW21" s="63">
        <v>1.01</v>
      </c>
      <c r="BX21" s="66" t="s">
        <v>255</v>
      </c>
      <c r="BY21" s="172" t="s">
        <v>246</v>
      </c>
      <c r="BZ21" s="67" t="str">
        <f t="shared" si="24"/>
        <v>ME</v>
      </c>
      <c r="CA21" s="56">
        <v>14</v>
      </c>
      <c r="CB21" s="61">
        <v>90.8</v>
      </c>
      <c r="CC21" s="61"/>
      <c r="CD21" s="68">
        <f t="shared" si="25"/>
        <v>1.2999999999999972</v>
      </c>
      <c r="CE21" s="69">
        <f t="shared" si="26"/>
        <v>6.0505444999999876</v>
      </c>
      <c r="CF21" s="69">
        <f t="shared" si="27"/>
        <v>6.1013894117646927</v>
      </c>
      <c r="CG21" s="62">
        <v>76</v>
      </c>
      <c r="CH21" s="62">
        <v>100</v>
      </c>
      <c r="CI21" s="65" t="str">
        <f t="shared" si="28"/>
        <v>ME</v>
      </c>
      <c r="CJ21" s="56">
        <v>14</v>
      </c>
      <c r="CK21" s="61">
        <v>95.6</v>
      </c>
      <c r="CL21" s="61"/>
      <c r="CM21" s="68">
        <f t="shared" si="29"/>
        <v>1.6999999999999886</v>
      </c>
      <c r="CN21" s="68">
        <f t="shared" si="30"/>
        <v>7.9122504999999475</v>
      </c>
      <c r="CO21" s="68">
        <f t="shared" si="31"/>
        <v>22.314229867553045</v>
      </c>
      <c r="CP21" s="62">
        <v>48</v>
      </c>
      <c r="CQ21" s="62">
        <v>83</v>
      </c>
      <c r="CR21" s="65" t="str">
        <f t="shared" si="32"/>
        <v>ME</v>
      </c>
      <c r="CS21" s="56">
        <v>14</v>
      </c>
      <c r="CT21" s="61">
        <v>112.2</v>
      </c>
      <c r="CU21" s="61"/>
      <c r="CV21" s="68">
        <f t="shared" si="33"/>
        <v>1.4000000000000057</v>
      </c>
      <c r="CW21" s="68">
        <f t="shared" si="34"/>
        <v>9.3019360000000386</v>
      </c>
      <c r="CX21" s="69">
        <f t="shared" si="35"/>
        <v>6.5971177304964809E-2</v>
      </c>
      <c r="CY21" s="66" t="s">
        <v>256</v>
      </c>
      <c r="CZ21" s="66" t="s">
        <v>241</v>
      </c>
      <c r="DA21" s="66"/>
      <c r="DB21" s="65" t="str">
        <f t="shared" si="36"/>
        <v>ME</v>
      </c>
      <c r="DC21" s="56">
        <v>14</v>
      </c>
      <c r="DD21" s="61">
        <v>89.3</v>
      </c>
      <c r="DE21" s="61">
        <v>102.8</v>
      </c>
      <c r="DF21" s="68">
        <f t="shared" si="37"/>
        <v>13.799999999999997</v>
      </c>
      <c r="DG21" s="69">
        <f t="shared" si="38"/>
        <v>0.74452695743999986</v>
      </c>
      <c r="DH21" s="68">
        <f t="shared" si="39"/>
        <v>5.2803330314893602</v>
      </c>
      <c r="DI21" s="62">
        <v>82</v>
      </c>
      <c r="DJ21" s="62">
        <v>54</v>
      </c>
      <c r="DK21" s="65" t="str">
        <f t="shared" si="40"/>
        <v>ME</v>
      </c>
      <c r="DL21" s="56">
        <v>14</v>
      </c>
      <c r="DM21" s="63">
        <v>9.02</v>
      </c>
      <c r="DN21" s="64">
        <v>2.1999999999999999E-2</v>
      </c>
      <c r="DO21" s="64">
        <v>2.9000000000000001E-2</v>
      </c>
      <c r="DP21" s="64">
        <v>5.3999999999999999E-2</v>
      </c>
      <c r="DQ21" s="63">
        <v>6.84</v>
      </c>
      <c r="DR21" s="61">
        <v>7.2</v>
      </c>
      <c r="DS21" s="64">
        <v>1.266</v>
      </c>
      <c r="DT21" s="61">
        <v>85.9</v>
      </c>
      <c r="DU21" s="63">
        <v>4.2</v>
      </c>
      <c r="DV21" s="64">
        <v>1.4950000000000001</v>
      </c>
      <c r="DW21" s="64">
        <v>0.25800000000000001</v>
      </c>
      <c r="DX21" s="66" t="s">
        <v>242</v>
      </c>
      <c r="DY21" s="65" t="str">
        <f t="shared" si="41"/>
        <v>ME</v>
      </c>
      <c r="DZ21" s="128">
        <v>14</v>
      </c>
      <c r="EA21" s="173">
        <f t="shared" si="42"/>
        <v>9.4251336898395724E-2</v>
      </c>
      <c r="EB21" s="173">
        <f t="shared" si="43"/>
        <v>0.1</v>
      </c>
      <c r="EC21" s="173">
        <f t="shared" si="44"/>
        <v>0.84397163120567376</v>
      </c>
      <c r="ED21" s="63">
        <v>1.23</v>
      </c>
      <c r="EE21" s="63">
        <v>1.28</v>
      </c>
      <c r="EF21" s="63">
        <v>0.03</v>
      </c>
      <c r="EG21" s="63">
        <v>0.05</v>
      </c>
      <c r="EH21" s="127" t="str">
        <f t="shared" si="5"/>
        <v>ME</v>
      </c>
      <c r="EI21" s="56">
        <v>14</v>
      </c>
      <c r="EJ21" s="334"/>
      <c r="EK21" s="334"/>
      <c r="EL21" s="334"/>
      <c r="EM21" s="334"/>
      <c r="EN21" s="334"/>
      <c r="EO21" s="334"/>
      <c r="EP21" s="334"/>
      <c r="EQ21" s="65" t="str">
        <f t="shared" si="45"/>
        <v>ME</v>
      </c>
      <c r="ER21" s="20"/>
      <c r="ES21" s="20"/>
      <c r="ET21" s="20"/>
      <c r="EU21" s="20"/>
      <c r="EV21" s="20"/>
      <c r="EW21" s="20"/>
      <c r="EX21" s="20"/>
    </row>
    <row r="22" spans="1:154" s="3" customFormat="1" ht="17.149999999999999" customHeight="1" x14ac:dyDescent="0.35">
      <c r="A22" s="56">
        <v>15</v>
      </c>
      <c r="B22" s="57">
        <v>862061</v>
      </c>
      <c r="C22" s="58">
        <f t="shared" si="6"/>
        <v>212</v>
      </c>
      <c r="D22" s="167">
        <v>9.4</v>
      </c>
      <c r="E22" s="59">
        <v>766413</v>
      </c>
      <c r="F22" s="58">
        <f>IF(E23="","",IF(E23=E22,"",(E23-E22)))</f>
        <v>183</v>
      </c>
      <c r="G22" s="168">
        <v>0.63</v>
      </c>
      <c r="H22" s="57">
        <v>729910</v>
      </c>
      <c r="I22" s="58">
        <f t="shared" si="0"/>
        <v>184</v>
      </c>
      <c r="J22" s="60" t="s">
        <v>237</v>
      </c>
      <c r="K22" s="56">
        <v>15</v>
      </c>
      <c r="L22" s="57">
        <v>67555</v>
      </c>
      <c r="M22" s="58" t="str">
        <f t="shared" si="8"/>
        <v/>
      </c>
      <c r="N22" s="59">
        <v>170416</v>
      </c>
      <c r="O22" s="58">
        <f t="shared" si="9"/>
        <v>44</v>
      </c>
      <c r="P22" s="57">
        <v>194713</v>
      </c>
      <c r="Q22" s="169" t="str">
        <f t="shared" si="1"/>
        <v/>
      </c>
      <c r="R22" s="57">
        <v>653</v>
      </c>
      <c r="S22" s="57">
        <v>662</v>
      </c>
      <c r="T22" s="57">
        <v>136</v>
      </c>
      <c r="U22" s="57">
        <v>133</v>
      </c>
      <c r="V22" s="58" t="str">
        <f t="shared" si="10"/>
        <v>SA/ME</v>
      </c>
      <c r="W22" s="56">
        <v>15</v>
      </c>
      <c r="X22" s="63">
        <v>11342.24</v>
      </c>
      <c r="Y22" s="130">
        <f t="shared" si="11"/>
        <v>2.0300000000006548</v>
      </c>
      <c r="Z22" s="63">
        <v>12104.3</v>
      </c>
      <c r="AA22" s="130">
        <f t="shared" si="12"/>
        <v>3.9500000000007276</v>
      </c>
      <c r="AB22" s="63">
        <v>9582.7900000000009</v>
      </c>
      <c r="AC22" s="130">
        <f t="shared" si="13"/>
        <v>3.319999999999709</v>
      </c>
      <c r="AD22" s="63">
        <v>9677.68</v>
      </c>
      <c r="AE22" s="130">
        <f t="shared" si="2"/>
        <v>1.5799999999999272</v>
      </c>
      <c r="AF22" s="125" t="str">
        <f t="shared" si="14"/>
        <v>SA/ME</v>
      </c>
      <c r="AG22" s="56">
        <v>15</v>
      </c>
      <c r="AH22" s="63">
        <v>45206.53</v>
      </c>
      <c r="AI22" s="130">
        <f t="shared" si="15"/>
        <v>13.910000000003492</v>
      </c>
      <c r="AJ22" s="63">
        <v>47340.18</v>
      </c>
      <c r="AK22" s="130">
        <f t="shared" si="16"/>
        <v>13.930000000000291</v>
      </c>
      <c r="AL22" s="63">
        <v>585.26</v>
      </c>
      <c r="AM22" s="130" t="str">
        <f t="shared" si="17"/>
        <v/>
      </c>
      <c r="AN22" s="63">
        <v>546.34</v>
      </c>
      <c r="AO22" s="130" t="str">
        <f t="shared" si="3"/>
        <v/>
      </c>
      <c r="AP22" s="125" t="str">
        <f t="shared" si="18"/>
        <v>SA/ME</v>
      </c>
      <c r="AQ22" s="56">
        <v>15</v>
      </c>
      <c r="AR22" s="63">
        <v>6507.15</v>
      </c>
      <c r="AS22" s="130" t="str">
        <f t="shared" si="19"/>
        <v/>
      </c>
      <c r="AT22" s="63">
        <v>7176.15</v>
      </c>
      <c r="AU22" s="130">
        <f t="shared" si="20"/>
        <v>5.0700000000006185</v>
      </c>
      <c r="AV22" s="63">
        <v>247.57</v>
      </c>
      <c r="AW22" s="130" t="str">
        <f t="shared" si="46"/>
        <v/>
      </c>
      <c r="AX22" s="63">
        <v>235.7</v>
      </c>
      <c r="AY22" s="130" t="str">
        <f t="shared" si="4"/>
        <v/>
      </c>
      <c r="AZ22" s="125" t="str">
        <f t="shared" si="22"/>
        <v>SA/ME</v>
      </c>
      <c r="BA22" s="56">
        <v>15</v>
      </c>
      <c r="BB22" s="64">
        <v>0.69899999999999995</v>
      </c>
      <c r="BC22" s="70">
        <v>10</v>
      </c>
      <c r="BD22" s="71">
        <v>7.3</v>
      </c>
      <c r="BE22" s="71">
        <v>2.7</v>
      </c>
      <c r="BF22" s="71">
        <v>15.6</v>
      </c>
      <c r="BG22" s="71">
        <v>7.3</v>
      </c>
      <c r="BH22" s="72">
        <v>0.32200000000000001</v>
      </c>
      <c r="BI22" s="72">
        <v>0.309</v>
      </c>
      <c r="BJ22" s="72">
        <v>6.6000000000000003E-2</v>
      </c>
      <c r="BK22" s="72">
        <v>6.7000000000000004E-2</v>
      </c>
      <c r="BL22" s="64">
        <v>4.9000000000000002E-2</v>
      </c>
      <c r="BM22" s="64">
        <v>5.5E-2</v>
      </c>
      <c r="BN22" s="65" t="str">
        <f t="shared" si="23"/>
        <v>SA/ME</v>
      </c>
      <c r="BO22" s="56">
        <v>15</v>
      </c>
      <c r="BP22" s="64">
        <v>7.5999999999999998E-2</v>
      </c>
      <c r="BQ22" s="62">
        <v>0</v>
      </c>
      <c r="BR22" s="61">
        <v>7.3</v>
      </c>
      <c r="BS22" s="61">
        <v>7.2</v>
      </c>
      <c r="BT22" s="61">
        <v>18.2</v>
      </c>
      <c r="BU22" s="64">
        <v>0.01</v>
      </c>
      <c r="BV22" s="63">
        <v>1.24</v>
      </c>
      <c r="BW22" s="63">
        <v>1.1399999999999999</v>
      </c>
      <c r="BX22" s="66" t="s">
        <v>259</v>
      </c>
      <c r="BY22" s="172" t="s">
        <v>246</v>
      </c>
      <c r="BZ22" s="67" t="str">
        <f t="shared" si="24"/>
        <v>SA/ME</v>
      </c>
      <c r="CA22" s="56">
        <v>15</v>
      </c>
      <c r="CB22" s="61">
        <v>89.5</v>
      </c>
      <c r="CC22" s="61"/>
      <c r="CD22" s="68">
        <f t="shared" si="25"/>
        <v>1.4000000000000057</v>
      </c>
      <c r="CE22" s="69">
        <f t="shared" si="26"/>
        <v>6.515971000000027</v>
      </c>
      <c r="CF22" s="69">
        <f t="shared" si="27"/>
        <v>4.2495463043478434</v>
      </c>
      <c r="CG22" s="62">
        <v>76</v>
      </c>
      <c r="CH22" s="62">
        <v>100</v>
      </c>
      <c r="CI22" s="65" t="str">
        <f t="shared" si="28"/>
        <v>SA/ME</v>
      </c>
      <c r="CJ22" s="56">
        <v>15</v>
      </c>
      <c r="CK22" s="61">
        <v>93.9</v>
      </c>
      <c r="CL22" s="61"/>
      <c r="CM22" s="68">
        <f t="shared" si="29"/>
        <v>2.6000000000000085</v>
      </c>
      <c r="CN22" s="68">
        <f t="shared" si="30"/>
        <v>12.101089000000041</v>
      </c>
      <c r="CO22" s="68">
        <f t="shared" si="31"/>
        <v>22.698103966273663</v>
      </c>
      <c r="CP22" s="62">
        <v>48</v>
      </c>
      <c r="CQ22" s="62">
        <v>83</v>
      </c>
      <c r="CR22" s="65" t="str">
        <f t="shared" si="32"/>
        <v>SA/ME</v>
      </c>
      <c r="CS22" s="56">
        <v>15</v>
      </c>
      <c r="CT22" s="61">
        <v>110.8</v>
      </c>
      <c r="CU22" s="61"/>
      <c r="CV22" s="68">
        <f t="shared" si="33"/>
        <v>2.2000000000000028</v>
      </c>
      <c r="CW22" s="68">
        <f t="shared" si="34"/>
        <v>14.617328000000018</v>
      </c>
      <c r="CX22" s="69">
        <f t="shared" si="35"/>
        <v>6.8949660377358571E-2</v>
      </c>
      <c r="CY22" s="66" t="s">
        <v>256</v>
      </c>
      <c r="CZ22" s="66" t="s">
        <v>241</v>
      </c>
      <c r="DA22" s="66"/>
      <c r="DB22" s="65" t="str">
        <f t="shared" si="36"/>
        <v>SA/ME</v>
      </c>
      <c r="DC22" s="56">
        <v>15</v>
      </c>
      <c r="DD22" s="61">
        <v>89</v>
      </c>
      <c r="DE22" s="61">
        <v>104.9</v>
      </c>
      <c r="DF22" s="68">
        <f t="shared" si="37"/>
        <v>13.100000000000009</v>
      </c>
      <c r="DG22" s="69">
        <f t="shared" si="38"/>
        <v>0.70676109728000047</v>
      </c>
      <c r="DH22" s="68">
        <f t="shared" si="39"/>
        <v>3.3337787607547194</v>
      </c>
      <c r="DI22" s="62">
        <v>82</v>
      </c>
      <c r="DJ22" s="62">
        <v>54</v>
      </c>
      <c r="DK22" s="65" t="str">
        <f t="shared" si="40"/>
        <v>SA/ME</v>
      </c>
      <c r="DL22" s="56">
        <v>15</v>
      </c>
      <c r="DM22" s="63">
        <v>8.59</v>
      </c>
      <c r="DN22" s="64">
        <v>2.1999999999999999E-2</v>
      </c>
      <c r="DO22" s="64">
        <v>2.8000000000000001E-2</v>
      </c>
      <c r="DP22" s="64">
        <v>5.3999999999999999E-2</v>
      </c>
      <c r="DQ22" s="63">
        <v>6.85</v>
      </c>
      <c r="DR22" s="61">
        <v>7.2</v>
      </c>
      <c r="DS22" s="64">
        <v>1.2609999999999999</v>
      </c>
      <c r="DT22" s="61">
        <v>85.2</v>
      </c>
      <c r="DU22" s="63">
        <v>4.24</v>
      </c>
      <c r="DV22" s="64">
        <v>1.052</v>
      </c>
      <c r="DW22" s="64">
        <v>0.22</v>
      </c>
      <c r="DX22" s="66" t="s">
        <v>242</v>
      </c>
      <c r="DY22" s="65" t="str">
        <f t="shared" si="41"/>
        <v>SA/ME</v>
      </c>
      <c r="DZ22" s="128">
        <v>15</v>
      </c>
      <c r="EA22" s="173">
        <f t="shared" si="42"/>
        <v>0.14171122994652408</v>
      </c>
      <c r="EB22" s="173">
        <f t="shared" si="43"/>
        <v>0.13455882352941176</v>
      </c>
      <c r="EC22" s="173">
        <f t="shared" si="44"/>
        <v>0.86792452830188682</v>
      </c>
      <c r="ED22" s="63">
        <v>1.23</v>
      </c>
      <c r="EE22" s="63">
        <v>1.26</v>
      </c>
      <c r="EF22" s="63">
        <v>0.03</v>
      </c>
      <c r="EG22" s="63">
        <v>0.04</v>
      </c>
      <c r="EH22" s="127" t="str">
        <f t="shared" si="5"/>
        <v>SA/ME</v>
      </c>
      <c r="EI22" s="56">
        <v>15</v>
      </c>
      <c r="EJ22" s="334"/>
      <c r="EK22" s="334"/>
      <c r="EL22" s="334"/>
      <c r="EM22" s="334"/>
      <c r="EN22" s="334"/>
      <c r="EO22" s="334"/>
      <c r="EP22" s="334"/>
      <c r="EQ22" s="65" t="str">
        <f t="shared" si="45"/>
        <v>SA/ME</v>
      </c>
      <c r="ER22" s="20"/>
      <c r="ES22" s="20"/>
      <c r="ET22" s="20"/>
      <c r="EU22" s="20"/>
      <c r="EV22" s="20"/>
      <c r="EW22" s="20"/>
      <c r="EX22" s="20"/>
    </row>
    <row r="23" spans="1:154" s="3" customFormat="1" ht="17.149999999999999" customHeight="1" x14ac:dyDescent="0.35">
      <c r="A23" s="56">
        <v>16</v>
      </c>
      <c r="B23" s="57">
        <v>862273</v>
      </c>
      <c r="C23" s="58">
        <f t="shared" si="6"/>
        <v>148</v>
      </c>
      <c r="D23" s="167">
        <v>9.5</v>
      </c>
      <c r="E23" s="59">
        <v>766596</v>
      </c>
      <c r="F23" s="58">
        <f t="shared" si="7"/>
        <v>176</v>
      </c>
      <c r="G23" s="168">
        <v>1.76</v>
      </c>
      <c r="H23" s="57">
        <v>730094</v>
      </c>
      <c r="I23" s="58">
        <f t="shared" si="0"/>
        <v>122</v>
      </c>
      <c r="J23" s="60" t="s">
        <v>237</v>
      </c>
      <c r="K23" s="56">
        <v>16</v>
      </c>
      <c r="L23" s="57">
        <v>67555</v>
      </c>
      <c r="M23" s="58">
        <f t="shared" si="8"/>
        <v>2</v>
      </c>
      <c r="N23" s="59">
        <v>170460</v>
      </c>
      <c r="O23" s="58">
        <f t="shared" si="9"/>
        <v>29</v>
      </c>
      <c r="P23" s="57">
        <v>194713</v>
      </c>
      <c r="Q23" s="169" t="str">
        <f t="shared" si="1"/>
        <v/>
      </c>
      <c r="R23" s="57">
        <v>653</v>
      </c>
      <c r="S23" s="57">
        <v>662</v>
      </c>
      <c r="T23" s="57">
        <v>136</v>
      </c>
      <c r="U23" s="57">
        <v>133</v>
      </c>
      <c r="V23" s="58" t="str">
        <f t="shared" si="10"/>
        <v>SA/ME</v>
      </c>
      <c r="W23" s="56">
        <v>16</v>
      </c>
      <c r="X23" s="63">
        <v>11344.27</v>
      </c>
      <c r="Y23" s="130">
        <f t="shared" si="11"/>
        <v>1.9899999999997817</v>
      </c>
      <c r="Z23" s="63">
        <v>12108.25</v>
      </c>
      <c r="AA23" s="130">
        <f t="shared" si="12"/>
        <v>2.5200000000004366</v>
      </c>
      <c r="AB23" s="63">
        <v>9586.11</v>
      </c>
      <c r="AC23" s="130">
        <f t="shared" si="13"/>
        <v>1.6999999999989086</v>
      </c>
      <c r="AD23" s="63">
        <v>9679.26</v>
      </c>
      <c r="AE23" s="130">
        <f t="shared" si="2"/>
        <v>1.5399999999990541</v>
      </c>
      <c r="AF23" s="125" t="str">
        <f t="shared" si="14"/>
        <v>SA/ME</v>
      </c>
      <c r="AG23" s="56">
        <v>16</v>
      </c>
      <c r="AH23" s="63">
        <v>45220.44</v>
      </c>
      <c r="AI23" s="130">
        <f t="shared" si="15"/>
        <v>10.099999999998545</v>
      </c>
      <c r="AJ23" s="63">
        <v>47354.11</v>
      </c>
      <c r="AK23" s="130">
        <f t="shared" si="16"/>
        <v>16.169999999998254</v>
      </c>
      <c r="AL23" s="63">
        <v>585.26</v>
      </c>
      <c r="AM23" s="130" t="str">
        <f t="shared" si="17"/>
        <v/>
      </c>
      <c r="AN23" s="63">
        <v>546.34</v>
      </c>
      <c r="AO23" s="130" t="str">
        <f t="shared" si="3"/>
        <v/>
      </c>
      <c r="AP23" s="125" t="str">
        <f t="shared" si="18"/>
        <v>SA/ME</v>
      </c>
      <c r="AQ23" s="56">
        <v>16</v>
      </c>
      <c r="AR23" s="63">
        <v>6507.15</v>
      </c>
      <c r="AS23" s="130" t="str">
        <f t="shared" si="19"/>
        <v/>
      </c>
      <c r="AT23" s="63">
        <v>7181.22</v>
      </c>
      <c r="AU23" s="130">
        <f t="shared" si="20"/>
        <v>3.1899999999995998</v>
      </c>
      <c r="AV23" s="63">
        <v>247.57</v>
      </c>
      <c r="AW23" s="130" t="str">
        <f t="shared" si="46"/>
        <v/>
      </c>
      <c r="AX23" s="63">
        <v>235.7</v>
      </c>
      <c r="AY23" s="130" t="str">
        <f t="shared" si="4"/>
        <v/>
      </c>
      <c r="AZ23" s="125" t="str">
        <f t="shared" si="22"/>
        <v>SA/ME</v>
      </c>
      <c r="BA23" s="56">
        <v>16</v>
      </c>
      <c r="BB23" s="64"/>
      <c r="BC23" s="62"/>
      <c r="BD23" s="61"/>
      <c r="BE23" s="61"/>
      <c r="BF23" s="61"/>
      <c r="BG23" s="61"/>
      <c r="BH23" s="64"/>
      <c r="BI23" s="64"/>
      <c r="BJ23" s="64"/>
      <c r="BK23" s="64"/>
      <c r="BL23" s="64"/>
      <c r="BM23" s="64"/>
      <c r="BN23" s="65" t="str">
        <f t="shared" si="23"/>
        <v>SA/ME</v>
      </c>
      <c r="BO23" s="56">
        <v>16</v>
      </c>
      <c r="BP23" s="64">
        <v>7.8E-2</v>
      </c>
      <c r="BQ23" s="62">
        <v>0</v>
      </c>
      <c r="BR23" s="61">
        <v>7.3</v>
      </c>
      <c r="BS23" s="61">
        <v>7.1</v>
      </c>
      <c r="BT23" s="61">
        <v>15</v>
      </c>
      <c r="BU23" s="64">
        <v>0.01</v>
      </c>
      <c r="BV23" s="63">
        <v>1.28</v>
      </c>
      <c r="BW23" s="63">
        <v>1.0900000000000001</v>
      </c>
      <c r="BX23" s="66" t="s">
        <v>260</v>
      </c>
      <c r="BY23" s="172" t="s">
        <v>239</v>
      </c>
      <c r="BZ23" s="67" t="str">
        <f t="shared" si="24"/>
        <v>SA/ME</v>
      </c>
      <c r="CA23" s="56">
        <v>16</v>
      </c>
      <c r="CB23" s="61">
        <v>88.1</v>
      </c>
      <c r="CC23" s="61"/>
      <c r="CD23" s="68">
        <f t="shared" si="25"/>
        <v>1.0999999999999943</v>
      </c>
      <c r="CE23" s="69">
        <f t="shared" si="26"/>
        <v>5.1196914999999734</v>
      </c>
      <c r="CF23" s="69">
        <f t="shared" si="27"/>
        <v>5.0357621311475151</v>
      </c>
      <c r="CG23" s="62">
        <v>76</v>
      </c>
      <c r="CH23" s="62">
        <v>100</v>
      </c>
      <c r="CI23" s="65" t="str">
        <f t="shared" si="28"/>
        <v>SA/ME</v>
      </c>
      <c r="CJ23" s="56">
        <v>16</v>
      </c>
      <c r="CK23" s="61">
        <v>91.3</v>
      </c>
      <c r="CL23" s="61"/>
      <c r="CM23" s="68">
        <f t="shared" si="29"/>
        <v>1.7999999999999972</v>
      </c>
      <c r="CN23" s="68">
        <f t="shared" si="30"/>
        <v>8.3776769999999878</v>
      </c>
      <c r="CO23" s="68">
        <f t="shared" si="31"/>
        <v>22.509346344932403</v>
      </c>
      <c r="CP23" s="62">
        <v>48</v>
      </c>
      <c r="CQ23" s="62">
        <v>83</v>
      </c>
      <c r="CR23" s="65" t="str">
        <f t="shared" si="32"/>
        <v>SA/ME</v>
      </c>
      <c r="CS23" s="56">
        <v>16</v>
      </c>
      <c r="CT23" s="61">
        <v>108.6</v>
      </c>
      <c r="CU23" s="61"/>
      <c r="CV23" s="68">
        <f t="shared" si="33"/>
        <v>1.5999999999999943</v>
      </c>
      <c r="CW23" s="68">
        <f t="shared" si="34"/>
        <v>10.630783999999961</v>
      </c>
      <c r="CX23" s="69">
        <f t="shared" si="35"/>
        <v>7.1829621621621362E-2</v>
      </c>
      <c r="CY23" s="66" t="s">
        <v>256</v>
      </c>
      <c r="CZ23" s="66" t="s">
        <v>241</v>
      </c>
      <c r="DA23" s="66"/>
      <c r="DB23" s="65" t="str">
        <f t="shared" si="36"/>
        <v>SA/ME</v>
      </c>
      <c r="DC23" s="56">
        <v>16</v>
      </c>
      <c r="DD23" s="61">
        <v>91.8</v>
      </c>
      <c r="DE23" s="61">
        <v>104.5</v>
      </c>
      <c r="DF23" s="68">
        <f t="shared" si="37"/>
        <v>12.5</v>
      </c>
      <c r="DG23" s="69">
        <f t="shared" si="38"/>
        <v>0.67439035999999997</v>
      </c>
      <c r="DH23" s="68">
        <f t="shared" si="39"/>
        <v>4.5566916216216216</v>
      </c>
      <c r="DI23" s="62">
        <v>82</v>
      </c>
      <c r="DJ23" s="62">
        <v>54</v>
      </c>
      <c r="DK23" s="65" t="str">
        <f t="shared" si="40"/>
        <v>SA/ME</v>
      </c>
      <c r="DL23" s="56">
        <v>16</v>
      </c>
      <c r="DM23" s="63">
        <v>8.42</v>
      </c>
      <c r="DN23" s="64">
        <v>1.2E-2</v>
      </c>
      <c r="DO23" s="64">
        <v>2.7E-2</v>
      </c>
      <c r="DP23" s="64">
        <v>5.0999999999999997E-2</v>
      </c>
      <c r="DQ23" s="63">
        <v>6.84</v>
      </c>
      <c r="DR23" s="61">
        <v>7.1</v>
      </c>
      <c r="DS23" s="64">
        <v>1.2410000000000001</v>
      </c>
      <c r="DT23" s="61">
        <v>85.2</v>
      </c>
      <c r="DU23" s="63">
        <v>4.37</v>
      </c>
      <c r="DV23" s="64">
        <v>0.68100000000000005</v>
      </c>
      <c r="DW23" s="64">
        <v>0.89</v>
      </c>
      <c r="DX23" s="66" t="s">
        <v>242</v>
      </c>
      <c r="DY23" s="65" t="str">
        <f t="shared" si="41"/>
        <v>SA/ME</v>
      </c>
      <c r="DZ23" s="128">
        <v>16</v>
      </c>
      <c r="EA23" s="173">
        <f t="shared" si="42"/>
        <v>9.8930481283422467E-2</v>
      </c>
      <c r="EB23" s="173">
        <f t="shared" si="43"/>
        <v>0.12941176470588237</v>
      </c>
      <c r="EC23" s="173">
        <f t="shared" si="44"/>
        <v>0.82432432432432434</v>
      </c>
      <c r="ED23" s="63">
        <v>1.21</v>
      </c>
      <c r="EE23" s="63">
        <v>1.24</v>
      </c>
      <c r="EF23" s="63">
        <v>0.03</v>
      </c>
      <c r="EG23" s="63">
        <v>0.04</v>
      </c>
      <c r="EH23" s="127" t="str">
        <f t="shared" si="5"/>
        <v>SA/ME</v>
      </c>
      <c r="EI23" s="56">
        <v>16</v>
      </c>
      <c r="EJ23" s="349"/>
      <c r="EK23" s="334"/>
      <c r="EL23" s="334"/>
      <c r="EM23" s="334"/>
      <c r="EN23" s="334"/>
      <c r="EO23" s="334"/>
      <c r="EP23" s="334"/>
      <c r="EQ23" s="65" t="str">
        <f t="shared" si="45"/>
        <v>SA/ME</v>
      </c>
      <c r="ER23" s="20"/>
      <c r="ES23" s="20"/>
      <c r="ET23" s="20"/>
      <c r="EU23" s="20"/>
      <c r="EV23" s="20"/>
      <c r="EW23" s="20"/>
      <c r="EX23" s="20"/>
    </row>
    <row r="24" spans="1:154" s="3" customFormat="1" ht="17.149999999999999" customHeight="1" x14ac:dyDescent="0.35">
      <c r="A24" s="56">
        <v>17</v>
      </c>
      <c r="B24" s="57">
        <v>862421</v>
      </c>
      <c r="C24" s="58">
        <f t="shared" si="6"/>
        <v>71</v>
      </c>
      <c r="D24" s="167">
        <v>9.49</v>
      </c>
      <c r="E24" s="59">
        <v>766772</v>
      </c>
      <c r="F24" s="58">
        <f t="shared" si="7"/>
        <v>128</v>
      </c>
      <c r="G24" s="168">
        <v>1.7</v>
      </c>
      <c r="H24" s="57">
        <v>730216</v>
      </c>
      <c r="I24" s="58">
        <f t="shared" si="0"/>
        <v>61</v>
      </c>
      <c r="J24" s="60" t="s">
        <v>237</v>
      </c>
      <c r="K24" s="56">
        <v>17</v>
      </c>
      <c r="L24" s="57">
        <v>67557</v>
      </c>
      <c r="M24" s="58">
        <f t="shared" si="8"/>
        <v>1</v>
      </c>
      <c r="N24" s="59">
        <v>170489</v>
      </c>
      <c r="O24" s="58">
        <f t="shared" si="9"/>
        <v>23</v>
      </c>
      <c r="P24" s="57">
        <v>194713</v>
      </c>
      <c r="Q24" s="169" t="str">
        <f t="shared" si="1"/>
        <v/>
      </c>
      <c r="R24" s="57">
        <v>653</v>
      </c>
      <c r="S24" s="57">
        <v>662</v>
      </c>
      <c r="T24" s="57">
        <v>136</v>
      </c>
      <c r="U24" s="57">
        <v>133</v>
      </c>
      <c r="V24" s="58" t="str">
        <f t="shared" si="10"/>
        <v>SA/ME</v>
      </c>
      <c r="W24" s="56">
        <v>17</v>
      </c>
      <c r="X24" s="63">
        <v>11346.26</v>
      </c>
      <c r="Y24" s="130">
        <f t="shared" si="11"/>
        <v>2.069999999999709</v>
      </c>
      <c r="Z24" s="63">
        <v>12110.77</v>
      </c>
      <c r="AA24" s="130" t="str">
        <f t="shared" si="12"/>
        <v/>
      </c>
      <c r="AB24" s="63">
        <v>9587.81</v>
      </c>
      <c r="AC24" s="130" t="str">
        <f t="shared" si="13"/>
        <v/>
      </c>
      <c r="AD24" s="63">
        <v>9680.7999999999993</v>
      </c>
      <c r="AE24" s="130">
        <f t="shared" si="2"/>
        <v>1.6300000000010186</v>
      </c>
      <c r="AF24" s="125" t="str">
        <f t="shared" si="14"/>
        <v>SA/ME</v>
      </c>
      <c r="AG24" s="56">
        <v>17</v>
      </c>
      <c r="AH24" s="63">
        <v>45230.54</v>
      </c>
      <c r="AI24" s="130">
        <f t="shared" si="15"/>
        <v>12.809999999997672</v>
      </c>
      <c r="AJ24" s="63">
        <v>47370.28</v>
      </c>
      <c r="AK24" s="130">
        <f t="shared" si="16"/>
        <v>7.8400000000037835</v>
      </c>
      <c r="AL24" s="63">
        <v>585.26</v>
      </c>
      <c r="AM24" s="130" t="str">
        <f t="shared" si="17"/>
        <v/>
      </c>
      <c r="AN24" s="63">
        <v>546.34</v>
      </c>
      <c r="AO24" s="130" t="str">
        <f t="shared" si="3"/>
        <v/>
      </c>
      <c r="AP24" s="125" t="str">
        <f t="shared" si="18"/>
        <v>SA/ME</v>
      </c>
      <c r="AQ24" s="56">
        <v>17</v>
      </c>
      <c r="AR24" s="63">
        <v>6507.15</v>
      </c>
      <c r="AS24" s="130" t="str">
        <f t="shared" si="19"/>
        <v/>
      </c>
      <c r="AT24" s="63">
        <v>7184.41</v>
      </c>
      <c r="AU24" s="130">
        <f t="shared" si="20"/>
        <v>2.5100000000002183</v>
      </c>
      <c r="AV24" s="63">
        <v>247.57</v>
      </c>
      <c r="AW24" s="130" t="str">
        <f t="shared" si="46"/>
        <v/>
      </c>
      <c r="AX24" s="63">
        <v>235.7</v>
      </c>
      <c r="AY24" s="130" t="str">
        <f t="shared" si="4"/>
        <v/>
      </c>
      <c r="AZ24" s="125" t="str">
        <f t="shared" si="22"/>
        <v>SA/ME</v>
      </c>
      <c r="BA24" s="56">
        <v>17</v>
      </c>
      <c r="BB24" s="64"/>
      <c r="BC24" s="62"/>
      <c r="BD24" s="61"/>
      <c r="BE24" s="61"/>
      <c r="BF24" s="61"/>
      <c r="BG24" s="61"/>
      <c r="BH24" s="64"/>
      <c r="BI24" s="64"/>
      <c r="BJ24" s="64"/>
      <c r="BK24" s="64"/>
      <c r="BL24" s="64"/>
      <c r="BM24" s="64"/>
      <c r="BN24" s="65" t="str">
        <f t="shared" si="23"/>
        <v>SA/ME</v>
      </c>
      <c r="BO24" s="56">
        <v>17</v>
      </c>
      <c r="BP24" s="64">
        <v>7.8E-2</v>
      </c>
      <c r="BQ24" s="62">
        <v>0</v>
      </c>
      <c r="BR24" s="61">
        <v>7.3</v>
      </c>
      <c r="BS24" s="61">
        <v>7.2</v>
      </c>
      <c r="BT24" s="61">
        <v>16.3</v>
      </c>
      <c r="BU24" s="64">
        <v>1.2E-2</v>
      </c>
      <c r="BV24" s="63">
        <v>1.28</v>
      </c>
      <c r="BW24" s="63">
        <v>1.1399999999999999</v>
      </c>
      <c r="BX24" s="66" t="s">
        <v>243</v>
      </c>
      <c r="BY24" s="172" t="s">
        <v>239</v>
      </c>
      <c r="BZ24" s="67" t="str">
        <f t="shared" si="24"/>
        <v>SA/ME</v>
      </c>
      <c r="CA24" s="56">
        <v>17</v>
      </c>
      <c r="CB24" s="61">
        <v>87</v>
      </c>
      <c r="CC24" s="61"/>
      <c r="CD24" s="68">
        <f t="shared" si="25"/>
        <v>0.70000000000000284</v>
      </c>
      <c r="CE24" s="69">
        <f t="shared" si="26"/>
        <v>3.2579855000000135</v>
      </c>
      <c r="CF24" s="69">
        <f t="shared" si="27"/>
        <v>6.4091518032787143</v>
      </c>
      <c r="CG24" s="62">
        <v>76</v>
      </c>
      <c r="CH24" s="62">
        <v>100</v>
      </c>
      <c r="CI24" s="65" t="str">
        <f t="shared" si="28"/>
        <v>SA/ME</v>
      </c>
      <c r="CJ24" s="56">
        <v>17</v>
      </c>
      <c r="CK24" s="61">
        <v>89.5</v>
      </c>
      <c r="CL24" s="61"/>
      <c r="CM24" s="68">
        <f t="shared" si="29"/>
        <v>0.90000000000000568</v>
      </c>
      <c r="CN24" s="68">
        <f t="shared" si="30"/>
        <v>4.1888385000000268</v>
      </c>
      <c r="CO24" s="68">
        <f t="shared" si="31"/>
        <v>23.460445486267758</v>
      </c>
      <c r="CP24" s="62">
        <v>48</v>
      </c>
      <c r="CQ24" s="62">
        <v>83</v>
      </c>
      <c r="CR24" s="65" t="str">
        <f t="shared" si="32"/>
        <v>SA/ME</v>
      </c>
      <c r="CS24" s="56">
        <v>17</v>
      </c>
      <c r="CT24" s="61">
        <v>107</v>
      </c>
      <c r="CU24" s="61">
        <v>104.8</v>
      </c>
      <c r="CV24" s="68">
        <f t="shared" si="33"/>
        <v>0.70000000000000284</v>
      </c>
      <c r="CW24" s="68">
        <f t="shared" si="34"/>
        <v>4.6509680000000193</v>
      </c>
      <c r="CX24" s="69">
        <f t="shared" si="35"/>
        <v>6.5506591549296042E-2</v>
      </c>
      <c r="CY24" s="66" t="s">
        <v>256</v>
      </c>
      <c r="CZ24" s="66" t="s">
        <v>241</v>
      </c>
      <c r="DA24" s="66" t="s">
        <v>242</v>
      </c>
      <c r="DB24" s="65" t="str">
        <f t="shared" si="36"/>
        <v>SA/ME</v>
      </c>
      <c r="DC24" s="56">
        <v>17</v>
      </c>
      <c r="DD24" s="61">
        <v>92</v>
      </c>
      <c r="DE24" s="61">
        <v>106</v>
      </c>
      <c r="DF24" s="68">
        <f t="shared" si="37"/>
        <v>6.5</v>
      </c>
      <c r="DG24" s="69">
        <f t="shared" si="38"/>
        <v>0.35068298720000002</v>
      </c>
      <c r="DH24" s="68">
        <f t="shared" si="39"/>
        <v>4.9391970028169014</v>
      </c>
      <c r="DI24" s="62">
        <v>82</v>
      </c>
      <c r="DJ24" s="62">
        <v>54</v>
      </c>
      <c r="DK24" s="65" t="str">
        <f t="shared" si="40"/>
        <v>SA/ME</v>
      </c>
      <c r="DL24" s="56">
        <v>17</v>
      </c>
      <c r="DM24" s="63">
        <v>8.4700000000000006</v>
      </c>
      <c r="DN24" s="64">
        <v>1.7000000000000001E-2</v>
      </c>
      <c r="DO24" s="64">
        <v>2.9000000000000001E-2</v>
      </c>
      <c r="DP24" s="64">
        <v>5.0999999999999997E-2</v>
      </c>
      <c r="DQ24" s="63">
        <v>6.84</v>
      </c>
      <c r="DR24" s="61">
        <v>7.2</v>
      </c>
      <c r="DS24" s="64">
        <v>1.2290000000000001</v>
      </c>
      <c r="DT24" s="61">
        <v>87</v>
      </c>
      <c r="DU24" s="63">
        <v>4.3</v>
      </c>
      <c r="DV24" s="64">
        <v>0.69399999999999995</v>
      </c>
      <c r="DW24" s="64">
        <v>0.81599999999999995</v>
      </c>
      <c r="DX24" s="66" t="s">
        <v>247</v>
      </c>
      <c r="DY24" s="65" t="str">
        <f t="shared" si="41"/>
        <v>SA/ME</v>
      </c>
      <c r="DZ24" s="128">
        <v>17</v>
      </c>
      <c r="EA24" s="173">
        <f t="shared" si="42"/>
        <v>4.7459893048128345E-2</v>
      </c>
      <c r="EB24" s="173">
        <f t="shared" si="43"/>
        <v>9.4117647058823528E-2</v>
      </c>
      <c r="EC24" s="173">
        <f t="shared" si="44"/>
        <v>0.85915492957746475</v>
      </c>
      <c r="ED24" s="63">
        <v>1.21</v>
      </c>
      <c r="EE24" s="63">
        <v>1.24</v>
      </c>
      <c r="EF24" s="63">
        <v>0.03</v>
      </c>
      <c r="EG24" s="63">
        <v>0.05</v>
      </c>
      <c r="EH24" s="127" t="str">
        <f t="shared" si="5"/>
        <v>SA/ME</v>
      </c>
      <c r="EI24" s="56">
        <v>17</v>
      </c>
      <c r="EJ24" s="334"/>
      <c r="EK24" s="334"/>
      <c r="EL24" s="334"/>
      <c r="EM24" s="334"/>
      <c r="EN24" s="334"/>
      <c r="EO24" s="334"/>
      <c r="EP24" s="334"/>
      <c r="EQ24" s="65" t="str">
        <f t="shared" si="45"/>
        <v>SA/ME</v>
      </c>
      <c r="ER24" s="20"/>
      <c r="ES24" s="20"/>
      <c r="ET24" s="20"/>
      <c r="EU24" s="20"/>
      <c r="EV24" s="20"/>
      <c r="EW24" s="20"/>
      <c r="EX24" s="20"/>
    </row>
    <row r="25" spans="1:154" s="3" customFormat="1" ht="17.149999999999999" customHeight="1" x14ac:dyDescent="0.35">
      <c r="A25" s="56">
        <v>18</v>
      </c>
      <c r="B25" s="57">
        <v>862492</v>
      </c>
      <c r="C25" s="58">
        <f t="shared" si="6"/>
        <v>185</v>
      </c>
      <c r="D25" s="167">
        <v>9.35</v>
      </c>
      <c r="E25" s="59">
        <v>766900</v>
      </c>
      <c r="F25" s="58">
        <f t="shared" si="7"/>
        <v>142</v>
      </c>
      <c r="G25" s="168">
        <v>1.2</v>
      </c>
      <c r="H25" s="57">
        <v>730277</v>
      </c>
      <c r="I25" s="58">
        <f t="shared" si="0"/>
        <v>123</v>
      </c>
      <c r="J25" s="60" t="s">
        <v>194</v>
      </c>
      <c r="K25" s="56">
        <v>18</v>
      </c>
      <c r="L25" s="57">
        <v>67558</v>
      </c>
      <c r="M25" s="58">
        <f t="shared" si="8"/>
        <v>41</v>
      </c>
      <c r="N25" s="59">
        <v>170512</v>
      </c>
      <c r="O25" s="58">
        <f t="shared" si="9"/>
        <v>43</v>
      </c>
      <c r="P25" s="57">
        <v>194713</v>
      </c>
      <c r="Q25" s="169" t="str">
        <f t="shared" si="1"/>
        <v/>
      </c>
      <c r="R25" s="57">
        <v>653</v>
      </c>
      <c r="S25" s="57">
        <v>662</v>
      </c>
      <c r="T25" s="57">
        <v>136</v>
      </c>
      <c r="U25" s="57">
        <v>133</v>
      </c>
      <c r="V25" s="58" t="str">
        <f t="shared" si="10"/>
        <v>ME</v>
      </c>
      <c r="W25" s="56">
        <v>18</v>
      </c>
      <c r="X25" s="63">
        <v>11348.33</v>
      </c>
      <c r="Y25" s="130">
        <f t="shared" si="11"/>
        <v>2.0300000000006548</v>
      </c>
      <c r="Z25" s="63">
        <v>12110.77</v>
      </c>
      <c r="AA25" s="130">
        <f t="shared" si="12"/>
        <v>3.5299999999988358</v>
      </c>
      <c r="AB25" s="63">
        <v>9587.81</v>
      </c>
      <c r="AC25" s="130">
        <f t="shared" si="13"/>
        <v>1.6900000000005093</v>
      </c>
      <c r="AD25" s="63">
        <v>9682.43</v>
      </c>
      <c r="AE25" s="130">
        <f t="shared" si="2"/>
        <v>1.5799999999999272</v>
      </c>
      <c r="AF25" s="125" t="str">
        <f t="shared" si="14"/>
        <v>ME</v>
      </c>
      <c r="AG25" s="56">
        <v>18</v>
      </c>
      <c r="AH25" s="63">
        <v>45243.35</v>
      </c>
      <c r="AI25" s="130">
        <f t="shared" si="15"/>
        <v>11.200000000004366</v>
      </c>
      <c r="AJ25" s="63">
        <v>47378.12</v>
      </c>
      <c r="AK25" s="130">
        <f t="shared" si="16"/>
        <v>11.849999999998545</v>
      </c>
      <c r="AL25" s="63">
        <v>585.26</v>
      </c>
      <c r="AM25" s="130" t="str">
        <f t="shared" si="17"/>
        <v/>
      </c>
      <c r="AN25" s="63">
        <v>546.34</v>
      </c>
      <c r="AO25" s="130" t="str">
        <f t="shared" si="3"/>
        <v/>
      </c>
      <c r="AP25" s="125" t="str">
        <f t="shared" si="18"/>
        <v>ME</v>
      </c>
      <c r="AQ25" s="56">
        <v>18</v>
      </c>
      <c r="AR25" s="63">
        <v>6507.15</v>
      </c>
      <c r="AS25" s="130" t="str">
        <f t="shared" si="19"/>
        <v/>
      </c>
      <c r="AT25" s="63">
        <v>7186.92</v>
      </c>
      <c r="AU25" s="130">
        <f t="shared" si="20"/>
        <v>3.5799999999999272</v>
      </c>
      <c r="AV25" s="63">
        <v>247.57</v>
      </c>
      <c r="AW25" s="130">
        <f t="shared" si="46"/>
        <v>0.34000000000000341</v>
      </c>
      <c r="AX25" s="63">
        <v>235.7</v>
      </c>
      <c r="AY25" s="130" t="str">
        <f t="shared" si="4"/>
        <v/>
      </c>
      <c r="AZ25" s="125" t="str">
        <f t="shared" si="22"/>
        <v>ME</v>
      </c>
      <c r="BA25" s="56">
        <v>18</v>
      </c>
      <c r="BB25" s="218">
        <v>0.72199999999999998</v>
      </c>
      <c r="BC25" s="62">
        <v>10</v>
      </c>
      <c r="BD25" s="61">
        <v>7.3</v>
      </c>
      <c r="BE25" s="61">
        <v>2.7</v>
      </c>
      <c r="BF25" s="61">
        <v>14.9</v>
      </c>
      <c r="BG25" s="61">
        <v>7.3</v>
      </c>
      <c r="BH25" s="64">
        <v>0.21099999999999999</v>
      </c>
      <c r="BI25" s="64">
        <v>0.20499999999999999</v>
      </c>
      <c r="BJ25" s="64">
        <v>4.8000000000000001E-2</v>
      </c>
      <c r="BK25" s="64">
        <v>5.8000000000000003E-2</v>
      </c>
      <c r="BL25" s="64">
        <v>5.3999999999999999E-2</v>
      </c>
      <c r="BM25" s="64">
        <v>6.0999999999999999E-2</v>
      </c>
      <c r="BN25" s="65" t="str">
        <f t="shared" si="23"/>
        <v>ME</v>
      </c>
      <c r="BO25" s="56">
        <v>18</v>
      </c>
      <c r="BP25" s="64">
        <v>7.6999999999999999E-2</v>
      </c>
      <c r="BQ25" s="62">
        <v>0</v>
      </c>
      <c r="BR25" s="61">
        <v>7.3</v>
      </c>
      <c r="BS25" s="61">
        <v>7.2</v>
      </c>
      <c r="BT25" s="61">
        <v>17.899999999999999</v>
      </c>
      <c r="BU25" s="64">
        <v>1.2E-2</v>
      </c>
      <c r="BV25" s="63">
        <v>1.23</v>
      </c>
      <c r="BW25" s="63">
        <v>1.1000000000000001</v>
      </c>
      <c r="BX25" s="66" t="s">
        <v>245</v>
      </c>
      <c r="BY25" s="172" t="s">
        <v>246</v>
      </c>
      <c r="BZ25" s="67" t="str">
        <f t="shared" si="24"/>
        <v>ME</v>
      </c>
      <c r="CA25" s="56">
        <v>18</v>
      </c>
      <c r="CB25" s="61">
        <v>86.3</v>
      </c>
      <c r="CC25" s="61"/>
      <c r="CD25" s="68">
        <f t="shared" si="25"/>
        <v>1.2999999999999972</v>
      </c>
      <c r="CE25" s="69">
        <f t="shared" si="26"/>
        <v>6.0505444999999876</v>
      </c>
      <c r="CF25" s="69">
        <f t="shared" si="27"/>
        <v>5.9029702439024261</v>
      </c>
      <c r="CG25" s="62">
        <v>68</v>
      </c>
      <c r="CH25" s="62">
        <v>100</v>
      </c>
      <c r="CI25" s="65" t="str">
        <f t="shared" si="28"/>
        <v>ME</v>
      </c>
      <c r="CJ25" s="56">
        <v>18</v>
      </c>
      <c r="CK25" s="61">
        <v>88.6</v>
      </c>
      <c r="CL25" s="61"/>
      <c r="CM25" s="68">
        <f t="shared" si="29"/>
        <v>2.1999999999999886</v>
      </c>
      <c r="CN25" s="68">
        <f t="shared" si="30"/>
        <v>10.239382999999947</v>
      </c>
      <c r="CO25" s="68">
        <f t="shared" si="31"/>
        <v>22.009138648378268</v>
      </c>
      <c r="CP25" s="62">
        <v>53</v>
      </c>
      <c r="CQ25" s="62">
        <v>83</v>
      </c>
      <c r="CR25" s="65" t="str">
        <f t="shared" si="32"/>
        <v>ME</v>
      </c>
      <c r="CS25" s="56">
        <v>18</v>
      </c>
      <c r="CT25" s="61">
        <v>104.1</v>
      </c>
      <c r="CU25" s="61"/>
      <c r="CV25" s="68">
        <f t="shared" si="33"/>
        <v>2.0999999999999943</v>
      </c>
      <c r="CW25" s="68">
        <f t="shared" si="34"/>
        <v>13.952903999999963</v>
      </c>
      <c r="CX25" s="69">
        <f t="shared" si="35"/>
        <v>7.5421102702702497E-2</v>
      </c>
      <c r="CY25" s="66" t="s">
        <v>256</v>
      </c>
      <c r="CZ25" s="66" t="s">
        <v>241</v>
      </c>
      <c r="DA25" s="66"/>
      <c r="DB25" s="65" t="str">
        <f t="shared" si="36"/>
        <v>ME</v>
      </c>
      <c r="DC25" s="56">
        <v>18</v>
      </c>
      <c r="DD25" s="61">
        <v>99.5</v>
      </c>
      <c r="DE25" s="61"/>
      <c r="DF25" s="68">
        <f t="shared" si="37"/>
        <v>16</v>
      </c>
      <c r="DG25" s="69">
        <f t="shared" si="38"/>
        <v>0.86321966080000001</v>
      </c>
      <c r="DH25" s="68">
        <f t="shared" si="39"/>
        <v>4.666052220540541</v>
      </c>
      <c r="DI25" s="62">
        <v>87</v>
      </c>
      <c r="DJ25" s="62">
        <v>54</v>
      </c>
      <c r="DK25" s="65" t="str">
        <f t="shared" si="40"/>
        <v>ME</v>
      </c>
      <c r="DL25" s="56">
        <v>18</v>
      </c>
      <c r="DM25" s="63">
        <v>8.74</v>
      </c>
      <c r="DN25" s="64">
        <v>2.1999999999999999E-2</v>
      </c>
      <c r="DO25" s="64">
        <v>2.8000000000000001E-2</v>
      </c>
      <c r="DP25" s="64">
        <v>5.2999999999999999E-2</v>
      </c>
      <c r="DQ25" s="63">
        <v>6.85</v>
      </c>
      <c r="DR25" s="61">
        <v>7.2</v>
      </c>
      <c r="DS25" s="64">
        <v>1.21</v>
      </c>
      <c r="DT25" s="61">
        <v>85.3</v>
      </c>
      <c r="DU25" s="63">
        <v>4.16</v>
      </c>
      <c r="DV25" s="64">
        <v>0.69399999999999995</v>
      </c>
      <c r="DW25" s="64">
        <v>0.42899999999999999</v>
      </c>
      <c r="DX25" s="66" t="s">
        <v>247</v>
      </c>
      <c r="DY25" s="65" t="str">
        <f t="shared" si="41"/>
        <v>ME</v>
      </c>
      <c r="DZ25" s="128">
        <v>18</v>
      </c>
      <c r="EA25" s="173">
        <f t="shared" si="42"/>
        <v>0.12366310160427807</v>
      </c>
      <c r="EB25" s="173">
        <f t="shared" si="43"/>
        <v>0.10441176470588236</v>
      </c>
      <c r="EC25" s="173">
        <f t="shared" si="44"/>
        <v>0.66486486486486485</v>
      </c>
      <c r="ED25" s="63">
        <v>1.1599999999999999</v>
      </c>
      <c r="EE25" s="63">
        <v>1.22</v>
      </c>
      <c r="EF25" s="63">
        <v>0.03</v>
      </c>
      <c r="EG25" s="63">
        <v>0.05</v>
      </c>
      <c r="EH25" s="127" t="str">
        <f t="shared" si="5"/>
        <v>ME</v>
      </c>
      <c r="EI25" s="56">
        <v>18</v>
      </c>
      <c r="EJ25" s="334"/>
      <c r="EK25" s="334"/>
      <c r="EL25" s="334"/>
      <c r="EM25" s="334"/>
      <c r="EN25" s="334"/>
      <c r="EO25" s="334"/>
      <c r="EP25" s="334"/>
      <c r="EQ25" s="65" t="str">
        <f t="shared" si="45"/>
        <v>ME</v>
      </c>
      <c r="ER25" s="20"/>
      <c r="ES25" s="20"/>
      <c r="ET25" s="20"/>
      <c r="EU25" s="20"/>
      <c r="EV25" s="20"/>
      <c r="EW25" s="20"/>
      <c r="EX25" s="20"/>
    </row>
    <row r="26" spans="1:154" s="3" customFormat="1" ht="17.149999999999999" customHeight="1" x14ac:dyDescent="0.35">
      <c r="A26" s="56">
        <v>19</v>
      </c>
      <c r="B26" s="57">
        <v>862677</v>
      </c>
      <c r="C26" s="58">
        <f t="shared" si="6"/>
        <v>127</v>
      </c>
      <c r="D26" s="167">
        <v>9.9600000000000009</v>
      </c>
      <c r="E26" s="59">
        <v>767042</v>
      </c>
      <c r="F26" s="58">
        <f t="shared" si="7"/>
        <v>142</v>
      </c>
      <c r="G26" s="168">
        <v>0.85</v>
      </c>
      <c r="H26" s="57">
        <v>730400</v>
      </c>
      <c r="I26" s="58">
        <f t="shared" si="0"/>
        <v>99</v>
      </c>
      <c r="J26" s="60" t="s">
        <v>194</v>
      </c>
      <c r="K26" s="56">
        <v>19</v>
      </c>
      <c r="L26" s="57">
        <v>67599</v>
      </c>
      <c r="M26" s="58">
        <f t="shared" si="8"/>
        <v>8</v>
      </c>
      <c r="N26" s="59">
        <v>170555</v>
      </c>
      <c r="O26" s="58">
        <f t="shared" si="9"/>
        <v>50</v>
      </c>
      <c r="P26" s="57">
        <v>194713</v>
      </c>
      <c r="Q26" s="169" t="str">
        <f t="shared" si="1"/>
        <v/>
      </c>
      <c r="R26" s="57">
        <v>653</v>
      </c>
      <c r="S26" s="57">
        <v>662</v>
      </c>
      <c r="T26" s="57">
        <v>136</v>
      </c>
      <c r="U26" s="57">
        <v>133</v>
      </c>
      <c r="V26" s="58" t="str">
        <f t="shared" si="10"/>
        <v>ME</v>
      </c>
      <c r="W26" s="56">
        <v>19</v>
      </c>
      <c r="X26" s="63">
        <v>11350.36</v>
      </c>
      <c r="Y26" s="130">
        <f t="shared" si="11"/>
        <v>1.569999999999709</v>
      </c>
      <c r="Z26" s="63">
        <v>12114.3</v>
      </c>
      <c r="AA26" s="130">
        <f t="shared" si="12"/>
        <v>2.1500000000014552</v>
      </c>
      <c r="AB26" s="63">
        <v>9589.5</v>
      </c>
      <c r="AC26" s="130">
        <f t="shared" si="13"/>
        <v>1.6499999999996362</v>
      </c>
      <c r="AD26" s="63">
        <v>9684.01</v>
      </c>
      <c r="AE26" s="130">
        <f t="shared" si="2"/>
        <v>1.0100000000002183</v>
      </c>
      <c r="AF26" s="125" t="str">
        <f t="shared" si="14"/>
        <v>ME</v>
      </c>
      <c r="AG26" s="56">
        <v>19</v>
      </c>
      <c r="AH26" s="63">
        <v>45254.55</v>
      </c>
      <c r="AI26" s="130">
        <f t="shared" si="15"/>
        <v>10.729999999995925</v>
      </c>
      <c r="AJ26" s="63">
        <v>47389.97</v>
      </c>
      <c r="AK26" s="130">
        <f t="shared" si="16"/>
        <v>12.150000000001455</v>
      </c>
      <c r="AL26" s="63">
        <v>585.26</v>
      </c>
      <c r="AM26" s="130" t="str">
        <f t="shared" si="17"/>
        <v/>
      </c>
      <c r="AN26" s="63">
        <v>546.34</v>
      </c>
      <c r="AO26" s="130" t="str">
        <f t="shared" si="3"/>
        <v/>
      </c>
      <c r="AP26" s="125" t="str">
        <f t="shared" si="18"/>
        <v>ME</v>
      </c>
      <c r="AQ26" s="56">
        <v>19</v>
      </c>
      <c r="AR26" s="63">
        <v>6507.15</v>
      </c>
      <c r="AS26" s="130">
        <f t="shared" si="19"/>
        <v>0.44000000000050932</v>
      </c>
      <c r="AT26" s="63">
        <v>7190.5</v>
      </c>
      <c r="AU26" s="130">
        <f t="shared" si="20"/>
        <v>4.2700000000004366</v>
      </c>
      <c r="AV26" s="63">
        <v>247.91</v>
      </c>
      <c r="AW26" s="130" t="str">
        <f t="shared" si="46"/>
        <v/>
      </c>
      <c r="AX26" s="63">
        <v>235.7</v>
      </c>
      <c r="AY26" s="130">
        <f t="shared" si="4"/>
        <v>9.0000000000003411E-2</v>
      </c>
      <c r="AZ26" s="125" t="str">
        <f t="shared" si="22"/>
        <v>ME</v>
      </c>
      <c r="BA26" s="56">
        <v>19</v>
      </c>
      <c r="BB26" s="64">
        <v>0.70099999999999996</v>
      </c>
      <c r="BC26" s="62">
        <v>48</v>
      </c>
      <c r="BD26" s="61">
        <v>7.2</v>
      </c>
      <c r="BE26" s="61">
        <v>2.8</v>
      </c>
      <c r="BF26" s="61">
        <v>14.5</v>
      </c>
      <c r="BG26" s="61">
        <v>7.2</v>
      </c>
      <c r="BH26" s="64">
        <v>0.26900000000000002</v>
      </c>
      <c r="BI26" s="64">
        <v>0.24099999999999999</v>
      </c>
      <c r="BJ26" s="64">
        <v>5.0999999999999997E-2</v>
      </c>
      <c r="BK26" s="64">
        <v>5.5E-2</v>
      </c>
      <c r="BL26" s="64">
        <v>4.8000000000000001E-2</v>
      </c>
      <c r="BM26" s="64">
        <v>5.1999999999999998E-2</v>
      </c>
      <c r="BN26" s="65" t="str">
        <f t="shared" si="23"/>
        <v>ME</v>
      </c>
      <c r="BO26" s="56">
        <v>19</v>
      </c>
      <c r="BP26" s="64">
        <v>7.5999999999999998E-2</v>
      </c>
      <c r="BQ26" s="62">
        <v>0</v>
      </c>
      <c r="BR26" s="61">
        <v>7.2</v>
      </c>
      <c r="BS26" s="61">
        <v>7.2</v>
      </c>
      <c r="BT26" s="61">
        <v>18.8</v>
      </c>
      <c r="BU26" s="64">
        <v>1.4E-2</v>
      </c>
      <c r="BV26" s="63">
        <v>1.21</v>
      </c>
      <c r="BW26" s="63">
        <v>1.05</v>
      </c>
      <c r="BX26" s="66" t="s">
        <v>261</v>
      </c>
      <c r="BY26" s="172" t="s">
        <v>246</v>
      </c>
      <c r="BZ26" s="67" t="str">
        <f t="shared" si="24"/>
        <v>ME</v>
      </c>
      <c r="CA26" s="56">
        <v>19</v>
      </c>
      <c r="CB26" s="61">
        <v>85</v>
      </c>
      <c r="CC26" s="61"/>
      <c r="CD26" s="68">
        <f t="shared" si="25"/>
        <v>0.79999999999999716</v>
      </c>
      <c r="CE26" s="69">
        <f t="shared" si="26"/>
        <v>3.7234119999999873</v>
      </c>
      <c r="CF26" s="69">
        <f t="shared" si="27"/>
        <v>4.5132266666666512</v>
      </c>
      <c r="CG26" s="62">
        <v>70</v>
      </c>
      <c r="CH26" s="62">
        <v>100</v>
      </c>
      <c r="CI26" s="65" t="str">
        <f t="shared" si="28"/>
        <v>ME</v>
      </c>
      <c r="CJ26" s="56">
        <v>19</v>
      </c>
      <c r="CK26" s="61">
        <v>86.4</v>
      </c>
      <c r="CL26" s="61"/>
      <c r="CM26" s="68">
        <f t="shared" si="29"/>
        <v>1.6000000000000085</v>
      </c>
      <c r="CN26" s="68">
        <f t="shared" si="30"/>
        <v>7.4468240000000403</v>
      </c>
      <c r="CO26" s="68">
        <f t="shared" si="31"/>
        <v>23.316768217322963</v>
      </c>
      <c r="CP26" s="62">
        <v>56</v>
      </c>
      <c r="CQ26" s="62">
        <v>83</v>
      </c>
      <c r="CR26" s="65" t="str">
        <f t="shared" si="32"/>
        <v>ME</v>
      </c>
      <c r="CS26" s="56">
        <v>19</v>
      </c>
      <c r="CT26" s="61">
        <v>102</v>
      </c>
      <c r="CU26" s="61"/>
      <c r="CV26" s="68">
        <f t="shared" si="33"/>
        <v>1.2000000000000028</v>
      </c>
      <c r="CW26" s="68">
        <f t="shared" si="34"/>
        <v>7.9730880000000193</v>
      </c>
      <c r="CX26" s="69">
        <f t="shared" si="35"/>
        <v>6.2780220472441098E-2</v>
      </c>
      <c r="CY26" s="66" t="s">
        <v>251</v>
      </c>
      <c r="CZ26" s="66" t="s">
        <v>241</v>
      </c>
      <c r="DA26" s="66"/>
      <c r="DB26" s="65" t="str">
        <f t="shared" si="36"/>
        <v>ME</v>
      </c>
      <c r="DC26" s="56">
        <v>19</v>
      </c>
      <c r="DD26" s="61">
        <v>83.5</v>
      </c>
      <c r="DE26" s="61">
        <v>102.9</v>
      </c>
      <c r="DF26" s="68">
        <f t="shared" si="37"/>
        <v>11.5</v>
      </c>
      <c r="DG26" s="69">
        <f t="shared" si="38"/>
        <v>0.62043913120000005</v>
      </c>
      <c r="DH26" s="68">
        <f t="shared" si="39"/>
        <v>4.8853474897637801</v>
      </c>
      <c r="DI26" s="62">
        <v>92</v>
      </c>
      <c r="DJ26" s="62">
        <v>54</v>
      </c>
      <c r="DK26" s="65" t="str">
        <f t="shared" si="40"/>
        <v>ME</v>
      </c>
      <c r="DL26" s="56">
        <v>19</v>
      </c>
      <c r="DM26" s="63">
        <v>8.7899999999999991</v>
      </c>
      <c r="DN26" s="64">
        <v>2.3E-2</v>
      </c>
      <c r="DO26" s="64">
        <v>2.7E-2</v>
      </c>
      <c r="DP26" s="64">
        <v>5.1999999999999998E-2</v>
      </c>
      <c r="DQ26" s="63">
        <v>6.85</v>
      </c>
      <c r="DR26" s="61">
        <v>7.2</v>
      </c>
      <c r="DS26" s="64">
        <v>1.2110000000000001</v>
      </c>
      <c r="DT26" s="61">
        <v>86.8</v>
      </c>
      <c r="DU26" s="63">
        <v>4.2</v>
      </c>
      <c r="DV26" s="64">
        <v>1.5049999999999999</v>
      </c>
      <c r="DW26" s="64">
        <v>0.313</v>
      </c>
      <c r="DX26" s="66" t="s">
        <v>242</v>
      </c>
      <c r="DY26" s="65" t="str">
        <f t="shared" si="41"/>
        <v>ME</v>
      </c>
      <c r="DZ26" s="128">
        <v>19</v>
      </c>
      <c r="EA26" s="173">
        <f t="shared" si="42"/>
        <v>8.4893048128342252E-2</v>
      </c>
      <c r="EB26" s="173">
        <f t="shared" si="43"/>
        <v>0.10441176470588236</v>
      </c>
      <c r="EC26" s="173">
        <f t="shared" si="44"/>
        <v>0.77952755905511806</v>
      </c>
      <c r="ED26" s="63">
        <v>1.18</v>
      </c>
      <c r="EE26" s="63">
        <v>1.22</v>
      </c>
      <c r="EF26" s="63">
        <v>0.03</v>
      </c>
      <c r="EG26" s="63">
        <v>0.05</v>
      </c>
      <c r="EH26" s="127" t="str">
        <f t="shared" si="5"/>
        <v>ME</v>
      </c>
      <c r="EI26" s="56">
        <v>19</v>
      </c>
      <c r="EJ26" s="334"/>
      <c r="EK26" s="334"/>
      <c r="EL26" s="334"/>
      <c r="EM26" s="334"/>
      <c r="EN26" s="334"/>
      <c r="EO26" s="334"/>
      <c r="EP26" s="334"/>
      <c r="EQ26" s="65" t="str">
        <f t="shared" si="45"/>
        <v>ME</v>
      </c>
      <c r="ER26" s="20"/>
      <c r="ES26" s="20"/>
      <c r="ET26" s="20"/>
      <c r="EU26" s="20"/>
      <c r="EV26" s="20"/>
      <c r="EW26" s="20"/>
      <c r="EX26" s="20"/>
    </row>
    <row r="27" spans="1:154" s="3" customFormat="1" ht="17.149999999999999" customHeight="1" x14ac:dyDescent="0.35">
      <c r="A27" s="56">
        <v>20</v>
      </c>
      <c r="B27" s="57">
        <v>862804</v>
      </c>
      <c r="C27" s="58">
        <f t="shared" si="6"/>
        <v>174</v>
      </c>
      <c r="D27" s="167">
        <v>9.2100000000000009</v>
      </c>
      <c r="E27" s="59">
        <v>767184</v>
      </c>
      <c r="F27" s="58">
        <f t="shared" si="7"/>
        <v>161</v>
      </c>
      <c r="G27" s="168">
        <v>1.01</v>
      </c>
      <c r="H27" s="57">
        <v>730499</v>
      </c>
      <c r="I27" s="58">
        <f t="shared" si="0"/>
        <v>151</v>
      </c>
      <c r="J27" s="60" t="s">
        <v>194</v>
      </c>
      <c r="K27" s="56">
        <v>20</v>
      </c>
      <c r="L27" s="57">
        <v>67607</v>
      </c>
      <c r="M27" s="58" t="str">
        <f t="shared" si="8"/>
        <v/>
      </c>
      <c r="N27" s="59">
        <v>170605</v>
      </c>
      <c r="O27" s="58">
        <f t="shared" si="9"/>
        <v>35</v>
      </c>
      <c r="P27" s="57">
        <v>194713</v>
      </c>
      <c r="Q27" s="169" t="str">
        <f t="shared" si="1"/>
        <v/>
      </c>
      <c r="R27" s="57">
        <v>654</v>
      </c>
      <c r="S27" s="57">
        <v>662</v>
      </c>
      <c r="T27" s="57">
        <v>136</v>
      </c>
      <c r="U27" s="57">
        <v>134</v>
      </c>
      <c r="V27" s="58" t="str">
        <f t="shared" si="10"/>
        <v>ME</v>
      </c>
      <c r="W27" s="56">
        <v>20</v>
      </c>
      <c r="X27" s="63">
        <v>11351.93</v>
      </c>
      <c r="Y27" s="130">
        <f t="shared" si="11"/>
        <v>2.1599999999998545</v>
      </c>
      <c r="Z27" s="63">
        <v>12116.45</v>
      </c>
      <c r="AA27" s="130">
        <f t="shared" si="12"/>
        <v>2.8899999999994179</v>
      </c>
      <c r="AB27" s="63">
        <v>9591.15</v>
      </c>
      <c r="AC27" s="130">
        <f t="shared" si="13"/>
        <v>2.319999999999709</v>
      </c>
      <c r="AD27" s="63">
        <v>9685.02</v>
      </c>
      <c r="AE27" s="130">
        <f t="shared" si="2"/>
        <v>1.6899999999986903</v>
      </c>
      <c r="AF27" s="125" t="str">
        <f t="shared" si="14"/>
        <v>ME</v>
      </c>
      <c r="AG27" s="56">
        <v>20</v>
      </c>
      <c r="AH27" s="63">
        <v>45265.279999999999</v>
      </c>
      <c r="AI27" s="130">
        <f t="shared" si="15"/>
        <v>13.270000000004075</v>
      </c>
      <c r="AJ27" s="63">
        <v>47402.12</v>
      </c>
      <c r="AK27" s="130">
        <f t="shared" si="16"/>
        <v>12.099999999998545</v>
      </c>
      <c r="AL27" s="63">
        <v>585.26</v>
      </c>
      <c r="AM27" s="130" t="str">
        <f t="shared" si="17"/>
        <v/>
      </c>
      <c r="AN27" s="63">
        <v>546.34</v>
      </c>
      <c r="AO27" s="130" t="str">
        <f t="shared" si="3"/>
        <v/>
      </c>
      <c r="AP27" s="125" t="str">
        <f t="shared" si="18"/>
        <v>ME</v>
      </c>
      <c r="AQ27" s="56">
        <v>20</v>
      </c>
      <c r="AR27" s="63">
        <v>6507.59</v>
      </c>
      <c r="AS27" s="130">
        <f t="shared" si="19"/>
        <v>0.27999999999974534</v>
      </c>
      <c r="AT27" s="63">
        <v>7194.77</v>
      </c>
      <c r="AU27" s="130">
        <f t="shared" si="20"/>
        <v>3.8999999999996362</v>
      </c>
      <c r="AV27" s="63">
        <v>247.91</v>
      </c>
      <c r="AW27" s="130" t="str">
        <f t="shared" si="46"/>
        <v/>
      </c>
      <c r="AX27" s="63">
        <v>235.79</v>
      </c>
      <c r="AY27" s="130" t="str">
        <f t="shared" si="4"/>
        <v/>
      </c>
      <c r="AZ27" s="125" t="str">
        <f t="shared" si="22"/>
        <v>ME</v>
      </c>
      <c r="BA27" s="56">
        <v>20</v>
      </c>
      <c r="BB27" s="64">
        <v>0.64800000000000002</v>
      </c>
      <c r="BC27" s="62">
        <v>23</v>
      </c>
      <c r="BD27" s="61">
        <v>7.2</v>
      </c>
      <c r="BE27" s="61">
        <v>2.9</v>
      </c>
      <c r="BF27" s="61">
        <v>13.5</v>
      </c>
      <c r="BG27" s="61">
        <v>7.2</v>
      </c>
      <c r="BH27" s="64">
        <v>0.21199999999999999</v>
      </c>
      <c r="BI27" s="64">
        <v>0.24099999999999999</v>
      </c>
      <c r="BJ27" s="64">
        <v>4.7E-2</v>
      </c>
      <c r="BK27" s="64">
        <v>6.7000000000000004E-2</v>
      </c>
      <c r="BL27" s="64">
        <v>4.4999999999999998E-2</v>
      </c>
      <c r="BM27" s="64">
        <v>5.3999999999999999E-2</v>
      </c>
      <c r="BN27" s="65" t="str">
        <f t="shared" si="23"/>
        <v>ME</v>
      </c>
      <c r="BO27" s="56">
        <v>20</v>
      </c>
      <c r="BP27" s="64">
        <v>7.8E-2</v>
      </c>
      <c r="BQ27" s="62">
        <v>0</v>
      </c>
      <c r="BR27" s="61">
        <v>7.2</v>
      </c>
      <c r="BS27" s="61">
        <v>7.3</v>
      </c>
      <c r="BT27" s="61">
        <v>17.3</v>
      </c>
      <c r="BU27" s="64">
        <v>0.01</v>
      </c>
      <c r="BV27" s="63">
        <v>1.19</v>
      </c>
      <c r="BW27" s="63">
        <v>0.98</v>
      </c>
      <c r="BX27" s="66" t="s">
        <v>245</v>
      </c>
      <c r="BY27" s="172" t="s">
        <v>246</v>
      </c>
      <c r="BZ27" s="67" t="str">
        <f t="shared" si="24"/>
        <v>ME</v>
      </c>
      <c r="CA27" s="56">
        <v>20</v>
      </c>
      <c r="CB27" s="61">
        <v>84.2</v>
      </c>
      <c r="CC27" s="61">
        <v>93.6</v>
      </c>
      <c r="CD27" s="68">
        <f t="shared" si="25"/>
        <v>1.1999999999999886</v>
      </c>
      <c r="CE27" s="69">
        <f t="shared" si="26"/>
        <v>5.5851179999999481</v>
      </c>
      <c r="CF27" s="69">
        <f t="shared" si="27"/>
        <v>4.438504370860886</v>
      </c>
      <c r="CG27" s="62">
        <v>70</v>
      </c>
      <c r="CH27" s="62">
        <v>100</v>
      </c>
      <c r="CI27" s="65" t="str">
        <f t="shared" si="28"/>
        <v>ME</v>
      </c>
      <c r="CJ27" s="56">
        <v>20</v>
      </c>
      <c r="CK27" s="61">
        <v>84.8</v>
      </c>
      <c r="CL27" s="61">
        <v>97</v>
      </c>
      <c r="CM27" s="68">
        <f t="shared" si="29"/>
        <v>2.2000000000000028</v>
      </c>
      <c r="CN27" s="68">
        <f t="shared" si="30"/>
        <v>10.239383000000014</v>
      </c>
      <c r="CO27" s="68">
        <f t="shared" si="31"/>
        <v>23.400520976724174</v>
      </c>
      <c r="CP27" s="62">
        <v>52</v>
      </c>
      <c r="CQ27" s="62">
        <v>83</v>
      </c>
      <c r="CR27" s="65" t="str">
        <f t="shared" si="32"/>
        <v>ME</v>
      </c>
      <c r="CS27" s="56">
        <v>20</v>
      </c>
      <c r="CT27" s="61">
        <v>100.8</v>
      </c>
      <c r="CU27" s="61"/>
      <c r="CV27" s="68">
        <f t="shared" si="33"/>
        <v>1.8999999999999915</v>
      </c>
      <c r="CW27" s="68">
        <f t="shared" si="34"/>
        <v>12.624055999999943</v>
      </c>
      <c r="CX27" s="69">
        <f t="shared" si="35"/>
        <v>7.2552045977011162E-2</v>
      </c>
      <c r="CY27" s="66" t="s">
        <v>256</v>
      </c>
      <c r="CZ27" s="66" t="s">
        <v>241</v>
      </c>
      <c r="DA27" s="66"/>
      <c r="DB27" s="65" t="str">
        <f t="shared" si="36"/>
        <v>ME</v>
      </c>
      <c r="DC27" s="56">
        <v>20</v>
      </c>
      <c r="DD27" s="61">
        <v>91.4</v>
      </c>
      <c r="DE27" s="61">
        <v>103.9</v>
      </c>
      <c r="DF27" s="68">
        <f t="shared" si="37"/>
        <v>14.5</v>
      </c>
      <c r="DG27" s="69">
        <f t="shared" si="38"/>
        <v>0.78229281760000002</v>
      </c>
      <c r="DH27" s="68">
        <f t="shared" si="39"/>
        <v>4.4959357333333339</v>
      </c>
      <c r="DI27" s="62">
        <v>86</v>
      </c>
      <c r="DJ27" s="62">
        <v>54</v>
      </c>
      <c r="DK27" s="65" t="str">
        <f t="shared" si="40"/>
        <v>ME</v>
      </c>
      <c r="DL27" s="56">
        <v>20</v>
      </c>
      <c r="DM27" s="63">
        <v>7.81</v>
      </c>
      <c r="DN27" s="64">
        <v>2.4E-2</v>
      </c>
      <c r="DO27" s="64">
        <v>2.5999999999999999E-2</v>
      </c>
      <c r="DP27" s="64">
        <v>5.6000000000000001E-2</v>
      </c>
      <c r="DQ27" s="63">
        <v>6.85</v>
      </c>
      <c r="DR27" s="61">
        <v>7.3</v>
      </c>
      <c r="DS27" s="64">
        <v>1.216</v>
      </c>
      <c r="DT27" s="61">
        <v>86</v>
      </c>
      <c r="DU27" s="63">
        <v>4.16</v>
      </c>
      <c r="DV27" s="64">
        <v>0.93100000000000005</v>
      </c>
      <c r="DW27" s="64">
        <v>3.6999999999999998E-2</v>
      </c>
      <c r="DX27" s="66" t="s">
        <v>242</v>
      </c>
      <c r="DY27" s="65" t="str">
        <f t="shared" si="41"/>
        <v>ME</v>
      </c>
      <c r="DZ27" s="128">
        <v>20</v>
      </c>
      <c r="EA27" s="173">
        <f t="shared" si="42"/>
        <v>0.11631016042780749</v>
      </c>
      <c r="EB27" s="173">
        <f t="shared" si="43"/>
        <v>0.11838235294117647</v>
      </c>
      <c r="EC27" s="173">
        <f t="shared" si="44"/>
        <v>0.86781609195402298</v>
      </c>
      <c r="ED27" s="63">
        <v>1.1499999999999999</v>
      </c>
      <c r="EE27" s="63">
        <v>1.23</v>
      </c>
      <c r="EF27" s="63">
        <v>0.03</v>
      </c>
      <c r="EG27" s="63">
        <v>0.04</v>
      </c>
      <c r="EH27" s="127" t="str">
        <f t="shared" si="5"/>
        <v>ME</v>
      </c>
      <c r="EI27" s="56">
        <v>20</v>
      </c>
      <c r="EJ27" s="334" t="s">
        <v>262</v>
      </c>
      <c r="EK27" s="334"/>
      <c r="EL27" s="334"/>
      <c r="EM27" s="334"/>
      <c r="EN27" s="334"/>
      <c r="EO27" s="334"/>
      <c r="EP27" s="334"/>
      <c r="EQ27" s="65" t="str">
        <f t="shared" si="45"/>
        <v>ME</v>
      </c>
      <c r="ER27" s="20"/>
      <c r="ES27" s="20"/>
      <c r="ET27" s="20"/>
      <c r="EU27" s="20"/>
      <c r="EV27" s="20"/>
      <c r="EW27" s="20"/>
      <c r="EX27" s="20"/>
    </row>
    <row r="28" spans="1:154" s="3" customFormat="1" ht="17.149999999999999" customHeight="1" x14ac:dyDescent="0.35">
      <c r="A28" s="56">
        <v>21</v>
      </c>
      <c r="B28" s="57">
        <v>862978</v>
      </c>
      <c r="C28" s="58">
        <f t="shared" si="6"/>
        <v>140</v>
      </c>
      <c r="D28" s="167">
        <v>9.93</v>
      </c>
      <c r="E28" s="59">
        <v>767345</v>
      </c>
      <c r="F28" s="58">
        <f t="shared" si="7"/>
        <v>137</v>
      </c>
      <c r="G28" s="168">
        <v>2.41</v>
      </c>
      <c r="H28" s="57">
        <v>730650</v>
      </c>
      <c r="I28" s="58">
        <f t="shared" si="0"/>
        <v>118</v>
      </c>
      <c r="J28" s="60" t="s">
        <v>194</v>
      </c>
      <c r="K28" s="56">
        <v>21</v>
      </c>
      <c r="L28" s="57">
        <v>67607</v>
      </c>
      <c r="M28" s="58" t="str">
        <f t="shared" si="8"/>
        <v/>
      </c>
      <c r="N28" s="59">
        <v>170640</v>
      </c>
      <c r="O28" s="58">
        <f t="shared" si="9"/>
        <v>28</v>
      </c>
      <c r="P28" s="57">
        <v>194713</v>
      </c>
      <c r="Q28" s="169" t="str">
        <f t="shared" si="1"/>
        <v/>
      </c>
      <c r="R28" s="57">
        <v>654</v>
      </c>
      <c r="S28" s="57">
        <v>662</v>
      </c>
      <c r="T28" s="57">
        <v>136</v>
      </c>
      <c r="U28" s="57">
        <v>134</v>
      </c>
      <c r="V28" s="58" t="str">
        <f t="shared" si="10"/>
        <v>ME</v>
      </c>
      <c r="W28" s="56">
        <v>21</v>
      </c>
      <c r="X28" s="63">
        <v>11354.09</v>
      </c>
      <c r="Y28" s="130">
        <f t="shared" si="11"/>
        <v>2.1199999999989814</v>
      </c>
      <c r="Z28" s="63">
        <v>12119.34</v>
      </c>
      <c r="AA28" s="130">
        <f t="shared" si="12"/>
        <v>1.9599999999991269</v>
      </c>
      <c r="AB28" s="63">
        <v>9593.4699999999993</v>
      </c>
      <c r="AC28" s="130">
        <f t="shared" si="13"/>
        <v>1.5</v>
      </c>
      <c r="AD28" s="63">
        <v>9686.7099999999991</v>
      </c>
      <c r="AE28" s="130">
        <f t="shared" si="2"/>
        <v>1.6500000000014552</v>
      </c>
      <c r="AF28" s="125" t="str">
        <f t="shared" si="14"/>
        <v>ME</v>
      </c>
      <c r="AG28" s="56">
        <v>21</v>
      </c>
      <c r="AH28" s="63">
        <v>45278.55</v>
      </c>
      <c r="AI28" s="130">
        <f t="shared" si="15"/>
        <v>10.110000000000582</v>
      </c>
      <c r="AJ28" s="63">
        <v>47414.22</v>
      </c>
      <c r="AK28" s="130">
        <f t="shared" si="16"/>
        <v>11.909999999996217</v>
      </c>
      <c r="AL28" s="63">
        <v>585.26</v>
      </c>
      <c r="AM28" s="130" t="str">
        <f t="shared" si="17"/>
        <v/>
      </c>
      <c r="AN28" s="63">
        <v>546.34</v>
      </c>
      <c r="AO28" s="130" t="str">
        <f t="shared" si="3"/>
        <v/>
      </c>
      <c r="AP28" s="125" t="str">
        <f t="shared" si="18"/>
        <v>ME</v>
      </c>
      <c r="AQ28" s="56">
        <v>21</v>
      </c>
      <c r="AR28" s="63">
        <v>6507.87</v>
      </c>
      <c r="AS28" s="130" t="str">
        <f t="shared" si="19"/>
        <v/>
      </c>
      <c r="AT28" s="63">
        <v>7198.67</v>
      </c>
      <c r="AU28" s="130">
        <f t="shared" si="20"/>
        <v>2.8500000000003638</v>
      </c>
      <c r="AV28" s="63">
        <v>247.91</v>
      </c>
      <c r="AW28" s="130" t="str">
        <f t="shared" si="46"/>
        <v/>
      </c>
      <c r="AX28" s="63">
        <v>235.79</v>
      </c>
      <c r="AY28" s="130" t="str">
        <f t="shared" si="4"/>
        <v/>
      </c>
      <c r="AZ28" s="125" t="str">
        <f t="shared" si="22"/>
        <v>ME</v>
      </c>
      <c r="BA28" s="56">
        <v>21</v>
      </c>
      <c r="BB28" s="64">
        <v>0.621</v>
      </c>
      <c r="BC28" s="62">
        <v>28</v>
      </c>
      <c r="BD28" s="61">
        <v>7.2</v>
      </c>
      <c r="BE28" s="61">
        <v>2.9</v>
      </c>
      <c r="BF28" s="61">
        <v>13</v>
      </c>
      <c r="BG28" s="61">
        <v>7.2</v>
      </c>
      <c r="BH28" s="64">
        <v>0.223</v>
      </c>
      <c r="BI28" s="64">
        <v>0.22600000000000001</v>
      </c>
      <c r="BJ28" s="64">
        <v>0.05</v>
      </c>
      <c r="BK28" s="64">
        <v>4.8000000000000001E-2</v>
      </c>
      <c r="BL28" s="64">
        <v>4.8000000000000001E-2</v>
      </c>
      <c r="BM28" s="64">
        <v>5.2999999999999999E-2</v>
      </c>
      <c r="BN28" s="65" t="str">
        <f t="shared" si="23"/>
        <v>ME</v>
      </c>
      <c r="BO28" s="56">
        <v>21</v>
      </c>
      <c r="BP28" s="64">
        <v>7.6999999999999999E-2</v>
      </c>
      <c r="BQ28" s="62">
        <v>0</v>
      </c>
      <c r="BR28" s="61">
        <v>7.1</v>
      </c>
      <c r="BS28" s="61">
        <v>7.2</v>
      </c>
      <c r="BT28" s="61">
        <v>18.2</v>
      </c>
      <c r="BU28" s="64">
        <v>0.01</v>
      </c>
      <c r="BV28" s="63">
        <v>1.22</v>
      </c>
      <c r="BW28" s="63">
        <v>1.1299999999999999</v>
      </c>
      <c r="BX28" s="66" t="s">
        <v>245</v>
      </c>
      <c r="BY28" s="172" t="s">
        <v>246</v>
      </c>
      <c r="BZ28" s="67" t="str">
        <f t="shared" si="24"/>
        <v>ME</v>
      </c>
      <c r="CA28" s="56">
        <v>21</v>
      </c>
      <c r="CB28" s="61">
        <v>92.4</v>
      </c>
      <c r="CC28" s="61"/>
      <c r="CD28" s="68">
        <f t="shared" si="25"/>
        <v>1.4000000000000057</v>
      </c>
      <c r="CE28" s="69">
        <f t="shared" si="26"/>
        <v>6.515971000000027</v>
      </c>
      <c r="CF28" s="69">
        <f t="shared" si="27"/>
        <v>6.6264111864407047</v>
      </c>
      <c r="CG28" s="62">
        <v>73</v>
      </c>
      <c r="CH28" s="62">
        <v>100</v>
      </c>
      <c r="CI28" s="65" t="str">
        <f t="shared" si="28"/>
        <v>ME</v>
      </c>
      <c r="CJ28" s="56">
        <v>21</v>
      </c>
      <c r="CK28" s="61">
        <v>94.8</v>
      </c>
      <c r="CL28" s="61"/>
      <c r="CM28" s="68">
        <f t="shared" si="29"/>
        <v>1.7999999999999972</v>
      </c>
      <c r="CN28" s="68">
        <f t="shared" si="30"/>
        <v>8.3776769999999878</v>
      </c>
      <c r="CO28" s="68">
        <f t="shared" si="31"/>
        <v>23.795594707499969</v>
      </c>
      <c r="CP28" s="62">
        <v>55</v>
      </c>
      <c r="CQ28" s="62">
        <v>83</v>
      </c>
      <c r="CR28" s="65" t="str">
        <f t="shared" si="32"/>
        <v>ME</v>
      </c>
      <c r="CS28" s="56">
        <v>21</v>
      </c>
      <c r="CT28" s="61">
        <v>98.9</v>
      </c>
      <c r="CU28" s="61"/>
      <c r="CV28" s="68">
        <f t="shared" si="33"/>
        <v>1.5</v>
      </c>
      <c r="CW28" s="68">
        <f t="shared" si="34"/>
        <v>9.9663599999999999</v>
      </c>
      <c r="CX28" s="69">
        <f t="shared" si="35"/>
        <v>7.1188285714285718E-2</v>
      </c>
      <c r="CY28" s="66" t="s">
        <v>251</v>
      </c>
      <c r="CZ28" s="66" t="s">
        <v>241</v>
      </c>
      <c r="DA28" s="66"/>
      <c r="DB28" s="65" t="str">
        <f t="shared" si="36"/>
        <v>ME</v>
      </c>
      <c r="DC28" s="56">
        <v>21</v>
      </c>
      <c r="DD28" s="61">
        <v>89.4</v>
      </c>
      <c r="DE28" s="61">
        <v>103.8</v>
      </c>
      <c r="DF28" s="68">
        <f t="shared" si="37"/>
        <v>11.899999999999991</v>
      </c>
      <c r="DG28" s="69">
        <f t="shared" si="38"/>
        <v>0.64201962271999957</v>
      </c>
      <c r="DH28" s="68">
        <f t="shared" si="39"/>
        <v>4.5858544479999965</v>
      </c>
      <c r="DI28" s="62">
        <v>93</v>
      </c>
      <c r="DJ28" s="62">
        <v>54</v>
      </c>
      <c r="DK28" s="65" t="str">
        <f t="shared" si="40"/>
        <v>ME</v>
      </c>
      <c r="DL28" s="56">
        <v>21</v>
      </c>
      <c r="DM28" s="63">
        <v>8.6</v>
      </c>
      <c r="DN28" s="64">
        <v>2.3E-2</v>
      </c>
      <c r="DO28" s="64">
        <v>2.7E-2</v>
      </c>
      <c r="DP28" s="64">
        <v>5.3999999999999999E-2</v>
      </c>
      <c r="DQ28" s="63">
        <v>6.84</v>
      </c>
      <c r="DR28" s="61">
        <v>7.2</v>
      </c>
      <c r="DS28" s="64">
        <v>1.2350000000000001</v>
      </c>
      <c r="DT28" s="61">
        <v>86.5</v>
      </c>
      <c r="DU28" s="63">
        <v>4.2300000000000004</v>
      </c>
      <c r="DV28" s="64">
        <v>0.70499999999999996</v>
      </c>
      <c r="DW28" s="64">
        <v>1.99</v>
      </c>
      <c r="DX28" s="66" t="s">
        <v>247</v>
      </c>
      <c r="DY28" s="65" t="str">
        <f t="shared" si="41"/>
        <v>ME</v>
      </c>
      <c r="DZ28" s="128">
        <v>21</v>
      </c>
      <c r="EA28" s="173">
        <f t="shared" si="42"/>
        <v>9.3582887700534759E-2</v>
      </c>
      <c r="EB28" s="173">
        <f t="shared" si="43"/>
        <v>0.10073529411764706</v>
      </c>
      <c r="EC28" s="173">
        <f t="shared" si="44"/>
        <v>0.84285714285714286</v>
      </c>
      <c r="ED28" s="63">
        <v>1.19</v>
      </c>
      <c r="EE28" s="63">
        <v>1.24</v>
      </c>
      <c r="EF28" s="63">
        <v>0.03</v>
      </c>
      <c r="EG28" s="63">
        <v>0.06</v>
      </c>
      <c r="EH28" s="127" t="str">
        <f t="shared" si="5"/>
        <v>ME</v>
      </c>
      <c r="EI28" s="56">
        <v>21</v>
      </c>
      <c r="EJ28" s="334"/>
      <c r="EK28" s="334"/>
      <c r="EL28" s="334"/>
      <c r="EM28" s="334"/>
      <c r="EN28" s="334"/>
      <c r="EO28" s="334"/>
      <c r="EP28" s="334"/>
      <c r="EQ28" s="65" t="str">
        <f t="shared" si="45"/>
        <v>ME</v>
      </c>
      <c r="ER28" s="20"/>
      <c r="ES28" s="20"/>
      <c r="ET28" s="20"/>
      <c r="EU28" s="20"/>
      <c r="EV28" s="20"/>
      <c r="EW28" s="20"/>
      <c r="EX28" s="20"/>
    </row>
    <row r="29" spans="1:154" s="3" customFormat="1" ht="17.149999999999999" customHeight="1" x14ac:dyDescent="0.35">
      <c r="A29" s="56">
        <v>22</v>
      </c>
      <c r="B29" s="57">
        <v>863118</v>
      </c>
      <c r="C29" s="58">
        <f t="shared" si="6"/>
        <v>295</v>
      </c>
      <c r="D29" s="167">
        <v>9.8000000000000007</v>
      </c>
      <c r="E29" s="59">
        <v>767482</v>
      </c>
      <c r="F29" s="58">
        <f t="shared" si="7"/>
        <v>234</v>
      </c>
      <c r="G29" s="168">
        <v>1.57</v>
      </c>
      <c r="H29" s="57">
        <v>730768</v>
      </c>
      <c r="I29" s="58">
        <f t="shared" si="0"/>
        <v>218</v>
      </c>
      <c r="J29" s="60" t="s">
        <v>237</v>
      </c>
      <c r="K29" s="56">
        <v>22</v>
      </c>
      <c r="L29" s="57">
        <v>67607</v>
      </c>
      <c r="M29" s="58">
        <f t="shared" si="8"/>
        <v>40</v>
      </c>
      <c r="N29" s="59">
        <v>170668</v>
      </c>
      <c r="O29" s="58">
        <f t="shared" si="9"/>
        <v>77</v>
      </c>
      <c r="P29" s="57">
        <v>194713</v>
      </c>
      <c r="Q29" s="169" t="str">
        <f t="shared" si="1"/>
        <v/>
      </c>
      <c r="R29" s="57">
        <v>654</v>
      </c>
      <c r="S29" s="57">
        <v>662</v>
      </c>
      <c r="T29" s="57">
        <v>136</v>
      </c>
      <c r="U29" s="57">
        <v>134</v>
      </c>
      <c r="V29" s="58" t="str">
        <f t="shared" si="10"/>
        <v>SA/ME</v>
      </c>
      <c r="W29" s="56">
        <v>22</v>
      </c>
      <c r="X29" s="63">
        <v>11356.21</v>
      </c>
      <c r="Y29" s="130">
        <f t="shared" si="11"/>
        <v>4.5900000000001455</v>
      </c>
      <c r="Z29" s="63">
        <v>12121.3</v>
      </c>
      <c r="AA29" s="130">
        <f t="shared" si="12"/>
        <v>4.1700000000000728</v>
      </c>
      <c r="AB29" s="63">
        <v>9594.9699999999993</v>
      </c>
      <c r="AC29" s="130">
        <f t="shared" si="13"/>
        <v>2.1100000000005821</v>
      </c>
      <c r="AD29" s="63">
        <v>9688.36</v>
      </c>
      <c r="AE29" s="130">
        <f t="shared" si="2"/>
        <v>3.6899999999986903</v>
      </c>
      <c r="AF29" s="125" t="str">
        <f t="shared" si="14"/>
        <v>SA/ME</v>
      </c>
      <c r="AG29" s="56">
        <v>22</v>
      </c>
      <c r="AH29" s="63">
        <v>45288.66</v>
      </c>
      <c r="AI29" s="130">
        <f t="shared" si="15"/>
        <v>13.899999999994179</v>
      </c>
      <c r="AJ29" s="63">
        <v>47426.13</v>
      </c>
      <c r="AK29" s="130">
        <f t="shared" si="16"/>
        <v>16.260000000002037</v>
      </c>
      <c r="AL29" s="63">
        <v>585.26</v>
      </c>
      <c r="AM29" s="130" t="str">
        <f t="shared" si="17"/>
        <v/>
      </c>
      <c r="AN29" s="63">
        <v>546.34</v>
      </c>
      <c r="AO29" s="130" t="str">
        <f t="shared" si="3"/>
        <v/>
      </c>
      <c r="AP29" s="125" t="str">
        <f t="shared" si="18"/>
        <v>SA/ME</v>
      </c>
      <c r="AQ29" s="56">
        <v>22</v>
      </c>
      <c r="AR29" s="63">
        <v>6507.87</v>
      </c>
      <c r="AS29" s="130" t="str">
        <f t="shared" si="19"/>
        <v/>
      </c>
      <c r="AT29" s="63">
        <v>7201.52</v>
      </c>
      <c r="AU29" s="130">
        <f t="shared" si="20"/>
        <v>7.9499999999998181</v>
      </c>
      <c r="AV29" s="63">
        <v>247.91</v>
      </c>
      <c r="AW29" s="130">
        <f t="shared" si="46"/>
        <v>0.34000000000000341</v>
      </c>
      <c r="AX29" s="63">
        <v>235.79</v>
      </c>
      <c r="AY29" s="130" t="str">
        <f t="shared" si="4"/>
        <v/>
      </c>
      <c r="AZ29" s="125" t="str">
        <f t="shared" si="22"/>
        <v>SA/ME</v>
      </c>
      <c r="BA29" s="56">
        <v>22</v>
      </c>
      <c r="BB29" s="64">
        <v>0.60599999999999998</v>
      </c>
      <c r="BC29" s="62">
        <v>29</v>
      </c>
      <c r="BD29" s="61">
        <v>7.3</v>
      </c>
      <c r="BE29" s="61">
        <v>3</v>
      </c>
      <c r="BF29" s="61">
        <v>13.8</v>
      </c>
      <c r="BG29" s="61">
        <v>7.3</v>
      </c>
      <c r="BH29" s="64">
        <v>0.24</v>
      </c>
      <c r="BI29" s="64">
        <v>0.23400000000000001</v>
      </c>
      <c r="BJ29" s="64">
        <v>5.5E-2</v>
      </c>
      <c r="BK29" s="64">
        <v>6.2E-2</v>
      </c>
      <c r="BL29" s="64">
        <v>4.8000000000000001E-2</v>
      </c>
      <c r="BM29" s="64">
        <v>5.7000000000000002E-2</v>
      </c>
      <c r="BN29" s="65" t="str">
        <f t="shared" si="23"/>
        <v>SA/ME</v>
      </c>
      <c r="BO29" s="56">
        <v>22</v>
      </c>
      <c r="BP29" s="64">
        <v>0.08</v>
      </c>
      <c r="BQ29" s="62">
        <v>0</v>
      </c>
      <c r="BR29" s="61">
        <v>7.2</v>
      </c>
      <c r="BS29" s="61">
        <v>7.2</v>
      </c>
      <c r="BT29" s="61">
        <v>18.5</v>
      </c>
      <c r="BU29" s="64">
        <v>7.0000000000000001E-3</v>
      </c>
      <c r="BV29" s="63">
        <v>1.2</v>
      </c>
      <c r="BW29" s="63">
        <v>1.1000000000000001</v>
      </c>
      <c r="BX29" s="66" t="s">
        <v>263</v>
      </c>
      <c r="BY29" s="172" t="s">
        <v>239</v>
      </c>
      <c r="BZ29" s="67" t="str">
        <f t="shared" si="24"/>
        <v>SA/ME</v>
      </c>
      <c r="CA29" s="56">
        <v>22</v>
      </c>
      <c r="CB29" s="61">
        <v>91</v>
      </c>
      <c r="CC29" s="61"/>
      <c r="CD29" s="68">
        <f t="shared" si="25"/>
        <v>2.0999999999999943</v>
      </c>
      <c r="CE29" s="69">
        <f t="shared" si="26"/>
        <v>9.773956499999974</v>
      </c>
      <c r="CF29" s="69">
        <f t="shared" si="27"/>
        <v>5.3801595412843888</v>
      </c>
      <c r="CG29" s="62">
        <v>73</v>
      </c>
      <c r="CH29" s="62">
        <v>100</v>
      </c>
      <c r="CI29" s="65" t="str">
        <f t="shared" si="28"/>
        <v>SA/ME</v>
      </c>
      <c r="CJ29" s="56">
        <v>22</v>
      </c>
      <c r="CK29" s="61">
        <v>93</v>
      </c>
      <c r="CL29" s="61"/>
      <c r="CM29" s="68">
        <f t="shared" si="29"/>
        <v>3.5999999999999943</v>
      </c>
      <c r="CN29" s="68">
        <f t="shared" si="30"/>
        <v>16.755353999999976</v>
      </c>
      <c r="CO29" s="68">
        <f t="shared" si="31"/>
        <v>22.585649213898275</v>
      </c>
      <c r="CP29" s="62">
        <v>55</v>
      </c>
      <c r="CQ29" s="62">
        <v>83</v>
      </c>
      <c r="CR29" s="65" t="str">
        <f t="shared" si="32"/>
        <v>SA/ME</v>
      </c>
      <c r="CS29" s="56">
        <v>22</v>
      </c>
      <c r="CT29" s="61">
        <v>97.4</v>
      </c>
      <c r="CU29" s="61"/>
      <c r="CV29" s="68">
        <f t="shared" si="33"/>
        <v>5.2000000000000028</v>
      </c>
      <c r="CW29" s="68">
        <f t="shared" si="34"/>
        <v>34.550048000000018</v>
      </c>
      <c r="CX29" s="69">
        <f t="shared" si="35"/>
        <v>0.11711880677966108</v>
      </c>
      <c r="CY29" s="66" t="s">
        <v>251</v>
      </c>
      <c r="CZ29" s="66" t="s">
        <v>241</v>
      </c>
      <c r="DA29" s="66" t="s">
        <v>242</v>
      </c>
      <c r="DB29" s="65" t="str">
        <f t="shared" si="36"/>
        <v>SA/ME</v>
      </c>
      <c r="DC29" s="56">
        <v>22</v>
      </c>
      <c r="DD29" s="61">
        <v>91.9</v>
      </c>
      <c r="DE29" s="61">
        <v>106.3</v>
      </c>
      <c r="DF29" s="68">
        <f t="shared" si="37"/>
        <v>21.399999999999991</v>
      </c>
      <c r="DG29" s="69">
        <f t="shared" si="38"/>
        <v>1.1545562963199996</v>
      </c>
      <c r="DH29" s="68">
        <f t="shared" si="39"/>
        <v>3.9137501570169477</v>
      </c>
      <c r="DI29" s="62">
        <v>93</v>
      </c>
      <c r="DJ29" s="62">
        <v>54</v>
      </c>
      <c r="DK29" s="65" t="str">
        <f t="shared" si="40"/>
        <v>SA/ME</v>
      </c>
      <c r="DL29" s="56">
        <v>22</v>
      </c>
      <c r="DM29" s="63">
        <v>8.9</v>
      </c>
      <c r="DN29" s="64">
        <v>2.1999999999999999E-2</v>
      </c>
      <c r="DO29" s="64">
        <v>2.8000000000000001E-2</v>
      </c>
      <c r="DP29" s="64">
        <v>5.2999999999999999E-2</v>
      </c>
      <c r="DQ29" s="63">
        <v>6.84</v>
      </c>
      <c r="DR29" s="61">
        <v>7.3</v>
      </c>
      <c r="DS29" s="64">
        <v>1.2330000000000001</v>
      </c>
      <c r="DT29" s="61">
        <v>85.2</v>
      </c>
      <c r="DU29" s="63">
        <v>4.26</v>
      </c>
      <c r="DV29" s="64">
        <v>0.66900000000000004</v>
      </c>
      <c r="DW29" s="64">
        <v>0.443</v>
      </c>
      <c r="DX29" s="66" t="s">
        <v>242</v>
      </c>
      <c r="DY29" s="65" t="str">
        <f t="shared" si="41"/>
        <v>SA/ME</v>
      </c>
      <c r="DZ29" s="128">
        <v>22</v>
      </c>
      <c r="EA29" s="173">
        <f t="shared" si="42"/>
        <v>0.19719251336898397</v>
      </c>
      <c r="EB29" s="173">
        <f t="shared" si="43"/>
        <v>0.17205882352941176</v>
      </c>
      <c r="EC29" s="173">
        <f t="shared" si="44"/>
        <v>0.73898305084745763</v>
      </c>
      <c r="ED29" s="63">
        <v>1.17</v>
      </c>
      <c r="EE29" s="63">
        <v>1.25</v>
      </c>
      <c r="EF29" s="63">
        <v>0.03</v>
      </c>
      <c r="EG29" s="63">
        <v>0.04</v>
      </c>
      <c r="EH29" s="127" t="str">
        <f t="shared" si="5"/>
        <v>SA/ME</v>
      </c>
      <c r="EI29" s="56">
        <v>22</v>
      </c>
      <c r="EJ29" s="334"/>
      <c r="EK29" s="334"/>
      <c r="EL29" s="334"/>
      <c r="EM29" s="334"/>
      <c r="EN29" s="334"/>
      <c r="EO29" s="334"/>
      <c r="EP29" s="334"/>
      <c r="EQ29" s="65" t="s">
        <v>198</v>
      </c>
      <c r="ER29" s="20"/>
      <c r="ES29" s="20"/>
      <c r="ET29" s="20"/>
      <c r="EU29" s="20"/>
      <c r="EV29" s="20"/>
      <c r="EW29" s="20"/>
      <c r="EX29" s="20"/>
    </row>
    <row r="30" spans="1:154" s="3" customFormat="1" ht="17.149999999999999" customHeight="1" x14ac:dyDescent="0.35">
      <c r="A30" s="56">
        <v>23</v>
      </c>
      <c r="B30" s="57">
        <v>863413</v>
      </c>
      <c r="C30" s="58">
        <f t="shared" si="6"/>
        <v>74</v>
      </c>
      <c r="D30" s="167">
        <v>9.9</v>
      </c>
      <c r="E30" s="59">
        <v>767716</v>
      </c>
      <c r="F30" s="58">
        <f t="shared" si="7"/>
        <v>121</v>
      </c>
      <c r="G30" s="168">
        <v>0.99</v>
      </c>
      <c r="H30" s="57">
        <v>730986</v>
      </c>
      <c r="I30" s="58">
        <f t="shared" si="0"/>
        <v>62</v>
      </c>
      <c r="J30" s="60" t="s">
        <v>237</v>
      </c>
      <c r="K30" s="56">
        <v>23</v>
      </c>
      <c r="L30" s="57">
        <v>67647</v>
      </c>
      <c r="M30" s="58" t="str">
        <f t="shared" si="8"/>
        <v/>
      </c>
      <c r="N30" s="59">
        <v>170745</v>
      </c>
      <c r="O30" s="58">
        <f t="shared" si="9"/>
        <v>23</v>
      </c>
      <c r="P30" s="57">
        <v>194713</v>
      </c>
      <c r="Q30" s="169" t="str">
        <f t="shared" si="1"/>
        <v/>
      </c>
      <c r="R30" s="57">
        <v>654</v>
      </c>
      <c r="S30" s="57">
        <v>663</v>
      </c>
      <c r="T30" s="57">
        <v>136</v>
      </c>
      <c r="U30" s="57">
        <v>134</v>
      </c>
      <c r="V30" s="58" t="str">
        <f t="shared" si="10"/>
        <v>SA/ME</v>
      </c>
      <c r="W30" s="56">
        <v>23</v>
      </c>
      <c r="X30" s="63">
        <v>11360.8</v>
      </c>
      <c r="Y30" s="130" t="str">
        <f t="shared" si="11"/>
        <v/>
      </c>
      <c r="Z30" s="63">
        <v>12125.47</v>
      </c>
      <c r="AA30" s="130">
        <f t="shared" si="12"/>
        <v>2.1500000000014552</v>
      </c>
      <c r="AB30" s="63">
        <v>9597.08</v>
      </c>
      <c r="AC30" s="130">
        <f t="shared" si="13"/>
        <v>1.6599999999998545</v>
      </c>
      <c r="AD30" s="63">
        <v>9692.0499999999993</v>
      </c>
      <c r="AE30" s="130" t="str">
        <f t="shared" si="2"/>
        <v/>
      </c>
      <c r="AF30" s="125" t="str">
        <f t="shared" si="14"/>
        <v>SA/ME</v>
      </c>
      <c r="AG30" s="56">
        <v>23</v>
      </c>
      <c r="AH30" s="63">
        <v>45302.559999999998</v>
      </c>
      <c r="AI30" s="130">
        <f t="shared" si="15"/>
        <v>12.340000000003783</v>
      </c>
      <c r="AJ30" s="63">
        <v>47442.39</v>
      </c>
      <c r="AK30" s="130">
        <f t="shared" si="16"/>
        <v>7.7399999999979627</v>
      </c>
      <c r="AL30" s="63">
        <v>585.26</v>
      </c>
      <c r="AM30" s="130" t="str">
        <f t="shared" si="17"/>
        <v/>
      </c>
      <c r="AN30" s="63">
        <v>546.34</v>
      </c>
      <c r="AO30" s="130" t="str">
        <f t="shared" si="3"/>
        <v/>
      </c>
      <c r="AP30" s="283" t="s">
        <v>237</v>
      </c>
      <c r="AQ30" s="56">
        <v>23</v>
      </c>
      <c r="AR30" s="63">
        <v>6507.87</v>
      </c>
      <c r="AS30" s="130" t="str">
        <f t="shared" si="19"/>
        <v/>
      </c>
      <c r="AT30" s="63">
        <v>7209.47</v>
      </c>
      <c r="AU30" s="130">
        <f t="shared" si="20"/>
        <v>2.3499999999994543</v>
      </c>
      <c r="AV30" s="63">
        <v>248.25</v>
      </c>
      <c r="AW30" s="130" t="str">
        <f t="shared" si="46"/>
        <v/>
      </c>
      <c r="AX30" s="63">
        <v>235.79</v>
      </c>
      <c r="AY30" s="130" t="str">
        <f t="shared" si="4"/>
        <v/>
      </c>
      <c r="AZ30" s="125" t="str">
        <f t="shared" si="22"/>
        <v>SA/ME</v>
      </c>
      <c r="BA30" s="56">
        <v>23</v>
      </c>
      <c r="BB30" s="64"/>
      <c r="BC30" s="62"/>
      <c r="BD30" s="61"/>
      <c r="BE30" s="61"/>
      <c r="BF30" s="61"/>
      <c r="BG30" s="61"/>
      <c r="BH30" s="64"/>
      <c r="BI30" s="64"/>
      <c r="BJ30" s="64"/>
      <c r="BK30" s="64"/>
      <c r="BL30" s="64"/>
      <c r="BM30" s="64"/>
      <c r="BN30" s="65" t="str">
        <f t="shared" si="23"/>
        <v>SA/ME</v>
      </c>
      <c r="BO30" s="56">
        <v>23</v>
      </c>
      <c r="BP30" s="64">
        <v>7.3999999999999996E-2</v>
      </c>
      <c r="BQ30" s="62">
        <v>0</v>
      </c>
      <c r="BR30" s="61">
        <v>7.3</v>
      </c>
      <c r="BS30" s="61">
        <v>7.1</v>
      </c>
      <c r="BT30" s="61">
        <v>14.8</v>
      </c>
      <c r="BU30" s="64">
        <v>1.0999999999999999E-2</v>
      </c>
      <c r="BV30" s="63">
        <v>1.25</v>
      </c>
      <c r="BW30" s="63">
        <v>1.18</v>
      </c>
      <c r="BX30" s="66" t="s">
        <v>265</v>
      </c>
      <c r="BY30" s="172" t="s">
        <v>239</v>
      </c>
      <c r="BZ30" s="67" t="str">
        <f t="shared" si="24"/>
        <v>SA/ME</v>
      </c>
      <c r="CA30" s="56">
        <v>23</v>
      </c>
      <c r="CB30" s="61">
        <v>88.9</v>
      </c>
      <c r="CC30" s="61"/>
      <c r="CD30" s="68">
        <f t="shared" si="25"/>
        <v>0.5</v>
      </c>
      <c r="CE30" s="69">
        <f t="shared" si="26"/>
        <v>2.3271325000000003</v>
      </c>
      <c r="CF30" s="69">
        <f t="shared" si="27"/>
        <v>4.5041274193548384</v>
      </c>
      <c r="CG30" s="62">
        <v>73</v>
      </c>
      <c r="CH30" s="62">
        <v>100</v>
      </c>
      <c r="CI30" s="65" t="str">
        <f t="shared" si="28"/>
        <v>SA/ME</v>
      </c>
      <c r="CJ30" s="56">
        <v>23</v>
      </c>
      <c r="CK30" s="61">
        <v>89.4</v>
      </c>
      <c r="CL30" s="61"/>
      <c r="CM30" s="68">
        <f t="shared" si="29"/>
        <v>0.90000000000000568</v>
      </c>
      <c r="CN30" s="68">
        <f t="shared" si="30"/>
        <v>4.1888385000000268</v>
      </c>
      <c r="CO30" s="68">
        <f t="shared" si="31"/>
        <v>22.509346344932577</v>
      </c>
      <c r="CP30" s="62">
        <v>55</v>
      </c>
      <c r="CQ30" s="62">
        <v>83</v>
      </c>
      <c r="CR30" s="65" t="str">
        <f t="shared" si="32"/>
        <v>SA/ME</v>
      </c>
      <c r="CS30" s="56">
        <v>23</v>
      </c>
      <c r="CT30" s="61">
        <v>92.2</v>
      </c>
      <c r="CU30" s="61"/>
      <c r="CV30" s="68">
        <f t="shared" si="33"/>
        <v>0.79999999999999716</v>
      </c>
      <c r="CW30" s="68">
        <f t="shared" si="34"/>
        <v>5.3153919999999806</v>
      </c>
      <c r="CX30" s="69">
        <f t="shared" si="35"/>
        <v>7.1829621621621362E-2</v>
      </c>
      <c r="CY30" s="66" t="s">
        <v>251</v>
      </c>
      <c r="CZ30" s="66" t="s">
        <v>241</v>
      </c>
      <c r="DA30" s="66"/>
      <c r="DB30" s="65" t="str">
        <f t="shared" si="36"/>
        <v>SA/ME</v>
      </c>
      <c r="DC30" s="56">
        <v>23</v>
      </c>
      <c r="DD30" s="61">
        <v>84.9</v>
      </c>
      <c r="DE30" s="61">
        <v>104.8</v>
      </c>
      <c r="DF30" s="68">
        <f t="shared" si="37"/>
        <v>2.8999999999999915</v>
      </c>
      <c r="DG30" s="69">
        <f t="shared" si="38"/>
        <v>0.15645856351999957</v>
      </c>
      <c r="DH30" s="68">
        <f t="shared" si="39"/>
        <v>2.1143049124324262</v>
      </c>
      <c r="DI30" s="62">
        <v>93</v>
      </c>
      <c r="DJ30" s="62">
        <v>54</v>
      </c>
      <c r="DK30" s="65" t="str">
        <f t="shared" si="40"/>
        <v>SA/ME</v>
      </c>
      <c r="DL30" s="56">
        <v>23</v>
      </c>
      <c r="DM30" s="63">
        <v>8.7799999999999994</v>
      </c>
      <c r="DN30" s="64">
        <v>1.2E-2</v>
      </c>
      <c r="DO30" s="64">
        <v>2.9000000000000001E-2</v>
      </c>
      <c r="DP30" s="64">
        <v>4.8000000000000001E-2</v>
      </c>
      <c r="DQ30" s="63">
        <v>6.82</v>
      </c>
      <c r="DR30" s="61">
        <v>7.1</v>
      </c>
      <c r="DS30" s="64">
        <v>1.2569999999999999</v>
      </c>
      <c r="DT30" s="61">
        <v>85.5</v>
      </c>
      <c r="DU30" s="63">
        <v>4.3600000000000003</v>
      </c>
      <c r="DV30" s="64">
        <v>0.71499999999999997</v>
      </c>
      <c r="DW30" s="64">
        <v>0.81</v>
      </c>
      <c r="DX30" s="66" t="s">
        <v>247</v>
      </c>
      <c r="DY30" s="65" t="str">
        <f t="shared" si="41"/>
        <v>SA/ME</v>
      </c>
      <c r="DZ30" s="128">
        <v>23</v>
      </c>
      <c r="EA30" s="173">
        <f t="shared" si="42"/>
        <v>4.9465240641711233E-2</v>
      </c>
      <c r="EB30" s="173">
        <f t="shared" si="43"/>
        <v>8.8970588235294121E-2</v>
      </c>
      <c r="EC30" s="173">
        <f t="shared" si="44"/>
        <v>0.83783783783783783</v>
      </c>
      <c r="ED30" s="63">
        <v>1.19</v>
      </c>
      <c r="EE30" s="63">
        <v>1.24</v>
      </c>
      <c r="EF30" s="63">
        <v>0.03</v>
      </c>
      <c r="EG30" s="63">
        <v>0.05</v>
      </c>
      <c r="EH30" s="127" t="str">
        <f t="shared" si="5"/>
        <v>SA/ME</v>
      </c>
      <c r="EI30" s="56">
        <v>23</v>
      </c>
      <c r="EJ30" s="334"/>
      <c r="EK30" s="334"/>
      <c r="EL30" s="334"/>
      <c r="EM30" s="334"/>
      <c r="EN30" s="334"/>
      <c r="EO30" s="334"/>
      <c r="EP30" s="334"/>
      <c r="EQ30" s="65" t="str">
        <f t="shared" si="45"/>
        <v>SA/ME</v>
      </c>
      <c r="ER30" s="20"/>
      <c r="ES30" s="20"/>
      <c r="ET30" s="20"/>
      <c r="EU30" s="20"/>
      <c r="EV30" s="20"/>
      <c r="EW30" s="20"/>
      <c r="EX30" s="20"/>
    </row>
    <row r="31" spans="1:154" s="3" customFormat="1" ht="17.149999999999999" customHeight="1" x14ac:dyDescent="0.35">
      <c r="A31" s="56">
        <v>24</v>
      </c>
      <c r="B31" s="57">
        <v>863487</v>
      </c>
      <c r="C31" s="58">
        <f t="shared" si="6"/>
        <v>160</v>
      </c>
      <c r="D31" s="167">
        <v>9.86</v>
      </c>
      <c r="E31" s="59">
        <v>767837</v>
      </c>
      <c r="F31" s="58">
        <f t="shared" si="7"/>
        <v>209</v>
      </c>
      <c r="G31" s="168">
        <v>1.23</v>
      </c>
      <c r="H31" s="57">
        <v>731048</v>
      </c>
      <c r="I31" s="58">
        <f t="shared" si="0"/>
        <v>138</v>
      </c>
      <c r="J31" s="60" t="s">
        <v>237</v>
      </c>
      <c r="K31" s="56">
        <v>24</v>
      </c>
      <c r="L31" s="57">
        <v>67647</v>
      </c>
      <c r="M31" s="58" t="str">
        <f t="shared" si="8"/>
        <v/>
      </c>
      <c r="N31" s="59">
        <v>170768</v>
      </c>
      <c r="O31" s="58">
        <f t="shared" si="9"/>
        <v>28</v>
      </c>
      <c r="P31" s="57">
        <v>194713</v>
      </c>
      <c r="Q31" s="169" t="str">
        <f t="shared" si="1"/>
        <v/>
      </c>
      <c r="R31" s="57">
        <v>654</v>
      </c>
      <c r="S31" s="57">
        <v>663</v>
      </c>
      <c r="T31" s="57">
        <v>136</v>
      </c>
      <c r="U31" s="57">
        <v>134</v>
      </c>
      <c r="V31" s="58" t="str">
        <f t="shared" si="10"/>
        <v>SA/ME</v>
      </c>
      <c r="W31" s="56">
        <v>24</v>
      </c>
      <c r="X31" s="63">
        <v>11360.8</v>
      </c>
      <c r="Y31" s="130">
        <f t="shared" si="11"/>
        <v>2.3000000000010914</v>
      </c>
      <c r="Z31" s="63">
        <v>12127.62</v>
      </c>
      <c r="AA31" s="130">
        <f t="shared" si="12"/>
        <v>2.3499999999985448</v>
      </c>
      <c r="AB31" s="63">
        <v>9598.74</v>
      </c>
      <c r="AC31" s="130">
        <f t="shared" si="13"/>
        <v>1.8500000000003638</v>
      </c>
      <c r="AD31" s="63">
        <v>9692.0499999999993</v>
      </c>
      <c r="AE31" s="130">
        <f t="shared" si="2"/>
        <v>1.8299999999999272</v>
      </c>
      <c r="AF31" s="125" t="str">
        <f t="shared" si="14"/>
        <v>SA/ME</v>
      </c>
      <c r="AG31" s="56">
        <v>24</v>
      </c>
      <c r="AH31" s="63">
        <v>45314.9</v>
      </c>
      <c r="AI31" s="130">
        <f t="shared" si="15"/>
        <v>11.669999999998254</v>
      </c>
      <c r="AJ31" s="63">
        <v>47450.13</v>
      </c>
      <c r="AK31" s="130">
        <f t="shared" si="16"/>
        <v>12.630000000004657</v>
      </c>
      <c r="AL31" s="63">
        <v>585.26</v>
      </c>
      <c r="AM31" s="130" t="str">
        <f t="shared" si="17"/>
        <v/>
      </c>
      <c r="AN31" s="63">
        <v>546.34</v>
      </c>
      <c r="AO31" s="130" t="str">
        <f t="shared" si="3"/>
        <v/>
      </c>
      <c r="AP31" s="125" t="str">
        <f t="shared" si="18"/>
        <v>SA/ME</v>
      </c>
      <c r="AQ31" s="56">
        <v>24</v>
      </c>
      <c r="AR31" s="63">
        <v>6507.87</v>
      </c>
      <c r="AS31" s="130" t="str">
        <f t="shared" si="19"/>
        <v/>
      </c>
      <c r="AT31" s="63">
        <v>7211.82</v>
      </c>
      <c r="AU31" s="130">
        <f t="shared" si="20"/>
        <v>3.0100000000002183</v>
      </c>
      <c r="AV31" s="63">
        <v>248.25</v>
      </c>
      <c r="AW31" s="130" t="str">
        <f t="shared" si="46"/>
        <v/>
      </c>
      <c r="AX31" s="63">
        <v>235.79</v>
      </c>
      <c r="AY31" s="130" t="str">
        <f t="shared" si="4"/>
        <v/>
      </c>
      <c r="AZ31" s="125" t="str">
        <f t="shared" si="22"/>
        <v>SA/ME</v>
      </c>
      <c r="BA31" s="56">
        <v>24</v>
      </c>
      <c r="BB31" s="64"/>
      <c r="BC31" s="62"/>
      <c r="BD31" s="61"/>
      <c r="BE31" s="61"/>
      <c r="BF31" s="61"/>
      <c r="BG31" s="61"/>
      <c r="BH31" s="64"/>
      <c r="BI31" s="64"/>
      <c r="BJ31" s="64"/>
      <c r="BK31" s="64"/>
      <c r="BL31" s="64"/>
      <c r="BM31" s="64"/>
      <c r="BN31" s="65" t="str">
        <f t="shared" si="23"/>
        <v>SA/ME</v>
      </c>
      <c r="BO31" s="56">
        <v>24</v>
      </c>
      <c r="BP31" s="64">
        <v>7.1999999999999995E-2</v>
      </c>
      <c r="BQ31" s="62">
        <v>0</v>
      </c>
      <c r="BR31" s="61">
        <v>7.3</v>
      </c>
      <c r="BS31" s="61">
        <v>7.2</v>
      </c>
      <c r="BT31" s="61">
        <v>16.7</v>
      </c>
      <c r="BU31" s="64">
        <v>0.01</v>
      </c>
      <c r="BV31" s="63">
        <v>1.23</v>
      </c>
      <c r="BW31" s="63">
        <v>1.1200000000000001</v>
      </c>
      <c r="BX31" s="66" t="s">
        <v>266</v>
      </c>
      <c r="BY31" s="172" t="s">
        <v>239</v>
      </c>
      <c r="BZ31" s="67" t="str">
        <f t="shared" si="24"/>
        <v>SA/ME</v>
      </c>
      <c r="CA31" s="56">
        <v>24</v>
      </c>
      <c r="CB31" s="61">
        <v>88.4</v>
      </c>
      <c r="CC31" s="61"/>
      <c r="CD31" s="68">
        <f t="shared" si="25"/>
        <v>1.1000000000000085</v>
      </c>
      <c r="CE31" s="69">
        <f t="shared" si="26"/>
        <v>5.11969150000004</v>
      </c>
      <c r="CF31" s="69">
        <f t="shared" si="27"/>
        <v>4.4519056521739477</v>
      </c>
      <c r="CG31" s="62">
        <v>73</v>
      </c>
      <c r="CH31" s="62">
        <v>100</v>
      </c>
      <c r="CI31" s="65" t="str">
        <f t="shared" si="28"/>
        <v>SA/ME</v>
      </c>
      <c r="CJ31" s="56">
        <v>24</v>
      </c>
      <c r="CK31" s="61">
        <v>88.5</v>
      </c>
      <c r="CL31" s="61"/>
      <c r="CM31" s="68">
        <f t="shared" si="29"/>
        <v>1.9000000000000057</v>
      </c>
      <c r="CN31" s="68">
        <f t="shared" si="30"/>
        <v>8.8431035000000264</v>
      </c>
      <c r="CO31" s="68">
        <f t="shared" si="31"/>
        <v>21.977875667343817</v>
      </c>
      <c r="CP31" s="62">
        <v>55</v>
      </c>
      <c r="CQ31" s="62">
        <v>83</v>
      </c>
      <c r="CR31" s="65" t="str">
        <f t="shared" si="32"/>
        <v>SA/ME</v>
      </c>
      <c r="CS31" s="56">
        <v>24</v>
      </c>
      <c r="CT31" s="61">
        <v>91.4</v>
      </c>
      <c r="CU31" s="61"/>
      <c r="CV31" s="68">
        <f t="shared" si="33"/>
        <v>1.6000000000000085</v>
      </c>
      <c r="CW31" s="68">
        <f t="shared" si="34"/>
        <v>10.630784000000055</v>
      </c>
      <c r="CX31" s="69">
        <f t="shared" si="35"/>
        <v>6.6442400000000346E-2</v>
      </c>
      <c r="CY31" s="66" t="s">
        <v>251</v>
      </c>
      <c r="CZ31" s="66" t="s">
        <v>241</v>
      </c>
      <c r="DA31" s="66"/>
      <c r="DB31" s="65" t="str">
        <f t="shared" si="36"/>
        <v>SA/ME</v>
      </c>
      <c r="DC31" s="56">
        <v>24</v>
      </c>
      <c r="DD31" s="61">
        <v>101.9</v>
      </c>
      <c r="DE31" s="61">
        <v>105.2</v>
      </c>
      <c r="DF31" s="68">
        <f t="shared" si="37"/>
        <v>8.6000000000000085</v>
      </c>
      <c r="DG31" s="69">
        <f t="shared" si="38"/>
        <v>0.46398056768000051</v>
      </c>
      <c r="DH31" s="68">
        <f t="shared" si="39"/>
        <v>2.8998785480000029</v>
      </c>
      <c r="DI31" s="62">
        <v>93</v>
      </c>
      <c r="DJ31" s="62">
        <v>54</v>
      </c>
      <c r="DK31" s="65" t="str">
        <f t="shared" si="40"/>
        <v>SA/ME</v>
      </c>
      <c r="DL31" s="56">
        <v>24</v>
      </c>
      <c r="DM31" s="63">
        <v>8.65</v>
      </c>
      <c r="DN31" s="64">
        <v>2.1999999999999999E-2</v>
      </c>
      <c r="DO31" s="64">
        <v>2.8000000000000001E-2</v>
      </c>
      <c r="DP31" s="64">
        <v>0.05</v>
      </c>
      <c r="DQ31" s="63">
        <v>6.83</v>
      </c>
      <c r="DR31" s="61">
        <v>7.2</v>
      </c>
      <c r="DS31" s="64">
        <v>1.264</v>
      </c>
      <c r="DT31" s="61">
        <v>84.2</v>
      </c>
      <c r="DU31" s="63">
        <v>4.25</v>
      </c>
      <c r="DV31" s="64">
        <v>0.68100000000000005</v>
      </c>
      <c r="DW31" s="64">
        <v>0.60899999999999999</v>
      </c>
      <c r="DX31" s="66" t="s">
        <v>242</v>
      </c>
      <c r="DY31" s="65" t="str">
        <f t="shared" si="41"/>
        <v>SA/ME</v>
      </c>
      <c r="DZ31" s="128">
        <v>24</v>
      </c>
      <c r="EA31" s="173">
        <f t="shared" si="42"/>
        <v>0.10695187165775401</v>
      </c>
      <c r="EB31" s="173">
        <f t="shared" si="43"/>
        <v>0.1536764705882353</v>
      </c>
      <c r="EC31" s="173">
        <f t="shared" si="44"/>
        <v>0.86250000000000004</v>
      </c>
      <c r="ED31" s="63">
        <v>1.2</v>
      </c>
      <c r="EE31" s="63">
        <v>1.28</v>
      </c>
      <c r="EF31" s="63">
        <v>0.04</v>
      </c>
      <c r="EG31" s="63">
        <v>0.05</v>
      </c>
      <c r="EH31" s="127" t="str">
        <f t="shared" si="5"/>
        <v>SA/ME</v>
      </c>
      <c r="EI31" s="56">
        <v>24</v>
      </c>
      <c r="EJ31" s="334"/>
      <c r="EK31" s="334"/>
      <c r="EL31" s="334"/>
      <c r="EM31" s="334"/>
      <c r="EN31" s="334"/>
      <c r="EO31" s="334"/>
      <c r="EP31" s="334"/>
      <c r="EQ31" s="65" t="str">
        <f t="shared" si="45"/>
        <v>SA/ME</v>
      </c>
      <c r="ER31" s="20"/>
      <c r="ES31" s="20"/>
      <c r="ET31" s="20"/>
      <c r="EU31" s="20"/>
      <c r="EV31" s="20"/>
      <c r="EW31" s="20"/>
      <c r="EX31" s="20"/>
    </row>
    <row r="32" spans="1:154" s="3" customFormat="1" ht="17.149999999999999" customHeight="1" x14ac:dyDescent="0.35">
      <c r="A32" s="56">
        <v>25</v>
      </c>
      <c r="B32" s="57">
        <v>863647</v>
      </c>
      <c r="C32" s="58">
        <f t="shared" si="6"/>
        <v>191</v>
      </c>
      <c r="D32" s="167">
        <v>10.039999999999999</v>
      </c>
      <c r="E32" s="59">
        <v>768046</v>
      </c>
      <c r="F32" s="58">
        <f t="shared" si="7"/>
        <v>207</v>
      </c>
      <c r="G32" s="168">
        <v>1.26</v>
      </c>
      <c r="H32" s="57">
        <v>731186</v>
      </c>
      <c r="I32" s="58">
        <f t="shared" si="0"/>
        <v>163</v>
      </c>
      <c r="J32" s="60" t="s">
        <v>194</v>
      </c>
      <c r="K32" s="56">
        <v>25</v>
      </c>
      <c r="L32" s="57">
        <v>67647</v>
      </c>
      <c r="M32" s="58">
        <f t="shared" si="8"/>
        <v>1</v>
      </c>
      <c r="N32" s="59">
        <v>170796</v>
      </c>
      <c r="O32" s="58">
        <f t="shared" si="9"/>
        <v>34</v>
      </c>
      <c r="P32" s="57">
        <v>194713</v>
      </c>
      <c r="Q32" s="169" t="str">
        <f t="shared" si="1"/>
        <v/>
      </c>
      <c r="R32" s="57">
        <v>654</v>
      </c>
      <c r="S32" s="57">
        <v>663</v>
      </c>
      <c r="T32" s="57">
        <v>136</v>
      </c>
      <c r="U32" s="57">
        <v>134</v>
      </c>
      <c r="V32" s="58" t="str">
        <f t="shared" si="10"/>
        <v>ME</v>
      </c>
      <c r="W32" s="56">
        <v>25</v>
      </c>
      <c r="X32" s="63">
        <v>11363.1</v>
      </c>
      <c r="Y32" s="130">
        <f t="shared" si="11"/>
        <v>2.8599999999987631</v>
      </c>
      <c r="Z32" s="63">
        <v>12129.97</v>
      </c>
      <c r="AA32" s="130">
        <f t="shared" si="12"/>
        <v>2.7000000000007276</v>
      </c>
      <c r="AB32" s="63">
        <v>9600.59</v>
      </c>
      <c r="AC32" s="130">
        <f t="shared" si="13"/>
        <v>2.2299999999995634</v>
      </c>
      <c r="AD32" s="63">
        <v>9693.8799999999992</v>
      </c>
      <c r="AE32" s="130">
        <f t="shared" si="2"/>
        <v>2.1100000000005821</v>
      </c>
      <c r="AF32" s="125" t="str">
        <f t="shared" si="14"/>
        <v>ME</v>
      </c>
      <c r="AG32" s="56">
        <v>25</v>
      </c>
      <c r="AH32" s="63">
        <v>45326.57</v>
      </c>
      <c r="AI32" s="130">
        <f t="shared" si="15"/>
        <v>11.510000000002037</v>
      </c>
      <c r="AJ32" s="63">
        <v>47462.76</v>
      </c>
      <c r="AK32" s="130">
        <f t="shared" si="16"/>
        <v>11.379999999997381</v>
      </c>
      <c r="AL32" s="63">
        <v>585.26</v>
      </c>
      <c r="AM32" s="130" t="str">
        <f t="shared" si="17"/>
        <v/>
      </c>
      <c r="AN32" s="63">
        <v>546.34</v>
      </c>
      <c r="AO32" s="130" t="str">
        <f t="shared" si="3"/>
        <v/>
      </c>
      <c r="AP32" s="125" t="str">
        <f t="shared" si="18"/>
        <v>ME</v>
      </c>
      <c r="AQ32" s="56">
        <v>25</v>
      </c>
      <c r="AR32" s="63">
        <v>6507.87</v>
      </c>
      <c r="AS32" s="130" t="str">
        <f t="shared" si="19"/>
        <v/>
      </c>
      <c r="AT32" s="63">
        <v>7214.83</v>
      </c>
      <c r="AU32" s="130">
        <f t="shared" si="20"/>
        <v>3.8999999999996362</v>
      </c>
      <c r="AV32" s="63">
        <v>248.25</v>
      </c>
      <c r="AW32" s="130" t="str">
        <f t="shared" si="46"/>
        <v/>
      </c>
      <c r="AX32" s="63">
        <v>235.79</v>
      </c>
      <c r="AY32" s="130" t="str">
        <f t="shared" si="4"/>
        <v/>
      </c>
      <c r="AZ32" s="125" t="str">
        <f t="shared" si="22"/>
        <v>ME</v>
      </c>
      <c r="BA32" s="56">
        <v>25</v>
      </c>
      <c r="BB32" s="64">
        <v>0.68300000000000005</v>
      </c>
      <c r="BC32" s="62">
        <v>33</v>
      </c>
      <c r="BD32" s="61">
        <v>7.2</v>
      </c>
      <c r="BE32" s="61">
        <v>2.9</v>
      </c>
      <c r="BF32" s="61">
        <v>13</v>
      </c>
      <c r="BG32" s="61">
        <v>7.2</v>
      </c>
      <c r="BH32" s="64">
        <v>0.27600000000000002</v>
      </c>
      <c r="BI32" s="64">
        <v>0.251</v>
      </c>
      <c r="BJ32" s="64">
        <v>5.0999999999999997E-2</v>
      </c>
      <c r="BK32" s="64">
        <v>0.05</v>
      </c>
      <c r="BL32" s="64">
        <v>4.9000000000000002E-2</v>
      </c>
      <c r="BM32" s="64">
        <v>0.05</v>
      </c>
      <c r="BN32" s="65" t="str">
        <f t="shared" si="23"/>
        <v>ME</v>
      </c>
      <c r="BO32" s="56">
        <v>25</v>
      </c>
      <c r="BP32" s="64">
        <v>7.4999999999999997E-2</v>
      </c>
      <c r="BQ32" s="62">
        <v>0</v>
      </c>
      <c r="BR32" s="61">
        <v>7.2</v>
      </c>
      <c r="BS32" s="61">
        <v>7.1</v>
      </c>
      <c r="BT32" s="61">
        <v>16.7</v>
      </c>
      <c r="BU32" s="64">
        <v>0.01</v>
      </c>
      <c r="BV32" s="63">
        <v>1.32</v>
      </c>
      <c r="BW32" s="63">
        <v>1.1499999999999999</v>
      </c>
      <c r="BX32" s="66" t="s">
        <v>245</v>
      </c>
      <c r="BY32" s="172" t="s">
        <v>246</v>
      </c>
      <c r="BZ32" s="67" t="str">
        <f t="shared" si="24"/>
        <v>ME</v>
      </c>
      <c r="CA32" s="56">
        <v>25</v>
      </c>
      <c r="CB32" s="61">
        <v>87.3</v>
      </c>
      <c r="CC32" s="61"/>
      <c r="CD32" s="68">
        <f t="shared" si="25"/>
        <v>1.5</v>
      </c>
      <c r="CE32" s="69">
        <f t="shared" si="26"/>
        <v>6.9813975000000008</v>
      </c>
      <c r="CF32" s="69">
        <f t="shared" si="27"/>
        <v>5.1396791411042955</v>
      </c>
      <c r="CG32" s="62">
        <v>65</v>
      </c>
      <c r="CH32" s="62">
        <v>100</v>
      </c>
      <c r="CI32" s="65" t="str">
        <f t="shared" si="28"/>
        <v>ME</v>
      </c>
      <c r="CJ32" s="56">
        <v>25</v>
      </c>
      <c r="CK32" s="61">
        <v>86.6</v>
      </c>
      <c r="CL32" s="61">
        <v>99.4</v>
      </c>
      <c r="CM32" s="68">
        <f t="shared" si="29"/>
        <v>2.3000000000000114</v>
      </c>
      <c r="CN32" s="68">
        <f t="shared" si="30"/>
        <v>10.704809500000055</v>
      </c>
      <c r="CO32" s="68">
        <f t="shared" si="31"/>
        <v>22.286740825523676</v>
      </c>
      <c r="CP32" s="62">
        <v>53</v>
      </c>
      <c r="CQ32" s="62">
        <v>83</v>
      </c>
      <c r="CR32" s="65" t="str">
        <f t="shared" si="32"/>
        <v>ME</v>
      </c>
      <c r="CS32" s="56">
        <v>25</v>
      </c>
      <c r="CT32" s="61">
        <v>89.8</v>
      </c>
      <c r="CU32" s="61">
        <v>113.5</v>
      </c>
      <c r="CV32" s="68">
        <f t="shared" si="33"/>
        <v>1.2999999999999972</v>
      </c>
      <c r="CW32" s="68">
        <f t="shared" si="34"/>
        <v>8.6375119999999814</v>
      </c>
      <c r="CX32" s="69">
        <f t="shared" si="35"/>
        <v>4.5222575916230266E-2</v>
      </c>
      <c r="CY32" s="66" t="s">
        <v>240</v>
      </c>
      <c r="CZ32" s="66" t="s">
        <v>241</v>
      </c>
      <c r="DA32" s="66"/>
      <c r="DB32" s="65" t="str">
        <f t="shared" si="36"/>
        <v>ME</v>
      </c>
      <c r="DC32" s="56">
        <v>25</v>
      </c>
      <c r="DD32" s="61">
        <v>96.6</v>
      </c>
      <c r="DE32" s="61"/>
      <c r="DF32" s="68">
        <f t="shared" si="37"/>
        <v>-1.7000000000000028</v>
      </c>
      <c r="DG32" s="69">
        <f t="shared" si="38"/>
        <v>-9.1717088960000151E-2</v>
      </c>
      <c r="DH32" s="68">
        <f t="shared" si="39"/>
        <v>-0.48019418303665001</v>
      </c>
      <c r="DI32" s="62">
        <v>94</v>
      </c>
      <c r="DJ32" s="62">
        <v>54</v>
      </c>
      <c r="DK32" s="65" t="str">
        <f t="shared" si="40"/>
        <v>ME</v>
      </c>
      <c r="DL32" s="56">
        <v>25</v>
      </c>
      <c r="DM32" s="63">
        <v>8</v>
      </c>
      <c r="DN32" s="64">
        <v>2.1000000000000001E-2</v>
      </c>
      <c r="DO32" s="64">
        <v>2.7E-2</v>
      </c>
      <c r="DP32" s="64">
        <v>4.8000000000000001E-2</v>
      </c>
      <c r="DQ32" s="63">
        <v>6.81</v>
      </c>
      <c r="DR32" s="61">
        <v>7.1</v>
      </c>
      <c r="DS32" s="64">
        <v>1.29</v>
      </c>
      <c r="DT32" s="61">
        <v>85.4</v>
      </c>
      <c r="DU32" s="63">
        <v>4.1399999999999997</v>
      </c>
      <c r="DV32" s="64">
        <v>0.69899999999999995</v>
      </c>
      <c r="DW32" s="64">
        <v>0.54400000000000004</v>
      </c>
      <c r="DX32" s="66" t="s">
        <v>247</v>
      </c>
      <c r="DY32" s="65" t="str">
        <f t="shared" si="41"/>
        <v>ME</v>
      </c>
      <c r="DZ32" s="128">
        <v>25</v>
      </c>
      <c r="EA32" s="173">
        <f t="shared" si="42"/>
        <v>0.12767379679144386</v>
      </c>
      <c r="EB32" s="173">
        <f t="shared" si="43"/>
        <v>0.15220588235294116</v>
      </c>
      <c r="EC32" s="173">
        <f t="shared" si="44"/>
        <v>0.8534031413612565</v>
      </c>
      <c r="ED32" s="203">
        <v>1.25</v>
      </c>
      <c r="EE32" s="203">
        <v>1.3</v>
      </c>
      <c r="EF32" s="203">
        <v>0.03</v>
      </c>
      <c r="EG32" s="203">
        <v>0.04</v>
      </c>
      <c r="EH32" s="127" t="str">
        <f t="shared" si="5"/>
        <v>ME</v>
      </c>
      <c r="EI32" s="56">
        <v>25</v>
      </c>
      <c r="EJ32" s="334" t="s">
        <v>267</v>
      </c>
      <c r="EK32" s="334"/>
      <c r="EL32" s="334"/>
      <c r="EM32" s="334"/>
      <c r="EN32" s="334"/>
      <c r="EO32" s="334"/>
      <c r="EP32" s="334"/>
      <c r="EQ32" s="65" t="str">
        <f t="shared" si="45"/>
        <v>ME</v>
      </c>
      <c r="ER32" s="20"/>
      <c r="ES32" s="20"/>
      <c r="ET32" s="20"/>
      <c r="EU32" s="20"/>
      <c r="EV32" s="20"/>
      <c r="EW32" s="20"/>
      <c r="EX32" s="20"/>
    </row>
    <row r="33" spans="1:154" s="3" customFormat="1" ht="17.149999999999999" customHeight="1" x14ac:dyDescent="0.35">
      <c r="A33" s="56">
        <v>26</v>
      </c>
      <c r="B33" s="57">
        <v>863838</v>
      </c>
      <c r="C33" s="58">
        <f t="shared" si="6"/>
        <v>326</v>
      </c>
      <c r="D33" s="167">
        <v>10.050000000000001</v>
      </c>
      <c r="E33" s="59">
        <v>768253</v>
      </c>
      <c r="F33" s="58">
        <f t="shared" si="7"/>
        <v>209</v>
      </c>
      <c r="G33" s="168">
        <v>1.1000000000000001</v>
      </c>
      <c r="H33" s="57">
        <v>731349</v>
      </c>
      <c r="I33" s="58">
        <f t="shared" si="0"/>
        <v>251</v>
      </c>
      <c r="J33" s="60" t="s">
        <v>194</v>
      </c>
      <c r="K33" s="56">
        <v>26</v>
      </c>
      <c r="L33" s="57">
        <v>67648</v>
      </c>
      <c r="M33" s="58">
        <f t="shared" si="8"/>
        <v>41</v>
      </c>
      <c r="N33" s="59">
        <v>170830</v>
      </c>
      <c r="O33" s="58">
        <f t="shared" si="9"/>
        <v>54</v>
      </c>
      <c r="P33" s="57">
        <v>194713</v>
      </c>
      <c r="Q33" s="169" t="str">
        <f t="shared" si="1"/>
        <v/>
      </c>
      <c r="R33" s="57">
        <v>654</v>
      </c>
      <c r="S33" s="57">
        <v>663</v>
      </c>
      <c r="T33" s="57">
        <v>136</v>
      </c>
      <c r="U33" s="57">
        <v>134</v>
      </c>
      <c r="V33" s="58" t="str">
        <f t="shared" si="10"/>
        <v>ME</v>
      </c>
      <c r="W33" s="56">
        <v>26</v>
      </c>
      <c r="X33" s="63">
        <v>11365.96</v>
      </c>
      <c r="Y33" s="130">
        <f t="shared" si="11"/>
        <v>2.180000000000291</v>
      </c>
      <c r="Z33" s="63">
        <v>12132.67</v>
      </c>
      <c r="AA33" s="130">
        <f t="shared" si="12"/>
        <v>7.6200000000008004</v>
      </c>
      <c r="AB33" s="63">
        <v>9602.82</v>
      </c>
      <c r="AC33" s="130">
        <f t="shared" si="13"/>
        <v>1.9500000000007276</v>
      </c>
      <c r="AD33" s="63">
        <v>9695.99</v>
      </c>
      <c r="AE33" s="130">
        <f t="shared" si="2"/>
        <v>4.75</v>
      </c>
      <c r="AF33" s="125" t="str">
        <f t="shared" si="14"/>
        <v>ME</v>
      </c>
      <c r="AG33" s="56">
        <v>26</v>
      </c>
      <c r="AH33" s="63">
        <v>45338.080000000002</v>
      </c>
      <c r="AI33" s="130">
        <f t="shared" si="15"/>
        <v>12.489999999997963</v>
      </c>
      <c r="AJ33" s="63">
        <v>47474.14</v>
      </c>
      <c r="AK33" s="130">
        <f t="shared" si="16"/>
        <v>10.069999999999709</v>
      </c>
      <c r="AL33" s="63">
        <v>585.26</v>
      </c>
      <c r="AM33" s="130" t="str">
        <f t="shared" si="17"/>
        <v/>
      </c>
      <c r="AN33" s="63">
        <v>546.34</v>
      </c>
      <c r="AO33" s="130" t="str">
        <f t="shared" si="3"/>
        <v/>
      </c>
      <c r="AP33" s="125" t="str">
        <f t="shared" si="18"/>
        <v>ME</v>
      </c>
      <c r="AQ33" s="56">
        <v>26</v>
      </c>
      <c r="AR33" s="63">
        <v>6507.87</v>
      </c>
      <c r="AS33" s="130">
        <f t="shared" si="19"/>
        <v>1.7799999999997453</v>
      </c>
      <c r="AT33" s="63">
        <v>7218.73</v>
      </c>
      <c r="AU33" s="130">
        <f t="shared" si="20"/>
        <v>2.6400000000003274</v>
      </c>
      <c r="AV33" s="63">
        <v>248.25</v>
      </c>
      <c r="AW33" s="130" t="str">
        <f t="shared" si="46"/>
        <v/>
      </c>
      <c r="AX33" s="63">
        <v>235.79</v>
      </c>
      <c r="AY33" s="130">
        <f t="shared" si="4"/>
        <v>0.33000000000001251</v>
      </c>
      <c r="AZ33" s="125" t="str">
        <f t="shared" si="22"/>
        <v>ME</v>
      </c>
      <c r="BA33" s="56">
        <v>26</v>
      </c>
      <c r="BB33" s="64">
        <v>0.67300000000000004</v>
      </c>
      <c r="BC33" s="62">
        <v>24</v>
      </c>
      <c r="BD33" s="61">
        <v>7.2</v>
      </c>
      <c r="BE33" s="61">
        <v>2.9</v>
      </c>
      <c r="BF33" s="61">
        <v>13.3</v>
      </c>
      <c r="BG33" s="61">
        <v>7.2</v>
      </c>
      <c r="BH33" s="64">
        <v>0.22</v>
      </c>
      <c r="BI33" s="64">
        <v>0.221</v>
      </c>
      <c r="BJ33" s="64">
        <v>5.0999999999999997E-2</v>
      </c>
      <c r="BK33" s="64">
        <v>4.8000000000000001E-2</v>
      </c>
      <c r="BL33" s="64">
        <v>5.0999999999999997E-2</v>
      </c>
      <c r="BM33" s="64">
        <v>4.9000000000000002E-2</v>
      </c>
      <c r="BN33" s="65" t="str">
        <f t="shared" si="23"/>
        <v>ME</v>
      </c>
      <c r="BO33" s="56">
        <v>26</v>
      </c>
      <c r="BP33" s="64">
        <v>6.7000000000000004E-2</v>
      </c>
      <c r="BQ33" s="62">
        <v>0</v>
      </c>
      <c r="BR33" s="61">
        <v>7.2</v>
      </c>
      <c r="BS33" s="61">
        <v>7.1</v>
      </c>
      <c r="BT33" s="61">
        <v>19.7</v>
      </c>
      <c r="BU33" s="64">
        <v>1.2E-2</v>
      </c>
      <c r="BV33" s="63">
        <v>1.29</v>
      </c>
      <c r="BW33" s="63">
        <v>1.19</v>
      </c>
      <c r="BX33" s="66" t="s">
        <v>245</v>
      </c>
      <c r="BY33" s="172" t="s">
        <v>246</v>
      </c>
      <c r="BZ33" s="67" t="str">
        <f t="shared" si="24"/>
        <v>ME</v>
      </c>
      <c r="CA33" s="56">
        <v>26</v>
      </c>
      <c r="CB33" s="61">
        <v>85.8</v>
      </c>
      <c r="CC33" s="61"/>
      <c r="CD33" s="68">
        <f t="shared" si="25"/>
        <v>2.2999999999999972</v>
      </c>
      <c r="CE33" s="69">
        <f t="shared" si="26"/>
        <v>10.704809499999987</v>
      </c>
      <c r="CF33" s="69">
        <f t="shared" si="27"/>
        <v>5.117837211155372</v>
      </c>
      <c r="CG33" s="62">
        <v>66</v>
      </c>
      <c r="CH33" s="62">
        <v>100</v>
      </c>
      <c r="CI33" s="65" t="str">
        <f t="shared" si="28"/>
        <v>ME</v>
      </c>
      <c r="CJ33" s="56">
        <v>26</v>
      </c>
      <c r="CK33" s="61">
        <v>97.1</v>
      </c>
      <c r="CL33" s="61"/>
      <c r="CM33" s="68">
        <f t="shared" si="29"/>
        <v>4.1999999999999886</v>
      </c>
      <c r="CN33" s="68">
        <f t="shared" si="30"/>
        <v>19.547912999999948</v>
      </c>
      <c r="CO33" s="68">
        <f t="shared" si="31"/>
        <v>23.844256455368036</v>
      </c>
      <c r="CP33" s="62">
        <v>56</v>
      </c>
      <c r="CQ33" s="62">
        <v>83</v>
      </c>
      <c r="CR33" s="65" t="str">
        <f t="shared" si="32"/>
        <v>ME</v>
      </c>
      <c r="CS33" s="56">
        <v>26</v>
      </c>
      <c r="CT33" s="61">
        <v>112.2</v>
      </c>
      <c r="CU33" s="61">
        <v>107.4</v>
      </c>
      <c r="CV33" s="68">
        <f t="shared" si="33"/>
        <v>3.4000000000000057</v>
      </c>
      <c r="CW33" s="68">
        <f t="shared" si="34"/>
        <v>22.590416000000037</v>
      </c>
      <c r="CX33" s="69">
        <f t="shared" si="35"/>
        <v>6.9295754601227111E-2</v>
      </c>
      <c r="CY33" s="66" t="s">
        <v>251</v>
      </c>
      <c r="CZ33" s="66" t="s">
        <v>241</v>
      </c>
      <c r="DA33" s="66" t="s">
        <v>242</v>
      </c>
      <c r="DB33" s="65" t="str">
        <f t="shared" si="36"/>
        <v>ME</v>
      </c>
      <c r="DC33" s="56">
        <v>26</v>
      </c>
      <c r="DD33" s="61">
        <v>98.3</v>
      </c>
      <c r="DE33" s="61">
        <v>97.1</v>
      </c>
      <c r="DF33" s="68">
        <f t="shared" si="37"/>
        <v>12.5</v>
      </c>
      <c r="DG33" s="69">
        <f t="shared" si="38"/>
        <v>0.67439035999999997</v>
      </c>
      <c r="DH33" s="68">
        <f t="shared" si="39"/>
        <v>2.0686820858895705</v>
      </c>
      <c r="DI33" s="62">
        <v>94</v>
      </c>
      <c r="DJ33" s="62">
        <v>54</v>
      </c>
      <c r="DK33" s="65" t="str">
        <f t="shared" si="40"/>
        <v>ME</v>
      </c>
      <c r="DL33" s="56">
        <v>26</v>
      </c>
      <c r="DM33" s="63">
        <v>8.2899999999999991</v>
      </c>
      <c r="DN33" s="64">
        <v>2.1999999999999999E-2</v>
      </c>
      <c r="DO33" s="64">
        <v>2.7E-2</v>
      </c>
      <c r="DP33" s="64">
        <v>4.5999999999999999E-2</v>
      </c>
      <c r="DQ33" s="63">
        <v>6.8</v>
      </c>
      <c r="DR33" s="61">
        <v>7.1</v>
      </c>
      <c r="DS33" s="64">
        <v>1.2949999999999999</v>
      </c>
      <c r="DT33" s="61">
        <v>85.8</v>
      </c>
      <c r="DU33" s="63">
        <v>4.0999999999999996</v>
      </c>
      <c r="DV33" s="64">
        <v>0.70699999999999996</v>
      </c>
      <c r="DW33" s="64">
        <v>0.47399999999999998</v>
      </c>
      <c r="DX33" s="66" t="s">
        <v>247</v>
      </c>
      <c r="DY33" s="65" t="str">
        <f t="shared" si="41"/>
        <v>ME</v>
      </c>
      <c r="DZ33" s="128">
        <v>26</v>
      </c>
      <c r="EA33" s="173">
        <f t="shared" si="42"/>
        <v>0.21791443850267381</v>
      </c>
      <c r="EB33" s="173">
        <f t="shared" si="43"/>
        <v>0.1536764705882353</v>
      </c>
      <c r="EC33" s="201">
        <f t="shared" si="44"/>
        <v>0.76993865030674846</v>
      </c>
      <c r="ED33" s="63">
        <v>1.22</v>
      </c>
      <c r="EE33" s="63">
        <v>1.3</v>
      </c>
      <c r="EF33" s="63">
        <v>0.03</v>
      </c>
      <c r="EG33" s="63">
        <v>0.06</v>
      </c>
      <c r="EH33" s="202" t="str">
        <f t="shared" si="5"/>
        <v>ME</v>
      </c>
      <c r="EI33" s="56">
        <v>26</v>
      </c>
      <c r="EJ33" s="334" t="s">
        <v>268</v>
      </c>
      <c r="EK33" s="334"/>
      <c r="EL33" s="334"/>
      <c r="EM33" s="334"/>
      <c r="EN33" s="334"/>
      <c r="EO33" s="334"/>
      <c r="EP33" s="334"/>
      <c r="EQ33" s="65" t="str">
        <f t="shared" si="45"/>
        <v>ME</v>
      </c>
      <c r="ER33" s="20"/>
      <c r="ES33" s="20"/>
      <c r="ET33" s="20"/>
      <c r="EU33" s="20"/>
      <c r="EV33" s="20"/>
      <c r="EW33" s="20"/>
      <c r="EX33" s="20"/>
    </row>
    <row r="34" spans="1:154" s="3" customFormat="1" ht="17.149999999999999" customHeight="1" x14ac:dyDescent="0.35">
      <c r="A34" s="56">
        <v>27</v>
      </c>
      <c r="B34" s="57">
        <v>864164</v>
      </c>
      <c r="C34" s="58">
        <f t="shared" si="6"/>
        <v>188</v>
      </c>
      <c r="D34" s="167">
        <v>8.7799999999999994</v>
      </c>
      <c r="E34" s="59">
        <v>768462</v>
      </c>
      <c r="F34" s="58">
        <f t="shared" si="7"/>
        <v>249</v>
      </c>
      <c r="G34" s="168">
        <v>1.31</v>
      </c>
      <c r="H34" s="57">
        <v>731600</v>
      </c>
      <c r="I34" s="58">
        <f t="shared" si="0"/>
        <v>154</v>
      </c>
      <c r="J34" s="60" t="s">
        <v>194</v>
      </c>
      <c r="K34" s="56">
        <v>27</v>
      </c>
      <c r="L34" s="57">
        <v>67689</v>
      </c>
      <c r="M34" s="58">
        <f t="shared" si="8"/>
        <v>8</v>
      </c>
      <c r="N34" s="59">
        <v>170884</v>
      </c>
      <c r="O34" s="58">
        <f t="shared" si="9"/>
        <v>58</v>
      </c>
      <c r="P34" s="57">
        <v>194713</v>
      </c>
      <c r="Q34" s="169" t="str">
        <f t="shared" si="1"/>
        <v/>
      </c>
      <c r="R34" s="57">
        <v>655</v>
      </c>
      <c r="S34" s="57">
        <v>663</v>
      </c>
      <c r="T34" s="57">
        <v>136</v>
      </c>
      <c r="U34" s="57">
        <v>134</v>
      </c>
      <c r="V34" s="58" t="str">
        <f t="shared" si="10"/>
        <v>ME</v>
      </c>
      <c r="W34" s="56">
        <v>27</v>
      </c>
      <c r="X34" s="63">
        <v>11368.14</v>
      </c>
      <c r="Y34" s="130">
        <f t="shared" si="11"/>
        <v>4.7200000000011642</v>
      </c>
      <c r="Z34" s="63">
        <v>12140.29</v>
      </c>
      <c r="AA34" s="130">
        <f t="shared" si="12"/>
        <v>0.72999999999956344</v>
      </c>
      <c r="AB34" s="63">
        <v>9604.77</v>
      </c>
      <c r="AC34" s="130">
        <f t="shared" si="13"/>
        <v>3.7999999999992724</v>
      </c>
      <c r="AD34" s="63">
        <v>9700.74</v>
      </c>
      <c r="AE34" s="130">
        <f t="shared" si="2"/>
        <v>0.30000000000109139</v>
      </c>
      <c r="AF34" s="125" t="str">
        <f t="shared" si="14"/>
        <v>ME</v>
      </c>
      <c r="AG34" s="56">
        <v>27</v>
      </c>
      <c r="AH34" s="63">
        <v>45350.57</v>
      </c>
      <c r="AI34" s="130">
        <f t="shared" si="15"/>
        <v>11.370000000002619</v>
      </c>
      <c r="AJ34" s="63">
        <v>47484.21</v>
      </c>
      <c r="AK34" s="130">
        <f t="shared" si="16"/>
        <v>13.940000000002328</v>
      </c>
      <c r="AL34" s="63">
        <v>585.26</v>
      </c>
      <c r="AM34" s="130" t="str">
        <f t="shared" si="17"/>
        <v/>
      </c>
      <c r="AN34" s="63">
        <v>546.34</v>
      </c>
      <c r="AO34" s="130" t="str">
        <f t="shared" si="3"/>
        <v/>
      </c>
      <c r="AP34" s="125" t="str">
        <f t="shared" si="18"/>
        <v>ME</v>
      </c>
      <c r="AQ34" s="56">
        <v>27</v>
      </c>
      <c r="AR34" s="63">
        <v>6509.65</v>
      </c>
      <c r="AS34" s="130">
        <f t="shared" si="19"/>
        <v>2.8500000000003638</v>
      </c>
      <c r="AT34" s="63">
        <v>7221.37</v>
      </c>
      <c r="AU34" s="130">
        <f t="shared" si="20"/>
        <v>2.8699999999998909</v>
      </c>
      <c r="AV34" s="63">
        <v>248.25</v>
      </c>
      <c r="AW34" s="130">
        <f t="shared" si="46"/>
        <v>8.0000000000012506E-2</v>
      </c>
      <c r="AX34" s="63">
        <v>236.12</v>
      </c>
      <c r="AY34" s="130" t="str">
        <f t="shared" si="4"/>
        <v/>
      </c>
      <c r="AZ34" s="125" t="str">
        <f t="shared" si="22"/>
        <v>ME</v>
      </c>
      <c r="BA34" s="56">
        <v>27</v>
      </c>
      <c r="BB34" s="64">
        <v>0.61399999999999999</v>
      </c>
      <c r="BC34" s="62">
        <v>33</v>
      </c>
      <c r="BD34" s="61">
        <v>7.3</v>
      </c>
      <c r="BE34" s="61">
        <v>2.9</v>
      </c>
      <c r="BF34" s="61">
        <v>12.5</v>
      </c>
      <c r="BG34" s="61">
        <v>7.3</v>
      </c>
      <c r="BH34" s="64">
        <v>0.24399999999999999</v>
      </c>
      <c r="BI34" s="64">
        <v>0.23599999999999999</v>
      </c>
      <c r="BJ34" s="64">
        <v>4.9000000000000002E-2</v>
      </c>
      <c r="BK34" s="64">
        <v>4.8000000000000001E-2</v>
      </c>
      <c r="BL34" s="64">
        <v>4.9000000000000002E-2</v>
      </c>
      <c r="BM34" s="64">
        <v>0.05</v>
      </c>
      <c r="BN34" s="65" t="str">
        <f t="shared" si="23"/>
        <v>ME</v>
      </c>
      <c r="BO34" s="56">
        <v>27</v>
      </c>
      <c r="BP34" s="64">
        <v>0.06</v>
      </c>
      <c r="BQ34" s="62">
        <v>0</v>
      </c>
      <c r="BR34" s="61">
        <v>7.1</v>
      </c>
      <c r="BS34" s="61">
        <v>6.9</v>
      </c>
      <c r="BT34" s="61">
        <v>17.5</v>
      </c>
      <c r="BU34" s="64">
        <v>8.9999999999999993E-3</v>
      </c>
      <c r="BV34" s="63">
        <v>1.3</v>
      </c>
      <c r="BW34" s="63">
        <v>1.22</v>
      </c>
      <c r="BX34" s="66" t="s">
        <v>255</v>
      </c>
      <c r="BY34" s="172" t="s">
        <v>246</v>
      </c>
      <c r="BZ34" s="67" t="str">
        <f t="shared" si="24"/>
        <v>ME</v>
      </c>
      <c r="CA34" s="56">
        <v>27</v>
      </c>
      <c r="CB34" s="61">
        <v>83.5</v>
      </c>
      <c r="CC34" s="61">
        <v>95.6</v>
      </c>
      <c r="CD34" s="68">
        <f t="shared" si="25"/>
        <v>1.5999999999999943</v>
      </c>
      <c r="CE34" s="69">
        <f t="shared" si="26"/>
        <v>7.4468239999999746</v>
      </c>
      <c r="CF34" s="69">
        <f t="shared" si="27"/>
        <v>5.8027199999999803</v>
      </c>
      <c r="CG34" s="62">
        <v>62</v>
      </c>
      <c r="CH34" s="62">
        <v>100</v>
      </c>
      <c r="CI34" s="65" t="str">
        <f t="shared" si="28"/>
        <v>ME</v>
      </c>
      <c r="CJ34" s="56">
        <v>27</v>
      </c>
      <c r="CK34" s="61">
        <v>92.9</v>
      </c>
      <c r="CL34" s="61"/>
      <c r="CM34" s="68">
        <f t="shared" si="29"/>
        <v>2.1000000000000085</v>
      </c>
      <c r="CN34" s="68">
        <f t="shared" si="30"/>
        <v>9.7739565000000397</v>
      </c>
      <c r="CO34" s="68">
        <f t="shared" si="31"/>
        <v>20.67347767140966</v>
      </c>
      <c r="CP34" s="62">
        <v>49</v>
      </c>
      <c r="CQ34" s="62">
        <v>83</v>
      </c>
      <c r="CR34" s="65" t="str">
        <f t="shared" si="32"/>
        <v>ME</v>
      </c>
      <c r="CS34" s="56">
        <v>27</v>
      </c>
      <c r="CT34" s="61">
        <v>104</v>
      </c>
      <c r="CU34" s="61"/>
      <c r="CV34" s="68">
        <f t="shared" si="33"/>
        <v>2</v>
      </c>
      <c r="CW34" s="68">
        <f t="shared" si="34"/>
        <v>13.28848</v>
      </c>
      <c r="CX34" s="69">
        <f t="shared" si="35"/>
        <v>7.0683404255319146E-2</v>
      </c>
      <c r="CY34" s="66" t="s">
        <v>256</v>
      </c>
      <c r="CZ34" s="66" t="s">
        <v>241</v>
      </c>
      <c r="DA34" s="66"/>
      <c r="DB34" s="65" t="str">
        <f t="shared" si="36"/>
        <v>ME</v>
      </c>
      <c r="DC34" s="56">
        <v>27</v>
      </c>
      <c r="DD34" s="61">
        <v>84.6</v>
      </c>
      <c r="DE34" s="61">
        <v>103.4</v>
      </c>
      <c r="DF34" s="68">
        <f t="shared" si="37"/>
        <v>13.900000000000006</v>
      </c>
      <c r="DG34" s="69">
        <f t="shared" si="38"/>
        <v>0.74992208032000029</v>
      </c>
      <c r="DH34" s="68">
        <f t="shared" si="39"/>
        <v>3.9889472357446825</v>
      </c>
      <c r="DI34" s="62">
        <v>82</v>
      </c>
      <c r="DJ34" s="62">
        <v>54</v>
      </c>
      <c r="DK34" s="65" t="str">
        <f t="shared" si="40"/>
        <v>ME</v>
      </c>
      <c r="DL34" s="56">
        <v>27</v>
      </c>
      <c r="DM34" s="63">
        <v>8.1300000000000008</v>
      </c>
      <c r="DN34" s="64">
        <v>2.1999999999999999E-2</v>
      </c>
      <c r="DO34" s="64">
        <v>2.7E-2</v>
      </c>
      <c r="DP34" s="64">
        <v>4.2999999999999997E-2</v>
      </c>
      <c r="DQ34" s="63">
        <v>6.78</v>
      </c>
      <c r="DR34" s="61">
        <v>6.9</v>
      </c>
      <c r="DS34" s="64">
        <v>1.26</v>
      </c>
      <c r="DT34" s="61">
        <v>85</v>
      </c>
      <c r="DU34" s="63">
        <v>4.3499999999999996</v>
      </c>
      <c r="DV34" s="64">
        <v>1.373</v>
      </c>
      <c r="DW34" s="64">
        <v>0.42299999999999999</v>
      </c>
      <c r="DX34" s="66" t="s">
        <v>242</v>
      </c>
      <c r="DY34" s="65" t="str">
        <f t="shared" si="41"/>
        <v>ME</v>
      </c>
      <c r="DZ34" s="128">
        <v>27</v>
      </c>
      <c r="EA34" s="173">
        <f t="shared" si="42"/>
        <v>0.12566844919786097</v>
      </c>
      <c r="EB34" s="173">
        <f t="shared" si="43"/>
        <v>0.18308823529411763</v>
      </c>
      <c r="EC34" s="173">
        <f t="shared" si="44"/>
        <v>0.81914893617021278</v>
      </c>
      <c r="ED34" s="204">
        <v>1.23</v>
      </c>
      <c r="EE34" s="204">
        <v>1.29</v>
      </c>
      <c r="EF34" s="204">
        <v>0.04</v>
      </c>
      <c r="EG34" s="204">
        <v>0.06</v>
      </c>
      <c r="EH34" s="127" t="str">
        <f t="shared" si="5"/>
        <v>ME</v>
      </c>
      <c r="EI34" s="56">
        <v>27</v>
      </c>
      <c r="EJ34" s="334"/>
      <c r="EK34" s="334"/>
      <c r="EL34" s="334"/>
      <c r="EM34" s="334"/>
      <c r="EN34" s="334"/>
      <c r="EO34" s="334"/>
      <c r="EP34" s="334"/>
      <c r="EQ34" s="65" t="str">
        <f t="shared" si="45"/>
        <v>ME</v>
      </c>
      <c r="ER34" s="20"/>
      <c r="ES34" s="20"/>
      <c r="ET34" s="20"/>
      <c r="EU34" s="20"/>
      <c r="EV34" s="20"/>
      <c r="EW34" s="20"/>
      <c r="EX34" s="20"/>
    </row>
    <row r="35" spans="1:154" s="3" customFormat="1" ht="17.149999999999999" customHeight="1" x14ac:dyDescent="0.35">
      <c r="A35" s="56">
        <v>28</v>
      </c>
      <c r="B35" s="57">
        <v>864352</v>
      </c>
      <c r="C35" s="58">
        <f t="shared" si="6"/>
        <v>239</v>
      </c>
      <c r="D35" s="167">
        <v>9.4</v>
      </c>
      <c r="E35" s="59">
        <v>768711</v>
      </c>
      <c r="F35" s="58">
        <f t="shared" si="7"/>
        <v>217</v>
      </c>
      <c r="G35" s="168">
        <v>3.62</v>
      </c>
      <c r="H35" s="57">
        <v>731754</v>
      </c>
      <c r="I35" s="58">
        <f t="shared" si="0"/>
        <v>175</v>
      </c>
      <c r="J35" s="60" t="s">
        <v>194</v>
      </c>
      <c r="K35" s="56">
        <v>28</v>
      </c>
      <c r="L35" s="57">
        <v>67697</v>
      </c>
      <c r="M35" s="58">
        <f t="shared" si="8"/>
        <v>41</v>
      </c>
      <c r="N35" s="59">
        <v>170942</v>
      </c>
      <c r="O35" s="58">
        <f t="shared" si="9"/>
        <v>51</v>
      </c>
      <c r="P35" s="57">
        <v>194713</v>
      </c>
      <c r="Q35" s="169" t="str">
        <f t="shared" si="1"/>
        <v/>
      </c>
      <c r="R35" s="57">
        <v>655</v>
      </c>
      <c r="S35" s="57">
        <v>663</v>
      </c>
      <c r="T35" s="57">
        <v>137</v>
      </c>
      <c r="U35" s="57">
        <v>134</v>
      </c>
      <c r="V35" s="58" t="str">
        <f t="shared" si="10"/>
        <v>ME</v>
      </c>
      <c r="W35" s="56">
        <v>28</v>
      </c>
      <c r="X35" s="63">
        <v>11372.86</v>
      </c>
      <c r="Y35" s="130">
        <f t="shared" si="11"/>
        <v>2.3799999999991996</v>
      </c>
      <c r="Z35" s="63">
        <v>12141.02</v>
      </c>
      <c r="AA35" s="130">
        <f t="shared" si="12"/>
        <v>4.7700000000004366</v>
      </c>
      <c r="AB35" s="63">
        <v>9608.57</v>
      </c>
      <c r="AC35" s="130">
        <f t="shared" si="13"/>
        <v>1.9500000000007276</v>
      </c>
      <c r="AD35" s="63">
        <v>9701.0400000000009</v>
      </c>
      <c r="AE35" s="130">
        <f t="shared" si="2"/>
        <v>2.7199999999993452</v>
      </c>
      <c r="AF35" s="125" t="str">
        <f t="shared" si="14"/>
        <v>ME</v>
      </c>
      <c r="AG35" s="56">
        <v>28</v>
      </c>
      <c r="AH35" s="63">
        <v>45361.94</v>
      </c>
      <c r="AI35" s="130">
        <f t="shared" si="15"/>
        <v>12.639999999999418</v>
      </c>
      <c r="AJ35" s="63">
        <v>47498.15</v>
      </c>
      <c r="AK35" s="130">
        <f t="shared" si="16"/>
        <v>10.75</v>
      </c>
      <c r="AL35" s="63">
        <v>585.26</v>
      </c>
      <c r="AM35" s="130" t="str">
        <f t="shared" si="17"/>
        <v/>
      </c>
      <c r="AN35" s="63">
        <v>546.34</v>
      </c>
      <c r="AO35" s="130" t="str">
        <f t="shared" si="3"/>
        <v/>
      </c>
      <c r="AP35" s="125" t="str">
        <f t="shared" si="18"/>
        <v>ME</v>
      </c>
      <c r="AQ35" s="56">
        <v>28</v>
      </c>
      <c r="AR35" s="63">
        <v>6512.5</v>
      </c>
      <c r="AS35" s="130">
        <f t="shared" si="19"/>
        <v>1.8900000000003274</v>
      </c>
      <c r="AT35" s="63">
        <v>7224.24</v>
      </c>
      <c r="AU35" s="130">
        <f t="shared" si="20"/>
        <v>1.8800000000001091</v>
      </c>
      <c r="AV35" s="63">
        <v>248.33</v>
      </c>
      <c r="AW35" s="130" t="str">
        <f t="shared" si="46"/>
        <v/>
      </c>
      <c r="AX35" s="63">
        <v>236.12</v>
      </c>
      <c r="AY35" s="130">
        <f t="shared" si="4"/>
        <v>0.34000000000000341</v>
      </c>
      <c r="AZ35" s="125" t="str">
        <f t="shared" si="22"/>
        <v>ME</v>
      </c>
      <c r="BA35" s="56">
        <v>28</v>
      </c>
      <c r="BB35" s="64">
        <v>0.622</v>
      </c>
      <c r="BC35" s="62">
        <v>41</v>
      </c>
      <c r="BD35" s="61">
        <v>7.2</v>
      </c>
      <c r="BE35" s="61">
        <v>2.9</v>
      </c>
      <c r="BF35" s="61">
        <v>15.2</v>
      </c>
      <c r="BG35" s="61">
        <v>7.2</v>
      </c>
      <c r="BH35" s="64">
        <v>0.26300000000000001</v>
      </c>
      <c r="BI35" s="64">
        <v>0.247</v>
      </c>
      <c r="BJ35" s="64">
        <v>4.5999999999999999E-2</v>
      </c>
      <c r="BK35" s="64">
        <v>5.3999999999999999E-2</v>
      </c>
      <c r="BL35" s="64">
        <v>5.3999999999999999E-2</v>
      </c>
      <c r="BM35" s="64">
        <v>5.6000000000000001E-2</v>
      </c>
      <c r="BN35" s="65" t="str">
        <f t="shared" si="23"/>
        <v>ME</v>
      </c>
      <c r="BO35" s="56">
        <v>28</v>
      </c>
      <c r="BP35" s="64">
        <v>6.7000000000000004E-2</v>
      </c>
      <c r="BQ35" s="62">
        <v>0</v>
      </c>
      <c r="BR35" s="61">
        <v>7.3</v>
      </c>
      <c r="BS35" s="61">
        <v>6.8</v>
      </c>
      <c r="BT35" s="61">
        <v>17.899999999999999</v>
      </c>
      <c r="BU35" s="64">
        <v>1.2999999999999999E-2</v>
      </c>
      <c r="BV35" s="63">
        <v>1.33</v>
      </c>
      <c r="BW35" s="63">
        <v>1.18</v>
      </c>
      <c r="BX35" s="66" t="s">
        <v>269</v>
      </c>
      <c r="BY35" s="172" t="s">
        <v>246</v>
      </c>
      <c r="BZ35" s="67" t="str">
        <f t="shared" si="24"/>
        <v>ME</v>
      </c>
      <c r="CA35" s="56">
        <v>28</v>
      </c>
      <c r="CB35" s="61">
        <v>94</v>
      </c>
      <c r="CC35" s="61"/>
      <c r="CD35" s="68">
        <f t="shared" si="25"/>
        <v>1.2999999999999972</v>
      </c>
      <c r="CE35" s="69">
        <f t="shared" si="26"/>
        <v>6.0505444999999876</v>
      </c>
      <c r="CF35" s="69">
        <f t="shared" si="27"/>
        <v>4.1489447999999909</v>
      </c>
      <c r="CG35" s="62">
        <v>62</v>
      </c>
      <c r="CH35" s="62">
        <v>100</v>
      </c>
      <c r="CI35" s="65" t="str">
        <f t="shared" si="28"/>
        <v>ME</v>
      </c>
      <c r="CJ35" s="56">
        <v>28</v>
      </c>
      <c r="CK35" s="61">
        <v>90.8</v>
      </c>
      <c r="CL35" s="61"/>
      <c r="CM35" s="68">
        <f t="shared" si="29"/>
        <v>3.0999999999999943</v>
      </c>
      <c r="CN35" s="68">
        <f t="shared" si="30"/>
        <v>14.428221499999974</v>
      </c>
      <c r="CO35" s="68">
        <f t="shared" si="31"/>
        <v>24.005783596129671</v>
      </c>
      <c r="CP35" s="62">
        <v>52</v>
      </c>
      <c r="CQ35" s="62">
        <v>83</v>
      </c>
      <c r="CR35" s="65" t="str">
        <f t="shared" si="32"/>
        <v>ME</v>
      </c>
      <c r="CS35" s="56">
        <v>28</v>
      </c>
      <c r="CT35" s="61">
        <v>102</v>
      </c>
      <c r="CU35" s="61"/>
      <c r="CV35" s="68">
        <f t="shared" si="33"/>
        <v>2.4000000000000057</v>
      </c>
      <c r="CW35" s="68">
        <f t="shared" si="34"/>
        <v>15.946176000000039</v>
      </c>
      <c r="CX35" s="69">
        <f t="shared" si="35"/>
        <v>6.6720401673640323E-2</v>
      </c>
      <c r="CY35" s="66" t="s">
        <v>240</v>
      </c>
      <c r="CZ35" s="66" t="s">
        <v>241</v>
      </c>
      <c r="DA35" s="66"/>
      <c r="DB35" s="65" t="str">
        <f t="shared" si="36"/>
        <v>ME</v>
      </c>
      <c r="DC35" s="56">
        <v>28</v>
      </c>
      <c r="DD35" s="61">
        <v>89.5</v>
      </c>
      <c r="DE35" s="61">
        <v>103.6</v>
      </c>
      <c r="DF35" s="68">
        <f t="shared" si="37"/>
        <v>8.7999999999999972</v>
      </c>
      <c r="DG35" s="69">
        <f t="shared" si="38"/>
        <v>0.47477081343999983</v>
      </c>
      <c r="DH35" s="68">
        <f t="shared" si="39"/>
        <v>1.9864887591631792</v>
      </c>
      <c r="DI35" s="62">
        <v>88</v>
      </c>
      <c r="DJ35" s="62">
        <v>54</v>
      </c>
      <c r="DK35" s="65" t="str">
        <f t="shared" si="40"/>
        <v>ME</v>
      </c>
      <c r="DL35" s="56">
        <v>28</v>
      </c>
      <c r="DM35" s="63">
        <v>8.19</v>
      </c>
      <c r="DN35" s="64">
        <v>2.1000000000000001E-2</v>
      </c>
      <c r="DO35" s="64">
        <v>0.03</v>
      </c>
      <c r="DP35" s="64">
        <v>4.2999999999999997E-2</v>
      </c>
      <c r="DQ35" s="63">
        <v>6.78</v>
      </c>
      <c r="DR35" s="61">
        <v>6.8</v>
      </c>
      <c r="DS35" s="64">
        <v>1.2430000000000001</v>
      </c>
      <c r="DT35" s="61">
        <v>86.2</v>
      </c>
      <c r="DU35" s="63">
        <v>4.16</v>
      </c>
      <c r="DV35" s="64">
        <v>0.99</v>
      </c>
      <c r="DW35" s="64">
        <v>0.50600000000000001</v>
      </c>
      <c r="DX35" s="66" t="s">
        <v>242</v>
      </c>
      <c r="DY35" s="65" t="str">
        <f t="shared" si="41"/>
        <v>ME</v>
      </c>
      <c r="DZ35" s="128">
        <v>28</v>
      </c>
      <c r="EA35" s="173">
        <f t="shared" si="42"/>
        <v>0.15975935828877005</v>
      </c>
      <c r="EB35" s="173">
        <f t="shared" si="43"/>
        <v>0.15955882352941175</v>
      </c>
      <c r="EC35" s="173">
        <f t="shared" si="44"/>
        <v>0.73221757322175729</v>
      </c>
      <c r="ED35" s="63">
        <v>1.17</v>
      </c>
      <c r="EE35" s="63">
        <v>1.25</v>
      </c>
      <c r="EF35" s="63">
        <v>0.04</v>
      </c>
      <c r="EG35" s="63">
        <v>0.05</v>
      </c>
      <c r="EH35" s="127" t="str">
        <f t="shared" si="5"/>
        <v>ME</v>
      </c>
      <c r="EI35" s="56">
        <v>28</v>
      </c>
      <c r="EJ35" s="334"/>
      <c r="EK35" s="334"/>
      <c r="EL35" s="334"/>
      <c r="EM35" s="334"/>
      <c r="EN35" s="334"/>
      <c r="EO35" s="334"/>
      <c r="EP35" s="334"/>
      <c r="EQ35" s="65" t="str">
        <f t="shared" si="45"/>
        <v>ME</v>
      </c>
      <c r="ER35" s="20"/>
      <c r="ES35" s="20"/>
      <c r="ET35" s="20"/>
      <c r="EU35" s="20"/>
      <c r="EV35" s="20"/>
      <c r="EW35" s="20"/>
      <c r="EX35" s="20"/>
    </row>
    <row r="36" spans="1:154" s="3" customFormat="1" ht="17.149999999999999" customHeight="1" x14ac:dyDescent="0.35">
      <c r="A36" s="56">
        <v>29</v>
      </c>
      <c r="B36" s="57">
        <v>864591</v>
      </c>
      <c r="C36" s="58">
        <f t="shared" si="6"/>
        <v>196</v>
      </c>
      <c r="D36" s="167">
        <v>9.4700000000000006</v>
      </c>
      <c r="E36" s="59">
        <v>768928</v>
      </c>
      <c r="F36" s="58">
        <f t="shared" si="7"/>
        <v>191</v>
      </c>
      <c r="G36" s="168">
        <v>1.1100000000000001</v>
      </c>
      <c r="H36" s="57">
        <v>731929</v>
      </c>
      <c r="I36" s="58">
        <f t="shared" si="0"/>
        <v>174</v>
      </c>
      <c r="J36" s="60" t="s">
        <v>194</v>
      </c>
      <c r="K36" s="56">
        <v>29</v>
      </c>
      <c r="L36" s="57">
        <v>67738</v>
      </c>
      <c r="M36" s="58" t="str">
        <f t="shared" si="8"/>
        <v/>
      </c>
      <c r="N36" s="59">
        <v>170993</v>
      </c>
      <c r="O36" s="58">
        <f t="shared" si="9"/>
        <v>45</v>
      </c>
      <c r="P36" s="57">
        <v>194713</v>
      </c>
      <c r="Q36" s="169" t="str">
        <f t="shared" si="1"/>
        <v/>
      </c>
      <c r="R36" s="57">
        <v>655</v>
      </c>
      <c r="S36" s="57">
        <v>663</v>
      </c>
      <c r="T36" s="57">
        <v>137</v>
      </c>
      <c r="U36" s="57">
        <v>134</v>
      </c>
      <c r="V36" s="58" t="str">
        <f t="shared" si="10"/>
        <v>ME</v>
      </c>
      <c r="W36" s="56">
        <v>29</v>
      </c>
      <c r="X36" s="63">
        <v>11375.24</v>
      </c>
      <c r="Y36" s="130">
        <f t="shared" si="11"/>
        <v>2.4600000000009459</v>
      </c>
      <c r="Z36" s="63">
        <v>12145.79</v>
      </c>
      <c r="AA36" s="130">
        <f t="shared" si="12"/>
        <v>3.3299999999999272</v>
      </c>
      <c r="AB36" s="63">
        <v>9610.52</v>
      </c>
      <c r="AC36" s="130">
        <f t="shared" si="13"/>
        <v>2.6599999999998545</v>
      </c>
      <c r="AD36" s="63">
        <v>9703.76</v>
      </c>
      <c r="AE36" s="130">
        <f t="shared" si="2"/>
        <v>1.9599999999991269</v>
      </c>
      <c r="AF36" s="125" t="str">
        <f t="shared" si="14"/>
        <v>ME</v>
      </c>
      <c r="AG36" s="56">
        <v>29</v>
      </c>
      <c r="AH36" s="63">
        <v>45374.58</v>
      </c>
      <c r="AI36" s="130">
        <f t="shared" si="15"/>
        <v>7.6999999999970896</v>
      </c>
      <c r="AJ36" s="63">
        <v>47508.9</v>
      </c>
      <c r="AK36" s="130">
        <f t="shared" si="16"/>
        <v>13.25</v>
      </c>
      <c r="AL36" s="63">
        <v>585.26</v>
      </c>
      <c r="AM36" s="130" t="str">
        <f t="shared" si="17"/>
        <v/>
      </c>
      <c r="AN36" s="63">
        <v>546.34</v>
      </c>
      <c r="AO36" s="130" t="str">
        <f t="shared" si="3"/>
        <v/>
      </c>
      <c r="AP36" s="125" t="str">
        <f t="shared" si="18"/>
        <v>ME</v>
      </c>
      <c r="AQ36" s="56">
        <v>29</v>
      </c>
      <c r="AR36" s="63">
        <v>6514.39</v>
      </c>
      <c r="AS36" s="130">
        <f t="shared" si="19"/>
        <v>2.0299999999997453</v>
      </c>
      <c r="AT36" s="63">
        <v>7226.12</v>
      </c>
      <c r="AU36" s="130">
        <f t="shared" si="20"/>
        <v>1.9899999999997817</v>
      </c>
      <c r="AV36" s="63">
        <v>248.33</v>
      </c>
      <c r="AW36" s="130" t="str">
        <f t="shared" si="46"/>
        <v/>
      </c>
      <c r="AX36" s="63">
        <v>236.46</v>
      </c>
      <c r="AY36" s="130" t="str">
        <f t="shared" si="4"/>
        <v/>
      </c>
      <c r="AZ36" s="125" t="str">
        <f t="shared" si="22"/>
        <v>ME</v>
      </c>
      <c r="BA36" s="56">
        <v>29</v>
      </c>
      <c r="BB36" s="64">
        <v>0.63600000000000001</v>
      </c>
      <c r="BC36" s="62">
        <v>28</v>
      </c>
      <c r="BD36" s="61">
        <v>7.1</v>
      </c>
      <c r="BE36" s="61">
        <v>2.9</v>
      </c>
      <c r="BF36" s="61">
        <v>14.4</v>
      </c>
      <c r="BG36" s="61">
        <v>7.1</v>
      </c>
      <c r="BH36" s="64">
        <v>0.29299999999999998</v>
      </c>
      <c r="BI36" s="64">
        <v>0.28699999999999998</v>
      </c>
      <c r="BJ36" s="64">
        <v>4.3999999999999997E-2</v>
      </c>
      <c r="BK36" s="64">
        <v>4.5999999999999999E-2</v>
      </c>
      <c r="BL36" s="64">
        <v>4.5999999999999999E-2</v>
      </c>
      <c r="BM36" s="64">
        <v>4.4999999999999998E-2</v>
      </c>
      <c r="BN36" s="65" t="str">
        <f t="shared" si="23"/>
        <v>ME</v>
      </c>
      <c r="BO36" s="56">
        <v>29</v>
      </c>
      <c r="BP36" s="64">
        <v>6.2E-2</v>
      </c>
      <c r="BQ36" s="62">
        <v>0</v>
      </c>
      <c r="BR36" s="61">
        <v>7.2</v>
      </c>
      <c r="BS36" s="61">
        <v>6.8</v>
      </c>
      <c r="BT36" s="61">
        <v>17.899999999999999</v>
      </c>
      <c r="BU36" s="64">
        <v>1.2999999999999999E-2</v>
      </c>
      <c r="BV36" s="63">
        <v>1.29</v>
      </c>
      <c r="BW36" s="63">
        <v>1.18</v>
      </c>
      <c r="BX36" s="66" t="s">
        <v>248</v>
      </c>
      <c r="BY36" s="172" t="s">
        <v>246</v>
      </c>
      <c r="BZ36" s="67" t="str">
        <f t="shared" si="24"/>
        <v>ME</v>
      </c>
      <c r="CA36" s="56">
        <v>29</v>
      </c>
      <c r="CB36" s="61">
        <v>92.7</v>
      </c>
      <c r="CC36" s="61"/>
      <c r="CD36" s="68">
        <f t="shared" si="25"/>
        <v>1.6000000000000085</v>
      </c>
      <c r="CE36" s="69">
        <f t="shared" si="26"/>
        <v>7.4468240000000403</v>
      </c>
      <c r="CF36" s="69">
        <f t="shared" si="27"/>
        <v>5.1357406896551998</v>
      </c>
      <c r="CG36" s="62">
        <v>60</v>
      </c>
      <c r="CH36" s="62">
        <v>100</v>
      </c>
      <c r="CI36" s="65" t="str">
        <f t="shared" si="28"/>
        <v>ME</v>
      </c>
      <c r="CJ36" s="56">
        <v>29</v>
      </c>
      <c r="CK36" s="61">
        <v>87.7</v>
      </c>
      <c r="CL36" s="61"/>
      <c r="CM36" s="68">
        <f t="shared" si="29"/>
        <v>2.6000000000000085</v>
      </c>
      <c r="CN36" s="68">
        <f t="shared" si="30"/>
        <v>12.101089000000041</v>
      </c>
      <c r="CO36" s="68">
        <f t="shared" si="31"/>
        <v>24.551010412500087</v>
      </c>
      <c r="CP36" s="62">
        <v>54</v>
      </c>
      <c r="CQ36" s="62">
        <v>83</v>
      </c>
      <c r="CR36" s="65" t="str">
        <f t="shared" si="32"/>
        <v>ME</v>
      </c>
      <c r="CS36" s="56">
        <v>29</v>
      </c>
      <c r="CT36" s="61">
        <v>99.6</v>
      </c>
      <c r="CU36" s="61"/>
      <c r="CV36" s="68">
        <f t="shared" si="33"/>
        <v>2.0999999999999943</v>
      </c>
      <c r="CW36" s="68">
        <f t="shared" si="34"/>
        <v>13.952903999999963</v>
      </c>
      <c r="CX36" s="69">
        <f t="shared" si="35"/>
        <v>7.1188285714285524E-2</v>
      </c>
      <c r="CY36" s="66" t="s">
        <v>240</v>
      </c>
      <c r="CZ36" s="66" t="s">
        <v>241</v>
      </c>
      <c r="DA36" s="66"/>
      <c r="DB36" s="65" t="str">
        <f t="shared" si="36"/>
        <v>ME</v>
      </c>
      <c r="DC36" s="56">
        <v>29</v>
      </c>
      <c r="DD36" s="61">
        <v>94.8</v>
      </c>
      <c r="DE36" s="61">
        <v>90.4</v>
      </c>
      <c r="DF36" s="68">
        <f t="shared" si="37"/>
        <v>2.7000000000000028</v>
      </c>
      <c r="DG36" s="69">
        <f t="shared" si="38"/>
        <v>0.14566831776000014</v>
      </c>
      <c r="DH36" s="68">
        <f t="shared" si="39"/>
        <v>0.7432057028571436</v>
      </c>
      <c r="DI36" s="62">
        <v>89</v>
      </c>
      <c r="DJ36" s="62">
        <v>54</v>
      </c>
      <c r="DK36" s="65" t="str">
        <f t="shared" si="40"/>
        <v>ME</v>
      </c>
      <c r="DL36" s="56">
        <v>29</v>
      </c>
      <c r="DM36" s="63">
        <v>7.78</v>
      </c>
      <c r="DN36" s="64">
        <v>1.7999999999999999E-2</v>
      </c>
      <c r="DO36" s="64">
        <v>3.5000000000000003E-2</v>
      </c>
      <c r="DP36" s="64">
        <v>4.5999999999999999E-2</v>
      </c>
      <c r="DQ36" s="63">
        <v>6.77</v>
      </c>
      <c r="DR36" s="61">
        <v>6.8</v>
      </c>
      <c r="DS36" s="64">
        <v>1.2470000000000001</v>
      </c>
      <c r="DT36" s="61">
        <v>86</v>
      </c>
      <c r="DU36" s="63">
        <v>4.1399999999999997</v>
      </c>
      <c r="DV36" s="64">
        <v>1.641</v>
      </c>
      <c r="DW36" s="64">
        <v>0.47699999999999998</v>
      </c>
      <c r="DX36" s="66" t="s">
        <v>242</v>
      </c>
      <c r="DY36" s="65" t="str">
        <f t="shared" si="41"/>
        <v>ME</v>
      </c>
      <c r="DZ36" s="128">
        <v>29</v>
      </c>
      <c r="EA36" s="173">
        <f t="shared" si="42"/>
        <v>0.13101604278074866</v>
      </c>
      <c r="EB36" s="173">
        <f t="shared" si="43"/>
        <v>0.14044117647058824</v>
      </c>
      <c r="EC36" s="173">
        <f t="shared" si="44"/>
        <v>0.88775510204081631</v>
      </c>
      <c r="ED36" s="63">
        <v>1.21</v>
      </c>
      <c r="EE36" s="63">
        <v>1.26</v>
      </c>
      <c r="EF36" s="63">
        <v>0.05</v>
      </c>
      <c r="EG36" s="63">
        <v>0.04</v>
      </c>
      <c r="EH36" s="127" t="str">
        <f t="shared" si="5"/>
        <v>ME</v>
      </c>
      <c r="EI36" s="56">
        <v>29</v>
      </c>
      <c r="EJ36" s="334" t="s">
        <v>271</v>
      </c>
      <c r="EK36" s="334"/>
      <c r="EL36" s="334"/>
      <c r="EM36" s="334"/>
      <c r="EN36" s="334"/>
      <c r="EO36" s="334"/>
      <c r="EP36" s="334"/>
      <c r="EQ36" s="65" t="str">
        <f t="shared" si="45"/>
        <v>ME</v>
      </c>
      <c r="ER36" s="20"/>
      <c r="ES36" s="20"/>
      <c r="ET36" s="20"/>
      <c r="EU36" s="20"/>
      <c r="EV36" s="20"/>
      <c r="EW36" s="20"/>
      <c r="EX36" s="20"/>
    </row>
    <row r="37" spans="1:154" s="3" customFormat="1" ht="17.149999999999999" customHeight="1" x14ac:dyDescent="0.35">
      <c r="A37" s="56">
        <v>30</v>
      </c>
      <c r="B37" s="57">
        <v>864787</v>
      </c>
      <c r="C37" s="58">
        <f t="shared" si="6"/>
        <v>252</v>
      </c>
      <c r="D37" s="167">
        <v>10.050000000000001</v>
      </c>
      <c r="E37" s="59">
        <v>769119</v>
      </c>
      <c r="F37" s="58">
        <f t="shared" si="7"/>
        <v>230</v>
      </c>
      <c r="G37" s="168">
        <v>1.3</v>
      </c>
      <c r="H37" s="57">
        <v>732103</v>
      </c>
      <c r="I37" s="58">
        <f t="shared" si="0"/>
        <v>220</v>
      </c>
      <c r="J37" s="60" t="s">
        <v>194</v>
      </c>
      <c r="K37" s="56">
        <v>30</v>
      </c>
      <c r="L37" s="57">
        <v>67738</v>
      </c>
      <c r="M37" s="58">
        <f t="shared" si="8"/>
        <v>2</v>
      </c>
      <c r="N37" s="59">
        <v>171038</v>
      </c>
      <c r="O37" s="58">
        <f t="shared" si="9"/>
        <v>46</v>
      </c>
      <c r="P37" s="57">
        <v>194713</v>
      </c>
      <c r="Q37" s="169" t="str">
        <f t="shared" si="1"/>
        <v/>
      </c>
      <c r="R37" s="57">
        <v>655</v>
      </c>
      <c r="S37" s="57">
        <v>664</v>
      </c>
      <c r="T37" s="57">
        <v>137</v>
      </c>
      <c r="U37" s="57">
        <v>134</v>
      </c>
      <c r="V37" s="58" t="str">
        <f t="shared" si="10"/>
        <v>ME</v>
      </c>
      <c r="W37" s="56">
        <v>30</v>
      </c>
      <c r="X37" s="63">
        <v>11377.7</v>
      </c>
      <c r="Y37" s="130">
        <f t="shared" si="11"/>
        <v>2.5</v>
      </c>
      <c r="Z37" s="63">
        <v>12149.12</v>
      </c>
      <c r="AA37" s="130">
        <f t="shared" si="12"/>
        <v>4.8499999999985448</v>
      </c>
      <c r="AB37" s="63">
        <v>9613.18</v>
      </c>
      <c r="AC37" s="130">
        <f t="shared" si="13"/>
        <v>3.8400000000001455</v>
      </c>
      <c r="AD37" s="63">
        <v>9705.7199999999993</v>
      </c>
      <c r="AE37" s="130">
        <f t="shared" si="2"/>
        <v>2</v>
      </c>
      <c r="AF37" s="125" t="str">
        <f t="shared" si="14"/>
        <v>ME</v>
      </c>
      <c r="AG37" s="56">
        <v>30</v>
      </c>
      <c r="AH37" s="63">
        <v>45382.28</v>
      </c>
      <c r="AI37" s="130">
        <f t="shared" si="15"/>
        <v>16.30000000000291</v>
      </c>
      <c r="AJ37" s="63">
        <v>47522.15</v>
      </c>
      <c r="AK37" s="130">
        <f t="shared" si="16"/>
        <v>8.0199999999967986</v>
      </c>
      <c r="AL37" s="63">
        <v>585.26</v>
      </c>
      <c r="AM37" s="130">
        <f t="shared" si="17"/>
        <v>2.9999999999972715E-2</v>
      </c>
      <c r="AN37" s="63">
        <v>546.34</v>
      </c>
      <c r="AO37" s="130" t="str">
        <f t="shared" si="3"/>
        <v/>
      </c>
      <c r="AP37" s="125" t="str">
        <f t="shared" si="18"/>
        <v>ME</v>
      </c>
      <c r="AQ37" s="56">
        <v>30</v>
      </c>
      <c r="AR37" s="63">
        <v>6516.42</v>
      </c>
      <c r="AS37" s="130">
        <f t="shared" si="19"/>
        <v>2.6499999999996362</v>
      </c>
      <c r="AT37" s="63">
        <v>7228.11</v>
      </c>
      <c r="AU37" s="130">
        <f t="shared" si="20"/>
        <v>2.6700000000000728</v>
      </c>
      <c r="AV37" s="63">
        <v>248.33</v>
      </c>
      <c r="AW37" s="130" t="str">
        <f t="shared" si="46"/>
        <v/>
      </c>
      <c r="AX37" s="63">
        <v>236.46</v>
      </c>
      <c r="AY37" s="130" t="str">
        <f t="shared" si="4"/>
        <v/>
      </c>
      <c r="AZ37" s="125" t="str">
        <f t="shared" si="22"/>
        <v>ME</v>
      </c>
      <c r="BA37" s="56">
        <v>30</v>
      </c>
      <c r="BB37" s="64">
        <v>0.57499999999999996</v>
      </c>
      <c r="BC37" s="62">
        <v>8</v>
      </c>
      <c r="BD37" s="61">
        <v>7.2</v>
      </c>
      <c r="BE37" s="61">
        <v>2.9</v>
      </c>
      <c r="BF37" s="61">
        <v>16.7</v>
      </c>
      <c r="BG37" s="61">
        <v>7.2</v>
      </c>
      <c r="BH37" s="64">
        <v>0.29599999999999999</v>
      </c>
      <c r="BI37" s="64">
        <v>0.26700000000000002</v>
      </c>
      <c r="BJ37" s="64">
        <v>5.8999999999999997E-2</v>
      </c>
      <c r="BK37" s="64">
        <v>4.9000000000000002E-2</v>
      </c>
      <c r="BL37" s="64">
        <v>0.05</v>
      </c>
      <c r="BM37" s="64">
        <v>4.8000000000000001E-2</v>
      </c>
      <c r="BN37" s="65" t="str">
        <f t="shared" si="23"/>
        <v>ME</v>
      </c>
      <c r="BO37" s="56">
        <v>30</v>
      </c>
      <c r="BP37" s="64">
        <v>6.7000000000000004E-2</v>
      </c>
      <c r="BQ37" s="62">
        <v>0</v>
      </c>
      <c r="BR37" s="61">
        <v>7.2</v>
      </c>
      <c r="BS37" s="61">
        <v>6.8</v>
      </c>
      <c r="BT37" s="61">
        <v>18.399999999999999</v>
      </c>
      <c r="BU37" s="64">
        <v>0.01</v>
      </c>
      <c r="BV37" s="63">
        <v>1.29</v>
      </c>
      <c r="BW37" s="63">
        <v>0.89</v>
      </c>
      <c r="BX37" s="66" t="s">
        <v>255</v>
      </c>
      <c r="BY37" s="172" t="s">
        <v>246</v>
      </c>
      <c r="BZ37" s="67" t="str">
        <f t="shared" si="24"/>
        <v>ME</v>
      </c>
      <c r="CA37" s="56">
        <v>30</v>
      </c>
      <c r="CB37" s="61">
        <v>91.1</v>
      </c>
      <c r="CC37" s="61"/>
      <c r="CD37" s="68">
        <f t="shared" si="25"/>
        <v>2</v>
      </c>
      <c r="CE37" s="69">
        <f t="shared" si="26"/>
        <v>9.3085300000000011</v>
      </c>
      <c r="CF37" s="69">
        <f t="shared" si="27"/>
        <v>5.0773799999999998</v>
      </c>
      <c r="CG37" s="62">
        <v>63</v>
      </c>
      <c r="CH37" s="62">
        <v>100</v>
      </c>
      <c r="CI37" s="65" t="str">
        <f t="shared" si="28"/>
        <v>ME</v>
      </c>
      <c r="CJ37" s="56">
        <v>30</v>
      </c>
      <c r="CK37" s="61">
        <v>85.1</v>
      </c>
      <c r="CL37" s="61"/>
      <c r="CM37" s="68">
        <f t="shared" si="29"/>
        <v>2.7999999999999972</v>
      </c>
      <c r="CN37" s="68">
        <f t="shared" si="30"/>
        <v>13.031941999999988</v>
      </c>
      <c r="CO37" s="68">
        <f t="shared" si="31"/>
        <v>20.564094191666655</v>
      </c>
      <c r="CP37" s="62">
        <v>56</v>
      </c>
      <c r="CQ37" s="62">
        <v>83</v>
      </c>
      <c r="CR37" s="65" t="str">
        <f t="shared" si="32"/>
        <v>ME</v>
      </c>
      <c r="CS37" s="56">
        <v>30</v>
      </c>
      <c r="CT37" s="61">
        <v>97.5</v>
      </c>
      <c r="CU37" s="61"/>
      <c r="CV37" s="68">
        <f t="shared" si="33"/>
        <v>2.4000000000000057</v>
      </c>
      <c r="CW37" s="68">
        <f t="shared" si="34"/>
        <v>15.946176000000039</v>
      </c>
      <c r="CX37" s="69">
        <f t="shared" si="35"/>
        <v>6.3278476190476343E-2</v>
      </c>
      <c r="CY37" s="66" t="s">
        <v>251</v>
      </c>
      <c r="CZ37" s="66" t="s">
        <v>241</v>
      </c>
      <c r="DA37" s="66"/>
      <c r="DB37" s="65" t="str">
        <f t="shared" si="36"/>
        <v>ME</v>
      </c>
      <c r="DC37" s="56">
        <v>30</v>
      </c>
      <c r="DD37" s="61">
        <v>87.7</v>
      </c>
      <c r="DE37" s="61"/>
      <c r="DF37" s="68">
        <f t="shared" si="37"/>
        <v>8.7000000000000028</v>
      </c>
      <c r="DG37" s="69">
        <f t="shared" si="38"/>
        <v>0.46937569056000011</v>
      </c>
      <c r="DH37" s="68">
        <f t="shared" si="39"/>
        <v>1.8626019466666672</v>
      </c>
      <c r="DI37" s="62">
        <v>99</v>
      </c>
      <c r="DJ37" s="62">
        <v>54</v>
      </c>
      <c r="DK37" s="65" t="str">
        <f t="shared" si="40"/>
        <v>ME</v>
      </c>
      <c r="DL37" s="56">
        <v>30</v>
      </c>
      <c r="DM37" s="63">
        <v>7.78</v>
      </c>
      <c r="DN37" s="64">
        <v>1.7999999999999999E-2</v>
      </c>
      <c r="DO37" s="64">
        <v>3.2000000000000001E-2</v>
      </c>
      <c r="DP37" s="64">
        <v>4.4999999999999998E-2</v>
      </c>
      <c r="DQ37" s="63">
        <v>6.77</v>
      </c>
      <c r="DR37" s="61">
        <v>6.8</v>
      </c>
      <c r="DS37" s="64">
        <v>1.264</v>
      </c>
      <c r="DT37" s="61">
        <v>86.2</v>
      </c>
      <c r="DU37" s="63">
        <v>4.2</v>
      </c>
      <c r="DV37" s="64">
        <v>1.052</v>
      </c>
      <c r="DW37" s="64">
        <v>0.34899999999999998</v>
      </c>
      <c r="DX37" s="66" t="s">
        <v>242</v>
      </c>
      <c r="DY37" s="65" t="str">
        <f t="shared" si="41"/>
        <v>ME</v>
      </c>
      <c r="DZ37" s="128">
        <v>30</v>
      </c>
      <c r="EA37" s="173">
        <f t="shared" si="42"/>
        <v>0.16844919786096257</v>
      </c>
      <c r="EB37" s="173">
        <f t="shared" si="43"/>
        <v>0.16911764705882354</v>
      </c>
      <c r="EC37" s="173">
        <f t="shared" si="44"/>
        <v>0.87301587301587302</v>
      </c>
      <c r="ED37" s="63">
        <v>0.96</v>
      </c>
      <c r="EE37" s="63">
        <v>1.28</v>
      </c>
      <c r="EF37" s="63">
        <v>0.05</v>
      </c>
      <c r="EG37" s="63">
        <v>0.23</v>
      </c>
      <c r="EH37" s="127" t="str">
        <f t="shared" si="5"/>
        <v>ME</v>
      </c>
      <c r="EI37" s="56">
        <v>30</v>
      </c>
      <c r="EJ37" s="334" t="s">
        <v>272</v>
      </c>
      <c r="EK37" s="334"/>
      <c r="EL37" s="334"/>
      <c r="EM37" s="334"/>
      <c r="EN37" s="334"/>
      <c r="EO37" s="334"/>
      <c r="EP37" s="334"/>
      <c r="EQ37" s="65" t="str">
        <f t="shared" si="45"/>
        <v>ME</v>
      </c>
      <c r="ER37" s="20"/>
      <c r="ES37" s="20"/>
      <c r="ET37" s="20"/>
      <c r="EU37" s="20"/>
      <c r="EV37" s="20"/>
      <c r="EW37" s="20"/>
      <c r="EX37" s="20"/>
    </row>
    <row r="38" spans="1:154" s="3" customFormat="1" ht="17.149999999999999" customHeight="1" thickBot="1" x14ac:dyDescent="0.4">
      <c r="A38" s="56">
        <v>31</v>
      </c>
      <c r="B38" s="57">
        <v>865039</v>
      </c>
      <c r="C38" s="58">
        <f>IF(Feb.!B8="","",IF(Feb.!B8=B38,"",(Feb.!B8-B38)))</f>
        <v>233</v>
      </c>
      <c r="D38" s="167">
        <v>9.34</v>
      </c>
      <c r="E38" s="59">
        <v>769349</v>
      </c>
      <c r="F38" s="58">
        <f>IF(Feb.!E8="","",IF(Feb.!E8=E38,"",(Feb.!E8-E38)))</f>
        <v>275</v>
      </c>
      <c r="G38" s="168">
        <v>3.22</v>
      </c>
      <c r="H38" s="57">
        <v>732323</v>
      </c>
      <c r="I38" s="58">
        <f>IF(Feb.!H8="","",IF(Feb.!H8=H38,"",(Feb.!H8-H38)))</f>
        <v>170</v>
      </c>
      <c r="J38" s="60" t="s">
        <v>194</v>
      </c>
      <c r="K38" s="56">
        <v>31</v>
      </c>
      <c r="L38" s="57">
        <v>67740</v>
      </c>
      <c r="M38" s="58">
        <f>IF(Feb.!L8="","",IF(Feb.!L8=L38,"",(Feb.!L8-L38)))</f>
        <v>40</v>
      </c>
      <c r="N38" s="59">
        <v>171084</v>
      </c>
      <c r="O38" s="58">
        <f>IF(Feb.!N8="","",IF(Feb.!N8=N38,"",(Feb.!N8-N38)))</f>
        <v>59</v>
      </c>
      <c r="P38" s="57">
        <v>194713</v>
      </c>
      <c r="Q38" s="58" t="str">
        <f>IF(Feb.!P8="","",IF(Feb.!P8=P38,"",(Feb.!P8-P38)))</f>
        <v/>
      </c>
      <c r="R38" s="57">
        <v>655</v>
      </c>
      <c r="S38" s="57">
        <v>664</v>
      </c>
      <c r="T38" s="57">
        <v>137</v>
      </c>
      <c r="U38" s="57">
        <v>134</v>
      </c>
      <c r="V38" s="58" t="str">
        <f t="shared" si="10"/>
        <v>ME</v>
      </c>
      <c r="W38" s="56">
        <v>31</v>
      </c>
      <c r="X38" s="63">
        <v>11380.2</v>
      </c>
      <c r="Y38" s="130">
        <f>IF(Feb.!X8="","",IF(Feb.!X8=X38,"",Feb.!X8-X38))</f>
        <v>4.5199999999986176</v>
      </c>
      <c r="Z38" s="63">
        <v>12153.97</v>
      </c>
      <c r="AA38" s="130">
        <f>IF(Feb.!Z8="","",IF(Feb.!Z8=Z38,"",Feb.!Z8-Z38))</f>
        <v>2.5600000000013097</v>
      </c>
      <c r="AB38" s="63">
        <v>9617.02</v>
      </c>
      <c r="AC38" s="130">
        <f>IF(Feb.!AB8="","",IF(Feb.!AB8=AB38,"",Feb.!AB8-AB38))</f>
        <v>2.0799999999999272</v>
      </c>
      <c r="AD38" s="63">
        <v>9707.7199999999993</v>
      </c>
      <c r="AE38" s="130">
        <f>IF(Feb.!AD8="","",IF(Feb.!AD8=AD38,"",Feb.!AD8-AD38))</f>
        <v>2.4600000000009459</v>
      </c>
      <c r="AF38" s="125" t="str">
        <f t="shared" si="14"/>
        <v>ME</v>
      </c>
      <c r="AG38" s="56">
        <v>31</v>
      </c>
      <c r="AH38" s="63">
        <v>45398.58</v>
      </c>
      <c r="AI38" s="130">
        <f>IF(Feb.!AH8="","",IF(Feb.!AH8=AH38,"",Feb.!AH8-AH38))</f>
        <v>12.229999999995925</v>
      </c>
      <c r="AJ38" s="63">
        <v>47530.17</v>
      </c>
      <c r="AK38" s="130">
        <f>IF(Feb.!AJ8="","",IF(Feb.!AJ8=AJ38,"",Feb.!AJ8-AJ38))</f>
        <v>15.990000000005239</v>
      </c>
      <c r="AL38" s="63">
        <v>585.29</v>
      </c>
      <c r="AM38" s="130" t="str">
        <f>IF(Feb.!AL8="","",IF(Feb.!AL8=AL38,"",Feb.!AL8-AL38))</f>
        <v/>
      </c>
      <c r="AN38" s="63">
        <v>546.34</v>
      </c>
      <c r="AO38" s="130" t="str">
        <f>IF(Feb.!AN8="","",IF(Feb.!AN8=AN38,"",Feb.!AN8-AN38))</f>
        <v/>
      </c>
      <c r="AP38" s="125" t="str">
        <f t="shared" si="18"/>
        <v>ME</v>
      </c>
      <c r="AQ38" s="56">
        <v>31</v>
      </c>
      <c r="AR38" s="63">
        <v>6519.07</v>
      </c>
      <c r="AS38" s="130">
        <f>IF(Feb.!AR8="","",IF(Feb.!AR8=AR38,"",Feb.!AR8-AR38))</f>
        <v>2.4000000000005457</v>
      </c>
      <c r="AT38" s="63">
        <v>7230.78</v>
      </c>
      <c r="AU38" s="130">
        <f>IF(Feb.!AT8="","",IF(Feb.!AT8=AT38,"",Feb.!AT8-AT38))</f>
        <v>2.5500000000001819</v>
      </c>
      <c r="AV38" s="63">
        <v>248.33</v>
      </c>
      <c r="AW38" s="130">
        <f>IF(Feb.!AV8="","",IF(Feb.!AV8=AV38,"",Feb.!AV8-AV38))</f>
        <v>0.33999999999997499</v>
      </c>
      <c r="AX38" s="63">
        <v>236.46</v>
      </c>
      <c r="AY38" s="130" t="str">
        <f>IF(Feb.!AX8="","",IF(Feb.!AX8=AX38,"",Feb.!AX8-AX38))</f>
        <v/>
      </c>
      <c r="AZ38" s="125" t="str">
        <f t="shared" si="22"/>
        <v>ME</v>
      </c>
      <c r="BA38" s="56">
        <v>31</v>
      </c>
      <c r="BB38" s="64"/>
      <c r="BC38" s="62"/>
      <c r="BD38" s="61"/>
      <c r="BE38" s="61"/>
      <c r="BF38" s="61"/>
      <c r="BG38" s="61"/>
      <c r="BH38" s="64"/>
      <c r="BI38" s="64"/>
      <c r="BJ38" s="64"/>
      <c r="BK38" s="64"/>
      <c r="BL38" s="64"/>
      <c r="BM38" s="64"/>
      <c r="BN38" s="65" t="str">
        <f t="shared" si="23"/>
        <v>ME</v>
      </c>
      <c r="BO38" s="56">
        <v>31</v>
      </c>
      <c r="BP38" s="64">
        <v>7.5999999999999998E-2</v>
      </c>
      <c r="BQ38" s="62"/>
      <c r="BR38" s="61"/>
      <c r="BS38" s="61"/>
      <c r="BT38" s="61"/>
      <c r="BU38" s="64"/>
      <c r="BV38" s="63">
        <v>1.25</v>
      </c>
      <c r="BW38" s="63">
        <v>1.18</v>
      </c>
      <c r="BX38" s="66" t="s">
        <v>255</v>
      </c>
      <c r="BY38" s="172" t="s">
        <v>246</v>
      </c>
      <c r="BZ38" s="67" t="str">
        <f t="shared" si="24"/>
        <v>ME</v>
      </c>
      <c r="CA38" s="56">
        <v>31</v>
      </c>
      <c r="CB38" s="61">
        <v>89.1</v>
      </c>
      <c r="CC38" s="61"/>
      <c r="CD38" s="68">
        <f>IF(Feb.!CB8="","",IF(CC38="",IF(CB38=Feb.!CB8,"",(CB38-Feb.!CB8)),IF(CC38=Feb.!CB8,"",(CC38-Feb.!CB8))))</f>
        <v>1.2999999999999972</v>
      </c>
      <c r="CE38" s="69">
        <f t="shared" si="26"/>
        <v>6.0505444999999876</v>
      </c>
      <c r="CF38" s="69">
        <f t="shared" si="27"/>
        <v>4.2709725882352849</v>
      </c>
      <c r="CG38" s="62">
        <v>60</v>
      </c>
      <c r="CH38" s="62">
        <v>100</v>
      </c>
      <c r="CI38" s="65" t="str">
        <f t="shared" si="28"/>
        <v>ME</v>
      </c>
      <c r="CJ38" s="56">
        <v>31</v>
      </c>
      <c r="CK38" s="61">
        <v>82.3</v>
      </c>
      <c r="CL38" s="61"/>
      <c r="CM38" s="68">
        <f>IF(Feb.!CK8="","",IF(CL38="",IF(CK38=Feb.!CK8,"",(CK38-Feb.!CK8)),IF(CL38=Feb.!CK8,"",(CL38-Feb.!CK8))))</f>
        <v>3.0999999999999943</v>
      </c>
      <c r="CN38" s="68">
        <f t="shared" si="30"/>
        <v>14.428221499999974</v>
      </c>
      <c r="CO38" s="68">
        <f t="shared" si="31"/>
        <v>24.623958281008544</v>
      </c>
      <c r="CP38" s="62">
        <v>53</v>
      </c>
      <c r="CQ38" s="62">
        <v>83</v>
      </c>
      <c r="CR38" s="65" t="str">
        <f t="shared" si="32"/>
        <v>ME</v>
      </c>
      <c r="CS38" s="56">
        <v>31</v>
      </c>
      <c r="CT38" s="61">
        <v>95.1</v>
      </c>
      <c r="CU38" s="61"/>
      <c r="CV38" s="68">
        <f>IF(Feb.!CT8="","",IF(CU38="",IF(CT38=Feb.!CT8,"",(CT38-Feb.!CT8)),IF(CU38=Feb.!CT8,"",(CU38-Feb.!CT8))))</f>
        <v>2.5</v>
      </c>
      <c r="CW38" s="68">
        <f t="shared" si="34"/>
        <v>16.610599999999998</v>
      </c>
      <c r="CX38" s="69">
        <f t="shared" si="35"/>
        <v>7.1290128755364793E-2</v>
      </c>
      <c r="CY38" s="66" t="s">
        <v>240</v>
      </c>
      <c r="CZ38" s="66" t="s">
        <v>241</v>
      </c>
      <c r="DA38" s="66"/>
      <c r="DB38" s="65" t="str">
        <f t="shared" si="36"/>
        <v>ME</v>
      </c>
      <c r="DC38" s="56">
        <v>31</v>
      </c>
      <c r="DD38" s="61">
        <v>79</v>
      </c>
      <c r="DE38" s="61">
        <v>102.9</v>
      </c>
      <c r="DF38" s="68">
        <f>IF(Feb.!DD8="","",IF(DE38="",IF(DD38=Feb.!DD8,"",(DD38-Feb.!DD8)),IF(DE38=Feb.!DD8,"",(DE38-Feb.!DD8))))</f>
        <v>26.600000000000009</v>
      </c>
      <c r="DG38" s="69">
        <f t="shared" si="38"/>
        <v>1.4351026860800005</v>
      </c>
      <c r="DH38" s="68">
        <f t="shared" si="39"/>
        <v>6.1592389960515037</v>
      </c>
      <c r="DI38" s="62">
        <v>90</v>
      </c>
      <c r="DJ38" s="62">
        <v>54</v>
      </c>
      <c r="DK38" s="65" t="str">
        <f t="shared" si="40"/>
        <v>ME</v>
      </c>
      <c r="DL38" s="56">
        <v>31</v>
      </c>
      <c r="DM38" s="63">
        <v>7.85</v>
      </c>
      <c r="DN38" s="64">
        <v>1.7999999999999999E-2</v>
      </c>
      <c r="DO38" s="64">
        <v>0.03</v>
      </c>
      <c r="DP38" s="64">
        <v>5.3999999999999999E-2</v>
      </c>
      <c r="DQ38" s="63">
        <v>6.76</v>
      </c>
      <c r="DR38" s="61">
        <v>6.7</v>
      </c>
      <c r="DS38" s="64">
        <v>1.2569999999999999</v>
      </c>
      <c r="DT38" s="61">
        <v>84.7</v>
      </c>
      <c r="DU38" s="63">
        <v>4.2699999999999996</v>
      </c>
      <c r="DV38" s="64">
        <v>697</v>
      </c>
      <c r="DW38" s="64">
        <v>0.60099999999999998</v>
      </c>
      <c r="DX38" s="66" t="s">
        <v>242</v>
      </c>
      <c r="DY38" s="65" t="str">
        <f t="shared" si="41"/>
        <v>ME</v>
      </c>
      <c r="DZ38" s="128">
        <v>31</v>
      </c>
      <c r="EA38" s="197">
        <f t="shared" si="42"/>
        <v>0.15574866310160429</v>
      </c>
      <c r="EB38" s="197">
        <f t="shared" si="43"/>
        <v>0.20220588235294118</v>
      </c>
      <c r="EC38" s="197">
        <f t="shared" si="44"/>
        <v>0.72961373390557938</v>
      </c>
      <c r="ED38" s="63">
        <v>1.23</v>
      </c>
      <c r="EE38" s="63">
        <v>1.27</v>
      </c>
      <c r="EF38" s="63">
        <v>0.04</v>
      </c>
      <c r="EG38" s="284">
        <v>0.37</v>
      </c>
      <c r="EH38" s="127" t="str">
        <f t="shared" si="5"/>
        <v>ME</v>
      </c>
      <c r="EI38" s="56">
        <v>31</v>
      </c>
      <c r="EJ38" s="334"/>
      <c r="EK38" s="334"/>
      <c r="EL38" s="334"/>
      <c r="EM38" s="334"/>
      <c r="EN38" s="334"/>
      <c r="EO38" s="334"/>
      <c r="EP38" s="334"/>
      <c r="EQ38" s="65" t="str">
        <f t="shared" si="45"/>
        <v>ME</v>
      </c>
      <c r="ER38" s="20"/>
      <c r="ES38" s="20"/>
      <c r="ET38" s="20"/>
      <c r="EU38" s="20"/>
      <c r="EV38" s="20"/>
      <c r="EW38" s="20"/>
      <c r="EX38" s="20"/>
    </row>
    <row r="39" spans="1:154" s="3" customFormat="1" ht="18.649999999999999" customHeight="1" thickBot="1" x14ac:dyDescent="0.4">
      <c r="A39" s="73"/>
      <c r="B39" s="74"/>
      <c r="C39" s="74"/>
      <c r="D39" s="75"/>
      <c r="E39" s="74"/>
      <c r="F39" s="74"/>
      <c r="G39" s="75"/>
      <c r="H39" s="74"/>
      <c r="I39" s="74"/>
      <c r="J39" s="73"/>
      <c r="K39" s="73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3"/>
      <c r="W39" s="73"/>
      <c r="X39" s="75"/>
      <c r="Y39" s="75"/>
      <c r="Z39" s="75"/>
      <c r="AA39" s="75"/>
      <c r="AB39" s="75"/>
      <c r="AC39" s="75"/>
      <c r="AD39" s="75"/>
      <c r="AE39" s="75"/>
      <c r="AF39" s="73"/>
      <c r="AG39" s="73"/>
      <c r="AH39" s="75"/>
      <c r="AI39" s="75"/>
      <c r="AJ39" s="75"/>
      <c r="AK39" s="75"/>
      <c r="AL39" s="75"/>
      <c r="AM39" s="75"/>
      <c r="AN39" s="75"/>
      <c r="AO39" s="75"/>
      <c r="AP39" s="73"/>
      <c r="AQ39" s="73"/>
      <c r="AR39" s="75"/>
      <c r="AS39" s="75"/>
      <c r="AT39" s="75"/>
      <c r="AU39" s="75"/>
      <c r="AV39" s="75"/>
      <c r="AW39" s="75"/>
      <c r="AX39" s="75"/>
      <c r="AY39" s="75"/>
      <c r="AZ39" s="73"/>
      <c r="BA39" s="73"/>
      <c r="BB39" s="124"/>
      <c r="BC39" s="74"/>
      <c r="BD39" s="73"/>
      <c r="BE39" s="73"/>
      <c r="BF39" s="73"/>
      <c r="BG39" s="73"/>
      <c r="BH39" s="124"/>
      <c r="BI39" s="124"/>
      <c r="BJ39" s="124"/>
      <c r="BK39" s="124"/>
      <c r="BL39" s="124"/>
      <c r="BM39" s="124"/>
      <c r="BN39" s="73"/>
      <c r="BO39" s="73"/>
      <c r="BP39" s="124"/>
      <c r="BQ39" s="74"/>
      <c r="BR39" s="73"/>
      <c r="BS39" s="73"/>
      <c r="BT39" s="73"/>
      <c r="BU39" s="124"/>
      <c r="BV39" s="75"/>
      <c r="BW39" s="75"/>
      <c r="BX39" s="73"/>
      <c r="BY39" s="73"/>
      <c r="BZ39" s="73"/>
      <c r="CA39" s="73"/>
      <c r="CB39" s="73"/>
      <c r="CC39" s="73"/>
      <c r="CD39" s="73"/>
      <c r="CE39" s="75"/>
      <c r="CF39" s="75"/>
      <c r="CG39" s="74"/>
      <c r="CH39" s="74"/>
      <c r="CI39" s="73"/>
      <c r="CJ39" s="73"/>
      <c r="CK39" s="73"/>
      <c r="CL39" s="73"/>
      <c r="CM39" s="73"/>
      <c r="CN39" s="73"/>
      <c r="CO39" s="73"/>
      <c r="CP39" s="74"/>
      <c r="CQ39" s="74"/>
      <c r="CR39" s="73"/>
      <c r="CS39" s="73"/>
      <c r="CT39" s="73"/>
      <c r="CU39" s="73"/>
      <c r="CV39" s="73"/>
      <c r="CW39" s="73"/>
      <c r="CX39" s="75"/>
      <c r="CY39" s="74"/>
      <c r="CZ39" s="74"/>
      <c r="DA39" s="74"/>
      <c r="DB39" s="73"/>
      <c r="DC39" s="73"/>
      <c r="DD39" s="73"/>
      <c r="DE39" s="73"/>
      <c r="DF39" s="73"/>
      <c r="DG39" s="75"/>
      <c r="DH39" s="73"/>
      <c r="DI39" s="74"/>
      <c r="DJ39" s="74"/>
      <c r="DK39" s="73"/>
      <c r="DL39" s="73"/>
      <c r="DM39" s="75"/>
      <c r="DN39" s="124"/>
      <c r="DO39" s="124"/>
      <c r="DP39" s="124"/>
      <c r="DQ39" s="75"/>
      <c r="DR39" s="73"/>
      <c r="DS39" s="124"/>
      <c r="DT39" s="73"/>
      <c r="DU39" s="75"/>
      <c r="DV39" s="124"/>
      <c r="DW39" s="124"/>
      <c r="DX39" s="124"/>
      <c r="DY39" s="73"/>
      <c r="DZ39" s="195" t="s">
        <v>199</v>
      </c>
      <c r="EA39" s="198">
        <f>IF(COUNT(EA7:EA37)=0,"",AVERAGE(EA7:EA37))*100</f>
        <v>11.677807486631012</v>
      </c>
      <c r="EB39" s="199">
        <f>IF(COUNT(EB7:EB37)=0,"",AVERAGE(EB7:EB37))*100</f>
        <v>12.600490196078432</v>
      </c>
      <c r="EC39" s="200">
        <f>IF(COUNT(EC7:EC37)=0,"",AVERAGE(EC7:EC37))*100</f>
        <v>80.897909889524442</v>
      </c>
      <c r="ED39" s="196"/>
      <c r="EE39" s="75"/>
      <c r="EF39" s="75"/>
      <c r="EG39" s="75"/>
      <c r="EH39" s="73"/>
      <c r="EI39" s="73"/>
      <c r="EJ39" s="351"/>
      <c r="EK39" s="351"/>
      <c r="EL39" s="351"/>
      <c r="EM39" s="351"/>
      <c r="EN39" s="351"/>
      <c r="EO39" s="351"/>
      <c r="EP39" s="351"/>
      <c r="EQ39" s="73"/>
      <c r="ER39" s="20"/>
      <c r="ES39" s="20"/>
      <c r="ET39" s="20"/>
      <c r="EU39" s="20"/>
      <c r="EV39" s="20"/>
      <c r="EW39" s="20"/>
      <c r="EX39" s="20"/>
    </row>
    <row r="40" spans="1:154" s="3" customFormat="1" ht="18.649999999999999" customHeight="1" x14ac:dyDescent="0.35">
      <c r="A40" s="56" t="s">
        <v>2</v>
      </c>
      <c r="B40" s="77"/>
      <c r="C40" s="78">
        <f>IF(COUNT(C8:C38)=0,"",SUM(C8:C38))</f>
        <v>5474</v>
      </c>
      <c r="D40" s="75"/>
      <c r="E40" s="74"/>
      <c r="F40" s="78">
        <f>IF(COUNT(F8:F38)=0,"",SUM(F8:F38))</f>
        <v>5416</v>
      </c>
      <c r="G40" s="81"/>
      <c r="H40" s="74"/>
      <c r="I40" s="78">
        <f>IF(COUNT(I8:I38)=0,"",SUM(I8:I38))</f>
        <v>4367</v>
      </c>
      <c r="J40" s="79"/>
      <c r="K40" s="56" t="s">
        <v>2</v>
      </c>
      <c r="L40" s="77"/>
      <c r="M40" s="78">
        <f>IF(COUNT(M8:M38)=0,"",SUM(M8:M38))</f>
        <v>390</v>
      </c>
      <c r="N40" s="74"/>
      <c r="O40" s="78">
        <f>IF(COUNT(O8:O38)=0,"",SUM(O8:O38))</f>
        <v>1295</v>
      </c>
      <c r="P40" s="74"/>
      <c r="Q40" s="78" t="str">
        <f>IF(COUNT(Q8:Q38)=0,"",SUM(Q8:Q38))</f>
        <v/>
      </c>
      <c r="R40" s="77"/>
      <c r="S40" s="77"/>
      <c r="T40" s="77"/>
      <c r="U40" s="77"/>
      <c r="V40" s="79"/>
      <c r="W40" s="56" t="s">
        <v>2</v>
      </c>
      <c r="X40" s="81"/>
      <c r="Y40" s="82">
        <f>IF(COUNT(Y8:Y38)=0,"",SUM(Y8:Y38))</f>
        <v>79.069999999999709</v>
      </c>
      <c r="Z40" s="75"/>
      <c r="AA40" s="82">
        <f>IF(COUNT(AA8:AA38)=0,"",SUM(AA8:AA38))</f>
        <v>82.270000000000437</v>
      </c>
      <c r="AB40" s="75"/>
      <c r="AC40" s="82">
        <f>IF(COUNT(AC8:AC38)=0,"",SUM(AC8:AC38))</f>
        <v>61.380000000001019</v>
      </c>
      <c r="AD40" s="75"/>
      <c r="AE40" s="82">
        <f>IF(COUNT(AE8:AE38)=0,"",SUM(AE8:AE38))</f>
        <v>55.010000000000218</v>
      </c>
      <c r="AF40" s="79"/>
      <c r="AG40" s="56" t="s">
        <v>2</v>
      </c>
      <c r="AH40" s="81"/>
      <c r="AI40" s="82">
        <f>IF(COUNT(AI8:AI38)=0,"",SUM(AI8:AI38))</f>
        <v>372.31999999999971</v>
      </c>
      <c r="AJ40" s="75"/>
      <c r="AK40" s="82">
        <f>IF(COUNT(AK8:AK38)=0,"",SUM(AK8:AK38))</f>
        <v>368.92000000000553</v>
      </c>
      <c r="AL40" s="75"/>
      <c r="AM40" s="82">
        <f>IF(COUNT(AM8:AM38)=0,"",SUM(AM8:AM38))</f>
        <v>5.999999999994543E-2</v>
      </c>
      <c r="AN40" s="75"/>
      <c r="AO40" s="82">
        <f>IF(COUNT(AO8:AO38)=0,"",SUM(AO8:AO38))</f>
        <v>0.10000000000002274</v>
      </c>
      <c r="AP40" s="79"/>
      <c r="AQ40" s="56" t="s">
        <v>2</v>
      </c>
      <c r="AR40" s="81"/>
      <c r="AS40" s="82">
        <f>IF(COUNT(AS8:AS38)=0,"",SUM(AS8:AS38))</f>
        <v>15.090000000000146</v>
      </c>
      <c r="AT40" s="75"/>
      <c r="AU40" s="82">
        <f>IF(COUNT(AU8:AU38)=0,"",SUM(AU8:AU38))</f>
        <v>109.86999999999989</v>
      </c>
      <c r="AV40" s="75"/>
      <c r="AW40" s="82">
        <f>IF(COUNT(AW8:AW38)=0,"",SUM(AW8:AW38))</f>
        <v>1.7800000000000011</v>
      </c>
      <c r="AX40" s="75"/>
      <c r="AY40" s="82">
        <f>IF(COUNT(AY8:AY38)=0,"",SUM(AY8:AY38))</f>
        <v>1.4399999999999977</v>
      </c>
      <c r="AZ40" s="79"/>
      <c r="BA40" s="264" t="s">
        <v>2</v>
      </c>
      <c r="BB40" s="265">
        <f>COUNT(BB8:BB38)</f>
        <v>22</v>
      </c>
      <c r="BC40" s="265">
        <f t="shared" ref="BC40:BM40" si="47">COUNT(BC8:BC38)</f>
        <v>22</v>
      </c>
      <c r="BD40" s="265">
        <f t="shared" si="47"/>
        <v>22</v>
      </c>
      <c r="BE40" s="265">
        <f t="shared" si="47"/>
        <v>22</v>
      </c>
      <c r="BF40" s="265">
        <f t="shared" si="47"/>
        <v>22</v>
      </c>
      <c r="BG40" s="265">
        <f t="shared" si="47"/>
        <v>22</v>
      </c>
      <c r="BH40" s="265">
        <f t="shared" si="47"/>
        <v>22</v>
      </c>
      <c r="BI40" s="265">
        <f t="shared" si="47"/>
        <v>22</v>
      </c>
      <c r="BJ40" s="265">
        <f t="shared" si="47"/>
        <v>22</v>
      </c>
      <c r="BK40" s="265">
        <f t="shared" si="47"/>
        <v>22</v>
      </c>
      <c r="BL40" s="265">
        <f t="shared" si="47"/>
        <v>22</v>
      </c>
      <c r="BM40" s="265">
        <f t="shared" si="47"/>
        <v>22</v>
      </c>
      <c r="BN40" s="266" t="s">
        <v>208</v>
      </c>
      <c r="BO40" s="264" t="s">
        <v>2</v>
      </c>
      <c r="BP40" s="265">
        <f t="shared" ref="BP40:BW40" si="48">COUNT(BP8:BP38)</f>
        <v>31</v>
      </c>
      <c r="BQ40" s="265">
        <f t="shared" si="48"/>
        <v>29</v>
      </c>
      <c r="BR40" s="265">
        <f t="shared" si="48"/>
        <v>29</v>
      </c>
      <c r="BS40" s="265">
        <f t="shared" si="48"/>
        <v>29</v>
      </c>
      <c r="BT40" s="265">
        <f t="shared" si="48"/>
        <v>29</v>
      </c>
      <c r="BU40" s="265">
        <f t="shared" si="48"/>
        <v>29</v>
      </c>
      <c r="BV40" s="265">
        <f t="shared" si="48"/>
        <v>31</v>
      </c>
      <c r="BW40" s="265">
        <f t="shared" si="48"/>
        <v>31</v>
      </c>
      <c r="BX40" s="267" t="s">
        <v>208</v>
      </c>
      <c r="BY40" s="83"/>
      <c r="BZ40" s="73"/>
      <c r="CA40" s="56" t="s">
        <v>2</v>
      </c>
      <c r="CB40" s="73"/>
      <c r="CC40" s="73"/>
      <c r="CD40" s="80">
        <f>IF(COUNT(CD8:CD38)=0,"",SUM(CD8:CD38))</f>
        <v>40.799999999999983</v>
      </c>
      <c r="CE40" s="82">
        <f>IF(COUNT(CE8:CE38)=0,"",SUM(CE8:CE38))</f>
        <v>189.89401199999995</v>
      </c>
      <c r="CF40" s="75"/>
      <c r="CG40" s="74"/>
      <c r="CH40" s="74"/>
      <c r="CI40" s="73"/>
      <c r="CJ40" s="56" t="s">
        <v>2</v>
      </c>
      <c r="CK40" s="73"/>
      <c r="CL40" s="73"/>
      <c r="CM40" s="80">
        <f>IF(COUNT(CM8:CM38)=0,"",SUM(CM8:CM38))</f>
        <v>67.700000000000017</v>
      </c>
      <c r="CN40" s="82">
        <f>IF(COUNT(CN8:CN38)=0,"",SUM(CN8:CN38))</f>
        <v>315.09374050000008</v>
      </c>
      <c r="CO40" s="73"/>
      <c r="CP40" s="74"/>
      <c r="CQ40" s="74"/>
      <c r="CR40" s="73"/>
      <c r="CS40" s="56" t="s">
        <v>2</v>
      </c>
      <c r="CT40" s="73"/>
      <c r="CU40" s="73"/>
      <c r="CV40" s="80">
        <f>IF(COUNT(CV8:CV38)=0,"",SUM(CV8:CV38))</f>
        <v>59.399999999999991</v>
      </c>
      <c r="CW40" s="80">
        <f>IF(COUNT(CW8:CW38)=0,"",SUM(CW8:CW38))</f>
        <v>394.66785599999992</v>
      </c>
      <c r="CX40" s="75"/>
      <c r="CY40" s="74"/>
      <c r="CZ40" s="74"/>
      <c r="DA40" s="74"/>
      <c r="DB40" s="73"/>
      <c r="DC40" s="56" t="s">
        <v>2</v>
      </c>
      <c r="DD40" s="73"/>
      <c r="DE40" s="73"/>
      <c r="DF40" s="80">
        <f>IF(COUNT(DF8:DF38)=0,"",SUM(DF8:DF38))</f>
        <v>381.40000000000003</v>
      </c>
      <c r="DG40" s="82">
        <f>IF(COUNT(DG8:DG38)=0,"",SUM(DG8:DG38))</f>
        <v>20.576998664320005</v>
      </c>
      <c r="DH40" s="73"/>
      <c r="DI40" s="74"/>
      <c r="DJ40" s="74"/>
      <c r="DK40" s="73"/>
      <c r="DL40" s="56" t="s">
        <v>2</v>
      </c>
      <c r="DM40" s="75"/>
      <c r="DN40" s="124"/>
      <c r="DO40" s="124"/>
      <c r="DP40" s="124"/>
      <c r="DQ40" s="75"/>
      <c r="DR40" s="73"/>
      <c r="DS40" s="124"/>
      <c r="DT40" s="73"/>
      <c r="DU40" s="75"/>
      <c r="DV40" s="124"/>
      <c r="DW40" s="124"/>
      <c r="DX40" s="124"/>
      <c r="DY40" s="73"/>
      <c r="DZ40" s="84" t="s">
        <v>27</v>
      </c>
      <c r="EA40" s="82">
        <f>IF(COUNT(EA8:EA38)=0,"",MIN(EA8:EA38))*100</f>
        <v>4.7459893048128343</v>
      </c>
      <c r="EB40" s="82">
        <f>IF(COUNT(EB8:EB38)=0,"",MIN(EB8:EB38))*100</f>
        <v>8.8970588235294112</v>
      </c>
      <c r="EC40" s="82">
        <f>IF(COUNT(EC8:EC38)=0,"",MIN(EC8:EC38))*100</f>
        <v>65.934065934065927</v>
      </c>
      <c r="ED40" s="82">
        <f>IF(COUNT(ED8:ED38)=0,"",MIN(ED8:ED38))</f>
        <v>0.03</v>
      </c>
      <c r="EE40" s="75"/>
      <c r="EF40" s="75"/>
      <c r="EG40" s="75"/>
      <c r="EH40" s="73"/>
      <c r="EI40" s="73"/>
      <c r="EJ40" s="351"/>
      <c r="EK40" s="351"/>
      <c r="EL40" s="351"/>
      <c r="EM40" s="351"/>
      <c r="EN40" s="351"/>
      <c r="EO40" s="351"/>
      <c r="EP40" s="351"/>
      <c r="EQ40" s="73"/>
      <c r="ER40" s="20"/>
      <c r="ES40" s="20"/>
      <c r="ET40" s="20"/>
      <c r="EU40" s="20"/>
      <c r="EV40" s="20"/>
      <c r="EW40" s="20"/>
      <c r="EX40" s="20"/>
    </row>
    <row r="41" spans="1:154" s="3" customFormat="1" ht="18" customHeight="1" x14ac:dyDescent="0.35">
      <c r="A41" s="56" t="s">
        <v>7</v>
      </c>
      <c r="B41" s="77"/>
      <c r="C41" s="78">
        <f>IF(COUNT(C8:C38)=0,"",AVERAGE(C8:C38))</f>
        <v>176.58064516129033</v>
      </c>
      <c r="D41" s="75"/>
      <c r="E41" s="74"/>
      <c r="F41" s="78">
        <f>IF(COUNT(F8:F38)=0,"",AVERAGE(F8:F38))</f>
        <v>174.70967741935485</v>
      </c>
      <c r="G41" s="81"/>
      <c r="H41" s="74"/>
      <c r="I41" s="78">
        <f>IF(COUNT(I8:I38)=0,"",AVERAGE(I8:I38))</f>
        <v>140.87096774193549</v>
      </c>
      <c r="J41" s="79"/>
      <c r="K41" s="56" t="s">
        <v>7</v>
      </c>
      <c r="L41" s="77"/>
      <c r="M41" s="78">
        <f>IF(COUNT(M8:M38)=0,"",AVERAGE(M8:M38))</f>
        <v>24.375</v>
      </c>
      <c r="N41" s="74"/>
      <c r="O41" s="78">
        <f>IF(COUNT(O8:O38)=0,"",AVERAGE(O8:O38))</f>
        <v>41.774193548387096</v>
      </c>
      <c r="P41" s="74"/>
      <c r="Q41" s="78" t="str">
        <f>IF(COUNT(Q8:Q38)=0,"",AVERAGE(Q8:Q38))</f>
        <v/>
      </c>
      <c r="R41" s="77"/>
      <c r="S41" s="77"/>
      <c r="T41" s="77"/>
      <c r="U41" s="77"/>
      <c r="V41" s="79"/>
      <c r="W41" s="56" t="s">
        <v>7</v>
      </c>
      <c r="X41" s="75"/>
      <c r="Y41" s="75"/>
      <c r="Z41" s="75"/>
      <c r="AA41" s="75"/>
      <c r="AB41" s="75"/>
      <c r="AC41" s="75"/>
      <c r="AD41" s="75"/>
      <c r="AE41" s="75"/>
      <c r="AF41" s="79"/>
      <c r="AG41" s="56" t="s">
        <v>7</v>
      </c>
      <c r="AH41" s="75"/>
      <c r="AI41" s="75"/>
      <c r="AJ41" s="75"/>
      <c r="AK41" s="75"/>
      <c r="AL41" s="75"/>
      <c r="AM41" s="75"/>
      <c r="AN41" s="75"/>
      <c r="AO41" s="75"/>
      <c r="AP41" s="79"/>
      <c r="AQ41" s="56" t="s">
        <v>7</v>
      </c>
      <c r="AR41" s="75"/>
      <c r="AS41" s="75"/>
      <c r="AT41" s="75"/>
      <c r="AU41" s="75"/>
      <c r="AV41" s="75"/>
      <c r="AW41" s="75"/>
      <c r="AX41" s="75"/>
      <c r="AY41" s="75"/>
      <c r="AZ41" s="79"/>
      <c r="BA41" s="56" t="s">
        <v>7</v>
      </c>
      <c r="BB41" s="84">
        <f>IF(COUNT(BB8:BB38)=0,"",AVERAGE(BB8:BB38))</f>
        <v>0.71172727272727265</v>
      </c>
      <c r="BC41" s="78">
        <f t="shared" ref="BC41:BM41" si="49">IF(COUNT(BC8:BC38)=0,"",AVERAGE(BC8:BC38))</f>
        <v>27.363636363636363</v>
      </c>
      <c r="BD41" s="80">
        <f t="shared" si="49"/>
        <v>7.2636363636363619</v>
      </c>
      <c r="BE41" s="80">
        <f t="shared" si="49"/>
        <v>2.7681818181818176</v>
      </c>
      <c r="BF41" s="80">
        <f t="shared" si="49"/>
        <v>14.69090909090909</v>
      </c>
      <c r="BG41" s="80">
        <f t="shared" si="49"/>
        <v>7.2636363636363619</v>
      </c>
      <c r="BH41" s="84">
        <f t="shared" si="49"/>
        <v>0.28109090909090906</v>
      </c>
      <c r="BI41" s="84">
        <f t="shared" si="49"/>
        <v>0.27181818181818185</v>
      </c>
      <c r="BJ41" s="84">
        <f t="shared" si="49"/>
        <v>7.8772727272727272E-2</v>
      </c>
      <c r="BK41" s="84">
        <f t="shared" si="49"/>
        <v>5.404545454545457E-2</v>
      </c>
      <c r="BL41" s="84">
        <f t="shared" si="49"/>
        <v>5.3363636363636391E-2</v>
      </c>
      <c r="BM41" s="84">
        <f t="shared" si="49"/>
        <v>5.4772727272727285E-2</v>
      </c>
      <c r="BN41" s="73"/>
      <c r="BO41" s="56" t="s">
        <v>7</v>
      </c>
      <c r="BP41" s="84">
        <f>IF(COUNT(BP8:BP38)=0,"",AVERAGE(BP8:BP38))</f>
        <v>7.8354838709677452E-2</v>
      </c>
      <c r="BQ41" s="78">
        <f t="shared" ref="BQ41:BW41" si="50">IF(COUNT(BQ8:BQ38)=0,"",AVERAGE(BQ8:BQ38))</f>
        <v>0</v>
      </c>
      <c r="BR41" s="80">
        <f t="shared" si="50"/>
        <v>7.2620689655172388</v>
      </c>
      <c r="BS41" s="80">
        <f t="shared" si="50"/>
        <v>7.186206896551723</v>
      </c>
      <c r="BT41" s="80">
        <f t="shared" si="50"/>
        <v>17.372413793103444</v>
      </c>
      <c r="BU41" s="84">
        <f t="shared" si="50"/>
        <v>1.162068965517242E-2</v>
      </c>
      <c r="BV41" s="82">
        <f t="shared" si="50"/>
        <v>1.2312903225806453</v>
      </c>
      <c r="BW41" s="82">
        <f t="shared" si="50"/>
        <v>1.0664516129032262</v>
      </c>
      <c r="BX41" s="75"/>
      <c r="BY41" s="83"/>
      <c r="BZ41" s="73"/>
      <c r="CA41" s="56" t="s">
        <v>7</v>
      </c>
      <c r="CB41" s="73"/>
      <c r="CC41" s="73"/>
      <c r="CD41" s="80">
        <f>IF(COUNT(CD8:CD38)=0,"",AVERAGE(CD8:CD38))</f>
        <v>1.3161290322580639</v>
      </c>
      <c r="CE41" s="82">
        <f>IF(COUNT(CE8:CE38)=0,"",AVERAGE(CE8:CE38))</f>
        <v>6.1256132903225788</v>
      </c>
      <c r="CF41" s="82">
        <f>IF(COUNT(CF8:CF38)=0,"",AVERAGE(CF8:CF38))</f>
        <v>5.3200276770247026</v>
      </c>
      <c r="CG41" s="74"/>
      <c r="CH41" s="74"/>
      <c r="CI41" s="73"/>
      <c r="CJ41" s="56" t="s">
        <v>7</v>
      </c>
      <c r="CK41" s="73"/>
      <c r="CL41" s="73"/>
      <c r="CM41" s="80">
        <f>IF(COUNT(CM8:CM38)=0,"",AVERAGE(CM8:CM38))</f>
        <v>2.1838709677419361</v>
      </c>
      <c r="CN41" s="80">
        <f>IF(COUNT(CN8:CN38)=0,"",AVERAGE(CN8:CN38))</f>
        <v>10.164314209677421</v>
      </c>
      <c r="CO41" s="80">
        <f>IF(COUNT(CO8:CO38)=0,"",AVERAGE(CO8:CO38))</f>
        <v>22.904120832713701</v>
      </c>
      <c r="CP41" s="74"/>
      <c r="CQ41" s="74"/>
      <c r="CR41" s="73"/>
      <c r="CS41" s="56" t="s">
        <v>7</v>
      </c>
      <c r="CT41" s="73"/>
      <c r="CU41" s="73"/>
      <c r="CV41" s="80">
        <f>IF(COUNT(CV8:CV38)=0,"",AVERAGE(CV8:CV38))</f>
        <v>1.9161290322580642</v>
      </c>
      <c r="CW41" s="80">
        <f>IF(COUNT(CW8:CW38)=0,"",AVERAGE(CW8:CW38))</f>
        <v>12.731221161290319</v>
      </c>
      <c r="CX41" s="82">
        <f>IF(COUNT(CX8:CX38)=0,"",AVERAGE(CX8:CX38))</f>
        <v>7.1920107219397802E-2</v>
      </c>
      <c r="CY41" s="74"/>
      <c r="CZ41" s="74"/>
      <c r="DA41" s="74"/>
      <c r="DB41" s="73"/>
      <c r="DC41" s="56" t="s">
        <v>7</v>
      </c>
      <c r="DD41" s="73"/>
      <c r="DE41" s="73"/>
      <c r="DF41" s="80">
        <f>IF(COUNT(DF8:DF38)=0,"",AVERAGE(DF8:DF38))</f>
        <v>12.303225806451614</v>
      </c>
      <c r="DG41" s="82">
        <f>IF(COUNT(DG8:DG38)=0,"",AVERAGE(DG8:DG38))</f>
        <v>0.66377415046193566</v>
      </c>
      <c r="DH41" s="80">
        <f>IF(COUNT(DH8:DH38)=0,"",AVERAGE(DH8:DH38))</f>
        <v>3.875988608635538</v>
      </c>
      <c r="DI41" s="74"/>
      <c r="DJ41" s="74"/>
      <c r="DK41" s="73"/>
      <c r="DL41" s="56" t="s">
        <v>7</v>
      </c>
      <c r="DM41" s="82">
        <f t="shared" ref="DM41:DW41" si="51">IF(COUNT(DM8:DM38)=0,"",AVERAGE(DM8:DM38))</f>
        <v>8.4306451612903235</v>
      </c>
      <c r="DN41" s="84">
        <f t="shared" si="51"/>
        <v>2.0161290322580652E-2</v>
      </c>
      <c r="DO41" s="84">
        <f t="shared" si="51"/>
        <v>2.7774193548387113E-2</v>
      </c>
      <c r="DP41" s="84">
        <f t="shared" si="51"/>
        <v>0.19032258064516136</v>
      </c>
      <c r="DQ41" s="82">
        <f t="shared" si="51"/>
        <v>6.8225806451612909</v>
      </c>
      <c r="DR41" s="80">
        <f t="shared" si="51"/>
        <v>7.1741935483870964</v>
      </c>
      <c r="DS41" s="84">
        <f t="shared" si="51"/>
        <v>1.2113548387096773</v>
      </c>
      <c r="DT41" s="80">
        <f t="shared" si="51"/>
        <v>85.819354838709671</v>
      </c>
      <c r="DU41" s="82">
        <f t="shared" si="51"/>
        <v>4.2209677419354845</v>
      </c>
      <c r="DV41" s="84">
        <f t="shared" si="51"/>
        <v>23.453548387096774</v>
      </c>
      <c r="DW41" s="84">
        <f t="shared" si="51"/>
        <v>0.74170967741935501</v>
      </c>
      <c r="DX41" s="124"/>
      <c r="DY41" s="73"/>
      <c r="DZ41" s="84" t="s">
        <v>28</v>
      </c>
      <c r="EA41" s="82">
        <f>IF(COUNT(EA8:EA38)=0,"",MAX(EA8:EA38))*100</f>
        <v>21.791443850267381</v>
      </c>
      <c r="EB41" s="82">
        <f>IF(COUNT(EB8:EB38)=0,"",MAX(EB8:EB38))*100</f>
        <v>20.22058823529412</v>
      </c>
      <c r="EC41" s="82">
        <f>IF(COUNT(EC8:EC38)=0,"",MAX(EC8:EC38))*100</f>
        <v>88.775510204081627</v>
      </c>
      <c r="ED41" s="75"/>
      <c r="EE41" s="82">
        <f>IF(COUNT(EE8:EE38)=0,"",MAX(EE8:EE38))</f>
        <v>1.3</v>
      </c>
      <c r="EF41" s="82">
        <f>IF(COUNT(EF8:EF38)=0,"",MAX(EF8:EF38))</f>
        <v>1.06</v>
      </c>
      <c r="EG41" s="82">
        <f>IF(COUNT(EG8:EG38)=0,"",MAX(EG8:EG38))</f>
        <v>1.1599999999999999</v>
      </c>
      <c r="EH41" s="73"/>
      <c r="EI41" s="73"/>
      <c r="EJ41" s="351"/>
      <c r="EK41" s="351"/>
      <c r="EL41" s="351"/>
      <c r="EM41" s="351"/>
      <c r="EN41" s="351"/>
      <c r="EO41" s="351"/>
      <c r="EP41" s="351"/>
      <c r="EQ41" s="73"/>
      <c r="ER41" s="20"/>
      <c r="ES41" s="20"/>
      <c r="ET41" s="20"/>
      <c r="EU41" s="20"/>
      <c r="EV41" s="20"/>
      <c r="EW41" s="20"/>
      <c r="EX41" s="20"/>
    </row>
    <row r="42" spans="1:154" ht="25.5" customHeight="1" x14ac:dyDescent="0.5">
      <c r="A42" s="314"/>
      <c r="B42" s="314"/>
      <c r="C42" s="314"/>
      <c r="D42" s="314"/>
      <c r="E42" s="314"/>
      <c r="F42" s="315" t="s">
        <v>115</v>
      </c>
      <c r="G42" s="315"/>
      <c r="H42" s="315"/>
      <c r="I42" s="315"/>
      <c r="J42" s="315"/>
      <c r="K42" s="314" t="str">
        <f>IF(A42="","",A42)</f>
        <v/>
      </c>
      <c r="L42" s="314"/>
      <c r="M42" s="314"/>
      <c r="N42" s="314"/>
      <c r="O42" s="315" t="s">
        <v>125</v>
      </c>
      <c r="P42" s="315"/>
      <c r="Q42" s="315"/>
      <c r="R42" s="315"/>
      <c r="S42" s="315"/>
      <c r="T42" s="315"/>
      <c r="U42" s="315"/>
      <c r="V42" s="315"/>
      <c r="W42" s="314" t="str">
        <f>IF(A42="","",A42)</f>
        <v/>
      </c>
      <c r="X42" s="314"/>
      <c r="Y42" s="314"/>
      <c r="Z42" s="314"/>
      <c r="AA42" s="314"/>
      <c r="AB42" s="350" t="s">
        <v>129</v>
      </c>
      <c r="AC42" s="315"/>
      <c r="AD42" s="315"/>
      <c r="AE42" s="315"/>
      <c r="AF42" s="315"/>
      <c r="AG42" s="314" t="str">
        <f>IF(A42="","",A42)</f>
        <v/>
      </c>
      <c r="AH42" s="314"/>
      <c r="AI42" s="314"/>
      <c r="AJ42" s="314"/>
      <c r="AK42" s="314"/>
      <c r="AL42" s="315" t="s">
        <v>93</v>
      </c>
      <c r="AM42" s="315"/>
      <c r="AN42" s="315"/>
      <c r="AO42" s="315"/>
      <c r="AP42" s="315"/>
      <c r="AQ42" s="314" t="str">
        <f>IF(A42="","",A42)</f>
        <v/>
      </c>
      <c r="AR42" s="314"/>
      <c r="AS42" s="314"/>
      <c r="AT42" s="314"/>
      <c r="AU42" s="314"/>
      <c r="AV42" s="315" t="s">
        <v>135</v>
      </c>
      <c r="AW42" s="315"/>
      <c r="AX42" s="315"/>
      <c r="AY42" s="315"/>
      <c r="AZ42" s="315"/>
      <c r="BA42" s="314" t="str">
        <f>IF(A42="","",A42)</f>
        <v/>
      </c>
      <c r="BB42" s="314"/>
      <c r="BC42" s="314"/>
      <c r="BD42" s="314"/>
      <c r="BE42" s="314"/>
      <c r="BF42" s="352" t="s">
        <v>145</v>
      </c>
      <c r="BG42" s="352"/>
      <c r="BH42" s="352"/>
      <c r="BI42" s="352"/>
      <c r="BJ42" s="352"/>
      <c r="BK42" s="352"/>
      <c r="BL42" s="352"/>
      <c r="BM42" s="352"/>
      <c r="BN42" s="352"/>
      <c r="BO42" s="314" t="str">
        <f>IF(A42="","",A42)</f>
        <v/>
      </c>
      <c r="BP42" s="314"/>
      <c r="BQ42" s="314"/>
      <c r="BR42" s="314"/>
      <c r="BS42" s="314"/>
      <c r="BT42" s="315" t="s">
        <v>100</v>
      </c>
      <c r="BU42" s="315"/>
      <c r="BV42" s="315"/>
      <c r="BW42" s="315"/>
      <c r="BX42" s="315"/>
      <c r="BY42" s="315"/>
      <c r="BZ42" s="315"/>
      <c r="CA42" s="314" t="str">
        <f>IF(A42="","",A42)</f>
        <v/>
      </c>
      <c r="CB42" s="314"/>
      <c r="CC42" s="314"/>
      <c r="CD42" s="314"/>
      <c r="CE42" s="315" t="s">
        <v>154</v>
      </c>
      <c r="CF42" s="315"/>
      <c r="CG42" s="315"/>
      <c r="CH42" s="315"/>
      <c r="CI42" s="315"/>
      <c r="CJ42" s="314" t="str">
        <f>IF(A42="","",A42)</f>
        <v/>
      </c>
      <c r="CK42" s="314"/>
      <c r="CL42" s="314"/>
      <c r="CM42" s="314"/>
      <c r="CN42" s="315" t="s">
        <v>155</v>
      </c>
      <c r="CO42" s="315"/>
      <c r="CP42" s="315"/>
      <c r="CQ42" s="315"/>
      <c r="CR42" s="315"/>
      <c r="CS42" s="314" t="str">
        <f>IF(A42="","",A42)</f>
        <v/>
      </c>
      <c r="CT42" s="314"/>
      <c r="CU42" s="314"/>
      <c r="CV42" s="314"/>
      <c r="CW42" s="315" t="s">
        <v>101</v>
      </c>
      <c r="CX42" s="315"/>
      <c r="CY42" s="315"/>
      <c r="CZ42" s="315"/>
      <c r="DA42" s="315"/>
      <c r="DB42" s="315"/>
      <c r="DC42" s="314" t="str">
        <f>IF(A42="","",A42)</f>
        <v/>
      </c>
      <c r="DD42" s="314"/>
      <c r="DE42" s="314"/>
      <c r="DF42" s="314"/>
      <c r="DG42" s="315" t="s">
        <v>159</v>
      </c>
      <c r="DH42" s="315"/>
      <c r="DI42" s="315"/>
      <c r="DJ42" s="315"/>
      <c r="DK42" s="315"/>
      <c r="DL42" s="324" t="str">
        <f>IF(A42="","",A42)</f>
        <v/>
      </c>
      <c r="DM42" s="324"/>
      <c r="DN42" s="324"/>
      <c r="DO42" s="324"/>
      <c r="DP42" s="324"/>
      <c r="DQ42" s="325" t="s">
        <v>168</v>
      </c>
      <c r="DR42" s="325"/>
      <c r="DS42" s="325"/>
      <c r="DT42" s="325"/>
      <c r="DU42" s="325"/>
      <c r="DV42" s="325"/>
      <c r="DW42" s="325"/>
      <c r="DX42" s="325"/>
      <c r="DY42" s="325"/>
      <c r="DZ42" s="324" t="str">
        <f>IF(A42="","",A42)</f>
        <v/>
      </c>
      <c r="EA42" s="324"/>
      <c r="EB42" s="324"/>
      <c r="EC42" s="324"/>
      <c r="ED42" s="324"/>
      <c r="EE42" s="324"/>
      <c r="EF42" s="325" t="s">
        <v>91</v>
      </c>
      <c r="EG42" s="325"/>
      <c r="EH42" s="325"/>
      <c r="EI42" s="314" t="str">
        <f>IF(A42="","",A42)</f>
        <v/>
      </c>
      <c r="EJ42" s="314"/>
      <c r="EK42" s="314"/>
      <c r="EL42" s="314"/>
      <c r="EM42" s="315" t="s">
        <v>33</v>
      </c>
      <c r="EN42" s="315"/>
      <c r="EO42" s="315"/>
      <c r="EP42" s="315"/>
      <c r="EQ42" s="315"/>
    </row>
    <row r="43" spans="1:154" ht="14.15" customHeight="1" x14ac:dyDescent="0.35"/>
    <row r="44" spans="1:154" s="10" customFormat="1" ht="14.15" customHeight="1" x14ac:dyDescent="0.35">
      <c r="A44" s="20"/>
      <c r="B44" s="5"/>
      <c r="C44" s="5"/>
      <c r="D44" s="23"/>
      <c r="E44" s="5"/>
      <c r="F44" s="5"/>
      <c r="G44" s="23"/>
      <c r="H44" s="5"/>
      <c r="I44" s="5"/>
      <c r="J44" s="20"/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3"/>
      <c r="Y44" s="23"/>
      <c r="Z44" s="23"/>
      <c r="AA44" s="23"/>
      <c r="AB44" s="23"/>
      <c r="AC44" s="23"/>
      <c r="AD44" s="23"/>
      <c r="AE44" s="23"/>
      <c r="AF44" s="22"/>
      <c r="AG44" s="20"/>
      <c r="AH44" s="20"/>
      <c r="AI44" s="5"/>
      <c r="AJ44" s="5"/>
      <c r="AK44" s="5"/>
      <c r="AL44" s="5"/>
      <c r="AM44" s="5"/>
      <c r="AN44" s="5"/>
      <c r="AO44" s="22"/>
      <c r="AP44" s="5"/>
      <c r="AQ44" s="5"/>
      <c r="AR44" s="23"/>
      <c r="AS44" s="23"/>
      <c r="AT44" s="23"/>
      <c r="AU44" s="23"/>
      <c r="AV44" s="23"/>
      <c r="AW44" s="23"/>
      <c r="AX44" s="23"/>
      <c r="AY44" s="23"/>
      <c r="AZ44" s="5"/>
      <c r="BA44" s="38"/>
      <c r="BB44" s="13"/>
      <c r="BC44" s="11"/>
      <c r="BD44" s="12"/>
      <c r="BE44" s="12"/>
      <c r="BF44" s="12"/>
      <c r="BG44" s="12"/>
      <c r="BH44" s="38"/>
      <c r="BI44" s="38"/>
      <c r="BJ44" s="38"/>
      <c r="BK44" s="38"/>
      <c r="BL44" s="38"/>
      <c r="BM44" s="38"/>
      <c r="BN44" s="12"/>
      <c r="BO44" s="13"/>
      <c r="BP44" s="38"/>
      <c r="BQ44" s="11"/>
      <c r="BR44" s="12"/>
      <c r="BS44" s="12"/>
      <c r="BT44" s="12"/>
      <c r="BU44" s="38"/>
      <c r="BV44" s="13"/>
      <c r="BW44" s="13"/>
      <c r="BX44" s="12"/>
      <c r="BY44" s="11"/>
      <c r="BZ44" s="11"/>
      <c r="CB44" s="12"/>
      <c r="CC44" s="12"/>
      <c r="CD44" s="12"/>
      <c r="CE44" s="13"/>
      <c r="CF44" s="13"/>
      <c r="CG44" s="11"/>
      <c r="CH44" s="11"/>
      <c r="CI44" s="12"/>
      <c r="CJ44" s="13"/>
      <c r="CK44" s="12"/>
      <c r="CL44" s="12"/>
      <c r="CM44" s="12"/>
      <c r="CN44" s="12"/>
      <c r="CO44" s="12"/>
      <c r="CU44" s="13"/>
      <c r="CV44" s="11"/>
      <c r="CW44" s="12"/>
      <c r="CX44" s="13"/>
      <c r="CY44" s="12"/>
      <c r="CZ44" s="12"/>
      <c r="DA44" s="38"/>
      <c r="DB44" s="12"/>
      <c r="DC44" s="38"/>
      <c r="DD44" s="12"/>
      <c r="DE44" s="12"/>
      <c r="DF44" s="12"/>
      <c r="DG44" s="13"/>
      <c r="DH44" s="12"/>
      <c r="DI44" s="11"/>
      <c r="DJ44" s="11"/>
      <c r="DK44" s="38"/>
      <c r="DM44" s="13"/>
      <c r="DN44" s="38"/>
      <c r="DO44" s="38"/>
      <c r="DP44" s="38"/>
      <c r="DQ44" s="13"/>
      <c r="DR44" s="12"/>
      <c r="DS44" s="38"/>
      <c r="DT44" s="12"/>
      <c r="DU44" s="13"/>
      <c r="DV44" s="38"/>
      <c r="DW44" s="38"/>
      <c r="EB44" s="55"/>
      <c r="EC44" s="55"/>
      <c r="ED44" s="13"/>
      <c r="EE44" s="13"/>
      <c r="EF44" s="13"/>
      <c r="EG44" s="13"/>
    </row>
    <row r="45" spans="1:154" ht="22.5" customHeight="1" x14ac:dyDescent="0.35"/>
  </sheetData>
  <sheetProtection selectLockedCells="1"/>
  <mergeCells count="282">
    <mergeCell ref="AG3:AK3"/>
    <mergeCell ref="AL3:AP3"/>
    <mergeCell ref="AG4:AG7"/>
    <mergeCell ref="AP4:AP7"/>
    <mergeCell ref="A3:E3"/>
    <mergeCell ref="F3:J3"/>
    <mergeCell ref="K3:N3"/>
    <mergeCell ref="O3:V3"/>
    <mergeCell ref="W3:AA3"/>
    <mergeCell ref="U5:U7"/>
    <mergeCell ref="A4:A7"/>
    <mergeCell ref="B4:D4"/>
    <mergeCell ref="AB3:AF3"/>
    <mergeCell ref="H4:I4"/>
    <mergeCell ref="J4:J7"/>
    <mergeCell ref="AC6:AC7"/>
    <mergeCell ref="X6:X7"/>
    <mergeCell ref="Y6:Y7"/>
    <mergeCell ref="Z6:Z7"/>
    <mergeCell ref="AA6:AA7"/>
    <mergeCell ref="AB6:AB7"/>
    <mergeCell ref="AD6:AD7"/>
    <mergeCell ref="S5:S7"/>
    <mergeCell ref="AJ5:AK5"/>
    <mergeCell ref="BA1:BN2"/>
    <mergeCell ref="BO1:BZ2"/>
    <mergeCell ref="CA1:CI2"/>
    <mergeCell ref="CJ1:CR2"/>
    <mergeCell ref="DC1:DK2"/>
    <mergeCell ref="A1:J2"/>
    <mergeCell ref="K1:V2"/>
    <mergeCell ref="W1:AF2"/>
    <mergeCell ref="CS1:DB2"/>
    <mergeCell ref="AG1:AP2"/>
    <mergeCell ref="CS3:CV3"/>
    <mergeCell ref="CW3:DB3"/>
    <mergeCell ref="CN3:CR3"/>
    <mergeCell ref="BA3:BE3"/>
    <mergeCell ref="BF3:BN3"/>
    <mergeCell ref="BO3:BS3"/>
    <mergeCell ref="EF3:EH3"/>
    <mergeCell ref="DL3:DP3"/>
    <mergeCell ref="BT3:BZ3"/>
    <mergeCell ref="CA3:CD3"/>
    <mergeCell ref="CE3:CI3"/>
    <mergeCell ref="CJ3:CM3"/>
    <mergeCell ref="DC3:DF3"/>
    <mergeCell ref="DG3:DK3"/>
    <mergeCell ref="DQ3:DY3"/>
    <mergeCell ref="EQ4:EQ7"/>
    <mergeCell ref="ED4:EE4"/>
    <mergeCell ref="B5:B7"/>
    <mergeCell ref="C5:C7"/>
    <mergeCell ref="D5:D7"/>
    <mergeCell ref="E5:E7"/>
    <mergeCell ref="F5:F7"/>
    <mergeCell ref="EA4:EC4"/>
    <mergeCell ref="AF4:AF7"/>
    <mergeCell ref="BC5:BC7"/>
    <mergeCell ref="BD5:BD7"/>
    <mergeCell ref="EB5:EB7"/>
    <mergeCell ref="EC5:EC7"/>
    <mergeCell ref="ED5:EE5"/>
    <mergeCell ref="EI4:EI7"/>
    <mergeCell ref="BJ4:BK4"/>
    <mergeCell ref="EH4:EH7"/>
    <mergeCell ref="DY4:DY7"/>
    <mergeCell ref="DZ4:DZ7"/>
    <mergeCell ref="DL4:DL7"/>
    <mergeCell ref="DM5:DM7"/>
    <mergeCell ref="BF5:BF7"/>
    <mergeCell ref="AU6:AU7"/>
    <mergeCell ref="BH4:BI4"/>
    <mergeCell ref="AB4:AE4"/>
    <mergeCell ref="AK6:AK7"/>
    <mergeCell ref="N5:N7"/>
    <mergeCell ref="O5:O7"/>
    <mergeCell ref="R5:R7"/>
    <mergeCell ref="EJ4:EP7"/>
    <mergeCell ref="AZ4:AZ7"/>
    <mergeCell ref="AR5:AS5"/>
    <mergeCell ref="Q5:Q7"/>
    <mergeCell ref="T5:T7"/>
    <mergeCell ref="R4:U4"/>
    <mergeCell ref="AV6:AV7"/>
    <mergeCell ref="X5:Y5"/>
    <mergeCell ref="Z5:AA5"/>
    <mergeCell ref="AB5:AC5"/>
    <mergeCell ref="AE6:AE7"/>
    <mergeCell ref="AD5:AE5"/>
    <mergeCell ref="AT5:AU5"/>
    <mergeCell ref="AV5:AW5"/>
    <mergeCell ref="AL5:AM5"/>
    <mergeCell ref="AN5:AO5"/>
    <mergeCell ref="W4:W7"/>
    <mergeCell ref="AH5:AI5"/>
    <mergeCell ref="AW6:AW7"/>
    <mergeCell ref="G5:G7"/>
    <mergeCell ref="H5:H7"/>
    <mergeCell ref="I5:I7"/>
    <mergeCell ref="L5:L7"/>
    <mergeCell ref="M5:M7"/>
    <mergeCell ref="X4:AA4"/>
    <mergeCell ref="P5:P7"/>
    <mergeCell ref="N4:O4"/>
    <mergeCell ref="P4:Q4"/>
    <mergeCell ref="K4:K7"/>
    <mergeCell ref="L4:M4"/>
    <mergeCell ref="E4:G4"/>
    <mergeCell ref="V4:V7"/>
    <mergeCell ref="EJ14:EP14"/>
    <mergeCell ref="EJ15:EP15"/>
    <mergeCell ref="EJ16:EP16"/>
    <mergeCell ref="EJ17:EP17"/>
    <mergeCell ref="EJ8:EP8"/>
    <mergeCell ref="BP5:BP7"/>
    <mergeCell ref="BQ5:BQ7"/>
    <mergeCell ref="BR5:BR7"/>
    <mergeCell ref="CG4:CG7"/>
    <mergeCell ref="EF5:EF7"/>
    <mergeCell ref="EJ9:EP9"/>
    <mergeCell ref="EJ10:EP10"/>
    <mergeCell ref="EJ11:EP11"/>
    <mergeCell ref="DV5:DV7"/>
    <mergeCell ref="DW5:DW7"/>
    <mergeCell ref="BW5:BW7"/>
    <mergeCell ref="BP4:BV4"/>
    <mergeCell ref="CH4:CH7"/>
    <mergeCell ref="BX5:BX7"/>
    <mergeCell ref="BY5:BY7"/>
    <mergeCell ref="BS5:BS7"/>
    <mergeCell ref="DV4:DX4"/>
    <mergeCell ref="EG5:EG7"/>
    <mergeCell ref="BA42:BE42"/>
    <mergeCell ref="BF42:BN42"/>
    <mergeCell ref="DH4:DH7"/>
    <mergeCell ref="DO5:DO7"/>
    <mergeCell ref="CP4:CP7"/>
    <mergeCell ref="CQ4:CQ7"/>
    <mergeCell ref="CR4:CR7"/>
    <mergeCell ref="CS4:CS7"/>
    <mergeCell ref="CT4:CT7"/>
    <mergeCell ref="BB5:BB7"/>
    <mergeCell ref="BL4:BM4"/>
    <mergeCell ref="BL5:BL7"/>
    <mergeCell ref="BM5:BM7"/>
    <mergeCell ref="BH5:BH7"/>
    <mergeCell ref="BI5:BI7"/>
    <mergeCell ref="CC4:CC7"/>
    <mergeCell ref="CF4:CF7"/>
    <mergeCell ref="CM4:CM7"/>
    <mergeCell ref="CN4:CN7"/>
    <mergeCell ref="CO4:CO7"/>
    <mergeCell ref="A42:E42"/>
    <mergeCell ref="F42:J42"/>
    <mergeCell ref="K42:N42"/>
    <mergeCell ref="O42:V42"/>
    <mergeCell ref="W42:AA42"/>
    <mergeCell ref="AB42:AF42"/>
    <mergeCell ref="EJ36:EP36"/>
    <mergeCell ref="EJ37:EP37"/>
    <mergeCell ref="EJ38:EP38"/>
    <mergeCell ref="EJ39:EP39"/>
    <mergeCell ref="EJ40:EP40"/>
    <mergeCell ref="EJ41:EP41"/>
    <mergeCell ref="EM42:EQ42"/>
    <mergeCell ref="EI42:EL42"/>
    <mergeCell ref="AQ42:AU42"/>
    <mergeCell ref="AV42:AZ42"/>
    <mergeCell ref="CJ42:CM42"/>
    <mergeCell ref="CN42:CR42"/>
    <mergeCell ref="CA42:CD42"/>
    <mergeCell ref="CE42:CI42"/>
    <mergeCell ref="CS42:CV42"/>
    <mergeCell ref="CW42:DB42"/>
    <mergeCell ref="BO42:BS42"/>
    <mergeCell ref="BT42:BZ42"/>
    <mergeCell ref="AG42:AK42"/>
    <mergeCell ref="AL42:AP42"/>
    <mergeCell ref="AL6:AL7"/>
    <mergeCell ref="AM6:AM7"/>
    <mergeCell ref="AN6:AN7"/>
    <mergeCell ref="BN4:BN7"/>
    <mergeCell ref="BO4:BO7"/>
    <mergeCell ref="BK5:BK7"/>
    <mergeCell ref="EJ13:EP13"/>
    <mergeCell ref="AO6:AO7"/>
    <mergeCell ref="EJ12:EP12"/>
    <mergeCell ref="EJ35:EP35"/>
    <mergeCell ref="EJ24:EP24"/>
    <mergeCell ref="EJ25:EP25"/>
    <mergeCell ref="EJ26:EP26"/>
    <mergeCell ref="EJ27:EP27"/>
    <mergeCell ref="EJ28:EP28"/>
    <mergeCell ref="EJ29:EP29"/>
    <mergeCell ref="EJ18:EP18"/>
    <mergeCell ref="EJ19:EP19"/>
    <mergeCell ref="EJ20:EP20"/>
    <mergeCell ref="EJ21:EP21"/>
    <mergeCell ref="EJ22:EP22"/>
    <mergeCell ref="EJ23:EP23"/>
    <mergeCell ref="EJ30:EP30"/>
    <mergeCell ref="AQ1:AZ2"/>
    <mergeCell ref="AQ3:AU3"/>
    <mergeCell ref="AV3:AZ3"/>
    <mergeCell ref="AQ4:AQ7"/>
    <mergeCell ref="AR4:AU4"/>
    <mergeCell ref="AV4:AY4"/>
    <mergeCell ref="CI4:CI7"/>
    <mergeCell ref="BZ4:BZ7"/>
    <mergeCell ref="CA4:CA7"/>
    <mergeCell ref="EI1:EQ2"/>
    <mergeCell ref="EI3:EL3"/>
    <mergeCell ref="EM3:EQ3"/>
    <mergeCell ref="CB4:CB7"/>
    <mergeCell ref="CE4:CE7"/>
    <mergeCell ref="CD4:CD7"/>
    <mergeCell ref="ED6:ED7"/>
    <mergeCell ref="EE6:EE7"/>
    <mergeCell ref="DN5:DN7"/>
    <mergeCell ref="EA5:EA7"/>
    <mergeCell ref="DI4:DI7"/>
    <mergeCell ref="DJ4:DJ7"/>
    <mergeCell ref="DK4:DK7"/>
    <mergeCell ref="DQ5:DQ7"/>
    <mergeCell ref="AX6:AX7"/>
    <mergeCell ref="AY6:AY7"/>
    <mergeCell ref="BJ5:BJ7"/>
    <mergeCell ref="BW4:BY4"/>
    <mergeCell ref="BT5:BT7"/>
    <mergeCell ref="BU5:BU7"/>
    <mergeCell ref="BV5:BV7"/>
    <mergeCell ref="AR6:AR7"/>
    <mergeCell ref="AS6:AS7"/>
    <mergeCell ref="AT6:AT7"/>
    <mergeCell ref="AH4:AO4"/>
    <mergeCell ref="AH6:AH7"/>
    <mergeCell ref="AI6:AI7"/>
    <mergeCell ref="AJ6:AJ7"/>
    <mergeCell ref="AX5:AY5"/>
    <mergeCell ref="EJ31:EP31"/>
    <mergeCell ref="EJ32:EP32"/>
    <mergeCell ref="EJ33:EP33"/>
    <mergeCell ref="EJ34:EP34"/>
    <mergeCell ref="BE5:BE7"/>
    <mergeCell ref="BA4:BA7"/>
    <mergeCell ref="BB4:BF4"/>
    <mergeCell ref="BG4:BG7"/>
    <mergeCell ref="CJ4:CJ7"/>
    <mergeCell ref="CV4:CV7"/>
    <mergeCell ref="CW4:CW7"/>
    <mergeCell ref="CX4:CX7"/>
    <mergeCell ref="CY4:CY7"/>
    <mergeCell ref="DA4:DA7"/>
    <mergeCell ref="DB4:DB7"/>
    <mergeCell ref="CZ4:CZ7"/>
    <mergeCell ref="CU4:CU7"/>
    <mergeCell ref="CK4:CK7"/>
    <mergeCell ref="CL4:CL7"/>
    <mergeCell ref="DZ1:EA2"/>
    <mergeCell ref="EB1:EG2"/>
    <mergeCell ref="DC42:DF42"/>
    <mergeCell ref="DG42:DK42"/>
    <mergeCell ref="DN4:DO4"/>
    <mergeCell ref="DC4:DC7"/>
    <mergeCell ref="DD4:DD7"/>
    <mergeCell ref="DE4:DE7"/>
    <mergeCell ref="DF4:DF7"/>
    <mergeCell ref="DG4:DG7"/>
    <mergeCell ref="DZ42:EE42"/>
    <mergeCell ref="EF42:EH42"/>
    <mergeCell ref="DL42:DP42"/>
    <mergeCell ref="DQ42:DY42"/>
    <mergeCell ref="DP4:DU4"/>
    <mergeCell ref="DT5:DT7"/>
    <mergeCell ref="DU5:DU7"/>
    <mergeCell ref="DR5:DR7"/>
    <mergeCell ref="DX5:DX7"/>
    <mergeCell ref="DP5:DP7"/>
    <mergeCell ref="DS5:DS7"/>
    <mergeCell ref="DZ3:EE3"/>
    <mergeCell ref="DL1:DP2"/>
  </mergeCells>
  <pageMargins left="0.23622047244094491" right="0.23622047244094491" top="0.31496062992125984" bottom="0.74803149606299213" header="0.31496062992125984" footer="0.31496062992125984"/>
  <pageSetup pageOrder="overThenDown" orientation="portrait" horizontalDpi="4294967293" verticalDpi="4294967293" r:id="rId1"/>
  <headerFooter>
    <evenHeader>&amp;L&amp;28Red Lake WPCP&amp;R&amp;28New Plant</even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EX45"/>
  <sheetViews>
    <sheetView showGridLines="0" view="pageBreakPreview" zoomScaleNormal="100" zoomScaleSheetLayoutView="100" workbookViewId="0">
      <selection activeCell="E13" sqref="E13"/>
    </sheetView>
  </sheetViews>
  <sheetFormatPr defaultColWidth="9.1796875" defaultRowHeight="14.5" x14ac:dyDescent="0.35"/>
  <cols>
    <col min="1" max="1" width="6" style="20" customWidth="1"/>
    <col min="2" max="2" width="14" style="5" customWidth="1"/>
    <col min="3" max="3" width="8.54296875" style="5" customWidth="1"/>
    <col min="4" max="4" width="9.7265625" style="23" customWidth="1"/>
    <col min="5" max="5" width="14" style="5" customWidth="1"/>
    <col min="6" max="6" width="8.54296875" style="5" customWidth="1"/>
    <col min="7" max="7" width="9.7265625" style="23" customWidth="1"/>
    <col min="8" max="8" width="14" style="5" customWidth="1"/>
    <col min="9" max="9" width="8.54296875" style="5" customWidth="1"/>
    <col min="10" max="10" width="8.26953125" style="20" customWidth="1"/>
    <col min="11" max="11" width="5.54296875" style="20" customWidth="1"/>
    <col min="12" max="12" width="11.453125" style="5" customWidth="1"/>
    <col min="13" max="13" width="8" style="5" customWidth="1"/>
    <col min="14" max="14" width="11.453125" style="5" customWidth="1"/>
    <col min="15" max="15" width="8" style="5" customWidth="1"/>
    <col min="16" max="16" width="11.453125" style="5" customWidth="1"/>
    <col min="17" max="17" width="8" style="5" customWidth="1"/>
    <col min="18" max="21" width="7.453125" style="5" customWidth="1"/>
    <col min="22" max="22" width="7.7265625" style="5" customWidth="1"/>
    <col min="23" max="23" width="6" style="5" customWidth="1"/>
    <col min="24" max="24" width="12.7265625" style="23" customWidth="1"/>
    <col min="25" max="25" width="9" style="23" customWidth="1"/>
    <col min="26" max="26" width="12.7265625" style="23" customWidth="1"/>
    <col min="27" max="27" width="9" style="23" customWidth="1"/>
    <col min="28" max="28" width="12.7265625" style="23" customWidth="1"/>
    <col min="29" max="29" width="9" style="23" customWidth="1"/>
    <col min="30" max="30" width="12.7265625" style="23" customWidth="1"/>
    <col min="31" max="31" width="9" style="23" customWidth="1"/>
    <col min="32" max="32" width="8" style="22" customWidth="1"/>
    <col min="33" max="33" width="6" style="20" customWidth="1"/>
    <col min="34" max="34" width="12.7265625" style="20" customWidth="1"/>
    <col min="35" max="35" width="9" style="5" customWidth="1"/>
    <col min="36" max="36" width="12.7265625" style="5" customWidth="1"/>
    <col min="37" max="37" width="9" style="5" customWidth="1"/>
    <col min="38" max="38" width="12.7265625" style="5" customWidth="1"/>
    <col min="39" max="39" width="9" style="5" customWidth="1"/>
    <col min="40" max="40" width="12.7265625" style="5" customWidth="1"/>
    <col min="41" max="41" width="9" style="22" customWidth="1"/>
    <col min="42" max="42" width="8" style="5" customWidth="1"/>
    <col min="43" max="43" width="6" style="5" customWidth="1"/>
    <col min="44" max="44" width="12.7265625" style="23" customWidth="1"/>
    <col min="45" max="45" width="9" style="23" customWidth="1"/>
    <col min="46" max="46" width="12.7265625" style="23" customWidth="1"/>
    <col min="47" max="47" width="9" style="23" customWidth="1"/>
    <col min="48" max="48" width="12.7265625" style="23" customWidth="1"/>
    <col min="49" max="49" width="9" style="23" customWidth="1"/>
    <col min="50" max="50" width="12.7265625" style="23" customWidth="1"/>
    <col min="51" max="51" width="9" style="23" customWidth="1"/>
    <col min="52" max="52" width="8" style="5" customWidth="1"/>
    <col min="53" max="53" width="5.7265625" style="21" customWidth="1"/>
    <col min="54" max="54" width="7.1796875" style="23" customWidth="1"/>
    <col min="55" max="55" width="6.7265625" style="5" customWidth="1"/>
    <col min="56" max="57" width="6.7265625" style="22" customWidth="1"/>
    <col min="58" max="58" width="7.1796875" style="22" customWidth="1"/>
    <col min="59" max="59" width="6.7265625" style="22" customWidth="1"/>
    <col min="60" max="65" width="8" style="21" customWidth="1"/>
    <col min="66" max="66" width="6.81640625" style="22" customWidth="1"/>
    <col min="67" max="67" width="5.7265625" style="23" customWidth="1"/>
    <col min="68" max="68" width="8.54296875" style="21" customWidth="1"/>
    <col min="69" max="69" width="6.81640625" style="5" customWidth="1"/>
    <col min="70" max="70" width="6.7265625" style="22" customWidth="1"/>
    <col min="71" max="71" width="7.1796875" style="22" customWidth="1"/>
    <col min="72" max="72" width="8" style="22" customWidth="1"/>
    <col min="73" max="73" width="8.453125" style="21" customWidth="1"/>
    <col min="74" max="75" width="8.26953125" style="23" customWidth="1"/>
    <col min="76" max="76" width="8" style="22" customWidth="1"/>
    <col min="77" max="77" width="18.1796875" style="5" customWidth="1"/>
    <col min="78" max="78" width="7.453125" style="5" customWidth="1"/>
    <col min="79" max="79" width="7.1796875" style="20" customWidth="1"/>
    <col min="80" max="82" width="12" style="22" customWidth="1"/>
    <col min="83" max="84" width="12" style="23" customWidth="1"/>
    <col min="85" max="86" width="12" style="5" customWidth="1"/>
    <col min="87" max="87" width="9.1796875" style="22" customWidth="1"/>
    <col min="88" max="88" width="7.1796875" style="23" customWidth="1"/>
    <col min="89" max="93" width="12" style="22" customWidth="1"/>
    <col min="94" max="95" width="12" style="20" customWidth="1"/>
    <col min="96" max="96" width="9.1796875" style="20" customWidth="1"/>
    <col min="97" max="97" width="6.26953125" style="20" customWidth="1"/>
    <col min="98" max="98" width="9.453125" style="20" customWidth="1"/>
    <col min="99" max="99" width="13.81640625" style="23" customWidth="1"/>
    <col min="100" max="100" width="9.7265625" style="5" customWidth="1"/>
    <col min="101" max="101" width="9.7265625" style="22" customWidth="1"/>
    <col min="102" max="102" width="10" style="23" customWidth="1"/>
    <col min="103" max="104" width="12" style="22" customWidth="1"/>
    <col min="105" max="105" width="10.54296875" style="21" customWidth="1"/>
    <col min="106" max="106" width="8" style="22" customWidth="1"/>
    <col min="107" max="107" width="7.1796875" style="21" customWidth="1"/>
    <col min="108" max="110" width="12" style="22" customWidth="1"/>
    <col min="111" max="111" width="12" style="23" customWidth="1"/>
    <col min="112" max="112" width="12" style="22" customWidth="1"/>
    <col min="113" max="114" width="12" style="5" customWidth="1"/>
    <col min="115" max="115" width="9.1796875" style="21" customWidth="1"/>
    <col min="116" max="116" width="4.81640625" style="20" customWidth="1"/>
    <col min="117" max="117" width="6.453125" style="23" customWidth="1"/>
    <col min="118" max="120" width="7.7265625" style="21" customWidth="1"/>
    <col min="121" max="121" width="6.81640625" style="23" customWidth="1"/>
    <col min="122" max="122" width="6.81640625" style="22" customWidth="1"/>
    <col min="123" max="123" width="7.7265625" style="21" customWidth="1"/>
    <col min="124" max="124" width="7.1796875" style="22" customWidth="1"/>
    <col min="125" max="125" width="7.453125" style="23" customWidth="1"/>
    <col min="126" max="127" width="8.54296875" style="21" customWidth="1"/>
    <col min="128" max="128" width="7.1796875" style="20" customWidth="1"/>
    <col min="129" max="129" width="6.81640625" style="20" customWidth="1"/>
    <col min="130" max="130" width="6.54296875" style="20" customWidth="1"/>
    <col min="131" max="131" width="13" style="20" customWidth="1"/>
    <col min="132" max="133" width="13" style="54" customWidth="1"/>
    <col min="134" max="137" width="10" style="23" customWidth="1"/>
    <col min="138" max="138" width="11.453125" style="20" customWidth="1"/>
    <col min="139" max="139" width="7.26953125" style="20" customWidth="1"/>
    <col min="140" max="146" width="12" style="20" customWidth="1"/>
    <col min="147" max="16384" width="9.1796875" style="20"/>
  </cols>
  <sheetData>
    <row r="1" spans="1:154" ht="15" customHeight="1" x14ac:dyDescent="0.35">
      <c r="A1" s="373" t="s">
        <v>226</v>
      </c>
      <c r="B1" s="373"/>
      <c r="C1" s="373"/>
      <c r="D1" s="373"/>
      <c r="E1" s="373"/>
      <c r="F1" s="373"/>
      <c r="G1" s="373"/>
      <c r="H1" s="373"/>
      <c r="I1" s="373"/>
      <c r="J1" s="373"/>
      <c r="K1" s="345" t="str">
        <f>IF(A1="","",A1)</f>
        <v>February 2016</v>
      </c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 t="str">
        <f>IF(A1="","",A1)</f>
        <v>February 2016</v>
      </c>
      <c r="X1" s="345"/>
      <c r="Y1" s="345"/>
      <c r="Z1" s="345"/>
      <c r="AA1" s="345"/>
      <c r="AB1" s="345"/>
      <c r="AC1" s="345"/>
      <c r="AD1" s="345"/>
      <c r="AE1" s="345"/>
      <c r="AF1" s="345"/>
      <c r="AG1" s="345" t="str">
        <f>IF(A1="","",A1)</f>
        <v>February 2016</v>
      </c>
      <c r="AH1" s="345"/>
      <c r="AI1" s="345"/>
      <c r="AJ1" s="345"/>
      <c r="AK1" s="345"/>
      <c r="AL1" s="345"/>
      <c r="AM1" s="345"/>
      <c r="AN1" s="345"/>
      <c r="AO1" s="345"/>
      <c r="AP1" s="345"/>
      <c r="AQ1" s="345" t="str">
        <f>IF(A1="","",A1)</f>
        <v>February 2016</v>
      </c>
      <c r="AR1" s="345"/>
      <c r="AS1" s="345"/>
      <c r="AT1" s="345"/>
      <c r="AU1" s="345"/>
      <c r="AV1" s="345"/>
      <c r="AW1" s="345"/>
      <c r="AX1" s="345"/>
      <c r="AY1" s="345"/>
      <c r="AZ1" s="345"/>
      <c r="BA1" s="371" t="str">
        <f>IF(A1="","",A1)</f>
        <v>February 2016</v>
      </c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07" t="str">
        <f>IF(A1="","",A1)</f>
        <v>February 2016</v>
      </c>
      <c r="BP1" s="307"/>
      <c r="BQ1" s="307"/>
      <c r="BR1" s="307"/>
      <c r="BS1" s="307"/>
      <c r="BT1" s="307"/>
      <c r="BU1" s="307"/>
      <c r="BV1" s="307"/>
      <c r="BW1" s="307"/>
      <c r="BX1" s="307"/>
      <c r="BY1" s="307"/>
      <c r="BZ1" s="307"/>
      <c r="CA1" s="372" t="str">
        <f>IF(A1="","",A1)</f>
        <v>February 2016</v>
      </c>
      <c r="CB1" s="372"/>
      <c r="CC1" s="372"/>
      <c r="CD1" s="372"/>
      <c r="CE1" s="372"/>
      <c r="CF1" s="372"/>
      <c r="CG1" s="372"/>
      <c r="CH1" s="372"/>
      <c r="CI1" s="372"/>
      <c r="CJ1" s="372" t="str">
        <f>IF(A1="","",A1)</f>
        <v>February 2016</v>
      </c>
      <c r="CK1" s="372"/>
      <c r="CL1" s="372"/>
      <c r="CM1" s="372"/>
      <c r="CN1" s="372"/>
      <c r="CO1" s="372"/>
      <c r="CP1" s="372"/>
      <c r="CQ1" s="372"/>
      <c r="CR1" s="372"/>
      <c r="CS1" s="372" t="str">
        <f>IF(A1="","",A1)</f>
        <v>February 2016</v>
      </c>
      <c r="CT1" s="372"/>
      <c r="CU1" s="372"/>
      <c r="CV1" s="372"/>
      <c r="CW1" s="372"/>
      <c r="CX1" s="372"/>
      <c r="CY1" s="372"/>
      <c r="CZ1" s="372"/>
      <c r="DA1" s="372"/>
      <c r="DB1" s="372"/>
      <c r="DC1" s="372" t="str">
        <f>IF(A1="","",A1)</f>
        <v>February 2016</v>
      </c>
      <c r="DD1" s="372"/>
      <c r="DE1" s="372"/>
      <c r="DF1" s="372"/>
      <c r="DG1" s="372"/>
      <c r="DH1" s="372"/>
      <c r="DI1" s="372"/>
      <c r="DJ1" s="372"/>
      <c r="DK1" s="372"/>
      <c r="DL1" s="307" t="str">
        <f>IF(A1="","",A1)</f>
        <v>February 2016</v>
      </c>
      <c r="DM1" s="307"/>
      <c r="DN1" s="307"/>
      <c r="DO1" s="307"/>
      <c r="DP1" s="307"/>
      <c r="DQ1" s="53"/>
      <c r="DR1" s="85"/>
      <c r="DS1" s="39"/>
      <c r="DT1" s="85"/>
      <c r="DU1" s="53"/>
      <c r="DV1" s="39"/>
      <c r="DW1" s="39"/>
      <c r="DX1" s="39"/>
      <c r="DY1" s="126"/>
      <c r="DZ1" s="307" t="str">
        <f>IF(A1="","",A1)</f>
        <v>February 2016</v>
      </c>
      <c r="EA1" s="307"/>
      <c r="EB1" s="308" t="s">
        <v>196</v>
      </c>
      <c r="EC1" s="309"/>
      <c r="ED1" s="309"/>
      <c r="EE1" s="309"/>
      <c r="EF1" s="309"/>
      <c r="EG1" s="310"/>
      <c r="EH1" s="189"/>
      <c r="EI1" s="307" t="str">
        <f>IF(A1="","",A1)</f>
        <v>February 2016</v>
      </c>
      <c r="EJ1" s="307"/>
      <c r="EK1" s="307"/>
      <c r="EL1" s="307"/>
      <c r="EM1" s="307"/>
      <c r="EN1" s="307"/>
      <c r="EO1" s="307"/>
      <c r="EP1" s="307"/>
      <c r="EQ1" s="307"/>
    </row>
    <row r="2" spans="1:154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07"/>
      <c r="BP2" s="307"/>
      <c r="BQ2" s="307"/>
      <c r="BR2" s="307"/>
      <c r="BS2" s="307"/>
      <c r="BT2" s="307"/>
      <c r="BU2" s="307"/>
      <c r="BV2" s="307"/>
      <c r="BW2" s="307"/>
      <c r="BX2" s="307"/>
      <c r="BY2" s="307"/>
      <c r="BZ2" s="307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  <c r="CL2" s="372"/>
      <c r="CM2" s="372"/>
      <c r="CN2" s="372"/>
      <c r="CO2" s="372"/>
      <c r="CP2" s="372"/>
      <c r="CQ2" s="372"/>
      <c r="CR2" s="372"/>
      <c r="CS2" s="372"/>
      <c r="CT2" s="372"/>
      <c r="CU2" s="372"/>
      <c r="CV2" s="372"/>
      <c r="CW2" s="372"/>
      <c r="CX2" s="372"/>
      <c r="CY2" s="372"/>
      <c r="CZ2" s="372"/>
      <c r="DA2" s="372"/>
      <c r="DB2" s="372"/>
      <c r="DC2" s="372"/>
      <c r="DD2" s="372"/>
      <c r="DE2" s="372"/>
      <c r="DF2" s="372"/>
      <c r="DG2" s="372"/>
      <c r="DH2" s="372"/>
      <c r="DI2" s="372"/>
      <c r="DJ2" s="372"/>
      <c r="DK2" s="372"/>
      <c r="DL2" s="307"/>
      <c r="DM2" s="307"/>
      <c r="DN2" s="307"/>
      <c r="DO2" s="307"/>
      <c r="DP2" s="307"/>
      <c r="DQ2" s="53"/>
      <c r="DR2" s="85"/>
      <c r="DS2" s="39"/>
      <c r="DT2" s="85"/>
      <c r="DU2" s="53"/>
      <c r="DV2" s="39"/>
      <c r="DW2" s="39"/>
      <c r="DX2" s="39"/>
      <c r="DY2" s="126"/>
      <c r="DZ2" s="307"/>
      <c r="EA2" s="307"/>
      <c r="EB2" s="311"/>
      <c r="EC2" s="312"/>
      <c r="ED2" s="312"/>
      <c r="EE2" s="312"/>
      <c r="EF2" s="312"/>
      <c r="EG2" s="313"/>
      <c r="EH2" s="189"/>
      <c r="EI2" s="307"/>
      <c r="EJ2" s="307"/>
      <c r="EK2" s="307"/>
      <c r="EL2" s="307"/>
      <c r="EM2" s="307"/>
      <c r="EN2" s="307"/>
      <c r="EO2" s="307"/>
      <c r="EP2" s="307"/>
      <c r="EQ2" s="307"/>
    </row>
    <row r="3" spans="1:154" ht="25.5" customHeight="1" x14ac:dyDescent="0.25">
      <c r="A3" s="314" t="s">
        <v>449</v>
      </c>
      <c r="B3" s="314"/>
      <c r="C3" s="314"/>
      <c r="D3" s="314"/>
      <c r="E3" s="314"/>
      <c r="F3" s="315" t="s">
        <v>114</v>
      </c>
      <c r="G3" s="315"/>
      <c r="H3" s="315"/>
      <c r="I3" s="315"/>
      <c r="J3" s="315"/>
      <c r="K3" s="314" t="str">
        <f>IF(A3="","",A3)</f>
        <v>Drinking Water System</v>
      </c>
      <c r="L3" s="314"/>
      <c r="M3" s="314"/>
      <c r="N3" s="314"/>
      <c r="O3" s="315" t="s">
        <v>125</v>
      </c>
      <c r="P3" s="315"/>
      <c r="Q3" s="315"/>
      <c r="R3" s="315"/>
      <c r="S3" s="315"/>
      <c r="T3" s="315"/>
      <c r="U3" s="315"/>
      <c r="V3" s="315"/>
      <c r="W3" s="314" t="str">
        <f>IF(A3="","",A3)</f>
        <v>Drinking Water System</v>
      </c>
      <c r="X3" s="314"/>
      <c r="Y3" s="314"/>
      <c r="Z3" s="314"/>
      <c r="AA3" s="314"/>
      <c r="AB3" s="315" t="s">
        <v>129</v>
      </c>
      <c r="AC3" s="315"/>
      <c r="AD3" s="315"/>
      <c r="AE3" s="315"/>
      <c r="AF3" s="315"/>
      <c r="AG3" s="314" t="str">
        <f>IF(A3="","",A3)</f>
        <v>Drinking Water System</v>
      </c>
      <c r="AH3" s="314"/>
      <c r="AI3" s="314"/>
      <c r="AJ3" s="314"/>
      <c r="AK3" s="314"/>
      <c r="AL3" s="315" t="s">
        <v>93</v>
      </c>
      <c r="AM3" s="315"/>
      <c r="AN3" s="315"/>
      <c r="AO3" s="315"/>
      <c r="AP3" s="315"/>
      <c r="AQ3" s="314" t="str">
        <f>IF(A3="","",A3)</f>
        <v>Drinking Water System</v>
      </c>
      <c r="AR3" s="314"/>
      <c r="AS3" s="314"/>
      <c r="AT3" s="314"/>
      <c r="AU3" s="314"/>
      <c r="AV3" s="315" t="s">
        <v>135</v>
      </c>
      <c r="AW3" s="315"/>
      <c r="AX3" s="315"/>
      <c r="AY3" s="315"/>
      <c r="AZ3" s="315"/>
      <c r="BA3" s="314" t="str">
        <f>IF(A3="","",A3)</f>
        <v>Drinking Water System</v>
      </c>
      <c r="BB3" s="314"/>
      <c r="BC3" s="314"/>
      <c r="BD3" s="314"/>
      <c r="BE3" s="314"/>
      <c r="BF3" s="369" t="s">
        <v>145</v>
      </c>
      <c r="BG3" s="369"/>
      <c r="BH3" s="369"/>
      <c r="BI3" s="369"/>
      <c r="BJ3" s="369"/>
      <c r="BK3" s="369"/>
      <c r="BL3" s="369"/>
      <c r="BM3" s="369"/>
      <c r="BN3" s="369"/>
      <c r="BO3" s="314" t="str">
        <f>IF(A3="","",A3)</f>
        <v>Drinking Water System</v>
      </c>
      <c r="BP3" s="314"/>
      <c r="BQ3" s="314"/>
      <c r="BR3" s="314"/>
      <c r="BS3" s="314"/>
      <c r="BT3" s="315" t="s">
        <v>100</v>
      </c>
      <c r="BU3" s="315"/>
      <c r="BV3" s="315"/>
      <c r="BW3" s="315"/>
      <c r="BX3" s="315"/>
      <c r="BY3" s="315"/>
      <c r="BZ3" s="315"/>
      <c r="CA3" s="314" t="str">
        <f>IF(A3="","",A3)</f>
        <v>Drinking Water System</v>
      </c>
      <c r="CB3" s="314"/>
      <c r="CC3" s="314"/>
      <c r="CD3" s="314"/>
      <c r="CE3" s="315" t="s">
        <v>154</v>
      </c>
      <c r="CF3" s="315"/>
      <c r="CG3" s="315"/>
      <c r="CH3" s="315"/>
      <c r="CI3" s="315"/>
      <c r="CJ3" s="314" t="str">
        <f>IF(A3="","",A3)</f>
        <v>Drinking Water System</v>
      </c>
      <c r="CK3" s="314"/>
      <c r="CL3" s="314"/>
      <c r="CM3" s="314"/>
      <c r="CN3" s="315" t="s">
        <v>155</v>
      </c>
      <c r="CO3" s="315"/>
      <c r="CP3" s="315"/>
      <c r="CQ3" s="315"/>
      <c r="CR3" s="315"/>
      <c r="CS3" s="314" t="str">
        <f>IF(A3="","",A3)</f>
        <v>Drinking Water System</v>
      </c>
      <c r="CT3" s="314"/>
      <c r="CU3" s="314"/>
      <c r="CV3" s="314"/>
      <c r="CW3" s="315" t="s">
        <v>101</v>
      </c>
      <c r="CX3" s="315"/>
      <c r="CY3" s="315"/>
      <c r="CZ3" s="315"/>
      <c r="DA3" s="315"/>
      <c r="DB3" s="315"/>
      <c r="DC3" s="314" t="str">
        <f>IF(A3="","",A3)</f>
        <v>Drinking Water System</v>
      </c>
      <c r="DD3" s="314"/>
      <c r="DE3" s="314"/>
      <c r="DF3" s="314"/>
      <c r="DG3" s="315" t="s">
        <v>159</v>
      </c>
      <c r="DH3" s="315"/>
      <c r="DI3" s="315"/>
      <c r="DJ3" s="315"/>
      <c r="DK3" s="315"/>
      <c r="DL3" s="329" t="str">
        <f>IF(A3="","",A3)</f>
        <v>Drinking Water System</v>
      </c>
      <c r="DM3" s="329"/>
      <c r="DN3" s="329"/>
      <c r="DO3" s="329"/>
      <c r="DP3" s="329"/>
      <c r="DQ3" s="370" t="s">
        <v>168</v>
      </c>
      <c r="DR3" s="370"/>
      <c r="DS3" s="370"/>
      <c r="DT3" s="370"/>
      <c r="DU3" s="370"/>
      <c r="DV3" s="370"/>
      <c r="DW3" s="370"/>
      <c r="DX3" s="370"/>
      <c r="DY3" s="370"/>
      <c r="DZ3" s="329" t="str">
        <f>IF(A3="","",A3)</f>
        <v>Drinking Water System</v>
      </c>
      <c r="EA3" s="329"/>
      <c r="EB3" s="329"/>
      <c r="EC3" s="329"/>
      <c r="ED3" s="329"/>
      <c r="EE3" s="329"/>
      <c r="EF3" s="370" t="s">
        <v>91</v>
      </c>
      <c r="EG3" s="370"/>
      <c r="EH3" s="370"/>
      <c r="EI3" s="314" t="str">
        <f>IF(A3="","",A3)</f>
        <v>Drinking Water System</v>
      </c>
      <c r="EJ3" s="314"/>
      <c r="EK3" s="314"/>
      <c r="EL3" s="314"/>
      <c r="EM3" s="315" t="s">
        <v>33</v>
      </c>
      <c r="EN3" s="315"/>
      <c r="EO3" s="315"/>
      <c r="EP3" s="315"/>
      <c r="EQ3" s="315"/>
    </row>
    <row r="4" spans="1:154" ht="17.149999999999999" customHeight="1" x14ac:dyDescent="0.35">
      <c r="A4" s="359" t="s">
        <v>1</v>
      </c>
      <c r="B4" s="359" t="s">
        <v>38</v>
      </c>
      <c r="C4" s="359"/>
      <c r="D4" s="359"/>
      <c r="E4" s="317" t="s">
        <v>24</v>
      </c>
      <c r="F4" s="317"/>
      <c r="G4" s="317"/>
      <c r="H4" s="358" t="s">
        <v>112</v>
      </c>
      <c r="I4" s="358"/>
      <c r="J4" s="360" t="s">
        <v>0</v>
      </c>
      <c r="K4" s="359" t="s">
        <v>1</v>
      </c>
      <c r="L4" s="358" t="s">
        <v>117</v>
      </c>
      <c r="M4" s="358"/>
      <c r="N4" s="358" t="s">
        <v>118</v>
      </c>
      <c r="O4" s="358"/>
      <c r="P4" s="358" t="s">
        <v>119</v>
      </c>
      <c r="Q4" s="358"/>
      <c r="R4" s="362" t="s">
        <v>120</v>
      </c>
      <c r="S4" s="363"/>
      <c r="T4" s="363"/>
      <c r="U4" s="364"/>
      <c r="V4" s="360" t="s">
        <v>0</v>
      </c>
      <c r="W4" s="346" t="s">
        <v>1</v>
      </c>
      <c r="X4" s="344" t="s">
        <v>63</v>
      </c>
      <c r="Y4" s="344"/>
      <c r="Z4" s="344"/>
      <c r="AA4" s="344"/>
      <c r="AB4" s="344" t="s">
        <v>126</v>
      </c>
      <c r="AC4" s="344"/>
      <c r="AD4" s="344"/>
      <c r="AE4" s="344"/>
      <c r="AF4" s="342" t="s">
        <v>0</v>
      </c>
      <c r="AG4" s="346" t="s">
        <v>1</v>
      </c>
      <c r="AH4" s="330" t="s">
        <v>93</v>
      </c>
      <c r="AI4" s="331"/>
      <c r="AJ4" s="331"/>
      <c r="AK4" s="331"/>
      <c r="AL4" s="331"/>
      <c r="AM4" s="331"/>
      <c r="AN4" s="331"/>
      <c r="AO4" s="332"/>
      <c r="AP4" s="342" t="s">
        <v>0</v>
      </c>
      <c r="AQ4" s="346" t="s">
        <v>1</v>
      </c>
      <c r="AR4" s="344" t="s">
        <v>132</v>
      </c>
      <c r="AS4" s="344"/>
      <c r="AT4" s="344"/>
      <c r="AU4" s="344"/>
      <c r="AV4" s="344" t="s">
        <v>94</v>
      </c>
      <c r="AW4" s="344"/>
      <c r="AX4" s="344"/>
      <c r="AY4" s="344"/>
      <c r="AZ4" s="342" t="s">
        <v>0</v>
      </c>
      <c r="BA4" s="317" t="s">
        <v>1</v>
      </c>
      <c r="BB4" s="317" t="s">
        <v>38</v>
      </c>
      <c r="BC4" s="317"/>
      <c r="BD4" s="317"/>
      <c r="BE4" s="317"/>
      <c r="BF4" s="317"/>
      <c r="BG4" s="326" t="s">
        <v>146</v>
      </c>
      <c r="BH4" s="316" t="s">
        <v>136</v>
      </c>
      <c r="BI4" s="316"/>
      <c r="BJ4" s="316" t="s">
        <v>139</v>
      </c>
      <c r="BK4" s="316"/>
      <c r="BL4" s="316" t="s">
        <v>142</v>
      </c>
      <c r="BM4" s="316"/>
      <c r="BN4" s="347" t="s">
        <v>0</v>
      </c>
      <c r="BO4" s="317" t="s">
        <v>1</v>
      </c>
      <c r="BP4" s="344" t="s">
        <v>147</v>
      </c>
      <c r="BQ4" s="344"/>
      <c r="BR4" s="344"/>
      <c r="BS4" s="344"/>
      <c r="BT4" s="344"/>
      <c r="BU4" s="344"/>
      <c r="BV4" s="344"/>
      <c r="BW4" s="344" t="s">
        <v>148</v>
      </c>
      <c r="BX4" s="344"/>
      <c r="BY4" s="344"/>
      <c r="BZ4" s="347" t="s">
        <v>0</v>
      </c>
      <c r="CA4" s="317" t="s">
        <v>1</v>
      </c>
      <c r="CB4" s="318" t="s">
        <v>150</v>
      </c>
      <c r="CC4" s="318" t="s">
        <v>151</v>
      </c>
      <c r="CD4" s="318" t="s">
        <v>78</v>
      </c>
      <c r="CE4" s="321" t="s">
        <v>79</v>
      </c>
      <c r="CF4" s="321" t="s">
        <v>77</v>
      </c>
      <c r="CG4" s="336" t="s">
        <v>152</v>
      </c>
      <c r="CH4" s="336" t="s">
        <v>153</v>
      </c>
      <c r="CI4" s="342" t="s">
        <v>0</v>
      </c>
      <c r="CJ4" s="317" t="s">
        <v>1</v>
      </c>
      <c r="CK4" s="318" t="s">
        <v>150</v>
      </c>
      <c r="CL4" s="318" t="s">
        <v>151</v>
      </c>
      <c r="CM4" s="318" t="s">
        <v>78</v>
      </c>
      <c r="CN4" s="318" t="s">
        <v>79</v>
      </c>
      <c r="CO4" s="318" t="s">
        <v>77</v>
      </c>
      <c r="CP4" s="336" t="s">
        <v>152</v>
      </c>
      <c r="CQ4" s="336" t="s">
        <v>153</v>
      </c>
      <c r="CR4" s="342" t="s">
        <v>0</v>
      </c>
      <c r="CS4" s="317" t="s">
        <v>1</v>
      </c>
      <c r="CT4" s="318" t="s">
        <v>150</v>
      </c>
      <c r="CU4" s="318" t="s">
        <v>157</v>
      </c>
      <c r="CV4" s="318" t="s">
        <v>78</v>
      </c>
      <c r="CW4" s="318" t="s">
        <v>158</v>
      </c>
      <c r="CX4" s="321" t="s">
        <v>77</v>
      </c>
      <c r="CY4" s="336" t="s">
        <v>152</v>
      </c>
      <c r="CZ4" s="336" t="s">
        <v>153</v>
      </c>
      <c r="DA4" s="339" t="s">
        <v>156</v>
      </c>
      <c r="DB4" s="342" t="s">
        <v>0</v>
      </c>
      <c r="DC4" s="317" t="s">
        <v>1</v>
      </c>
      <c r="DD4" s="318" t="s">
        <v>150</v>
      </c>
      <c r="DE4" s="318" t="s">
        <v>151</v>
      </c>
      <c r="DF4" s="318" t="s">
        <v>78</v>
      </c>
      <c r="DG4" s="321" t="s">
        <v>160</v>
      </c>
      <c r="DH4" s="318" t="s">
        <v>77</v>
      </c>
      <c r="DI4" s="336" t="s">
        <v>152</v>
      </c>
      <c r="DJ4" s="336" t="s">
        <v>153</v>
      </c>
      <c r="DK4" s="342" t="s">
        <v>0</v>
      </c>
      <c r="DL4" s="317" t="s">
        <v>1</v>
      </c>
      <c r="DM4" s="129" t="s">
        <v>37</v>
      </c>
      <c r="DN4" s="316" t="s">
        <v>76</v>
      </c>
      <c r="DO4" s="316"/>
      <c r="DP4" s="316" t="s">
        <v>92</v>
      </c>
      <c r="DQ4" s="316"/>
      <c r="DR4" s="316"/>
      <c r="DS4" s="316"/>
      <c r="DT4" s="316"/>
      <c r="DU4" s="316"/>
      <c r="DV4" s="316" t="s">
        <v>165</v>
      </c>
      <c r="DW4" s="316"/>
      <c r="DX4" s="316"/>
      <c r="DY4" s="347" t="s">
        <v>0</v>
      </c>
      <c r="DZ4" s="368" t="s">
        <v>1</v>
      </c>
      <c r="EA4" s="344" t="s">
        <v>170</v>
      </c>
      <c r="EB4" s="344"/>
      <c r="EC4" s="344"/>
      <c r="ED4" s="344" t="s">
        <v>104</v>
      </c>
      <c r="EE4" s="344"/>
      <c r="EF4" s="132" t="s">
        <v>121</v>
      </c>
      <c r="EG4" s="132" t="s">
        <v>122</v>
      </c>
      <c r="EH4" s="367" t="s">
        <v>0</v>
      </c>
      <c r="EI4" s="346" t="s">
        <v>1</v>
      </c>
      <c r="EJ4" s="361" t="s">
        <v>34</v>
      </c>
      <c r="EK4" s="361"/>
      <c r="EL4" s="361"/>
      <c r="EM4" s="361"/>
      <c r="EN4" s="361"/>
      <c r="EO4" s="361"/>
      <c r="EP4" s="361"/>
      <c r="EQ4" s="365" t="s">
        <v>0</v>
      </c>
    </row>
    <row r="5" spans="1:154" ht="17.149999999999999" customHeight="1" x14ac:dyDescent="0.35">
      <c r="A5" s="359"/>
      <c r="B5" s="357" t="s">
        <v>83</v>
      </c>
      <c r="C5" s="357" t="s">
        <v>111</v>
      </c>
      <c r="D5" s="356" t="s">
        <v>32</v>
      </c>
      <c r="E5" s="357" t="s">
        <v>83</v>
      </c>
      <c r="F5" s="357" t="s">
        <v>110</v>
      </c>
      <c r="G5" s="356" t="s">
        <v>32</v>
      </c>
      <c r="H5" s="357" t="s">
        <v>83</v>
      </c>
      <c r="I5" s="357" t="s">
        <v>109</v>
      </c>
      <c r="J5" s="360"/>
      <c r="K5" s="359"/>
      <c r="L5" s="357" t="s">
        <v>83</v>
      </c>
      <c r="M5" s="357" t="s">
        <v>116</v>
      </c>
      <c r="N5" s="357" t="s">
        <v>83</v>
      </c>
      <c r="O5" s="357" t="s">
        <v>66</v>
      </c>
      <c r="P5" s="357" t="s">
        <v>83</v>
      </c>
      <c r="Q5" s="357" t="s">
        <v>116</v>
      </c>
      <c r="R5" s="336" t="s">
        <v>121</v>
      </c>
      <c r="S5" s="336" t="s">
        <v>122</v>
      </c>
      <c r="T5" s="336" t="s">
        <v>123</v>
      </c>
      <c r="U5" s="336" t="s">
        <v>124</v>
      </c>
      <c r="V5" s="360"/>
      <c r="W5" s="346"/>
      <c r="X5" s="333" t="s">
        <v>20</v>
      </c>
      <c r="Y5" s="333"/>
      <c r="Z5" s="333" t="s">
        <v>21</v>
      </c>
      <c r="AA5" s="333"/>
      <c r="AB5" s="333" t="s">
        <v>127</v>
      </c>
      <c r="AC5" s="333"/>
      <c r="AD5" s="333" t="s">
        <v>128</v>
      </c>
      <c r="AE5" s="333"/>
      <c r="AF5" s="342"/>
      <c r="AG5" s="346"/>
      <c r="AH5" s="333" t="s">
        <v>130</v>
      </c>
      <c r="AI5" s="333"/>
      <c r="AJ5" s="333" t="s">
        <v>131</v>
      </c>
      <c r="AK5" s="333"/>
      <c r="AL5" s="333" t="s">
        <v>65</v>
      </c>
      <c r="AM5" s="333"/>
      <c r="AN5" s="333" t="s">
        <v>75</v>
      </c>
      <c r="AO5" s="333"/>
      <c r="AP5" s="342"/>
      <c r="AQ5" s="346"/>
      <c r="AR5" s="333" t="s">
        <v>133</v>
      </c>
      <c r="AS5" s="333"/>
      <c r="AT5" s="333" t="s">
        <v>134</v>
      </c>
      <c r="AU5" s="333"/>
      <c r="AV5" s="333" t="s">
        <v>95</v>
      </c>
      <c r="AW5" s="333"/>
      <c r="AX5" s="333" t="s">
        <v>96</v>
      </c>
      <c r="AY5" s="333"/>
      <c r="AZ5" s="342"/>
      <c r="BA5" s="317"/>
      <c r="BB5" s="353" t="s">
        <v>25</v>
      </c>
      <c r="BC5" s="366" t="s">
        <v>29</v>
      </c>
      <c r="BD5" s="335" t="s">
        <v>4</v>
      </c>
      <c r="BE5" s="335" t="s">
        <v>80</v>
      </c>
      <c r="BF5" s="335" t="s">
        <v>81</v>
      </c>
      <c r="BG5" s="326"/>
      <c r="BH5" s="343" t="s">
        <v>137</v>
      </c>
      <c r="BI5" s="343" t="s">
        <v>138</v>
      </c>
      <c r="BJ5" s="343" t="s">
        <v>140</v>
      </c>
      <c r="BK5" s="343" t="s">
        <v>141</v>
      </c>
      <c r="BL5" s="343" t="s">
        <v>143</v>
      </c>
      <c r="BM5" s="343" t="s">
        <v>144</v>
      </c>
      <c r="BN5" s="347"/>
      <c r="BO5" s="317"/>
      <c r="BP5" s="328" t="s">
        <v>31</v>
      </c>
      <c r="BQ5" s="354" t="s">
        <v>22</v>
      </c>
      <c r="BR5" s="326" t="s">
        <v>4</v>
      </c>
      <c r="BS5" s="326" t="s">
        <v>82</v>
      </c>
      <c r="BT5" s="326" t="s">
        <v>149</v>
      </c>
      <c r="BU5" s="328" t="s">
        <v>23</v>
      </c>
      <c r="BV5" s="327" t="s">
        <v>99</v>
      </c>
      <c r="BW5" s="327" t="s">
        <v>98</v>
      </c>
      <c r="BX5" s="355" t="s">
        <v>26</v>
      </c>
      <c r="BY5" s="355" t="s">
        <v>97</v>
      </c>
      <c r="BZ5" s="347"/>
      <c r="CA5" s="317"/>
      <c r="CB5" s="319"/>
      <c r="CC5" s="319"/>
      <c r="CD5" s="319"/>
      <c r="CE5" s="322"/>
      <c r="CF5" s="322"/>
      <c r="CG5" s="337"/>
      <c r="CH5" s="337"/>
      <c r="CI5" s="342"/>
      <c r="CJ5" s="317"/>
      <c r="CK5" s="319"/>
      <c r="CL5" s="319"/>
      <c r="CM5" s="319"/>
      <c r="CN5" s="319"/>
      <c r="CO5" s="319"/>
      <c r="CP5" s="337"/>
      <c r="CQ5" s="337"/>
      <c r="CR5" s="342"/>
      <c r="CS5" s="317"/>
      <c r="CT5" s="319"/>
      <c r="CU5" s="319"/>
      <c r="CV5" s="319"/>
      <c r="CW5" s="319"/>
      <c r="CX5" s="322"/>
      <c r="CY5" s="337"/>
      <c r="CZ5" s="337"/>
      <c r="DA5" s="340"/>
      <c r="DB5" s="342"/>
      <c r="DC5" s="317"/>
      <c r="DD5" s="319"/>
      <c r="DE5" s="319"/>
      <c r="DF5" s="319"/>
      <c r="DG5" s="322"/>
      <c r="DH5" s="319"/>
      <c r="DI5" s="337"/>
      <c r="DJ5" s="337"/>
      <c r="DK5" s="342"/>
      <c r="DL5" s="317"/>
      <c r="DM5" s="327" t="s">
        <v>4</v>
      </c>
      <c r="DN5" s="328" t="s">
        <v>161</v>
      </c>
      <c r="DO5" s="328" t="s">
        <v>162</v>
      </c>
      <c r="DP5" s="328" t="s">
        <v>85</v>
      </c>
      <c r="DQ5" s="327" t="s">
        <v>4</v>
      </c>
      <c r="DR5" s="326" t="s">
        <v>82</v>
      </c>
      <c r="DS5" s="328" t="s">
        <v>163</v>
      </c>
      <c r="DT5" s="326" t="s">
        <v>164</v>
      </c>
      <c r="DU5" s="327" t="s">
        <v>169</v>
      </c>
      <c r="DV5" s="328" t="s">
        <v>172</v>
      </c>
      <c r="DW5" s="328" t="s">
        <v>166</v>
      </c>
      <c r="DX5" s="328" t="s">
        <v>167</v>
      </c>
      <c r="DY5" s="347"/>
      <c r="DZ5" s="368"/>
      <c r="EA5" s="348" t="s">
        <v>173</v>
      </c>
      <c r="EB5" s="348" t="s">
        <v>174</v>
      </c>
      <c r="EC5" s="348" t="s">
        <v>171</v>
      </c>
      <c r="ED5" s="327" t="s">
        <v>86</v>
      </c>
      <c r="EE5" s="327"/>
      <c r="EF5" s="327" t="s">
        <v>84</v>
      </c>
      <c r="EG5" s="327" t="s">
        <v>84</v>
      </c>
      <c r="EH5" s="367"/>
      <c r="EI5" s="346"/>
      <c r="EJ5" s="361"/>
      <c r="EK5" s="361"/>
      <c r="EL5" s="361"/>
      <c r="EM5" s="361"/>
      <c r="EN5" s="361"/>
      <c r="EO5" s="361"/>
      <c r="EP5" s="361"/>
      <c r="EQ5" s="365"/>
    </row>
    <row r="6" spans="1:154" ht="17.149999999999999" customHeight="1" x14ac:dyDescent="0.35">
      <c r="A6" s="359"/>
      <c r="B6" s="357"/>
      <c r="C6" s="357"/>
      <c r="D6" s="356"/>
      <c r="E6" s="357"/>
      <c r="F6" s="357"/>
      <c r="G6" s="356"/>
      <c r="H6" s="357"/>
      <c r="I6" s="357"/>
      <c r="J6" s="360"/>
      <c r="K6" s="359"/>
      <c r="L6" s="357"/>
      <c r="M6" s="357"/>
      <c r="N6" s="357"/>
      <c r="O6" s="357"/>
      <c r="P6" s="357"/>
      <c r="Q6" s="357"/>
      <c r="R6" s="337"/>
      <c r="S6" s="337"/>
      <c r="T6" s="337"/>
      <c r="U6" s="337"/>
      <c r="V6" s="360"/>
      <c r="W6" s="346"/>
      <c r="X6" s="333" t="s">
        <v>5</v>
      </c>
      <c r="Y6" s="333" t="s">
        <v>6</v>
      </c>
      <c r="Z6" s="333" t="s">
        <v>5</v>
      </c>
      <c r="AA6" s="333" t="s">
        <v>6</v>
      </c>
      <c r="AB6" s="333" t="s">
        <v>5</v>
      </c>
      <c r="AC6" s="333" t="s">
        <v>6</v>
      </c>
      <c r="AD6" s="333" t="s">
        <v>5</v>
      </c>
      <c r="AE6" s="333" t="s">
        <v>6</v>
      </c>
      <c r="AF6" s="342"/>
      <c r="AG6" s="346"/>
      <c r="AH6" s="333" t="s">
        <v>5</v>
      </c>
      <c r="AI6" s="333" t="s">
        <v>6</v>
      </c>
      <c r="AJ6" s="333" t="s">
        <v>5</v>
      </c>
      <c r="AK6" s="333" t="s">
        <v>6</v>
      </c>
      <c r="AL6" s="333" t="s">
        <v>5</v>
      </c>
      <c r="AM6" s="333" t="s">
        <v>6</v>
      </c>
      <c r="AN6" s="333" t="s">
        <v>5</v>
      </c>
      <c r="AO6" s="333" t="s">
        <v>6</v>
      </c>
      <c r="AP6" s="342"/>
      <c r="AQ6" s="346"/>
      <c r="AR6" s="333" t="s">
        <v>5</v>
      </c>
      <c r="AS6" s="333" t="s">
        <v>6</v>
      </c>
      <c r="AT6" s="333" t="s">
        <v>5</v>
      </c>
      <c r="AU6" s="333" t="s">
        <v>6</v>
      </c>
      <c r="AV6" s="333" t="s">
        <v>5</v>
      </c>
      <c r="AW6" s="333" t="s">
        <v>6</v>
      </c>
      <c r="AX6" s="333" t="s">
        <v>5</v>
      </c>
      <c r="AY6" s="333" t="s">
        <v>6</v>
      </c>
      <c r="AZ6" s="342"/>
      <c r="BA6" s="317"/>
      <c r="BB6" s="353"/>
      <c r="BC6" s="366"/>
      <c r="BD6" s="335"/>
      <c r="BE6" s="335"/>
      <c r="BF6" s="335"/>
      <c r="BG6" s="326"/>
      <c r="BH6" s="343"/>
      <c r="BI6" s="343"/>
      <c r="BJ6" s="343"/>
      <c r="BK6" s="343"/>
      <c r="BL6" s="343"/>
      <c r="BM6" s="343"/>
      <c r="BN6" s="347"/>
      <c r="BO6" s="317"/>
      <c r="BP6" s="328"/>
      <c r="BQ6" s="354"/>
      <c r="BR6" s="326"/>
      <c r="BS6" s="326"/>
      <c r="BT6" s="326"/>
      <c r="BU6" s="328"/>
      <c r="BV6" s="327"/>
      <c r="BW6" s="327"/>
      <c r="BX6" s="355"/>
      <c r="BY6" s="355"/>
      <c r="BZ6" s="347"/>
      <c r="CA6" s="317"/>
      <c r="CB6" s="319"/>
      <c r="CC6" s="319"/>
      <c r="CD6" s="319"/>
      <c r="CE6" s="322"/>
      <c r="CF6" s="322"/>
      <c r="CG6" s="337"/>
      <c r="CH6" s="337"/>
      <c r="CI6" s="342"/>
      <c r="CJ6" s="317"/>
      <c r="CK6" s="319"/>
      <c r="CL6" s="319"/>
      <c r="CM6" s="319"/>
      <c r="CN6" s="319"/>
      <c r="CO6" s="319"/>
      <c r="CP6" s="337"/>
      <c r="CQ6" s="337"/>
      <c r="CR6" s="342"/>
      <c r="CS6" s="317"/>
      <c r="CT6" s="319"/>
      <c r="CU6" s="319"/>
      <c r="CV6" s="319"/>
      <c r="CW6" s="319"/>
      <c r="CX6" s="322"/>
      <c r="CY6" s="337"/>
      <c r="CZ6" s="337"/>
      <c r="DA6" s="340"/>
      <c r="DB6" s="342"/>
      <c r="DC6" s="317"/>
      <c r="DD6" s="319"/>
      <c r="DE6" s="319"/>
      <c r="DF6" s="319"/>
      <c r="DG6" s="322"/>
      <c r="DH6" s="319"/>
      <c r="DI6" s="337"/>
      <c r="DJ6" s="337"/>
      <c r="DK6" s="342"/>
      <c r="DL6" s="317"/>
      <c r="DM6" s="327"/>
      <c r="DN6" s="328"/>
      <c r="DO6" s="328"/>
      <c r="DP6" s="328"/>
      <c r="DQ6" s="327"/>
      <c r="DR6" s="326"/>
      <c r="DS6" s="328"/>
      <c r="DT6" s="326"/>
      <c r="DU6" s="327"/>
      <c r="DV6" s="328"/>
      <c r="DW6" s="328"/>
      <c r="DX6" s="328"/>
      <c r="DY6" s="347"/>
      <c r="DZ6" s="368"/>
      <c r="EA6" s="348"/>
      <c r="EB6" s="348"/>
      <c r="EC6" s="348"/>
      <c r="ED6" s="327" t="s">
        <v>102</v>
      </c>
      <c r="EE6" s="327" t="s">
        <v>103</v>
      </c>
      <c r="EF6" s="327"/>
      <c r="EG6" s="327"/>
      <c r="EH6" s="367"/>
      <c r="EI6" s="346"/>
      <c r="EJ6" s="361"/>
      <c r="EK6" s="361"/>
      <c r="EL6" s="361"/>
      <c r="EM6" s="361"/>
      <c r="EN6" s="361"/>
      <c r="EO6" s="361"/>
      <c r="EP6" s="361"/>
      <c r="EQ6" s="365"/>
    </row>
    <row r="7" spans="1:154" ht="17.149999999999999" customHeight="1" x14ac:dyDescent="0.35">
      <c r="A7" s="359"/>
      <c r="B7" s="357"/>
      <c r="C7" s="357"/>
      <c r="D7" s="356"/>
      <c r="E7" s="357"/>
      <c r="F7" s="357"/>
      <c r="G7" s="356"/>
      <c r="H7" s="357"/>
      <c r="I7" s="357"/>
      <c r="J7" s="360"/>
      <c r="K7" s="359"/>
      <c r="L7" s="357"/>
      <c r="M7" s="357"/>
      <c r="N7" s="357"/>
      <c r="O7" s="357"/>
      <c r="P7" s="357"/>
      <c r="Q7" s="357"/>
      <c r="R7" s="338"/>
      <c r="S7" s="338"/>
      <c r="T7" s="338"/>
      <c r="U7" s="338"/>
      <c r="V7" s="360"/>
      <c r="W7" s="346"/>
      <c r="X7" s="333"/>
      <c r="Y7" s="333"/>
      <c r="Z7" s="333"/>
      <c r="AA7" s="333"/>
      <c r="AB7" s="333"/>
      <c r="AC7" s="333"/>
      <c r="AD7" s="333"/>
      <c r="AE7" s="333"/>
      <c r="AF7" s="342"/>
      <c r="AG7" s="346"/>
      <c r="AH7" s="333"/>
      <c r="AI7" s="333"/>
      <c r="AJ7" s="333"/>
      <c r="AK7" s="333"/>
      <c r="AL7" s="333"/>
      <c r="AM7" s="333"/>
      <c r="AN7" s="333"/>
      <c r="AO7" s="333"/>
      <c r="AP7" s="342"/>
      <c r="AQ7" s="346"/>
      <c r="AR7" s="333"/>
      <c r="AS7" s="333"/>
      <c r="AT7" s="333"/>
      <c r="AU7" s="333"/>
      <c r="AV7" s="333"/>
      <c r="AW7" s="333"/>
      <c r="AX7" s="333"/>
      <c r="AY7" s="333"/>
      <c r="AZ7" s="342"/>
      <c r="BA7" s="317"/>
      <c r="BB7" s="353"/>
      <c r="BC7" s="366"/>
      <c r="BD7" s="335"/>
      <c r="BE7" s="335"/>
      <c r="BF7" s="335"/>
      <c r="BG7" s="326"/>
      <c r="BH7" s="343"/>
      <c r="BI7" s="343"/>
      <c r="BJ7" s="343"/>
      <c r="BK7" s="343"/>
      <c r="BL7" s="343"/>
      <c r="BM7" s="343"/>
      <c r="BN7" s="347"/>
      <c r="BO7" s="317"/>
      <c r="BP7" s="328"/>
      <c r="BQ7" s="354"/>
      <c r="BR7" s="326"/>
      <c r="BS7" s="326"/>
      <c r="BT7" s="326"/>
      <c r="BU7" s="328"/>
      <c r="BV7" s="327"/>
      <c r="BW7" s="327"/>
      <c r="BX7" s="355"/>
      <c r="BY7" s="355"/>
      <c r="BZ7" s="347"/>
      <c r="CA7" s="317"/>
      <c r="CB7" s="320"/>
      <c r="CC7" s="320"/>
      <c r="CD7" s="320"/>
      <c r="CE7" s="323"/>
      <c r="CF7" s="323"/>
      <c r="CG7" s="338"/>
      <c r="CH7" s="338"/>
      <c r="CI7" s="342"/>
      <c r="CJ7" s="317"/>
      <c r="CK7" s="320"/>
      <c r="CL7" s="320"/>
      <c r="CM7" s="320"/>
      <c r="CN7" s="320"/>
      <c r="CO7" s="320"/>
      <c r="CP7" s="338"/>
      <c r="CQ7" s="338"/>
      <c r="CR7" s="342"/>
      <c r="CS7" s="317"/>
      <c r="CT7" s="320"/>
      <c r="CU7" s="320"/>
      <c r="CV7" s="320"/>
      <c r="CW7" s="320"/>
      <c r="CX7" s="323"/>
      <c r="CY7" s="338"/>
      <c r="CZ7" s="338"/>
      <c r="DA7" s="341"/>
      <c r="DB7" s="342"/>
      <c r="DC7" s="317"/>
      <c r="DD7" s="320"/>
      <c r="DE7" s="320"/>
      <c r="DF7" s="320"/>
      <c r="DG7" s="323"/>
      <c r="DH7" s="320"/>
      <c r="DI7" s="338"/>
      <c r="DJ7" s="338"/>
      <c r="DK7" s="342"/>
      <c r="DL7" s="317"/>
      <c r="DM7" s="327"/>
      <c r="DN7" s="328"/>
      <c r="DO7" s="328"/>
      <c r="DP7" s="328"/>
      <c r="DQ7" s="327"/>
      <c r="DR7" s="326"/>
      <c r="DS7" s="328"/>
      <c r="DT7" s="326"/>
      <c r="DU7" s="327"/>
      <c r="DV7" s="328"/>
      <c r="DW7" s="328"/>
      <c r="DX7" s="328"/>
      <c r="DY7" s="347"/>
      <c r="DZ7" s="368"/>
      <c r="EA7" s="348"/>
      <c r="EB7" s="348"/>
      <c r="EC7" s="348"/>
      <c r="ED7" s="327"/>
      <c r="EE7" s="327"/>
      <c r="EF7" s="327"/>
      <c r="EG7" s="327"/>
      <c r="EH7" s="367"/>
      <c r="EI7" s="346"/>
      <c r="EJ7" s="361"/>
      <c r="EK7" s="361"/>
      <c r="EL7" s="361"/>
      <c r="EM7" s="361"/>
      <c r="EN7" s="361"/>
      <c r="EO7" s="361"/>
      <c r="EP7" s="361"/>
      <c r="EQ7" s="365"/>
    </row>
    <row r="8" spans="1:154" s="3" customFormat="1" ht="17.149999999999999" customHeight="1" x14ac:dyDescent="0.25">
      <c r="A8" s="56">
        <v>1</v>
      </c>
      <c r="B8" s="57">
        <v>865272</v>
      </c>
      <c r="C8" s="58">
        <f>IF(B9="","",IF(B9=B8,"",(B9-B8)))</f>
        <v>221</v>
      </c>
      <c r="D8" s="167">
        <v>10.029999999999999</v>
      </c>
      <c r="E8" s="59">
        <v>769624</v>
      </c>
      <c r="F8" s="58">
        <f>IF(E9="","",IF(E9=E8,"",(E9-E8)))</f>
        <v>221</v>
      </c>
      <c r="G8" s="168">
        <v>3.7</v>
      </c>
      <c r="H8" s="57">
        <v>732493</v>
      </c>
      <c r="I8" s="58">
        <f t="shared" ref="I8:I33" si="0">IF(H9="","",IF(H9=H8,"",(H9-H8)))</f>
        <v>198</v>
      </c>
      <c r="J8" s="60" t="s">
        <v>194</v>
      </c>
      <c r="K8" s="56">
        <v>1</v>
      </c>
      <c r="L8" s="57">
        <v>67780</v>
      </c>
      <c r="M8" s="58" t="str">
        <f>IF(L9="","",IF(L9=L8,"",(L9-L8)))</f>
        <v/>
      </c>
      <c r="N8" s="59">
        <v>171143</v>
      </c>
      <c r="O8" s="58">
        <f>IF(N9="","",IF(N9=N8,"",(N9-N8)))</f>
        <v>43</v>
      </c>
      <c r="P8" s="57">
        <v>194713</v>
      </c>
      <c r="Q8" s="58" t="str">
        <f t="shared" ref="Q8:Q33" si="1">IF(P9="","",IF(P9=P8,"",(P9-P8)))</f>
        <v/>
      </c>
      <c r="R8" s="57">
        <v>656</v>
      </c>
      <c r="S8" s="57">
        <v>664</v>
      </c>
      <c r="T8" s="170">
        <v>137</v>
      </c>
      <c r="U8" s="57">
        <v>134</v>
      </c>
      <c r="V8" s="58" t="str">
        <f>IF(J8="","",J8)</f>
        <v>ME</v>
      </c>
      <c r="W8" s="56">
        <v>1</v>
      </c>
      <c r="X8" s="63">
        <v>11384.72</v>
      </c>
      <c r="Y8" s="130">
        <f>IF(X9="","",IF(X9=X8,"",X9-X8))</f>
        <v>4.0600000000013097</v>
      </c>
      <c r="Z8" s="63">
        <v>12156.53</v>
      </c>
      <c r="AA8" s="130">
        <f>IF(Z9="","",IF(Z9=Z8,"",Z9-Z8))</f>
        <v>2.4599999999991269</v>
      </c>
      <c r="AB8" s="63">
        <v>9619.1</v>
      </c>
      <c r="AC8" s="130">
        <f>IF(AB9="","",IF(AB9=AB8,"",AB9-AB8))</f>
        <v>3.3099999999994907</v>
      </c>
      <c r="AD8" s="63">
        <v>9710.18</v>
      </c>
      <c r="AE8" s="130">
        <f t="shared" ref="AE8:AE33" si="2">IF(AD9="","",IF(AD9=AD8,"",AD9-AD8))</f>
        <v>1.9400000000005093</v>
      </c>
      <c r="AF8" s="125" t="str">
        <f>IF(J8="","",J8)</f>
        <v>ME</v>
      </c>
      <c r="AG8" s="56">
        <v>1</v>
      </c>
      <c r="AH8" s="63">
        <v>45410.81</v>
      </c>
      <c r="AI8" s="130">
        <f>IF(AH9="","",IF(AH9=AH8,"",AH9-AH8))</f>
        <v>11.779999999998836</v>
      </c>
      <c r="AJ8" s="63">
        <v>47546.16</v>
      </c>
      <c r="AK8" s="130">
        <f>IF(AJ9="","",IF(AJ9=AJ8,"",AJ9-AJ8))</f>
        <v>11.709999999999127</v>
      </c>
      <c r="AL8" s="63">
        <v>585.29</v>
      </c>
      <c r="AM8" s="130" t="str">
        <f>IF(AL9="","",IF(AL9=AL8,"",AL9-AL8))</f>
        <v/>
      </c>
      <c r="AN8" s="63">
        <v>546.34</v>
      </c>
      <c r="AO8" s="130" t="str">
        <f t="shared" ref="AO8:AO33" si="3">IF(AN9="","",IF(AN9=AN8,"",AN9-AN8))</f>
        <v/>
      </c>
      <c r="AP8" s="125" t="str">
        <f>IF(J8="","",J8)</f>
        <v>ME</v>
      </c>
      <c r="AQ8" s="56">
        <v>1</v>
      </c>
      <c r="AR8" s="63">
        <v>6521.47</v>
      </c>
      <c r="AS8" s="130">
        <f>IF(AR9="","",IF(AR9=AR8,"",AR9-AR8))</f>
        <v>2.3299999999999272</v>
      </c>
      <c r="AT8" s="63">
        <v>7233.33</v>
      </c>
      <c r="AU8" s="130">
        <f>IF(AT9="","",IF(AT9=AT8,"",AT9-AT8))</f>
        <v>2.3299999999999272</v>
      </c>
      <c r="AV8" s="63">
        <v>248.67</v>
      </c>
      <c r="AW8" s="130" t="str">
        <f>IF(AV9="","",IF(AV9=AV8,"",AV9-AV8))</f>
        <v/>
      </c>
      <c r="AX8" s="63">
        <v>236.46</v>
      </c>
      <c r="AY8" s="130" t="str">
        <f t="shared" ref="AY8:AY33" si="4">IF(AX9="","",IF(AX9=AX8,"",AX9-AX8))</f>
        <v/>
      </c>
      <c r="AZ8" s="125" t="str">
        <f>IF(J8="","",J8)</f>
        <v>ME</v>
      </c>
      <c r="BA8" s="56">
        <v>1</v>
      </c>
      <c r="BB8" s="64">
        <v>0.54900000000000004</v>
      </c>
      <c r="BC8" s="62">
        <v>17</v>
      </c>
      <c r="BD8" s="61">
        <v>7.2</v>
      </c>
      <c r="BE8" s="61">
        <v>2.9</v>
      </c>
      <c r="BF8" s="61">
        <v>16.8</v>
      </c>
      <c r="BG8" s="61">
        <v>7.2</v>
      </c>
      <c r="BH8" s="64">
        <v>0.20200000000000001</v>
      </c>
      <c r="BI8" s="64">
        <v>0.217</v>
      </c>
      <c r="BJ8" s="64">
        <v>4.9000000000000002E-2</v>
      </c>
      <c r="BK8" s="64">
        <v>4.5999999999999999E-2</v>
      </c>
      <c r="BL8" s="64">
        <v>5.1999999999999998E-2</v>
      </c>
      <c r="BM8" s="64">
        <v>0.05</v>
      </c>
      <c r="BN8" s="65" t="str">
        <f>IF(J8="","",J8)</f>
        <v>ME</v>
      </c>
      <c r="BO8" s="56">
        <v>1</v>
      </c>
      <c r="BP8" s="64">
        <v>7.1999999999999995E-2</v>
      </c>
      <c r="BQ8" s="62">
        <v>0</v>
      </c>
      <c r="BR8" s="61">
        <v>7.2</v>
      </c>
      <c r="BS8" s="61">
        <v>6.7</v>
      </c>
      <c r="BT8" s="61">
        <v>18.2</v>
      </c>
      <c r="BU8" s="64">
        <v>1.2999999999999999E-2</v>
      </c>
      <c r="BV8" s="63">
        <v>1.33</v>
      </c>
      <c r="BW8" s="63">
        <v>1.1499999999999999</v>
      </c>
      <c r="BX8" s="66" t="s">
        <v>245</v>
      </c>
      <c r="BY8" s="172" t="s">
        <v>246</v>
      </c>
      <c r="BZ8" s="67" t="str">
        <f>IF(J8="","",J8)</f>
        <v>ME</v>
      </c>
      <c r="CA8" s="56">
        <v>1</v>
      </c>
      <c r="CB8" s="61">
        <v>87.8</v>
      </c>
      <c r="CC8" s="61">
        <v>95.1</v>
      </c>
      <c r="CD8" s="68">
        <f>IF(CB9="","",IF(CC8="",IF(CB8=CB9,"",(CB8-CB9)),IF(CC8=CB9,"",(CC8-CB9))))</f>
        <v>1.8999999999999915</v>
      </c>
      <c r="CE8" s="69">
        <f>IF(CD8="","",(CD8*(0.785*77*77)/1000))</f>
        <v>8.8431034999999607</v>
      </c>
      <c r="CF8" s="69">
        <f>IF(CE8="","",(CE8*0.12*1000)/I8)</f>
        <v>5.3594566666666434</v>
      </c>
      <c r="CG8" s="62">
        <v>62</v>
      </c>
      <c r="CH8" s="62">
        <v>100</v>
      </c>
      <c r="CI8" s="65" t="str">
        <f>IF(J8="","",J8)</f>
        <v>ME</v>
      </c>
      <c r="CJ8" s="56">
        <v>1</v>
      </c>
      <c r="CK8" s="61">
        <v>79.2</v>
      </c>
      <c r="CL8" s="61">
        <v>98.1</v>
      </c>
      <c r="CM8" s="68">
        <f>IF(CK9="","",IF(CL8="",IF(CK8=CK9,"",(CK8-CK9)),IF(CL8=CK9,"",(CL8-CK9))))</f>
        <v>2.3999999999999915</v>
      </c>
      <c r="CN8" s="69">
        <f>IF(CM8="","",(CM8*(0.785*77*77)/1000))</f>
        <v>11.17023599999996</v>
      </c>
      <c r="CO8" s="68">
        <f>IF(CN8="","",(CN8*0.33*1.205*1000)/C8)</f>
        <v>20.098843191855131</v>
      </c>
      <c r="CP8" s="62">
        <v>56</v>
      </c>
      <c r="CQ8" s="62">
        <v>83</v>
      </c>
      <c r="CR8" s="65" t="str">
        <f>IF(J8="","",J8)</f>
        <v>ME</v>
      </c>
      <c r="CS8" s="56">
        <v>1</v>
      </c>
      <c r="CT8" s="61">
        <v>92.6</v>
      </c>
      <c r="CU8" s="61"/>
      <c r="CV8" s="68">
        <f>IF(CT9="","",IF(CU8="",IF(CT8=CT9,"",(CT8-CT9)),IF(CU8=CT9,"",(CU8-CT9))))</f>
        <v>2.2999999999999972</v>
      </c>
      <c r="CW8" s="68">
        <f>IF(CV8="","",(CV8*(0.785*92*92)/1000))</f>
        <v>15.28175199999998</v>
      </c>
      <c r="CX8" s="69">
        <f>IF(CW8="","",(CW8)/C8)</f>
        <v>6.9148199095022539E-2</v>
      </c>
      <c r="CY8" s="66" t="s">
        <v>251</v>
      </c>
      <c r="CZ8" s="66" t="s">
        <v>241</v>
      </c>
      <c r="DA8" s="66"/>
      <c r="DB8" s="65" t="str">
        <f>IF(J8="","",J8)</f>
        <v>ME</v>
      </c>
      <c r="DC8" s="56">
        <v>1</v>
      </c>
      <c r="DD8" s="61">
        <v>76.3</v>
      </c>
      <c r="DE8" s="61">
        <v>103.1</v>
      </c>
      <c r="DF8" s="68">
        <f>IF(DD9="","",IF(DE8="",IF(DD8=DD9,"",(DD8-DD9)),IF(DE8=DD9,"",(DE8-DD9))))</f>
        <v>23.699999999999989</v>
      </c>
      <c r="DG8" s="69">
        <f>IF(DF8="","",(DF8*(0.785*92*92)*0.00812/1000))</f>
        <v>1.2786441225599994</v>
      </c>
      <c r="DH8" s="68">
        <f>IF(DG8="","",(DG8*1000)/C8)</f>
        <v>5.7857200115837077</v>
      </c>
      <c r="DI8" s="62">
        <v>94</v>
      </c>
      <c r="DJ8" s="62">
        <v>54</v>
      </c>
      <c r="DK8" s="65" t="str">
        <f>IF(J8="","",J8)</f>
        <v>ME</v>
      </c>
      <c r="DL8" s="56">
        <v>1</v>
      </c>
      <c r="DM8" s="63">
        <v>8.1999999999999993</v>
      </c>
      <c r="DN8" s="64">
        <v>0.02</v>
      </c>
      <c r="DO8" s="64">
        <v>3.2000000000000001E-2</v>
      </c>
      <c r="DP8" s="64">
        <v>5.1999999999999998E-2</v>
      </c>
      <c r="DQ8" s="63">
        <v>6.77</v>
      </c>
      <c r="DR8" s="61">
        <v>6.7</v>
      </c>
      <c r="DS8" s="64">
        <v>1.2609999999999999</v>
      </c>
      <c r="DT8" s="61">
        <v>86.1</v>
      </c>
      <c r="DU8" s="63">
        <v>4.07</v>
      </c>
      <c r="DV8" s="64">
        <v>1.17</v>
      </c>
      <c r="DW8" s="64">
        <v>0.73599999999999999</v>
      </c>
      <c r="DX8" s="66" t="s">
        <v>242</v>
      </c>
      <c r="DY8" s="65" t="str">
        <f>IF(J8="","",J8)</f>
        <v>ME</v>
      </c>
      <c r="DZ8" s="128">
        <v>1</v>
      </c>
      <c r="EA8" s="173">
        <f>IF(C8="","",C8/1496)</f>
        <v>0.14772727272727273</v>
      </c>
      <c r="EB8" s="173">
        <f>IF(F8="","",IF(Q8="",F8/1360,(F8+Q8)/1360))</f>
        <v>0.16250000000000001</v>
      </c>
      <c r="EC8" s="173">
        <f>IF(I8="","",IF(C8="","",I8/C8))</f>
        <v>0.89592760180995479</v>
      </c>
      <c r="ED8" s="63">
        <v>1.24</v>
      </c>
      <c r="EE8" s="63">
        <v>1.27</v>
      </c>
      <c r="EF8" s="63">
        <v>0.04</v>
      </c>
      <c r="EG8" s="63">
        <v>0.04</v>
      </c>
      <c r="EH8" s="127" t="str">
        <f t="shared" ref="EH8:EH36" si="5">IF(J8="","",J8)</f>
        <v>ME</v>
      </c>
      <c r="EI8" s="56">
        <v>1</v>
      </c>
      <c r="EJ8" s="334"/>
      <c r="EK8" s="334"/>
      <c r="EL8" s="334"/>
      <c r="EM8" s="334"/>
      <c r="EN8" s="334"/>
      <c r="EO8" s="334"/>
      <c r="EP8" s="334"/>
      <c r="EQ8" s="65" t="str">
        <f>IF(J8="","",J8)</f>
        <v>ME</v>
      </c>
      <c r="ER8" s="20"/>
      <c r="ES8" s="20"/>
      <c r="ET8" s="20"/>
      <c r="EU8" s="20"/>
      <c r="EV8" s="20"/>
      <c r="EW8" s="20"/>
      <c r="EX8" s="20"/>
    </row>
    <row r="9" spans="1:154" s="3" customFormat="1" ht="17.149999999999999" customHeight="1" x14ac:dyDescent="0.25">
      <c r="A9" s="56">
        <v>2</v>
      </c>
      <c r="B9" s="57">
        <v>865493</v>
      </c>
      <c r="C9" s="58">
        <f t="shared" ref="C9:C33" si="6">IF(B10="","",IF(B10=B9,"",(B10-B9)))</f>
        <v>257</v>
      </c>
      <c r="D9" s="167">
        <v>9.19</v>
      </c>
      <c r="E9" s="57">
        <v>769845</v>
      </c>
      <c r="F9" s="58">
        <f t="shared" ref="F9:F33" si="7">IF(E10="","",IF(E10=E9,"",(E10-E9)))</f>
        <v>226</v>
      </c>
      <c r="G9" s="168">
        <v>3.46</v>
      </c>
      <c r="H9" s="57">
        <v>732691</v>
      </c>
      <c r="I9" s="58">
        <f t="shared" si="0"/>
        <v>192</v>
      </c>
      <c r="J9" s="60" t="s">
        <v>194</v>
      </c>
      <c r="K9" s="56">
        <v>2</v>
      </c>
      <c r="L9" s="57">
        <v>67780</v>
      </c>
      <c r="M9" s="58">
        <f t="shared" ref="M9:M33" si="8">IF(L10="","",IF(L10=L9,"",(L10-L9)))</f>
        <v>41</v>
      </c>
      <c r="N9" s="57">
        <v>171186</v>
      </c>
      <c r="O9" s="58">
        <f t="shared" ref="O9:O33" si="9">IF(N10="","",IF(N10=N9,"",(N10-N9)))</f>
        <v>42</v>
      </c>
      <c r="P9" s="57">
        <v>194713</v>
      </c>
      <c r="Q9" s="58" t="str">
        <f t="shared" si="1"/>
        <v/>
      </c>
      <c r="R9" s="57">
        <v>656</v>
      </c>
      <c r="S9" s="57">
        <v>664</v>
      </c>
      <c r="T9" s="170">
        <v>137</v>
      </c>
      <c r="U9" s="57">
        <v>134</v>
      </c>
      <c r="V9" s="58" t="str">
        <f t="shared" ref="V9:V36" si="10">IF(J9="","",J9)</f>
        <v>ME</v>
      </c>
      <c r="W9" s="56">
        <v>2</v>
      </c>
      <c r="X9" s="63">
        <v>11388.78</v>
      </c>
      <c r="Y9" s="130">
        <f t="shared" ref="Y9:Y33" si="11">IF(X10="","",IF(X10=X9,"",X10-X9))</f>
        <v>3.4799999999995634</v>
      </c>
      <c r="Z9" s="63">
        <v>12158.99</v>
      </c>
      <c r="AA9" s="130">
        <f t="shared" ref="AA9:AA33" si="12">IF(Z10="","",IF(Z10=Z9,"",Z10-Z9))</f>
        <v>4.2199999999993452</v>
      </c>
      <c r="AB9" s="63">
        <v>9622.41</v>
      </c>
      <c r="AC9" s="130">
        <f t="shared" ref="AC9:AC33" si="13">IF(AB10="","",IF(AB10=AB9,"",AB10-AB9))</f>
        <v>4.7399999999997817</v>
      </c>
      <c r="AD9" s="63">
        <v>9712.1200000000008</v>
      </c>
      <c r="AE9" s="130">
        <f t="shared" si="2"/>
        <v>0.3999999999996362</v>
      </c>
      <c r="AF9" s="125" t="str">
        <f t="shared" ref="AF9:AF36" si="14">IF(J9="","",J9)</f>
        <v>ME</v>
      </c>
      <c r="AG9" s="56">
        <v>2</v>
      </c>
      <c r="AH9" s="63">
        <v>45422.59</v>
      </c>
      <c r="AI9" s="130">
        <f t="shared" ref="AI9:AI33" si="15">IF(AH10="","",IF(AH10=AH9,"",AH10-AH9))</f>
        <v>11.520000000004075</v>
      </c>
      <c r="AJ9" s="63">
        <v>47557.87</v>
      </c>
      <c r="AK9" s="130">
        <f t="shared" ref="AK9:AK33" si="16">IF(AJ10="","",IF(AJ10=AJ9,"",AJ10-AJ9))</f>
        <v>12.299999999995634</v>
      </c>
      <c r="AL9" s="63">
        <v>585.29</v>
      </c>
      <c r="AM9" s="130" t="str">
        <f t="shared" ref="AM9:AM33" si="17">IF(AL10="","",IF(AL10=AL9,"",AL10-AL9))</f>
        <v/>
      </c>
      <c r="AN9" s="63">
        <v>546.34</v>
      </c>
      <c r="AO9" s="130">
        <f t="shared" si="3"/>
        <v>3.999999999996362E-2</v>
      </c>
      <c r="AP9" s="125" t="str">
        <f t="shared" ref="AP9:AP36" si="18">IF(J9="","",J9)</f>
        <v>ME</v>
      </c>
      <c r="AQ9" s="56">
        <v>2</v>
      </c>
      <c r="AR9" s="63">
        <v>6523.8</v>
      </c>
      <c r="AS9" s="130">
        <f t="shared" ref="AS9:AS33" si="19">IF(AR10="","",IF(AR10=AR9,"",AR10-AR9))</f>
        <v>2.1300000000001091</v>
      </c>
      <c r="AT9" s="63">
        <v>7235.66</v>
      </c>
      <c r="AU9" s="130">
        <f t="shared" ref="AU9:AU33" si="20">IF(AT10="","",IF(AT10=AT9,"",AT10-AT9))</f>
        <v>1.6300000000001091</v>
      </c>
      <c r="AV9" s="63">
        <v>248.67</v>
      </c>
      <c r="AW9" s="130" t="str">
        <f t="shared" ref="AW9:AW33" si="21">IF(AV10="","",IF(AV10=AV9,"",AV10-AV9))</f>
        <v/>
      </c>
      <c r="AX9" s="63">
        <v>236.46</v>
      </c>
      <c r="AY9" s="130">
        <f t="shared" si="4"/>
        <v>0.34000000000000341</v>
      </c>
      <c r="AZ9" s="125" t="str">
        <f t="shared" ref="AZ9:AZ36" si="22">IF(J9="","",J9)</f>
        <v>ME</v>
      </c>
      <c r="BA9" s="56">
        <v>2</v>
      </c>
      <c r="BB9" s="64">
        <v>0.66900000000000004</v>
      </c>
      <c r="BC9" s="62">
        <v>12</v>
      </c>
      <c r="BD9" s="61">
        <v>7.2</v>
      </c>
      <c r="BE9" s="61">
        <v>2.9</v>
      </c>
      <c r="BF9" s="61">
        <v>15.6</v>
      </c>
      <c r="BG9" s="61">
        <v>7.2</v>
      </c>
      <c r="BH9" s="64">
        <v>0.20799999999999999</v>
      </c>
      <c r="BI9" s="64">
        <v>0.23499999999999999</v>
      </c>
      <c r="BJ9" s="64">
        <v>4.7E-2</v>
      </c>
      <c r="BK9" s="64">
        <v>4.8000000000000001E-2</v>
      </c>
      <c r="BL9" s="64">
        <v>4.5999999999999999E-2</v>
      </c>
      <c r="BM9" s="64">
        <v>5.6000000000000001E-2</v>
      </c>
      <c r="BN9" s="65" t="str">
        <f t="shared" ref="BN9:BN36" si="23">IF(J9="","",J9)</f>
        <v>ME</v>
      </c>
      <c r="BO9" s="56">
        <v>2</v>
      </c>
      <c r="BP9" s="64">
        <v>6.6000000000000003E-2</v>
      </c>
      <c r="BQ9" s="62">
        <v>0</v>
      </c>
      <c r="BR9" s="61">
        <v>7.3</v>
      </c>
      <c r="BS9" s="61">
        <v>6.7</v>
      </c>
      <c r="BT9" s="61">
        <v>17.2</v>
      </c>
      <c r="BU9" s="64">
        <v>1.2E-2</v>
      </c>
      <c r="BV9" s="63">
        <v>1.27</v>
      </c>
      <c r="BW9" s="63">
        <v>1.1100000000000001</v>
      </c>
      <c r="BX9" s="66" t="s">
        <v>245</v>
      </c>
      <c r="BY9" s="172" t="s">
        <v>246</v>
      </c>
      <c r="BZ9" s="67" t="str">
        <f t="shared" ref="BZ9:BZ36" si="24">IF(J9="","",J9)</f>
        <v>ME</v>
      </c>
      <c r="CA9" s="56">
        <v>2</v>
      </c>
      <c r="CB9" s="61">
        <v>93.2</v>
      </c>
      <c r="CC9" s="61"/>
      <c r="CD9" s="68">
        <f t="shared" ref="CD9:CD33" si="25">IF(CB10="","",IF(CC9="",IF(CB9=CB10,"",(CB9-CB10)),IF(CC9=CB10,"",(CC9-CB10))))</f>
        <v>1.5</v>
      </c>
      <c r="CE9" s="69">
        <f t="shared" ref="CE9:CE36" si="26">IF(CD9="","",(CD9*(0.785*77*77)/1000))</f>
        <v>6.9813975000000008</v>
      </c>
      <c r="CF9" s="69">
        <f t="shared" ref="CF9:CF36" si="27">IF(CE9="","",(CE9*0.12*1000)/I9)</f>
        <v>4.3633734375000008</v>
      </c>
      <c r="CG9" s="62">
        <v>61</v>
      </c>
      <c r="CH9" s="62">
        <v>100</v>
      </c>
      <c r="CI9" s="65" t="str">
        <f t="shared" ref="CI9:CI36" si="28">IF(J9="","",J9)</f>
        <v>ME</v>
      </c>
      <c r="CJ9" s="56">
        <v>2</v>
      </c>
      <c r="CK9" s="61">
        <v>95.7</v>
      </c>
      <c r="CL9" s="61"/>
      <c r="CM9" s="68">
        <f t="shared" ref="CM9:CM33" si="29">IF(CK10="","",IF(CL9="",IF(CK9=CK10,"",(CK9-CK10)),IF(CL9=CK10,"",(CL9-CK10))))</f>
        <v>3.4000000000000057</v>
      </c>
      <c r="CN9" s="69">
        <f t="shared" ref="CN9:CN36" si="30">IF(CM9="","",(CM9*(0.785*77*77)/1000))</f>
        <v>15.824501000000028</v>
      </c>
      <c r="CO9" s="68">
        <f t="shared" ref="CO9:CO36" si="31">IF(CN9="","",(CN9*0.33*1.205*1000)/C9)</f>
        <v>24.484874796303547</v>
      </c>
      <c r="CP9" s="62">
        <v>57</v>
      </c>
      <c r="CQ9" s="62">
        <v>83</v>
      </c>
      <c r="CR9" s="65" t="str">
        <f t="shared" ref="CR9:CR36" si="32">IF(J9="","",J9)</f>
        <v>ME</v>
      </c>
      <c r="CS9" s="56">
        <v>2</v>
      </c>
      <c r="CT9" s="61">
        <v>90.3</v>
      </c>
      <c r="CU9" s="61">
        <v>87.8</v>
      </c>
      <c r="CV9" s="68">
        <f t="shared" ref="CV9:CV33" si="33">IF(CT10="","",IF(CU9="",IF(CT9=CT10,"",(CT9-CT10)),IF(CU9=CT10,"",(CU9-CT10))))</f>
        <v>2.5</v>
      </c>
      <c r="CW9" s="68">
        <f t="shared" ref="CW9:CW36" si="34">IF(CV9="","",(CV9*(0.785*92*92)/1000))</f>
        <v>16.610599999999998</v>
      </c>
      <c r="CX9" s="69">
        <f t="shared" ref="CX9:CX36" si="35">IF(CW9="","",(CW9)/C9)</f>
        <v>6.4632684824902711E-2</v>
      </c>
      <c r="CY9" s="66" t="s">
        <v>251</v>
      </c>
      <c r="CZ9" s="66" t="s">
        <v>241</v>
      </c>
      <c r="DA9" s="66" t="s">
        <v>242</v>
      </c>
      <c r="DB9" s="65" t="str">
        <f t="shared" ref="DB9:DB36" si="36">IF(J9="","",J9)</f>
        <v>ME</v>
      </c>
      <c r="DC9" s="56">
        <v>2</v>
      </c>
      <c r="DD9" s="61">
        <v>79.400000000000006</v>
      </c>
      <c r="DE9" s="61">
        <v>104.7</v>
      </c>
      <c r="DF9" s="68">
        <f t="shared" ref="DF9:DF33" si="37">IF(DD10="","",IF(DE9="",IF(DD9=DD10,"",(DD9-DD10)),IF(DE9=DD10,"",(DE9-DD10))))</f>
        <v>27</v>
      </c>
      <c r="DG9" s="69">
        <f t="shared" ref="DG9:DG36" si="38">IF(DF9="","",(DF9*(0.785*92*92)*0.00812/1000))</f>
        <v>1.4566831776</v>
      </c>
      <c r="DH9" s="68">
        <f t="shared" ref="DH9:DH36" si="39">IF(DG9="","",(DG9*1000)/C9)</f>
        <v>5.6680279284046691</v>
      </c>
      <c r="DI9" s="62">
        <v>97</v>
      </c>
      <c r="DJ9" s="62">
        <v>54</v>
      </c>
      <c r="DK9" s="65" t="str">
        <f t="shared" ref="DK9:DK36" si="40">IF(J9="","",J9)</f>
        <v>ME</v>
      </c>
      <c r="DL9" s="56">
        <v>2</v>
      </c>
      <c r="DM9" s="63">
        <v>8.4499999999999993</v>
      </c>
      <c r="DN9" s="64">
        <v>0.02</v>
      </c>
      <c r="DO9" s="64">
        <v>3.2000000000000001E-2</v>
      </c>
      <c r="DP9" s="64">
        <v>4.5999999999999999E-2</v>
      </c>
      <c r="DQ9" s="63">
        <v>6.76</v>
      </c>
      <c r="DR9" s="61">
        <v>6.7</v>
      </c>
      <c r="DS9" s="64">
        <v>1.2789999999999999</v>
      </c>
      <c r="DT9" s="61">
        <v>83.6</v>
      </c>
      <c r="DU9" s="63">
        <v>4.12</v>
      </c>
      <c r="DV9" s="64">
        <v>0.68300000000000005</v>
      </c>
      <c r="DW9" s="64">
        <v>0.45400000000000001</v>
      </c>
      <c r="DX9" s="66" t="s">
        <v>247</v>
      </c>
      <c r="DY9" s="65" t="str">
        <f t="shared" ref="DY9:DY36" si="41">IF(J9="","",J9)</f>
        <v>ME</v>
      </c>
      <c r="DZ9" s="128">
        <v>2</v>
      </c>
      <c r="EA9" s="173">
        <f t="shared" ref="EA9:EA36" si="42">IF(C9="","",C9/1496)</f>
        <v>0.17179144385026737</v>
      </c>
      <c r="EB9" s="173">
        <f t="shared" ref="EB9:EB36" si="43">IF(F9="","",IF(Q9="",F9/1360,(F9+Q9)/1360))</f>
        <v>0.16617647058823529</v>
      </c>
      <c r="EC9" s="173">
        <f t="shared" ref="EC9:EC36" si="44">IF(I9="","",IF(C9="","",I9/C9))</f>
        <v>0.74708171206225682</v>
      </c>
      <c r="ED9" s="63">
        <v>1.24</v>
      </c>
      <c r="EE9" s="63">
        <v>1.29</v>
      </c>
      <c r="EF9" s="63">
        <v>0.04</v>
      </c>
      <c r="EG9" s="63">
        <v>0.04</v>
      </c>
      <c r="EH9" s="127" t="str">
        <f t="shared" si="5"/>
        <v>ME</v>
      </c>
      <c r="EI9" s="56">
        <v>2</v>
      </c>
      <c r="EJ9" s="334" t="s">
        <v>274</v>
      </c>
      <c r="EK9" s="334"/>
      <c r="EL9" s="334"/>
      <c r="EM9" s="334"/>
      <c r="EN9" s="334"/>
      <c r="EO9" s="334"/>
      <c r="EP9" s="334"/>
      <c r="EQ9" s="65" t="str">
        <f t="shared" ref="EQ9:EQ36" si="45">IF(J9="","",J9)</f>
        <v>ME</v>
      </c>
      <c r="ER9" s="20"/>
      <c r="ES9" s="20"/>
      <c r="ET9" s="20"/>
      <c r="EU9" s="20"/>
      <c r="EV9" s="20"/>
      <c r="EW9" s="20"/>
      <c r="EX9" s="20"/>
    </row>
    <row r="10" spans="1:154" s="3" customFormat="1" ht="17.149999999999999" customHeight="1" x14ac:dyDescent="0.25">
      <c r="A10" s="56">
        <v>3</v>
      </c>
      <c r="B10" s="57">
        <v>865750</v>
      </c>
      <c r="C10" s="58">
        <f t="shared" si="6"/>
        <v>199</v>
      </c>
      <c r="D10" s="167">
        <v>9.9</v>
      </c>
      <c r="E10" s="57">
        <v>770071</v>
      </c>
      <c r="F10" s="58">
        <f t="shared" si="7"/>
        <v>220</v>
      </c>
      <c r="G10" s="168">
        <v>3.34</v>
      </c>
      <c r="H10" s="57">
        <v>732883</v>
      </c>
      <c r="I10" s="58">
        <f t="shared" si="0"/>
        <v>177</v>
      </c>
      <c r="J10" s="60" t="s">
        <v>194</v>
      </c>
      <c r="K10" s="56">
        <v>3</v>
      </c>
      <c r="L10" s="57">
        <v>67821</v>
      </c>
      <c r="M10" s="58" t="str">
        <f t="shared" si="8"/>
        <v/>
      </c>
      <c r="N10" s="57">
        <v>171228</v>
      </c>
      <c r="O10" s="58">
        <f t="shared" si="9"/>
        <v>51</v>
      </c>
      <c r="P10" s="57">
        <v>194713</v>
      </c>
      <c r="Q10" s="58" t="str">
        <f t="shared" si="1"/>
        <v/>
      </c>
      <c r="R10" s="57">
        <v>656</v>
      </c>
      <c r="S10" s="57">
        <v>665</v>
      </c>
      <c r="T10" s="170">
        <v>137</v>
      </c>
      <c r="U10" s="57">
        <v>134</v>
      </c>
      <c r="V10" s="58" t="str">
        <f t="shared" si="10"/>
        <v>ME</v>
      </c>
      <c r="W10" s="56">
        <v>3</v>
      </c>
      <c r="X10" s="63">
        <v>11392.26</v>
      </c>
      <c r="Y10" s="130">
        <f t="shared" si="11"/>
        <v>3.4200000000000728</v>
      </c>
      <c r="Z10" s="63">
        <v>12163.21</v>
      </c>
      <c r="AA10" s="130">
        <f t="shared" si="12"/>
        <v>2.430000000000291</v>
      </c>
      <c r="AB10" s="63">
        <v>9627.15</v>
      </c>
      <c r="AC10" s="130">
        <f t="shared" si="13"/>
        <v>1.930000000000291</v>
      </c>
      <c r="AD10" s="63">
        <v>9712.52</v>
      </c>
      <c r="AE10" s="130">
        <f t="shared" si="2"/>
        <v>2.7600000000002183</v>
      </c>
      <c r="AF10" s="125" t="str">
        <f t="shared" si="14"/>
        <v>ME</v>
      </c>
      <c r="AG10" s="56">
        <v>3</v>
      </c>
      <c r="AH10" s="63">
        <v>45434.11</v>
      </c>
      <c r="AI10" s="130">
        <f t="shared" si="15"/>
        <v>12.489999999997963</v>
      </c>
      <c r="AJ10" s="63">
        <v>47570.17</v>
      </c>
      <c r="AK10" s="130">
        <f t="shared" si="16"/>
        <v>11.529999999998836</v>
      </c>
      <c r="AL10" s="63">
        <v>585.29</v>
      </c>
      <c r="AM10" s="130" t="str">
        <f t="shared" si="17"/>
        <v/>
      </c>
      <c r="AN10" s="63">
        <v>546.38</v>
      </c>
      <c r="AO10" s="130" t="str">
        <f t="shared" si="3"/>
        <v/>
      </c>
      <c r="AP10" s="125" t="str">
        <f t="shared" si="18"/>
        <v>ME</v>
      </c>
      <c r="AQ10" s="56">
        <v>3</v>
      </c>
      <c r="AR10" s="63">
        <v>6525.93</v>
      </c>
      <c r="AS10" s="130">
        <f t="shared" si="19"/>
        <v>2.3999999999996362</v>
      </c>
      <c r="AT10" s="63">
        <v>7237.29</v>
      </c>
      <c r="AU10" s="130">
        <f t="shared" si="20"/>
        <v>2.3400000000001455</v>
      </c>
      <c r="AV10" s="63">
        <v>248.67</v>
      </c>
      <c r="AW10" s="130" t="str">
        <f t="shared" si="21"/>
        <v/>
      </c>
      <c r="AX10" s="63">
        <v>236.8</v>
      </c>
      <c r="AY10" s="130" t="str">
        <f t="shared" si="4"/>
        <v/>
      </c>
      <c r="AZ10" s="125" t="str">
        <f t="shared" si="22"/>
        <v>ME</v>
      </c>
      <c r="BA10" s="56">
        <v>3</v>
      </c>
      <c r="BB10" s="64">
        <v>0.55800000000000005</v>
      </c>
      <c r="BC10" s="62">
        <v>8</v>
      </c>
      <c r="BD10" s="61">
        <v>7.2</v>
      </c>
      <c r="BE10" s="61">
        <v>2.8</v>
      </c>
      <c r="BF10" s="61">
        <v>17.5</v>
      </c>
      <c r="BG10" s="61">
        <v>7.2</v>
      </c>
      <c r="BH10" s="64">
        <v>0.19400000000000001</v>
      </c>
      <c r="BI10" s="64">
        <v>0.22</v>
      </c>
      <c r="BJ10" s="64">
        <v>5.0999999999999997E-2</v>
      </c>
      <c r="BK10" s="64">
        <v>5.3999999999999999E-2</v>
      </c>
      <c r="BL10" s="64">
        <v>4.9000000000000002E-2</v>
      </c>
      <c r="BM10" s="64">
        <v>4.9000000000000002E-2</v>
      </c>
      <c r="BN10" s="65" t="str">
        <f t="shared" si="23"/>
        <v>ME</v>
      </c>
      <c r="BO10" s="56">
        <v>3</v>
      </c>
      <c r="BP10" s="64">
        <v>9.2999999999999999E-2</v>
      </c>
      <c r="BQ10" s="62">
        <v>0</v>
      </c>
      <c r="BR10" s="61">
        <v>7.2</v>
      </c>
      <c r="BS10" s="61">
        <v>6.6</v>
      </c>
      <c r="BT10" s="61">
        <v>18.600000000000001</v>
      </c>
      <c r="BU10" s="64">
        <v>1.4999999999999999E-2</v>
      </c>
      <c r="BV10" s="63">
        <v>1.35</v>
      </c>
      <c r="BW10" s="63">
        <v>1.21</v>
      </c>
      <c r="BX10" s="66" t="s">
        <v>273</v>
      </c>
      <c r="BY10" s="172" t="s">
        <v>246</v>
      </c>
      <c r="BZ10" s="67" t="str">
        <f t="shared" si="24"/>
        <v>ME</v>
      </c>
      <c r="CA10" s="56">
        <v>3</v>
      </c>
      <c r="CB10" s="61">
        <v>91.7</v>
      </c>
      <c r="CC10" s="61"/>
      <c r="CD10" s="68">
        <f t="shared" si="25"/>
        <v>1.5</v>
      </c>
      <c r="CE10" s="69">
        <f t="shared" si="26"/>
        <v>6.9813975000000008</v>
      </c>
      <c r="CF10" s="69">
        <f t="shared" si="27"/>
        <v>4.7331508474576278</v>
      </c>
      <c r="CG10" s="62">
        <v>57</v>
      </c>
      <c r="CH10" s="62">
        <v>100</v>
      </c>
      <c r="CI10" s="65" t="str">
        <f t="shared" si="28"/>
        <v>ME</v>
      </c>
      <c r="CJ10" s="56">
        <v>3</v>
      </c>
      <c r="CK10" s="61">
        <v>92.3</v>
      </c>
      <c r="CL10" s="61"/>
      <c r="CM10" s="68">
        <f t="shared" si="29"/>
        <v>2.2999999999999972</v>
      </c>
      <c r="CN10" s="69">
        <f t="shared" si="30"/>
        <v>10.704809499999987</v>
      </c>
      <c r="CO10" s="68">
        <f t="shared" si="31"/>
        <v>21.390791445602989</v>
      </c>
      <c r="CP10" s="62">
        <v>51</v>
      </c>
      <c r="CQ10" s="62">
        <v>83</v>
      </c>
      <c r="CR10" s="65" t="str">
        <f t="shared" si="32"/>
        <v>ME</v>
      </c>
      <c r="CS10" s="56">
        <v>3</v>
      </c>
      <c r="CT10" s="61">
        <v>85.3</v>
      </c>
      <c r="CU10" s="61">
        <v>109.9</v>
      </c>
      <c r="CV10" s="68">
        <f t="shared" si="33"/>
        <v>2.2000000000000028</v>
      </c>
      <c r="CW10" s="68">
        <f t="shared" si="34"/>
        <v>14.617328000000018</v>
      </c>
      <c r="CX10" s="69">
        <f t="shared" si="35"/>
        <v>7.3453909547738783E-2</v>
      </c>
      <c r="CY10" s="66" t="s">
        <v>251</v>
      </c>
      <c r="CZ10" s="66" t="s">
        <v>241</v>
      </c>
      <c r="DA10" s="66"/>
      <c r="DB10" s="65" t="str">
        <f t="shared" si="36"/>
        <v>ME</v>
      </c>
      <c r="DC10" s="56">
        <v>3</v>
      </c>
      <c r="DD10" s="61">
        <v>77.7</v>
      </c>
      <c r="DE10" s="61">
        <v>102.8</v>
      </c>
      <c r="DF10" s="68">
        <f t="shared" si="37"/>
        <v>22</v>
      </c>
      <c r="DG10" s="69">
        <f t="shared" si="38"/>
        <v>1.1869270336</v>
      </c>
      <c r="DH10" s="68">
        <f t="shared" si="39"/>
        <v>5.9644574552763814</v>
      </c>
      <c r="DI10" s="62">
        <v>93</v>
      </c>
      <c r="DJ10" s="62">
        <v>54</v>
      </c>
      <c r="DK10" s="65" t="str">
        <f t="shared" si="40"/>
        <v>ME</v>
      </c>
      <c r="DL10" s="56">
        <v>3</v>
      </c>
      <c r="DM10" s="63">
        <v>8.86</v>
      </c>
      <c r="DN10" s="64">
        <v>1.9E-2</v>
      </c>
      <c r="DO10" s="64">
        <v>3.4000000000000002E-2</v>
      </c>
      <c r="DP10" s="64">
        <v>7.0999999999999994E-2</v>
      </c>
      <c r="DQ10" s="63">
        <v>6.76</v>
      </c>
      <c r="DR10" s="61">
        <v>6.6</v>
      </c>
      <c r="DS10" s="64">
        <v>1.2729999999999999</v>
      </c>
      <c r="DT10" s="61">
        <v>83.7</v>
      </c>
      <c r="DU10" s="63">
        <v>4.13</v>
      </c>
      <c r="DV10" s="64">
        <v>1.6080000000000001</v>
      </c>
      <c r="DW10" s="64">
        <v>0.68300000000000005</v>
      </c>
      <c r="DX10" s="66" t="s">
        <v>242</v>
      </c>
      <c r="DY10" s="65" t="str">
        <f t="shared" si="41"/>
        <v>ME</v>
      </c>
      <c r="DZ10" s="128">
        <v>3</v>
      </c>
      <c r="EA10" s="173">
        <f t="shared" si="42"/>
        <v>0.13302139037433156</v>
      </c>
      <c r="EB10" s="173">
        <f t="shared" si="43"/>
        <v>0.16176470588235295</v>
      </c>
      <c r="EC10" s="173">
        <f t="shared" si="44"/>
        <v>0.88944723618090449</v>
      </c>
      <c r="ED10" s="63">
        <v>0.98</v>
      </c>
      <c r="EE10" s="63">
        <v>1.28</v>
      </c>
      <c r="EF10" s="63">
        <v>0.04</v>
      </c>
      <c r="EG10" s="63">
        <v>0.04</v>
      </c>
      <c r="EH10" s="127" t="str">
        <f t="shared" si="5"/>
        <v>ME</v>
      </c>
      <c r="EI10" s="56">
        <v>3</v>
      </c>
      <c r="EJ10" s="334"/>
      <c r="EK10" s="334"/>
      <c r="EL10" s="334"/>
      <c r="EM10" s="334"/>
      <c r="EN10" s="334"/>
      <c r="EO10" s="334"/>
      <c r="EP10" s="334"/>
      <c r="EQ10" s="65" t="str">
        <f t="shared" si="45"/>
        <v>ME</v>
      </c>
      <c r="ER10" s="20"/>
      <c r="ES10" s="20"/>
      <c r="ET10" s="20"/>
      <c r="EU10" s="20"/>
      <c r="EV10" s="20"/>
      <c r="EW10" s="20"/>
      <c r="EX10" s="20"/>
    </row>
    <row r="11" spans="1:154" s="3" customFormat="1" ht="17.149999999999999" customHeight="1" x14ac:dyDescent="0.25">
      <c r="A11" s="56">
        <v>4</v>
      </c>
      <c r="B11" s="57">
        <v>865949</v>
      </c>
      <c r="C11" s="58">
        <f t="shared" si="6"/>
        <v>285</v>
      </c>
      <c r="D11" s="167">
        <v>9.52</v>
      </c>
      <c r="E11" s="57">
        <v>770291</v>
      </c>
      <c r="F11" s="58">
        <f t="shared" si="7"/>
        <v>219</v>
      </c>
      <c r="G11" s="168">
        <v>2.9</v>
      </c>
      <c r="H11" s="57">
        <v>733060</v>
      </c>
      <c r="I11" s="58">
        <f t="shared" si="0"/>
        <v>252</v>
      </c>
      <c r="J11" s="60" t="s">
        <v>194</v>
      </c>
      <c r="K11" s="56">
        <v>4</v>
      </c>
      <c r="L11" s="57">
        <v>67821</v>
      </c>
      <c r="M11" s="58">
        <f t="shared" si="8"/>
        <v>1</v>
      </c>
      <c r="N11" s="57">
        <v>171279</v>
      </c>
      <c r="O11" s="58">
        <f t="shared" si="9"/>
        <v>37</v>
      </c>
      <c r="P11" s="57">
        <v>194713</v>
      </c>
      <c r="Q11" s="169" t="str">
        <f t="shared" si="1"/>
        <v/>
      </c>
      <c r="R11" s="57">
        <v>656</v>
      </c>
      <c r="S11" s="57">
        <v>665</v>
      </c>
      <c r="T11" s="57">
        <v>137</v>
      </c>
      <c r="U11" s="57">
        <v>134</v>
      </c>
      <c r="V11" s="58" t="str">
        <f t="shared" si="10"/>
        <v>ME</v>
      </c>
      <c r="W11" s="56">
        <v>4</v>
      </c>
      <c r="X11" s="63">
        <v>11395.68</v>
      </c>
      <c r="Y11" s="130">
        <f t="shared" si="11"/>
        <v>5.9400000000005093</v>
      </c>
      <c r="Z11" s="63">
        <v>12165.64</v>
      </c>
      <c r="AA11" s="130">
        <f t="shared" si="12"/>
        <v>2.3800000000010186</v>
      </c>
      <c r="AB11" s="63">
        <v>9629.08</v>
      </c>
      <c r="AC11" s="130">
        <f t="shared" si="13"/>
        <v>1.8999999999996362</v>
      </c>
      <c r="AD11" s="63">
        <v>9715.2800000000007</v>
      </c>
      <c r="AE11" s="130">
        <f t="shared" si="2"/>
        <v>4.7999999999992724</v>
      </c>
      <c r="AF11" s="125" t="str">
        <f t="shared" si="14"/>
        <v>ME</v>
      </c>
      <c r="AG11" s="56">
        <v>4</v>
      </c>
      <c r="AH11" s="63">
        <v>45446.6</v>
      </c>
      <c r="AI11" s="130">
        <f t="shared" si="15"/>
        <v>11.310000000004948</v>
      </c>
      <c r="AJ11" s="63">
        <v>47581.7</v>
      </c>
      <c r="AK11" s="130">
        <f t="shared" si="16"/>
        <v>12.470000000001164</v>
      </c>
      <c r="AL11" s="63">
        <v>585.29</v>
      </c>
      <c r="AM11" s="130" t="str">
        <f t="shared" si="17"/>
        <v/>
      </c>
      <c r="AN11" s="63">
        <v>546.38</v>
      </c>
      <c r="AO11" s="130" t="str">
        <f t="shared" si="3"/>
        <v/>
      </c>
      <c r="AP11" s="125" t="str">
        <f t="shared" si="18"/>
        <v>ME</v>
      </c>
      <c r="AQ11" s="56">
        <v>4</v>
      </c>
      <c r="AR11" s="63">
        <v>6528.33</v>
      </c>
      <c r="AS11" s="130">
        <f t="shared" si="19"/>
        <v>2.1199999999998909</v>
      </c>
      <c r="AT11" s="63">
        <v>7239.63</v>
      </c>
      <c r="AU11" s="130">
        <f t="shared" si="20"/>
        <v>2.0500000000001819</v>
      </c>
      <c r="AV11" s="63">
        <v>248.67</v>
      </c>
      <c r="AW11" s="130" t="str">
        <f t="shared" si="21"/>
        <v/>
      </c>
      <c r="AX11" s="63">
        <v>236.8</v>
      </c>
      <c r="AY11" s="130" t="str">
        <f t="shared" si="4"/>
        <v/>
      </c>
      <c r="AZ11" s="125" t="str">
        <f t="shared" si="22"/>
        <v>ME</v>
      </c>
      <c r="BA11" s="56">
        <v>4</v>
      </c>
      <c r="BB11" s="64">
        <v>0.52400000000000002</v>
      </c>
      <c r="BC11" s="62">
        <v>31</v>
      </c>
      <c r="BD11" s="61">
        <v>7.3</v>
      </c>
      <c r="BE11" s="61">
        <v>2.8</v>
      </c>
      <c r="BF11" s="61">
        <v>16.100000000000001</v>
      </c>
      <c r="BG11" s="61">
        <v>7.3</v>
      </c>
      <c r="BH11" s="64">
        <v>0.189</v>
      </c>
      <c r="BI11" s="64">
        <v>0.192</v>
      </c>
      <c r="BJ11" s="64">
        <v>5.0999999999999997E-2</v>
      </c>
      <c r="BK11" s="64">
        <v>5.3999999999999999E-2</v>
      </c>
      <c r="BL11" s="64">
        <v>4.8000000000000001E-2</v>
      </c>
      <c r="BM11" s="64">
        <v>5.3999999999999999E-2</v>
      </c>
      <c r="BN11" s="65" t="str">
        <f t="shared" si="23"/>
        <v>ME</v>
      </c>
      <c r="BO11" s="56">
        <v>4</v>
      </c>
      <c r="BP11" s="64">
        <v>7.5999999999999998E-2</v>
      </c>
      <c r="BQ11" s="62">
        <v>0</v>
      </c>
      <c r="BR11" s="61">
        <v>7.3</v>
      </c>
      <c r="BS11" s="61">
        <v>6.6</v>
      </c>
      <c r="BT11" s="61">
        <v>17.7</v>
      </c>
      <c r="BU11" s="64">
        <v>1.2999999999999999E-2</v>
      </c>
      <c r="BV11" s="63">
        <v>1.23</v>
      </c>
      <c r="BW11" s="63">
        <v>1.1599999999999999</v>
      </c>
      <c r="BX11" s="66" t="s">
        <v>253</v>
      </c>
      <c r="BY11" s="172" t="s">
        <v>246</v>
      </c>
      <c r="BZ11" s="67" t="str">
        <f t="shared" si="24"/>
        <v>ME</v>
      </c>
      <c r="CA11" s="56">
        <v>4</v>
      </c>
      <c r="CB11" s="61">
        <v>90.2</v>
      </c>
      <c r="CC11" s="61"/>
      <c r="CD11" s="68">
        <f t="shared" si="25"/>
        <v>1.7000000000000028</v>
      </c>
      <c r="CE11" s="69">
        <f t="shared" si="26"/>
        <v>7.9122505000000141</v>
      </c>
      <c r="CF11" s="69">
        <f t="shared" si="27"/>
        <v>3.7677383333333401</v>
      </c>
      <c r="CG11" s="62">
        <v>57</v>
      </c>
      <c r="CH11" s="62">
        <v>100</v>
      </c>
      <c r="CI11" s="65" t="str">
        <f t="shared" si="28"/>
        <v>ME</v>
      </c>
      <c r="CJ11" s="56">
        <v>4</v>
      </c>
      <c r="CK11" s="61">
        <v>90</v>
      </c>
      <c r="CL11" s="61"/>
      <c r="CM11" s="68">
        <f t="shared" si="29"/>
        <v>3.5999999999999943</v>
      </c>
      <c r="CN11" s="69">
        <f t="shared" si="30"/>
        <v>16.755353999999976</v>
      </c>
      <c r="CO11" s="68">
        <f t="shared" si="31"/>
        <v>23.378128133684179</v>
      </c>
      <c r="CP11" s="62">
        <v>54</v>
      </c>
      <c r="CQ11" s="62">
        <v>83</v>
      </c>
      <c r="CR11" s="65" t="str">
        <f t="shared" si="32"/>
        <v>ME</v>
      </c>
      <c r="CS11" s="56">
        <v>4</v>
      </c>
      <c r="CT11" s="61">
        <v>107.7</v>
      </c>
      <c r="CU11" s="61">
        <v>103.6</v>
      </c>
      <c r="CV11" s="68">
        <f t="shared" si="33"/>
        <v>2.8999999999999915</v>
      </c>
      <c r="CW11" s="68">
        <f t="shared" si="34"/>
        <v>19.268295999999943</v>
      </c>
      <c r="CX11" s="69">
        <f t="shared" si="35"/>
        <v>6.7608056140350675E-2</v>
      </c>
      <c r="CY11" s="66" t="s">
        <v>240</v>
      </c>
      <c r="CZ11" s="66" t="s">
        <v>241</v>
      </c>
      <c r="DA11" s="66" t="s">
        <v>242</v>
      </c>
      <c r="DB11" s="65" t="str">
        <f t="shared" si="36"/>
        <v>ME</v>
      </c>
      <c r="DC11" s="56">
        <v>4</v>
      </c>
      <c r="DD11" s="61">
        <v>80.8</v>
      </c>
      <c r="DE11" s="61">
        <v>104.2</v>
      </c>
      <c r="DF11" s="68">
        <f t="shared" si="37"/>
        <v>30.700000000000003</v>
      </c>
      <c r="DG11" s="69">
        <f t="shared" si="38"/>
        <v>1.6563027241600004</v>
      </c>
      <c r="DH11" s="68">
        <f t="shared" si="39"/>
        <v>5.8115885058245622</v>
      </c>
      <c r="DI11" s="62">
        <v>90</v>
      </c>
      <c r="DJ11" s="62">
        <v>54</v>
      </c>
      <c r="DK11" s="65" t="str">
        <f t="shared" si="40"/>
        <v>ME</v>
      </c>
      <c r="DL11" s="56">
        <v>4</v>
      </c>
      <c r="DM11" s="63">
        <v>8.7799999999999994</v>
      </c>
      <c r="DN11" s="64">
        <v>1.9E-2</v>
      </c>
      <c r="DO11" s="64">
        <v>3.4000000000000002E-2</v>
      </c>
      <c r="DP11" s="64">
        <v>5.6000000000000001E-2</v>
      </c>
      <c r="DQ11" s="63">
        <v>6.77</v>
      </c>
      <c r="DR11" s="61">
        <v>6.6</v>
      </c>
      <c r="DS11" s="64">
        <v>1.2529999999999999</v>
      </c>
      <c r="DT11" s="61">
        <v>86.5</v>
      </c>
      <c r="DU11" s="63">
        <v>4.12</v>
      </c>
      <c r="DV11" s="64">
        <v>0.85799999999999998</v>
      </c>
      <c r="DW11" s="64">
        <v>0.57599999999999996</v>
      </c>
      <c r="DX11" s="66" t="s">
        <v>242</v>
      </c>
      <c r="DY11" s="65" t="str">
        <f t="shared" si="41"/>
        <v>ME</v>
      </c>
      <c r="DZ11" s="128">
        <v>4</v>
      </c>
      <c r="EA11" s="173">
        <f t="shared" si="42"/>
        <v>0.19050802139037434</v>
      </c>
      <c r="EB11" s="173">
        <f t="shared" si="43"/>
        <v>0.16102941176470589</v>
      </c>
      <c r="EC11" s="173">
        <f t="shared" si="44"/>
        <v>0.88421052631578945</v>
      </c>
      <c r="ED11" s="63">
        <v>1.17</v>
      </c>
      <c r="EE11" s="63">
        <v>1.27</v>
      </c>
      <c r="EF11" s="63">
        <v>0.04</v>
      </c>
      <c r="EG11" s="63">
        <v>0.04</v>
      </c>
      <c r="EH11" s="127" t="str">
        <f t="shared" si="5"/>
        <v>ME</v>
      </c>
      <c r="EI11" s="56">
        <v>4</v>
      </c>
      <c r="EJ11" s="334"/>
      <c r="EK11" s="334"/>
      <c r="EL11" s="334"/>
      <c r="EM11" s="334"/>
      <c r="EN11" s="334"/>
      <c r="EO11" s="334"/>
      <c r="EP11" s="334"/>
      <c r="EQ11" s="65" t="str">
        <f t="shared" si="45"/>
        <v>ME</v>
      </c>
      <c r="ER11" s="20"/>
      <c r="ES11" s="20"/>
      <c r="ET11" s="20"/>
      <c r="EU11" s="20"/>
      <c r="EV11" s="20"/>
      <c r="EW11" s="20"/>
      <c r="EX11" s="20"/>
    </row>
    <row r="12" spans="1:154" s="3" customFormat="1" ht="17.149999999999999" customHeight="1" x14ac:dyDescent="0.25">
      <c r="A12" s="56">
        <v>5</v>
      </c>
      <c r="B12" s="57">
        <v>866234</v>
      </c>
      <c r="C12" s="58">
        <f t="shared" si="6"/>
        <v>272</v>
      </c>
      <c r="D12" s="167">
        <v>9.83</v>
      </c>
      <c r="E12" s="57">
        <v>770510</v>
      </c>
      <c r="F12" s="58">
        <f t="shared" si="7"/>
        <v>275</v>
      </c>
      <c r="G12" s="168">
        <v>3.73</v>
      </c>
      <c r="H12" s="57">
        <v>733312</v>
      </c>
      <c r="I12" s="58">
        <f t="shared" si="0"/>
        <v>206</v>
      </c>
      <c r="J12" s="60" t="s">
        <v>237</v>
      </c>
      <c r="K12" s="56">
        <v>5</v>
      </c>
      <c r="L12" s="57">
        <v>67822</v>
      </c>
      <c r="M12" s="58">
        <f t="shared" si="8"/>
        <v>41</v>
      </c>
      <c r="N12" s="57">
        <v>171316</v>
      </c>
      <c r="O12" s="58">
        <f t="shared" si="9"/>
        <v>44</v>
      </c>
      <c r="P12" s="57">
        <v>194713</v>
      </c>
      <c r="Q12" s="169" t="str">
        <f t="shared" si="1"/>
        <v/>
      </c>
      <c r="R12" s="57">
        <v>656</v>
      </c>
      <c r="S12" s="57">
        <v>665</v>
      </c>
      <c r="T12" s="57">
        <v>137</v>
      </c>
      <c r="U12" s="57">
        <v>134</v>
      </c>
      <c r="V12" s="58" t="str">
        <f t="shared" si="10"/>
        <v>SA/ME</v>
      </c>
      <c r="W12" s="56">
        <v>5</v>
      </c>
      <c r="X12" s="63">
        <v>11401.62</v>
      </c>
      <c r="Y12" s="130">
        <f t="shared" si="11"/>
        <v>2.6599999999998545</v>
      </c>
      <c r="Z12" s="63">
        <v>12168.02</v>
      </c>
      <c r="AA12" s="130">
        <f t="shared" si="12"/>
        <v>5.1399999999994179</v>
      </c>
      <c r="AB12" s="63">
        <v>9630.98</v>
      </c>
      <c r="AC12" s="130">
        <f t="shared" si="13"/>
        <v>2.9500000000007276</v>
      </c>
      <c r="AD12" s="63">
        <v>9720.08</v>
      </c>
      <c r="AE12" s="130">
        <f t="shared" si="2"/>
        <v>2.6399999999994179</v>
      </c>
      <c r="AF12" s="125" t="str">
        <f t="shared" si="14"/>
        <v>SA/ME</v>
      </c>
      <c r="AG12" s="56">
        <v>5</v>
      </c>
      <c r="AH12" s="63">
        <v>45457.91</v>
      </c>
      <c r="AI12" s="130">
        <f t="shared" si="15"/>
        <v>12.779999999998836</v>
      </c>
      <c r="AJ12" s="63">
        <v>47594.17</v>
      </c>
      <c r="AK12" s="130">
        <f t="shared" si="16"/>
        <v>15.970000000001164</v>
      </c>
      <c r="AL12" s="63">
        <v>585.29</v>
      </c>
      <c r="AM12" s="130" t="str">
        <f t="shared" si="17"/>
        <v/>
      </c>
      <c r="AN12" s="63">
        <v>546.38</v>
      </c>
      <c r="AO12" s="130" t="str">
        <f t="shared" si="3"/>
        <v/>
      </c>
      <c r="AP12" s="125" t="str">
        <f t="shared" si="18"/>
        <v>SA/ME</v>
      </c>
      <c r="AQ12" s="56">
        <v>5</v>
      </c>
      <c r="AR12" s="63">
        <v>6530.45</v>
      </c>
      <c r="AS12" s="130">
        <f t="shared" si="19"/>
        <v>2.4000000000005457</v>
      </c>
      <c r="AT12" s="63">
        <v>7241.68</v>
      </c>
      <c r="AU12" s="130">
        <f t="shared" si="20"/>
        <v>2.4600000000000364</v>
      </c>
      <c r="AV12" s="63">
        <v>248.67</v>
      </c>
      <c r="AW12" s="130">
        <f t="shared" si="21"/>
        <v>0.34000000000000341</v>
      </c>
      <c r="AX12" s="63">
        <v>236.8</v>
      </c>
      <c r="AY12" s="130" t="str">
        <f t="shared" si="4"/>
        <v/>
      </c>
      <c r="AZ12" s="125" t="str">
        <f t="shared" si="22"/>
        <v>SA/ME</v>
      </c>
      <c r="BA12" s="56">
        <v>5</v>
      </c>
      <c r="BB12" s="64">
        <v>0.53500000000000003</v>
      </c>
      <c r="BC12" s="62">
        <v>33</v>
      </c>
      <c r="BD12" s="61">
        <v>7.2</v>
      </c>
      <c r="BE12" s="61">
        <v>2.9</v>
      </c>
      <c r="BF12" s="61">
        <v>16.2</v>
      </c>
      <c r="BG12" s="61">
        <v>7.2</v>
      </c>
      <c r="BH12" s="64">
        <v>0.24099999999999999</v>
      </c>
      <c r="BI12" s="64">
        <v>0.22</v>
      </c>
      <c r="BJ12" s="64">
        <v>5.2999999999999999E-2</v>
      </c>
      <c r="BK12" s="64">
        <v>4.9000000000000002E-2</v>
      </c>
      <c r="BL12" s="64">
        <v>5.8000000000000003E-2</v>
      </c>
      <c r="BM12" s="64">
        <v>4.8000000000000001E-2</v>
      </c>
      <c r="BN12" s="65" t="str">
        <f t="shared" si="23"/>
        <v>SA/ME</v>
      </c>
      <c r="BO12" s="56">
        <v>5</v>
      </c>
      <c r="BP12" s="64">
        <v>7.3999999999999996E-2</v>
      </c>
      <c r="BQ12" s="62">
        <v>0</v>
      </c>
      <c r="BR12" s="61">
        <v>7.3</v>
      </c>
      <c r="BS12" s="61">
        <v>6.5</v>
      </c>
      <c r="BT12" s="61">
        <v>17.2</v>
      </c>
      <c r="BU12" s="64">
        <v>1.0999999999999999E-2</v>
      </c>
      <c r="BV12" s="63">
        <v>1.29</v>
      </c>
      <c r="BW12" s="63">
        <v>1.1499999999999999</v>
      </c>
      <c r="BX12" s="66" t="s">
        <v>278</v>
      </c>
      <c r="BY12" s="172" t="s">
        <v>239</v>
      </c>
      <c r="BZ12" s="67" t="str">
        <f t="shared" si="24"/>
        <v>SA/ME</v>
      </c>
      <c r="CA12" s="56">
        <v>5</v>
      </c>
      <c r="CB12" s="61">
        <v>88.5</v>
      </c>
      <c r="CC12" s="61"/>
      <c r="CD12" s="68">
        <f t="shared" si="25"/>
        <v>1.7000000000000028</v>
      </c>
      <c r="CE12" s="69">
        <f t="shared" si="26"/>
        <v>7.9122505000000141</v>
      </c>
      <c r="CF12" s="69">
        <f t="shared" si="27"/>
        <v>4.609077961165057</v>
      </c>
      <c r="CG12" s="62">
        <v>57</v>
      </c>
      <c r="CH12" s="62">
        <v>100</v>
      </c>
      <c r="CI12" s="65" t="str">
        <f t="shared" si="28"/>
        <v>SA/ME</v>
      </c>
      <c r="CJ12" s="56">
        <v>5</v>
      </c>
      <c r="CK12" s="61">
        <v>86.4</v>
      </c>
      <c r="CL12" s="61"/>
      <c r="CM12" s="68">
        <f t="shared" si="29"/>
        <v>3.4000000000000057</v>
      </c>
      <c r="CN12" s="69">
        <f t="shared" si="30"/>
        <v>15.824501000000028</v>
      </c>
      <c r="CO12" s="68">
        <f t="shared" si="31"/>
        <v>23.134605965625042</v>
      </c>
      <c r="CP12" s="62">
        <v>54</v>
      </c>
      <c r="CQ12" s="62">
        <v>83</v>
      </c>
      <c r="CR12" s="65" t="str">
        <f t="shared" si="32"/>
        <v>SA/ME</v>
      </c>
      <c r="CS12" s="56">
        <v>5</v>
      </c>
      <c r="CT12" s="61">
        <v>100.7</v>
      </c>
      <c r="CU12" s="61"/>
      <c r="CV12" s="68">
        <f t="shared" si="33"/>
        <v>2.7999999999999972</v>
      </c>
      <c r="CW12" s="68">
        <f t="shared" si="34"/>
        <v>18.603871999999981</v>
      </c>
      <c r="CX12" s="69">
        <f t="shared" si="35"/>
        <v>6.8396588235294042E-2</v>
      </c>
      <c r="CY12" s="66" t="s">
        <v>240</v>
      </c>
      <c r="CZ12" s="66" t="s">
        <v>241</v>
      </c>
      <c r="DA12" s="66"/>
      <c r="DB12" s="65" t="str">
        <f t="shared" si="36"/>
        <v>SA/ME</v>
      </c>
      <c r="DC12" s="56">
        <v>5</v>
      </c>
      <c r="DD12" s="61">
        <v>73.5</v>
      </c>
      <c r="DE12" s="61">
        <v>106</v>
      </c>
      <c r="DF12" s="68">
        <f t="shared" si="37"/>
        <v>21.599999999999994</v>
      </c>
      <c r="DG12" s="69">
        <f t="shared" si="38"/>
        <v>1.1653465420799995</v>
      </c>
      <c r="DH12" s="68">
        <f t="shared" si="39"/>
        <v>4.2843622870588218</v>
      </c>
      <c r="DI12" s="62">
        <v>90</v>
      </c>
      <c r="DJ12" s="62">
        <v>54</v>
      </c>
      <c r="DK12" s="65" t="str">
        <f t="shared" si="40"/>
        <v>SA/ME</v>
      </c>
      <c r="DL12" s="56">
        <v>5</v>
      </c>
      <c r="DM12" s="63">
        <v>8.8000000000000007</v>
      </c>
      <c r="DN12" s="64">
        <v>0.01</v>
      </c>
      <c r="DO12" s="64">
        <v>3.5000000000000003E-2</v>
      </c>
      <c r="DP12" s="64">
        <v>4.8000000000000001E-2</v>
      </c>
      <c r="DQ12" s="63">
        <v>6.76</v>
      </c>
      <c r="DR12" s="61">
        <v>6.5</v>
      </c>
      <c r="DS12" s="64">
        <v>1.2230000000000001</v>
      </c>
      <c r="DT12" s="61">
        <v>83.8</v>
      </c>
      <c r="DU12" s="63">
        <v>4.3600000000000003</v>
      </c>
      <c r="DV12" s="64">
        <v>0.69799999999999995</v>
      </c>
      <c r="DW12" s="64">
        <v>0.94099999999999995</v>
      </c>
      <c r="DX12" s="66" t="s">
        <v>242</v>
      </c>
      <c r="DY12" s="65" t="str">
        <f t="shared" si="41"/>
        <v>SA/ME</v>
      </c>
      <c r="DZ12" s="128">
        <v>5</v>
      </c>
      <c r="EA12" s="173">
        <f t="shared" si="42"/>
        <v>0.18181818181818182</v>
      </c>
      <c r="EB12" s="173">
        <f t="shared" si="43"/>
        <v>0.20220588235294118</v>
      </c>
      <c r="EC12" s="173">
        <f t="shared" si="44"/>
        <v>0.75735294117647056</v>
      </c>
      <c r="ED12" s="63">
        <v>1.17</v>
      </c>
      <c r="EE12" s="63">
        <v>1.25</v>
      </c>
      <c r="EF12" s="63">
        <v>0.03</v>
      </c>
      <c r="EG12" s="63">
        <v>0.04</v>
      </c>
      <c r="EH12" s="127" t="str">
        <f t="shared" si="5"/>
        <v>SA/ME</v>
      </c>
      <c r="EI12" s="56">
        <v>5</v>
      </c>
      <c r="EJ12" s="334"/>
      <c r="EK12" s="334"/>
      <c r="EL12" s="334"/>
      <c r="EM12" s="334"/>
      <c r="EN12" s="334"/>
      <c r="EO12" s="334"/>
      <c r="EP12" s="334"/>
      <c r="EQ12" s="65" t="str">
        <f t="shared" si="45"/>
        <v>SA/ME</v>
      </c>
      <c r="ER12" s="20"/>
      <c r="ES12" s="20"/>
      <c r="ET12" s="20"/>
      <c r="EU12" s="20"/>
      <c r="EV12" s="20"/>
      <c r="EW12" s="20"/>
      <c r="EX12" s="20"/>
    </row>
    <row r="13" spans="1:154" s="3" customFormat="1" ht="17.149999999999999" customHeight="1" x14ac:dyDescent="0.25">
      <c r="A13" s="56">
        <v>6</v>
      </c>
      <c r="B13" s="57">
        <v>866506</v>
      </c>
      <c r="C13" s="58">
        <f t="shared" si="6"/>
        <v>230</v>
      </c>
      <c r="D13" s="167">
        <v>9.91</v>
      </c>
      <c r="E13" s="57">
        <v>770785</v>
      </c>
      <c r="F13" s="58">
        <f t="shared" si="7"/>
        <v>220</v>
      </c>
      <c r="G13" s="168">
        <v>1.84</v>
      </c>
      <c r="H13" s="57">
        <v>733518</v>
      </c>
      <c r="I13" s="58">
        <f t="shared" si="0"/>
        <v>194</v>
      </c>
      <c r="J13" s="60" t="s">
        <v>237</v>
      </c>
      <c r="K13" s="56">
        <v>6</v>
      </c>
      <c r="L13" s="57">
        <v>67863</v>
      </c>
      <c r="M13" s="58" t="str">
        <f t="shared" si="8"/>
        <v/>
      </c>
      <c r="N13" s="57">
        <v>171360</v>
      </c>
      <c r="O13" s="58">
        <f t="shared" si="9"/>
        <v>50</v>
      </c>
      <c r="P13" s="57">
        <v>194713</v>
      </c>
      <c r="Q13" s="169" t="str">
        <f t="shared" si="1"/>
        <v/>
      </c>
      <c r="R13" s="57">
        <v>657</v>
      </c>
      <c r="S13" s="57">
        <v>665</v>
      </c>
      <c r="T13" s="57">
        <v>137</v>
      </c>
      <c r="U13" s="57">
        <v>134</v>
      </c>
      <c r="V13" s="58" t="str">
        <f t="shared" si="10"/>
        <v>SA/ME</v>
      </c>
      <c r="W13" s="56">
        <v>6</v>
      </c>
      <c r="X13" s="63">
        <v>11404.28</v>
      </c>
      <c r="Y13" s="130">
        <f t="shared" si="11"/>
        <v>4.6999999999989086</v>
      </c>
      <c r="Z13" s="63">
        <v>12173.16</v>
      </c>
      <c r="AA13" s="130">
        <f t="shared" si="12"/>
        <v>2.3800000000010186</v>
      </c>
      <c r="AB13" s="63">
        <v>9633.93</v>
      </c>
      <c r="AC13" s="130">
        <f t="shared" si="13"/>
        <v>1.7999999999992724</v>
      </c>
      <c r="AD13" s="63">
        <v>9722.7199999999993</v>
      </c>
      <c r="AE13" s="130">
        <f t="shared" si="2"/>
        <v>3.25</v>
      </c>
      <c r="AF13" s="125" t="str">
        <f t="shared" si="14"/>
        <v>SA/ME</v>
      </c>
      <c r="AG13" s="56">
        <v>6</v>
      </c>
      <c r="AH13" s="63">
        <v>45470.69</v>
      </c>
      <c r="AI13" s="130">
        <f t="shared" si="15"/>
        <v>15.44999999999709</v>
      </c>
      <c r="AJ13" s="63">
        <v>47610.14</v>
      </c>
      <c r="AK13" s="130">
        <f t="shared" si="16"/>
        <v>8.0299999999988358</v>
      </c>
      <c r="AL13" s="63">
        <v>585.29</v>
      </c>
      <c r="AM13" s="130" t="str">
        <f t="shared" si="17"/>
        <v/>
      </c>
      <c r="AN13" s="63">
        <v>546.38</v>
      </c>
      <c r="AO13" s="130" t="str">
        <f t="shared" si="3"/>
        <v/>
      </c>
      <c r="AP13" s="125" t="str">
        <f t="shared" si="18"/>
        <v>SA/ME</v>
      </c>
      <c r="AQ13" s="56">
        <v>6</v>
      </c>
      <c r="AR13" s="63">
        <v>6532.85</v>
      </c>
      <c r="AS13" s="130">
        <f t="shared" si="19"/>
        <v>1.7899999999999636</v>
      </c>
      <c r="AT13" s="63">
        <v>7244.14</v>
      </c>
      <c r="AU13" s="130">
        <f t="shared" si="20"/>
        <v>1.9799999999995634</v>
      </c>
      <c r="AV13" s="63">
        <v>249.01</v>
      </c>
      <c r="AW13" s="130" t="str">
        <f t="shared" si="21"/>
        <v/>
      </c>
      <c r="AX13" s="63">
        <v>236.8</v>
      </c>
      <c r="AY13" s="130" t="str">
        <f t="shared" si="4"/>
        <v/>
      </c>
      <c r="AZ13" s="125" t="str">
        <f t="shared" si="22"/>
        <v>SA/ME</v>
      </c>
      <c r="BA13" s="56">
        <v>6</v>
      </c>
      <c r="BB13" s="64"/>
      <c r="BC13" s="62"/>
      <c r="BD13" s="61"/>
      <c r="BE13" s="61"/>
      <c r="BF13" s="61"/>
      <c r="BG13" s="61"/>
      <c r="BH13" s="64"/>
      <c r="BI13" s="64"/>
      <c r="BJ13" s="64"/>
      <c r="BK13" s="64"/>
      <c r="BL13" s="64"/>
      <c r="BM13" s="64"/>
      <c r="BN13" s="65" t="str">
        <f t="shared" si="23"/>
        <v>SA/ME</v>
      </c>
      <c r="BO13" s="56">
        <v>6</v>
      </c>
      <c r="BP13" s="64">
        <v>7.8E-2</v>
      </c>
      <c r="BQ13" s="62">
        <v>0</v>
      </c>
      <c r="BR13" s="61">
        <v>7.3</v>
      </c>
      <c r="BS13" s="61">
        <v>6.5</v>
      </c>
      <c r="BT13" s="61">
        <v>18.100000000000001</v>
      </c>
      <c r="BU13" s="64">
        <v>8.9999999999999993E-3</v>
      </c>
      <c r="BV13" s="63">
        <v>1.3</v>
      </c>
      <c r="BW13" s="63">
        <v>1.1200000000000001</v>
      </c>
      <c r="BX13" s="66" t="s">
        <v>243</v>
      </c>
      <c r="BY13" s="172" t="s">
        <v>239</v>
      </c>
      <c r="BZ13" s="67" t="str">
        <f t="shared" si="24"/>
        <v>SA/ME</v>
      </c>
      <c r="CA13" s="56">
        <v>6</v>
      </c>
      <c r="CB13" s="61">
        <v>86.8</v>
      </c>
      <c r="CC13" s="61"/>
      <c r="CD13" s="68">
        <f t="shared" si="25"/>
        <v>1.7000000000000028</v>
      </c>
      <c r="CE13" s="69">
        <f t="shared" si="26"/>
        <v>7.9122505000000141</v>
      </c>
      <c r="CF13" s="69">
        <f t="shared" si="27"/>
        <v>4.8941755670103184</v>
      </c>
      <c r="CG13" s="62">
        <v>57</v>
      </c>
      <c r="CH13" s="62">
        <v>100</v>
      </c>
      <c r="CI13" s="65" t="str">
        <f t="shared" si="28"/>
        <v>SA/ME</v>
      </c>
      <c r="CJ13" s="56">
        <v>6</v>
      </c>
      <c r="CK13" s="61">
        <v>83</v>
      </c>
      <c r="CL13" s="61"/>
      <c r="CM13" s="68">
        <f t="shared" si="29"/>
        <v>2.7999999999999972</v>
      </c>
      <c r="CN13" s="69">
        <f t="shared" si="30"/>
        <v>13.031941999999988</v>
      </c>
      <c r="CO13" s="68">
        <f t="shared" si="31"/>
        <v>22.53109450565216</v>
      </c>
      <c r="CP13" s="62">
        <v>54</v>
      </c>
      <c r="CQ13" s="62">
        <v>83</v>
      </c>
      <c r="CR13" s="65" t="str">
        <f t="shared" si="32"/>
        <v>SA/ME</v>
      </c>
      <c r="CS13" s="56">
        <v>6</v>
      </c>
      <c r="CT13" s="61">
        <v>97.9</v>
      </c>
      <c r="CU13" s="61"/>
      <c r="CV13" s="68">
        <f t="shared" si="33"/>
        <v>2.4000000000000057</v>
      </c>
      <c r="CW13" s="68">
        <f t="shared" si="34"/>
        <v>15.946176000000039</v>
      </c>
      <c r="CX13" s="69">
        <f t="shared" si="35"/>
        <v>6.9331200000000162E-2</v>
      </c>
      <c r="CY13" s="66" t="s">
        <v>240</v>
      </c>
      <c r="CZ13" s="66" t="s">
        <v>241</v>
      </c>
      <c r="DA13" s="66"/>
      <c r="DB13" s="65" t="str">
        <f t="shared" si="36"/>
        <v>SA/ME</v>
      </c>
      <c r="DC13" s="56">
        <v>6</v>
      </c>
      <c r="DD13" s="61">
        <v>84.4</v>
      </c>
      <c r="DE13" s="61">
        <v>105.3</v>
      </c>
      <c r="DF13" s="68">
        <f t="shared" si="37"/>
        <v>9.3999999999999915</v>
      </c>
      <c r="DG13" s="69">
        <f t="shared" si="38"/>
        <v>0.50714155071999956</v>
      </c>
      <c r="DH13" s="68">
        <f t="shared" si="39"/>
        <v>2.2049632639999981</v>
      </c>
      <c r="DI13" s="62">
        <v>90</v>
      </c>
      <c r="DJ13" s="62">
        <v>54</v>
      </c>
      <c r="DK13" s="65" t="str">
        <f t="shared" si="40"/>
        <v>SA/ME</v>
      </c>
      <c r="DL13" s="56">
        <v>6</v>
      </c>
      <c r="DM13" s="63">
        <v>8.11</v>
      </c>
      <c r="DN13" s="64">
        <v>8.9999999999999993E-3</v>
      </c>
      <c r="DO13" s="64">
        <v>3.3000000000000002E-2</v>
      </c>
      <c r="DP13" s="64">
        <v>4.4999999999999998E-2</v>
      </c>
      <c r="DQ13" s="63">
        <v>6.76</v>
      </c>
      <c r="DR13" s="61">
        <v>6.5</v>
      </c>
      <c r="DS13" s="64">
        <v>1.179</v>
      </c>
      <c r="DT13" s="61">
        <v>85.9</v>
      </c>
      <c r="DU13" s="63">
        <v>4.25</v>
      </c>
      <c r="DV13" s="64">
        <v>2.0539999999999998</v>
      </c>
      <c r="DW13" s="64">
        <v>0.85399999999999998</v>
      </c>
      <c r="DX13" s="66" t="s">
        <v>242</v>
      </c>
      <c r="DY13" s="65" t="str">
        <f t="shared" si="41"/>
        <v>SA/ME</v>
      </c>
      <c r="DZ13" s="128">
        <v>6</v>
      </c>
      <c r="EA13" s="173">
        <f t="shared" si="42"/>
        <v>0.15374331550802139</v>
      </c>
      <c r="EB13" s="173">
        <f t="shared" si="43"/>
        <v>0.16176470588235295</v>
      </c>
      <c r="EC13" s="173">
        <f t="shared" si="44"/>
        <v>0.84347826086956523</v>
      </c>
      <c r="ED13" s="63">
        <v>1.1599999999999999</v>
      </c>
      <c r="EE13" s="63">
        <v>1.2</v>
      </c>
      <c r="EF13" s="63">
        <v>0.04</v>
      </c>
      <c r="EG13" s="63">
        <v>0.05</v>
      </c>
      <c r="EH13" s="127" t="str">
        <f t="shared" si="5"/>
        <v>SA/ME</v>
      </c>
      <c r="EI13" s="56">
        <v>6</v>
      </c>
      <c r="EJ13" s="334"/>
      <c r="EK13" s="334"/>
      <c r="EL13" s="334"/>
      <c r="EM13" s="334"/>
      <c r="EN13" s="334"/>
      <c r="EO13" s="334"/>
      <c r="EP13" s="334"/>
      <c r="EQ13" s="65" t="str">
        <f t="shared" si="45"/>
        <v>SA/ME</v>
      </c>
      <c r="ER13" s="20"/>
      <c r="ES13" s="20"/>
      <c r="ET13" s="20"/>
      <c r="EU13" s="20"/>
      <c r="EV13" s="20"/>
      <c r="EW13" s="20"/>
      <c r="EX13" s="20"/>
    </row>
    <row r="14" spans="1:154" s="3" customFormat="1" ht="17.149999999999999" customHeight="1" x14ac:dyDescent="0.25">
      <c r="A14" s="56">
        <v>7</v>
      </c>
      <c r="B14" s="57">
        <v>866736</v>
      </c>
      <c r="C14" s="58">
        <f t="shared" si="6"/>
        <v>163</v>
      </c>
      <c r="D14" s="167">
        <v>9.8800000000000008</v>
      </c>
      <c r="E14" s="57">
        <v>771005</v>
      </c>
      <c r="F14" s="58">
        <f t="shared" si="7"/>
        <v>153</v>
      </c>
      <c r="G14" s="168">
        <v>2.0699999999999998</v>
      </c>
      <c r="H14" s="57">
        <v>733712</v>
      </c>
      <c r="I14" s="58">
        <f t="shared" si="0"/>
        <v>142</v>
      </c>
      <c r="J14" s="60" t="s">
        <v>237</v>
      </c>
      <c r="K14" s="56">
        <v>7</v>
      </c>
      <c r="L14" s="57">
        <v>67863</v>
      </c>
      <c r="M14" s="58" t="str">
        <f t="shared" si="8"/>
        <v/>
      </c>
      <c r="N14" s="57">
        <v>171410</v>
      </c>
      <c r="O14" s="58">
        <f t="shared" si="9"/>
        <v>34</v>
      </c>
      <c r="P14" s="57">
        <v>194713</v>
      </c>
      <c r="Q14" s="169" t="str">
        <f t="shared" si="1"/>
        <v/>
      </c>
      <c r="R14" s="57">
        <v>657</v>
      </c>
      <c r="S14" s="57">
        <v>665</v>
      </c>
      <c r="T14" s="57">
        <v>137</v>
      </c>
      <c r="U14" s="57">
        <v>134</v>
      </c>
      <c r="V14" s="58" t="str">
        <f t="shared" si="10"/>
        <v>SA/ME</v>
      </c>
      <c r="W14" s="56">
        <v>7</v>
      </c>
      <c r="X14" s="63">
        <v>11408.98</v>
      </c>
      <c r="Y14" s="130">
        <f t="shared" si="11"/>
        <v>2.1000000000003638</v>
      </c>
      <c r="Z14" s="63">
        <v>12175.54</v>
      </c>
      <c r="AA14" s="130">
        <f t="shared" si="12"/>
        <v>2.4499999999989086</v>
      </c>
      <c r="AB14" s="63">
        <v>9635.73</v>
      </c>
      <c r="AC14" s="130">
        <f t="shared" si="13"/>
        <v>1.9700000000011642</v>
      </c>
      <c r="AD14" s="63">
        <v>9725.9699999999993</v>
      </c>
      <c r="AE14" s="130">
        <f t="shared" si="2"/>
        <v>1.820000000001528</v>
      </c>
      <c r="AF14" s="125" t="str">
        <f t="shared" si="14"/>
        <v>SA/ME</v>
      </c>
      <c r="AG14" s="56">
        <v>7</v>
      </c>
      <c r="AH14" s="63">
        <v>45486.14</v>
      </c>
      <c r="AI14" s="130">
        <f t="shared" si="15"/>
        <v>8.4700000000011642</v>
      </c>
      <c r="AJ14" s="63">
        <v>47618.17</v>
      </c>
      <c r="AK14" s="130">
        <f t="shared" si="16"/>
        <v>8.2799999999988358</v>
      </c>
      <c r="AL14" s="63">
        <v>585.29</v>
      </c>
      <c r="AM14" s="130" t="str">
        <f t="shared" si="17"/>
        <v/>
      </c>
      <c r="AN14" s="63">
        <v>546.38</v>
      </c>
      <c r="AO14" s="130" t="str">
        <f t="shared" si="3"/>
        <v/>
      </c>
      <c r="AP14" s="125" t="str">
        <f t="shared" si="18"/>
        <v>SA/ME</v>
      </c>
      <c r="AQ14" s="56">
        <v>7</v>
      </c>
      <c r="AR14" s="63">
        <v>6534.64</v>
      </c>
      <c r="AS14" s="130">
        <f t="shared" si="19"/>
        <v>1.7999999999992724</v>
      </c>
      <c r="AT14" s="63">
        <v>7246.12</v>
      </c>
      <c r="AU14" s="130">
        <f t="shared" si="20"/>
        <v>1.6099999999996726</v>
      </c>
      <c r="AV14" s="63">
        <v>249.01</v>
      </c>
      <c r="AW14" s="130" t="str">
        <f t="shared" si="21"/>
        <v/>
      </c>
      <c r="AX14" s="63">
        <v>236.8</v>
      </c>
      <c r="AY14" s="130" t="str">
        <f t="shared" si="4"/>
        <v/>
      </c>
      <c r="AZ14" s="125" t="str">
        <f t="shared" si="22"/>
        <v>SA/ME</v>
      </c>
      <c r="BA14" s="56">
        <v>7</v>
      </c>
      <c r="BB14" s="64"/>
      <c r="BC14" s="62"/>
      <c r="BD14" s="61"/>
      <c r="BE14" s="61"/>
      <c r="BF14" s="61"/>
      <c r="BG14" s="61"/>
      <c r="BH14" s="64"/>
      <c r="BI14" s="64"/>
      <c r="BJ14" s="64"/>
      <c r="BK14" s="64"/>
      <c r="BL14" s="64"/>
      <c r="BM14" s="64"/>
      <c r="BN14" s="65" t="str">
        <f t="shared" si="23"/>
        <v>SA/ME</v>
      </c>
      <c r="BO14" s="56">
        <v>7</v>
      </c>
      <c r="BP14" s="64">
        <v>6.7000000000000004E-2</v>
      </c>
      <c r="BQ14" s="62">
        <v>0</v>
      </c>
      <c r="BR14" s="61">
        <v>7.3</v>
      </c>
      <c r="BS14" s="61">
        <v>6.5</v>
      </c>
      <c r="BT14" s="61">
        <v>18.399999999999999</v>
      </c>
      <c r="BU14" s="64">
        <v>7.0000000000000001E-3</v>
      </c>
      <c r="BV14" s="63">
        <v>1.29</v>
      </c>
      <c r="BW14" s="63">
        <v>1.1100000000000001</v>
      </c>
      <c r="BX14" s="66" t="s">
        <v>279</v>
      </c>
      <c r="BY14" s="172" t="s">
        <v>239</v>
      </c>
      <c r="BZ14" s="67" t="str">
        <f t="shared" si="24"/>
        <v>SA/ME</v>
      </c>
      <c r="CA14" s="56">
        <v>7</v>
      </c>
      <c r="CB14" s="61">
        <v>85.1</v>
      </c>
      <c r="CC14" s="61"/>
      <c r="CD14" s="68">
        <f t="shared" si="25"/>
        <v>1.1999999999999886</v>
      </c>
      <c r="CE14" s="69">
        <f t="shared" si="26"/>
        <v>5.5851179999999481</v>
      </c>
      <c r="CF14" s="69">
        <f t="shared" si="27"/>
        <v>4.7198180281689703</v>
      </c>
      <c r="CG14" s="62">
        <v>57</v>
      </c>
      <c r="CH14" s="62">
        <v>100</v>
      </c>
      <c r="CI14" s="65" t="str">
        <f t="shared" si="28"/>
        <v>SA/ME</v>
      </c>
      <c r="CJ14" s="56">
        <v>7</v>
      </c>
      <c r="CK14" s="61">
        <v>80.2</v>
      </c>
      <c r="CL14" s="61"/>
      <c r="CM14" s="68">
        <f t="shared" si="29"/>
        <v>2</v>
      </c>
      <c r="CN14" s="69">
        <f t="shared" si="30"/>
        <v>9.3085300000000011</v>
      </c>
      <c r="CO14" s="68">
        <f t="shared" si="31"/>
        <v>22.708815671779146</v>
      </c>
      <c r="CP14" s="62">
        <v>54</v>
      </c>
      <c r="CQ14" s="62">
        <v>83</v>
      </c>
      <c r="CR14" s="65" t="str">
        <f t="shared" si="32"/>
        <v>SA/ME</v>
      </c>
      <c r="CS14" s="56">
        <v>7</v>
      </c>
      <c r="CT14" s="61">
        <v>95.5</v>
      </c>
      <c r="CU14" s="61"/>
      <c r="CV14" s="68">
        <f t="shared" si="33"/>
        <v>1.5999999999999943</v>
      </c>
      <c r="CW14" s="68">
        <f t="shared" si="34"/>
        <v>10.630783999999961</v>
      </c>
      <c r="CX14" s="69">
        <f t="shared" si="35"/>
        <v>6.5219533742331054E-2</v>
      </c>
      <c r="CY14" s="66" t="s">
        <v>240</v>
      </c>
      <c r="CZ14" s="66" t="s">
        <v>241</v>
      </c>
      <c r="DA14" s="66"/>
      <c r="DB14" s="65" t="str">
        <f t="shared" si="36"/>
        <v>SA/ME</v>
      </c>
      <c r="DC14" s="56">
        <v>7</v>
      </c>
      <c r="DD14" s="61">
        <v>95.9</v>
      </c>
      <c r="DE14" s="61">
        <v>106.1</v>
      </c>
      <c r="DF14" s="68">
        <f t="shared" si="37"/>
        <v>6.3999999999999915</v>
      </c>
      <c r="DG14" s="69">
        <f t="shared" si="38"/>
        <v>0.34528786431999953</v>
      </c>
      <c r="DH14" s="68">
        <f t="shared" si="39"/>
        <v>2.1183304559509173</v>
      </c>
      <c r="DI14" s="62">
        <v>90</v>
      </c>
      <c r="DJ14" s="62">
        <v>54</v>
      </c>
      <c r="DK14" s="65" t="str">
        <f t="shared" si="40"/>
        <v>SA/ME</v>
      </c>
      <c r="DL14" s="56">
        <v>7</v>
      </c>
      <c r="DM14" s="63">
        <v>8.5</v>
      </c>
      <c r="DN14" s="64">
        <v>1.2999999999999999E-2</v>
      </c>
      <c r="DO14" s="64">
        <v>3.3000000000000002E-2</v>
      </c>
      <c r="DP14" s="64">
        <v>4.3999999999999997E-2</v>
      </c>
      <c r="DQ14" s="63">
        <v>6.76</v>
      </c>
      <c r="DR14" s="61">
        <v>6.5</v>
      </c>
      <c r="DS14" s="64">
        <v>1.1719999999999999</v>
      </c>
      <c r="DT14" s="61">
        <v>82.5</v>
      </c>
      <c r="DU14" s="63">
        <v>4.3099999999999996</v>
      </c>
      <c r="DV14" s="64">
        <v>1.423</v>
      </c>
      <c r="DW14" s="64">
        <v>0.54100000000000004</v>
      </c>
      <c r="DX14" s="66" t="s">
        <v>242</v>
      </c>
      <c r="DY14" s="65" t="str">
        <f t="shared" si="41"/>
        <v>SA/ME</v>
      </c>
      <c r="DZ14" s="128">
        <v>7</v>
      </c>
      <c r="EA14" s="173">
        <f t="shared" si="42"/>
        <v>0.1089572192513369</v>
      </c>
      <c r="EB14" s="173">
        <f t="shared" si="43"/>
        <v>0.1125</v>
      </c>
      <c r="EC14" s="173">
        <f t="shared" si="44"/>
        <v>0.87116564417177911</v>
      </c>
      <c r="ED14" s="63">
        <v>1.1299999999999999</v>
      </c>
      <c r="EE14" s="63">
        <v>1.18</v>
      </c>
      <c r="EF14" s="63">
        <v>0.03</v>
      </c>
      <c r="EG14" s="63">
        <v>0.04</v>
      </c>
      <c r="EH14" s="127" t="str">
        <f t="shared" si="5"/>
        <v>SA/ME</v>
      </c>
      <c r="EI14" s="56">
        <v>7</v>
      </c>
      <c r="EJ14" s="334"/>
      <c r="EK14" s="334"/>
      <c r="EL14" s="334"/>
      <c r="EM14" s="334"/>
      <c r="EN14" s="334"/>
      <c r="EO14" s="334"/>
      <c r="EP14" s="334"/>
      <c r="EQ14" s="65" t="str">
        <f t="shared" si="45"/>
        <v>SA/ME</v>
      </c>
      <c r="ER14" s="20"/>
      <c r="ES14" s="20"/>
      <c r="ET14" s="20"/>
      <c r="EU14" s="20"/>
      <c r="EV14" s="20"/>
      <c r="EW14" s="20"/>
      <c r="EX14" s="20"/>
    </row>
    <row r="15" spans="1:154" s="3" customFormat="1" ht="17.149999999999999" customHeight="1" x14ac:dyDescent="0.25">
      <c r="A15" s="56">
        <v>8</v>
      </c>
      <c r="B15" s="57">
        <v>866899</v>
      </c>
      <c r="C15" s="58">
        <f t="shared" si="6"/>
        <v>233</v>
      </c>
      <c r="D15" s="167">
        <v>9.3800000000000008</v>
      </c>
      <c r="E15" s="57">
        <v>771158</v>
      </c>
      <c r="F15" s="58">
        <f t="shared" si="7"/>
        <v>271</v>
      </c>
      <c r="G15" s="168">
        <v>1.96</v>
      </c>
      <c r="H15" s="57">
        <v>733854</v>
      </c>
      <c r="I15" s="58">
        <f t="shared" si="0"/>
        <v>166</v>
      </c>
      <c r="J15" s="60" t="s">
        <v>194</v>
      </c>
      <c r="K15" s="56">
        <v>8</v>
      </c>
      <c r="L15" s="57">
        <v>67863</v>
      </c>
      <c r="M15" s="58">
        <f t="shared" si="8"/>
        <v>41</v>
      </c>
      <c r="N15" s="57">
        <v>171444</v>
      </c>
      <c r="O15" s="58">
        <f t="shared" si="9"/>
        <v>57</v>
      </c>
      <c r="P15" s="57">
        <v>194713</v>
      </c>
      <c r="Q15" s="169" t="str">
        <f t="shared" si="1"/>
        <v/>
      </c>
      <c r="R15" s="57">
        <v>657</v>
      </c>
      <c r="S15" s="57">
        <v>665</v>
      </c>
      <c r="T15" s="57">
        <v>137</v>
      </c>
      <c r="U15" s="57">
        <v>134</v>
      </c>
      <c r="V15" s="58" t="str">
        <f t="shared" si="10"/>
        <v>ME</v>
      </c>
      <c r="W15" s="56">
        <v>8</v>
      </c>
      <c r="X15" s="63">
        <v>11411.08</v>
      </c>
      <c r="Y15" s="130">
        <f t="shared" si="11"/>
        <v>2.430000000000291</v>
      </c>
      <c r="Z15" s="63">
        <v>12177.99</v>
      </c>
      <c r="AA15" s="130">
        <f t="shared" si="12"/>
        <v>4.7399999999997817</v>
      </c>
      <c r="AB15" s="63">
        <v>9637.7000000000007</v>
      </c>
      <c r="AC15" s="130">
        <f t="shared" si="13"/>
        <v>3.8099999999994907</v>
      </c>
      <c r="AD15" s="63">
        <v>9727.7900000000009</v>
      </c>
      <c r="AE15" s="130">
        <f t="shared" si="2"/>
        <v>0.60999999999876309</v>
      </c>
      <c r="AF15" s="125" t="str">
        <f t="shared" si="14"/>
        <v>ME</v>
      </c>
      <c r="AG15" s="56">
        <v>8</v>
      </c>
      <c r="AH15" s="63">
        <v>45494.61</v>
      </c>
      <c r="AI15" s="130">
        <f t="shared" si="15"/>
        <v>12.159999999996217</v>
      </c>
      <c r="AJ15" s="63">
        <v>47626.45</v>
      </c>
      <c r="AK15" s="130">
        <f t="shared" si="16"/>
        <v>15.730000000003201</v>
      </c>
      <c r="AL15" s="63">
        <v>585.29</v>
      </c>
      <c r="AM15" s="130">
        <f t="shared" si="17"/>
        <v>5.0000000000068212E-2</v>
      </c>
      <c r="AN15" s="63">
        <v>546.38</v>
      </c>
      <c r="AO15" s="130" t="str">
        <f t="shared" si="3"/>
        <v/>
      </c>
      <c r="AP15" s="274" t="str">
        <f t="shared" si="18"/>
        <v>ME</v>
      </c>
      <c r="AQ15" s="56">
        <v>8</v>
      </c>
      <c r="AR15" s="63">
        <v>6536.44</v>
      </c>
      <c r="AS15" s="130">
        <f t="shared" si="19"/>
        <v>2.7200000000002547</v>
      </c>
      <c r="AT15" s="63">
        <v>7247.73</v>
      </c>
      <c r="AU15" s="130">
        <f t="shared" si="20"/>
        <v>2.75</v>
      </c>
      <c r="AV15" s="63">
        <v>249.01</v>
      </c>
      <c r="AW15" s="130" t="str">
        <f t="shared" si="21"/>
        <v/>
      </c>
      <c r="AX15" s="63">
        <v>236.8</v>
      </c>
      <c r="AY15" s="130">
        <f t="shared" si="4"/>
        <v>0.33999999999997499</v>
      </c>
      <c r="AZ15" s="125" t="str">
        <f t="shared" si="22"/>
        <v>ME</v>
      </c>
      <c r="BA15" s="56">
        <v>8</v>
      </c>
      <c r="BB15" s="64">
        <v>0.52</v>
      </c>
      <c r="BC15" s="62">
        <v>37</v>
      </c>
      <c r="BD15" s="61">
        <v>7.2</v>
      </c>
      <c r="BE15" s="61">
        <v>2.7</v>
      </c>
      <c r="BF15" s="61">
        <v>16.899999999999999</v>
      </c>
      <c r="BG15" s="61">
        <v>7.2</v>
      </c>
      <c r="BH15" s="64">
        <v>0.36899999999999999</v>
      </c>
      <c r="BI15" s="64">
        <v>0.38500000000000001</v>
      </c>
      <c r="BJ15" s="64">
        <v>5.8999999999999997E-2</v>
      </c>
      <c r="BK15" s="64">
        <v>6.6000000000000003E-2</v>
      </c>
      <c r="BL15" s="64">
        <v>5.5E-2</v>
      </c>
      <c r="BM15" s="64">
        <v>5.7000000000000002E-2</v>
      </c>
      <c r="BN15" s="65" t="str">
        <f t="shared" si="23"/>
        <v>ME</v>
      </c>
      <c r="BO15" s="56">
        <v>8</v>
      </c>
      <c r="BP15" s="64">
        <v>6.5000000000000002E-2</v>
      </c>
      <c r="BQ15" s="62">
        <v>0</v>
      </c>
      <c r="BR15" s="61">
        <v>7.2</v>
      </c>
      <c r="BS15" s="61">
        <v>6.5</v>
      </c>
      <c r="BT15" s="61">
        <v>18</v>
      </c>
      <c r="BU15" s="64">
        <v>8.0000000000000002E-3</v>
      </c>
      <c r="BV15" s="63">
        <v>1.23</v>
      </c>
      <c r="BW15" s="63">
        <v>1.08</v>
      </c>
      <c r="BX15" s="66" t="s">
        <v>245</v>
      </c>
      <c r="BY15" s="172" t="s">
        <v>246</v>
      </c>
      <c r="BZ15" s="67" t="str">
        <f t="shared" si="24"/>
        <v>ME</v>
      </c>
      <c r="CA15" s="56">
        <v>8</v>
      </c>
      <c r="CB15" s="61">
        <v>83.9</v>
      </c>
      <c r="CC15" s="61">
        <v>96.8</v>
      </c>
      <c r="CD15" s="68">
        <f t="shared" si="25"/>
        <v>1.5</v>
      </c>
      <c r="CE15" s="69">
        <f t="shared" si="26"/>
        <v>6.9813975000000008</v>
      </c>
      <c r="CF15" s="69">
        <f t="shared" si="27"/>
        <v>5.0467933734939763</v>
      </c>
      <c r="CG15" s="62">
        <v>57</v>
      </c>
      <c r="CH15" s="62">
        <v>100</v>
      </c>
      <c r="CI15" s="65" t="str">
        <f t="shared" si="28"/>
        <v>ME</v>
      </c>
      <c r="CJ15" s="56">
        <v>8</v>
      </c>
      <c r="CK15" s="61">
        <v>78.2</v>
      </c>
      <c r="CL15" s="61">
        <v>98.1</v>
      </c>
      <c r="CM15" s="68">
        <f t="shared" si="29"/>
        <v>2.7999999999999972</v>
      </c>
      <c r="CN15" s="69">
        <f t="shared" si="30"/>
        <v>13.031941999999988</v>
      </c>
      <c r="CO15" s="68">
        <f t="shared" si="31"/>
        <v>22.240994576394836</v>
      </c>
      <c r="CP15" s="62">
        <v>53</v>
      </c>
      <c r="CQ15" s="62">
        <v>83</v>
      </c>
      <c r="CR15" s="65" t="str">
        <f t="shared" si="32"/>
        <v>ME</v>
      </c>
      <c r="CS15" s="56">
        <v>8</v>
      </c>
      <c r="CT15" s="61">
        <v>93.9</v>
      </c>
      <c r="CU15" s="61"/>
      <c r="CV15" s="68">
        <f t="shared" si="33"/>
        <v>2.4000000000000057</v>
      </c>
      <c r="CW15" s="68">
        <f t="shared" si="34"/>
        <v>15.946176000000039</v>
      </c>
      <c r="CX15" s="69">
        <f t="shared" si="35"/>
        <v>6.8438523605150375E-2</v>
      </c>
      <c r="CY15" s="66" t="s">
        <v>240</v>
      </c>
      <c r="CZ15" s="66" t="s">
        <v>241</v>
      </c>
      <c r="DA15" s="66"/>
      <c r="DB15" s="65" t="str">
        <f t="shared" si="36"/>
        <v>ME</v>
      </c>
      <c r="DC15" s="56">
        <v>8</v>
      </c>
      <c r="DD15" s="61">
        <v>99.7</v>
      </c>
      <c r="DE15" s="61"/>
      <c r="DF15" s="68">
        <f t="shared" si="37"/>
        <v>5.2000000000000028</v>
      </c>
      <c r="DG15" s="69">
        <f t="shared" si="38"/>
        <v>0.28054638976000018</v>
      </c>
      <c r="DH15" s="68">
        <f t="shared" si="39"/>
        <v>1.2040617586266102</v>
      </c>
      <c r="DI15" s="62">
        <v>90</v>
      </c>
      <c r="DJ15" s="62">
        <v>54</v>
      </c>
      <c r="DK15" s="65" t="str">
        <f t="shared" si="40"/>
        <v>ME</v>
      </c>
      <c r="DL15" s="56">
        <v>8</v>
      </c>
      <c r="DM15" s="63">
        <v>8.35</v>
      </c>
      <c r="DN15" s="64">
        <v>1.7999999999999999E-2</v>
      </c>
      <c r="DO15" s="64">
        <v>3.3000000000000002E-2</v>
      </c>
      <c r="DP15" s="64">
        <v>4.3999999999999997E-2</v>
      </c>
      <c r="DQ15" s="63">
        <v>6.77</v>
      </c>
      <c r="DR15" s="61">
        <v>6.5</v>
      </c>
      <c r="DS15" s="64">
        <v>1.17</v>
      </c>
      <c r="DT15" s="61">
        <v>85.7</v>
      </c>
      <c r="DU15" s="63">
        <v>4.3899999999999997</v>
      </c>
      <c r="DV15" s="64">
        <v>1.0880000000000001</v>
      </c>
      <c r="DW15" s="64">
        <v>0.45300000000000001</v>
      </c>
      <c r="DX15" s="66" t="s">
        <v>242</v>
      </c>
      <c r="DY15" s="65" t="str">
        <f t="shared" si="41"/>
        <v>ME</v>
      </c>
      <c r="DZ15" s="128">
        <v>8</v>
      </c>
      <c r="EA15" s="173">
        <f t="shared" si="42"/>
        <v>0.15574866310160429</v>
      </c>
      <c r="EB15" s="173">
        <f t="shared" si="43"/>
        <v>0.19926470588235295</v>
      </c>
      <c r="EC15" s="173">
        <f t="shared" si="44"/>
        <v>0.71244635193133043</v>
      </c>
      <c r="ED15" s="63">
        <v>1.1399999999999999</v>
      </c>
      <c r="EE15" s="63">
        <v>1.18</v>
      </c>
      <c r="EF15" s="63">
        <v>0.04</v>
      </c>
      <c r="EG15" s="63">
        <v>7.0000000000000007E-2</v>
      </c>
      <c r="EH15" s="127" t="str">
        <f t="shared" si="5"/>
        <v>ME</v>
      </c>
      <c r="EI15" s="56">
        <v>8</v>
      </c>
      <c r="EJ15" s="334" t="s">
        <v>275</v>
      </c>
      <c r="EK15" s="334"/>
      <c r="EL15" s="334"/>
      <c r="EM15" s="334"/>
      <c r="EN15" s="334"/>
      <c r="EO15" s="334"/>
      <c r="EP15" s="334"/>
      <c r="EQ15" s="65" t="str">
        <f t="shared" si="45"/>
        <v>ME</v>
      </c>
      <c r="ER15" s="20"/>
      <c r="ES15" s="20"/>
      <c r="ET15" s="20"/>
      <c r="EU15" s="20"/>
      <c r="EV15" s="20"/>
      <c r="EW15" s="20"/>
      <c r="EX15" s="20"/>
    </row>
    <row r="16" spans="1:154" s="3" customFormat="1" ht="17.149999999999999" customHeight="1" x14ac:dyDescent="0.25">
      <c r="A16" s="56">
        <v>9</v>
      </c>
      <c r="B16" s="57">
        <v>867132</v>
      </c>
      <c r="C16" s="58">
        <f t="shared" si="6"/>
        <v>191</v>
      </c>
      <c r="D16" s="167">
        <v>9.52</v>
      </c>
      <c r="E16" s="57">
        <v>771429</v>
      </c>
      <c r="F16" s="58">
        <f t="shared" si="7"/>
        <v>184</v>
      </c>
      <c r="G16" s="168">
        <v>2.4700000000000002</v>
      </c>
      <c r="H16" s="57">
        <v>734020</v>
      </c>
      <c r="I16" s="58">
        <f t="shared" si="0"/>
        <v>164</v>
      </c>
      <c r="J16" s="60" t="s">
        <v>194</v>
      </c>
      <c r="K16" s="56">
        <v>9</v>
      </c>
      <c r="L16" s="57">
        <v>67904</v>
      </c>
      <c r="M16" s="58" t="str">
        <f t="shared" si="8"/>
        <v/>
      </c>
      <c r="N16" s="57">
        <v>171501</v>
      </c>
      <c r="O16" s="58">
        <f t="shared" si="9"/>
        <v>44</v>
      </c>
      <c r="P16" s="57">
        <v>194713</v>
      </c>
      <c r="Q16" s="169" t="str">
        <f t="shared" si="1"/>
        <v/>
      </c>
      <c r="R16" s="57">
        <v>657</v>
      </c>
      <c r="S16" s="57">
        <v>666</v>
      </c>
      <c r="T16" s="57">
        <v>137</v>
      </c>
      <c r="U16" s="57">
        <v>134</v>
      </c>
      <c r="V16" s="58" t="str">
        <f t="shared" si="10"/>
        <v>ME</v>
      </c>
      <c r="W16" s="56">
        <v>9</v>
      </c>
      <c r="X16" s="63">
        <v>11413.51</v>
      </c>
      <c r="Y16" s="130">
        <f t="shared" si="11"/>
        <v>2.9899999999997817</v>
      </c>
      <c r="Z16" s="63">
        <v>12182.73</v>
      </c>
      <c r="AA16" s="130">
        <f t="shared" si="12"/>
        <v>2.7900000000008731</v>
      </c>
      <c r="AB16" s="63">
        <v>9641.51</v>
      </c>
      <c r="AC16" s="130">
        <f t="shared" si="13"/>
        <v>1.9899999999997817</v>
      </c>
      <c r="AD16" s="63">
        <v>9728.4</v>
      </c>
      <c r="AE16" s="130">
        <f t="shared" si="2"/>
        <v>2.6400000000012369</v>
      </c>
      <c r="AF16" s="125" t="str">
        <f t="shared" si="14"/>
        <v>ME</v>
      </c>
      <c r="AG16" s="56">
        <v>9</v>
      </c>
      <c r="AH16" s="63">
        <v>45506.77</v>
      </c>
      <c r="AI16" s="130">
        <f t="shared" si="15"/>
        <v>11.850000000005821</v>
      </c>
      <c r="AJ16" s="63">
        <v>47642.18</v>
      </c>
      <c r="AK16" s="130">
        <f t="shared" si="16"/>
        <v>8.3700000000026193</v>
      </c>
      <c r="AL16" s="63">
        <v>585.34</v>
      </c>
      <c r="AM16" s="130" t="str">
        <f t="shared" si="17"/>
        <v/>
      </c>
      <c r="AN16" s="63">
        <v>546.38</v>
      </c>
      <c r="AO16" s="130" t="str">
        <f t="shared" si="3"/>
        <v/>
      </c>
      <c r="AP16" s="125" t="str">
        <f t="shared" si="18"/>
        <v>ME</v>
      </c>
      <c r="AQ16" s="56">
        <v>9</v>
      </c>
      <c r="AR16" s="63">
        <v>6539.16</v>
      </c>
      <c r="AS16" s="130">
        <f t="shared" si="19"/>
        <v>1.680000000000291</v>
      </c>
      <c r="AT16" s="63">
        <v>7250.48</v>
      </c>
      <c r="AU16" s="130">
        <f t="shared" si="20"/>
        <v>2.25</v>
      </c>
      <c r="AV16" s="63">
        <v>249.01</v>
      </c>
      <c r="AW16" s="130" t="str">
        <f t="shared" si="21"/>
        <v/>
      </c>
      <c r="AX16" s="63">
        <v>237.14</v>
      </c>
      <c r="AY16" s="130" t="str">
        <f t="shared" si="4"/>
        <v/>
      </c>
      <c r="AZ16" s="125" t="str">
        <f t="shared" si="22"/>
        <v>ME</v>
      </c>
      <c r="BA16" s="56">
        <v>9</v>
      </c>
      <c r="BB16" s="64">
        <v>0.52</v>
      </c>
      <c r="BC16" s="62">
        <v>27</v>
      </c>
      <c r="BD16" s="61">
        <v>7.2</v>
      </c>
      <c r="BE16" s="61">
        <v>2.7</v>
      </c>
      <c r="BF16" s="61">
        <v>16.7</v>
      </c>
      <c r="BG16" s="61">
        <v>7.2</v>
      </c>
      <c r="BH16" s="64">
        <v>0.30299999999999999</v>
      </c>
      <c r="BI16" s="64">
        <v>0.34100000000000003</v>
      </c>
      <c r="BJ16" s="64">
        <v>4.5999999999999999E-2</v>
      </c>
      <c r="BK16" s="64">
        <v>6.6000000000000003E-2</v>
      </c>
      <c r="BL16" s="64">
        <v>4.7E-2</v>
      </c>
      <c r="BM16" s="64">
        <v>5.1999999999999998E-2</v>
      </c>
      <c r="BN16" s="65" t="str">
        <f t="shared" si="23"/>
        <v>ME</v>
      </c>
      <c r="BO16" s="56">
        <v>9</v>
      </c>
      <c r="BP16" s="64">
        <v>8.3000000000000004E-2</v>
      </c>
      <c r="BQ16" s="62">
        <v>0</v>
      </c>
      <c r="BR16" s="61">
        <v>7.3</v>
      </c>
      <c r="BS16" s="61">
        <v>6.4</v>
      </c>
      <c r="BT16" s="61">
        <v>18.2</v>
      </c>
      <c r="BU16" s="64">
        <v>1.6E-2</v>
      </c>
      <c r="BV16" s="63">
        <v>1.28</v>
      </c>
      <c r="BW16" s="63">
        <v>1.1599999999999999</v>
      </c>
      <c r="BX16" s="66" t="s">
        <v>245</v>
      </c>
      <c r="BY16" s="172" t="s">
        <v>246</v>
      </c>
      <c r="BZ16" s="67" t="str">
        <f t="shared" si="24"/>
        <v>ME</v>
      </c>
      <c r="CA16" s="56">
        <v>9</v>
      </c>
      <c r="CB16" s="61">
        <v>95.3</v>
      </c>
      <c r="CC16" s="61"/>
      <c r="CD16" s="68">
        <f t="shared" si="25"/>
        <v>1.3999999999999915</v>
      </c>
      <c r="CE16" s="69">
        <f t="shared" si="26"/>
        <v>6.5159709999999604</v>
      </c>
      <c r="CF16" s="69">
        <f t="shared" si="27"/>
        <v>4.7677836585365565</v>
      </c>
      <c r="CG16" s="62">
        <v>57</v>
      </c>
      <c r="CH16" s="62">
        <v>100</v>
      </c>
      <c r="CI16" s="65" t="str">
        <f t="shared" si="28"/>
        <v>ME</v>
      </c>
      <c r="CJ16" s="56">
        <v>9</v>
      </c>
      <c r="CK16" s="61">
        <v>95.3</v>
      </c>
      <c r="CL16" s="61"/>
      <c r="CM16" s="68">
        <f t="shared" si="29"/>
        <v>2.2999999999999972</v>
      </c>
      <c r="CN16" s="69">
        <f t="shared" si="30"/>
        <v>10.704809499999987</v>
      </c>
      <c r="CO16" s="68">
        <f t="shared" si="31"/>
        <v>22.286740825523534</v>
      </c>
      <c r="CP16" s="62">
        <v>53</v>
      </c>
      <c r="CQ16" s="62">
        <v>83</v>
      </c>
      <c r="CR16" s="65" t="str">
        <f t="shared" si="32"/>
        <v>ME</v>
      </c>
      <c r="CS16" s="56">
        <v>9</v>
      </c>
      <c r="CT16" s="61">
        <v>91.5</v>
      </c>
      <c r="CU16" s="61"/>
      <c r="CV16" s="68">
        <f t="shared" si="33"/>
        <v>2</v>
      </c>
      <c r="CW16" s="68">
        <f t="shared" si="34"/>
        <v>13.28848</v>
      </c>
      <c r="CX16" s="69">
        <f t="shared" si="35"/>
        <v>6.9573193717277493E-2</v>
      </c>
      <c r="CY16" s="66" t="s">
        <v>240</v>
      </c>
      <c r="CZ16" s="66" t="s">
        <v>241</v>
      </c>
      <c r="DA16" s="66"/>
      <c r="DB16" s="65" t="str">
        <f t="shared" si="36"/>
        <v>ME</v>
      </c>
      <c r="DC16" s="56">
        <v>9</v>
      </c>
      <c r="DD16" s="61">
        <v>94.5</v>
      </c>
      <c r="DE16" s="61"/>
      <c r="DF16" s="68">
        <f t="shared" si="37"/>
        <v>20.799999999999997</v>
      </c>
      <c r="DG16" s="69">
        <f t="shared" si="38"/>
        <v>1.1221855590399998</v>
      </c>
      <c r="DH16" s="68">
        <f t="shared" si="39"/>
        <v>5.8753170630366487</v>
      </c>
      <c r="DI16" s="62">
        <v>89</v>
      </c>
      <c r="DJ16" s="62">
        <v>54</v>
      </c>
      <c r="DK16" s="65" t="str">
        <f t="shared" si="40"/>
        <v>ME</v>
      </c>
      <c r="DL16" s="56">
        <v>9</v>
      </c>
      <c r="DM16" s="63">
        <v>8.4700000000000006</v>
      </c>
      <c r="DN16" s="64">
        <v>1.7000000000000001E-2</v>
      </c>
      <c r="DO16" s="64">
        <v>3.5000000000000003E-2</v>
      </c>
      <c r="DP16" s="64">
        <v>5.3999999999999999E-2</v>
      </c>
      <c r="DQ16" s="63">
        <v>6.78</v>
      </c>
      <c r="DR16" s="61">
        <v>6.4</v>
      </c>
      <c r="DS16" s="64">
        <v>1.2889999999999999</v>
      </c>
      <c r="DT16" s="61">
        <v>86.5</v>
      </c>
      <c r="DU16" s="63">
        <v>4.17</v>
      </c>
      <c r="DV16" s="64">
        <v>1.883</v>
      </c>
      <c r="DW16" s="64">
        <v>0.81200000000000006</v>
      </c>
      <c r="DX16" s="66" t="s">
        <v>242</v>
      </c>
      <c r="DY16" s="65" t="str">
        <f t="shared" si="41"/>
        <v>ME</v>
      </c>
      <c r="DZ16" s="128">
        <v>9</v>
      </c>
      <c r="EA16" s="173">
        <f t="shared" si="42"/>
        <v>0.12767379679144386</v>
      </c>
      <c r="EB16" s="173">
        <f t="shared" si="43"/>
        <v>0.13529411764705881</v>
      </c>
      <c r="EC16" s="173">
        <f t="shared" si="44"/>
        <v>0.8586387434554974</v>
      </c>
      <c r="ED16" s="63">
        <v>0.94</v>
      </c>
      <c r="EE16" s="63">
        <v>1.32</v>
      </c>
      <c r="EF16" s="63">
        <v>0.03</v>
      </c>
      <c r="EG16" s="63">
        <v>0.04</v>
      </c>
      <c r="EH16" s="127" t="str">
        <f t="shared" si="5"/>
        <v>ME</v>
      </c>
      <c r="EI16" s="56">
        <v>9</v>
      </c>
      <c r="EJ16" s="334"/>
      <c r="EK16" s="334"/>
      <c r="EL16" s="334"/>
      <c r="EM16" s="334"/>
      <c r="EN16" s="334"/>
      <c r="EO16" s="334"/>
      <c r="EP16" s="334"/>
      <c r="EQ16" s="65" t="str">
        <f t="shared" si="45"/>
        <v>ME</v>
      </c>
      <c r="ER16" s="20"/>
      <c r="ES16" s="20"/>
      <c r="ET16" s="20"/>
      <c r="EU16" s="20"/>
      <c r="EV16" s="20"/>
      <c r="EW16" s="20"/>
      <c r="EX16" s="20"/>
    </row>
    <row r="17" spans="1:154" s="3" customFormat="1" ht="17.149999999999999" customHeight="1" x14ac:dyDescent="0.25">
      <c r="A17" s="56">
        <v>10</v>
      </c>
      <c r="B17" s="57">
        <v>867323</v>
      </c>
      <c r="C17" s="58">
        <f t="shared" si="6"/>
        <v>247</v>
      </c>
      <c r="D17" s="167">
        <v>9.51</v>
      </c>
      <c r="E17" s="57">
        <v>771613</v>
      </c>
      <c r="F17" s="58">
        <f t="shared" si="7"/>
        <v>267</v>
      </c>
      <c r="G17" s="168">
        <v>2.79</v>
      </c>
      <c r="H17" s="57">
        <v>734184</v>
      </c>
      <c r="I17" s="58">
        <f t="shared" si="0"/>
        <v>215</v>
      </c>
      <c r="J17" s="60" t="s">
        <v>194</v>
      </c>
      <c r="K17" s="56">
        <v>10</v>
      </c>
      <c r="L17" s="57">
        <v>67904</v>
      </c>
      <c r="M17" s="58" t="str">
        <f t="shared" si="8"/>
        <v/>
      </c>
      <c r="N17" s="57">
        <v>171545</v>
      </c>
      <c r="O17" s="58">
        <f t="shared" si="9"/>
        <v>57</v>
      </c>
      <c r="P17" s="57">
        <v>194713</v>
      </c>
      <c r="Q17" s="169" t="str">
        <f t="shared" si="1"/>
        <v/>
      </c>
      <c r="R17" s="57">
        <v>657</v>
      </c>
      <c r="S17" s="57">
        <v>666</v>
      </c>
      <c r="T17" s="57">
        <v>137</v>
      </c>
      <c r="U17" s="57">
        <v>134</v>
      </c>
      <c r="V17" s="58" t="str">
        <f t="shared" si="10"/>
        <v>ME</v>
      </c>
      <c r="W17" s="56">
        <v>10</v>
      </c>
      <c r="X17" s="63">
        <v>11416.5</v>
      </c>
      <c r="Y17" s="130">
        <f t="shared" si="11"/>
        <v>4.6499999999996362</v>
      </c>
      <c r="Z17" s="63">
        <v>12185.52</v>
      </c>
      <c r="AA17" s="130">
        <f t="shared" si="12"/>
        <v>2.5</v>
      </c>
      <c r="AB17" s="63">
        <v>9643.5</v>
      </c>
      <c r="AC17" s="130">
        <f t="shared" si="13"/>
        <v>1.9799999999995634</v>
      </c>
      <c r="AD17" s="63">
        <v>9731.0400000000009</v>
      </c>
      <c r="AE17" s="130">
        <f t="shared" si="2"/>
        <v>3.4799999999995634</v>
      </c>
      <c r="AF17" s="125" t="str">
        <f t="shared" si="14"/>
        <v>ME</v>
      </c>
      <c r="AG17" s="56">
        <v>10</v>
      </c>
      <c r="AH17" s="63">
        <v>45518.62</v>
      </c>
      <c r="AI17" s="130">
        <f t="shared" si="15"/>
        <v>11.849999999998545</v>
      </c>
      <c r="AJ17" s="63">
        <v>47650.55</v>
      </c>
      <c r="AK17" s="130">
        <f t="shared" si="16"/>
        <v>15.639999999999418</v>
      </c>
      <c r="AL17" s="63">
        <v>585.34</v>
      </c>
      <c r="AM17" s="130" t="str">
        <f t="shared" si="17"/>
        <v/>
      </c>
      <c r="AN17" s="63">
        <v>546.38</v>
      </c>
      <c r="AO17" s="130" t="str">
        <f t="shared" si="3"/>
        <v/>
      </c>
      <c r="AP17" s="125" t="str">
        <f t="shared" si="18"/>
        <v>ME</v>
      </c>
      <c r="AQ17" s="56">
        <v>10</v>
      </c>
      <c r="AR17" s="63">
        <v>6540.84</v>
      </c>
      <c r="AS17" s="130">
        <f t="shared" si="19"/>
        <v>2.8000000000001819</v>
      </c>
      <c r="AT17" s="63">
        <v>7252.73</v>
      </c>
      <c r="AU17" s="130">
        <f t="shared" si="20"/>
        <v>2.3200000000006185</v>
      </c>
      <c r="AV17" s="63">
        <v>249.01</v>
      </c>
      <c r="AW17" s="130" t="str">
        <f t="shared" si="21"/>
        <v/>
      </c>
      <c r="AX17" s="63">
        <v>237.14</v>
      </c>
      <c r="AY17" s="130" t="str">
        <f t="shared" si="4"/>
        <v/>
      </c>
      <c r="AZ17" s="125" t="str">
        <f t="shared" si="22"/>
        <v>ME</v>
      </c>
      <c r="BA17" s="56">
        <v>10</v>
      </c>
      <c r="BB17" s="64">
        <v>0.60599999999999998</v>
      </c>
      <c r="BC17" s="62">
        <v>5</v>
      </c>
      <c r="BD17" s="61">
        <v>7.2</v>
      </c>
      <c r="BE17" s="61">
        <v>2.7</v>
      </c>
      <c r="BF17" s="61">
        <v>16.8</v>
      </c>
      <c r="BG17" s="61">
        <v>7.2</v>
      </c>
      <c r="BH17" s="64">
        <v>0.24199999999999999</v>
      </c>
      <c r="BI17" s="64">
        <v>0.24399999999999999</v>
      </c>
      <c r="BJ17" s="64">
        <v>6.7000000000000004E-2</v>
      </c>
      <c r="BK17" s="64">
        <v>4.7E-2</v>
      </c>
      <c r="BL17" s="64">
        <v>4.7E-2</v>
      </c>
      <c r="BM17" s="64">
        <v>5.0999999999999997E-2</v>
      </c>
      <c r="BN17" s="65" t="str">
        <f t="shared" si="23"/>
        <v>ME</v>
      </c>
      <c r="BO17" s="56">
        <v>10</v>
      </c>
      <c r="BP17" s="64">
        <v>6.9000000000000006E-2</v>
      </c>
      <c r="BQ17" s="62">
        <v>0</v>
      </c>
      <c r="BR17" s="61">
        <v>7.2</v>
      </c>
      <c r="BS17" s="61">
        <v>6.4</v>
      </c>
      <c r="BT17" s="61">
        <v>18.600000000000001</v>
      </c>
      <c r="BU17" s="64">
        <v>8.9999999999999993E-3</v>
      </c>
      <c r="BV17" s="63">
        <v>1.25</v>
      </c>
      <c r="BW17" s="63">
        <v>1.06</v>
      </c>
      <c r="BX17" s="66" t="s">
        <v>285</v>
      </c>
      <c r="BY17" s="172" t="s">
        <v>246</v>
      </c>
      <c r="BZ17" s="67" t="str">
        <f t="shared" si="24"/>
        <v>ME</v>
      </c>
      <c r="CA17" s="56">
        <v>10</v>
      </c>
      <c r="CB17" s="61">
        <v>93.9</v>
      </c>
      <c r="CC17" s="61"/>
      <c r="CD17" s="68">
        <f t="shared" si="25"/>
        <v>1.4000000000000057</v>
      </c>
      <c r="CE17" s="69">
        <f t="shared" si="26"/>
        <v>6.515971000000027</v>
      </c>
      <c r="CF17" s="69">
        <f t="shared" si="27"/>
        <v>3.6368210232558287</v>
      </c>
      <c r="CG17" s="62">
        <v>50</v>
      </c>
      <c r="CH17" s="62">
        <v>100</v>
      </c>
      <c r="CI17" s="65" t="str">
        <f t="shared" si="28"/>
        <v>ME</v>
      </c>
      <c r="CJ17" s="56">
        <v>10</v>
      </c>
      <c r="CK17" s="61">
        <v>93</v>
      </c>
      <c r="CL17" s="61"/>
      <c r="CM17" s="68">
        <f t="shared" si="29"/>
        <v>2.9000000000000057</v>
      </c>
      <c r="CN17" s="69">
        <f t="shared" si="30"/>
        <v>13.497368500000027</v>
      </c>
      <c r="CO17" s="68">
        <f t="shared" si="31"/>
        <v>21.729670380668061</v>
      </c>
      <c r="CP17" s="62">
        <v>53</v>
      </c>
      <c r="CQ17" s="62">
        <v>83</v>
      </c>
      <c r="CR17" s="65" t="str">
        <f t="shared" si="32"/>
        <v>ME</v>
      </c>
      <c r="CS17" s="56">
        <v>10</v>
      </c>
      <c r="CT17" s="61">
        <v>89.5</v>
      </c>
      <c r="CU17" s="61"/>
      <c r="CV17" s="68">
        <f t="shared" si="33"/>
        <v>2.5999999999999943</v>
      </c>
      <c r="CW17" s="68">
        <f t="shared" si="34"/>
        <v>17.275023999999963</v>
      </c>
      <c r="CX17" s="69">
        <f t="shared" si="35"/>
        <v>6.9939368421052486E-2</v>
      </c>
      <c r="CY17" s="66" t="s">
        <v>240</v>
      </c>
      <c r="CZ17" s="66" t="s">
        <v>241</v>
      </c>
      <c r="DA17" s="66"/>
      <c r="DB17" s="65" t="str">
        <f t="shared" si="36"/>
        <v>ME</v>
      </c>
      <c r="DC17" s="56">
        <v>10</v>
      </c>
      <c r="DD17" s="61">
        <v>73.7</v>
      </c>
      <c r="DE17" s="61">
        <v>101.8</v>
      </c>
      <c r="DF17" s="68">
        <f t="shared" si="37"/>
        <v>26.700000000000003</v>
      </c>
      <c r="DG17" s="69">
        <f t="shared" si="38"/>
        <v>1.4404978089600002</v>
      </c>
      <c r="DH17" s="68">
        <f t="shared" si="39"/>
        <v>5.8319749350607291</v>
      </c>
      <c r="DI17" s="62">
        <v>89</v>
      </c>
      <c r="DJ17" s="62">
        <v>54</v>
      </c>
      <c r="DK17" s="65" t="str">
        <f t="shared" si="40"/>
        <v>ME</v>
      </c>
      <c r="DL17" s="56">
        <v>10</v>
      </c>
      <c r="DM17" s="63">
        <v>8.84</v>
      </c>
      <c r="DN17" s="64">
        <v>1.9E-2</v>
      </c>
      <c r="DO17" s="64">
        <v>3.3000000000000002E-2</v>
      </c>
      <c r="DP17" s="64">
        <v>4.9000000000000002E-2</v>
      </c>
      <c r="DQ17" s="63">
        <v>6.79</v>
      </c>
      <c r="DR17" s="61">
        <v>6.4</v>
      </c>
      <c r="DS17" s="64">
        <v>1.3120000000000001</v>
      </c>
      <c r="DT17" s="61">
        <v>86.1</v>
      </c>
      <c r="DU17" s="63">
        <v>4.2</v>
      </c>
      <c r="DV17" s="64">
        <v>1.5840000000000001</v>
      </c>
      <c r="DW17" s="64">
        <v>0.442</v>
      </c>
      <c r="DX17" s="66" t="s">
        <v>242</v>
      </c>
      <c r="DY17" s="65" t="str">
        <f t="shared" si="41"/>
        <v>ME</v>
      </c>
      <c r="DZ17" s="128">
        <v>10</v>
      </c>
      <c r="EA17" s="173">
        <f t="shared" si="42"/>
        <v>0.16510695187165775</v>
      </c>
      <c r="EB17" s="173">
        <f t="shared" si="43"/>
        <v>0.1963235294117647</v>
      </c>
      <c r="EC17" s="173">
        <f t="shared" si="44"/>
        <v>0.87044534412955465</v>
      </c>
      <c r="ED17" s="63">
        <v>1.26</v>
      </c>
      <c r="EE17" s="63">
        <v>1.33</v>
      </c>
      <c r="EF17" s="63">
        <v>0.03</v>
      </c>
      <c r="EG17" s="63">
        <v>0.03</v>
      </c>
      <c r="EH17" s="127" t="str">
        <f t="shared" si="5"/>
        <v>ME</v>
      </c>
      <c r="EI17" s="56">
        <v>10</v>
      </c>
      <c r="EJ17" s="334"/>
      <c r="EK17" s="334"/>
      <c r="EL17" s="334"/>
      <c r="EM17" s="334"/>
      <c r="EN17" s="334"/>
      <c r="EO17" s="334"/>
      <c r="EP17" s="334"/>
      <c r="EQ17" s="65" t="str">
        <f t="shared" si="45"/>
        <v>ME</v>
      </c>
      <c r="ER17" s="20"/>
      <c r="ES17" s="20"/>
      <c r="ET17" s="20"/>
      <c r="EU17" s="20"/>
      <c r="EV17" s="20"/>
      <c r="EW17" s="20"/>
      <c r="EX17" s="20"/>
    </row>
    <row r="18" spans="1:154" s="3" customFormat="1" ht="17.149999999999999" customHeight="1" x14ac:dyDescent="0.25">
      <c r="A18" s="56">
        <v>11</v>
      </c>
      <c r="B18" s="57">
        <v>867570</v>
      </c>
      <c r="C18" s="58">
        <f t="shared" si="6"/>
        <v>233</v>
      </c>
      <c r="D18" s="167">
        <v>8.83</v>
      </c>
      <c r="E18" s="57">
        <v>771880</v>
      </c>
      <c r="F18" s="58">
        <f t="shared" si="7"/>
        <v>223</v>
      </c>
      <c r="G18" s="168">
        <v>2.62</v>
      </c>
      <c r="H18" s="57">
        <v>734399</v>
      </c>
      <c r="I18" s="58">
        <f t="shared" si="0"/>
        <v>170</v>
      </c>
      <c r="J18" s="60" t="s">
        <v>194</v>
      </c>
      <c r="K18" s="56">
        <v>11</v>
      </c>
      <c r="L18" s="57">
        <v>67904</v>
      </c>
      <c r="M18" s="58">
        <f t="shared" si="8"/>
        <v>40</v>
      </c>
      <c r="N18" s="57">
        <v>171602</v>
      </c>
      <c r="O18" s="58">
        <f t="shared" si="9"/>
        <v>49</v>
      </c>
      <c r="P18" s="57">
        <v>194713</v>
      </c>
      <c r="Q18" s="169" t="str">
        <f t="shared" si="1"/>
        <v/>
      </c>
      <c r="R18" s="57">
        <v>657</v>
      </c>
      <c r="S18" s="57">
        <v>666</v>
      </c>
      <c r="T18" s="57">
        <v>137</v>
      </c>
      <c r="U18" s="57">
        <v>134</v>
      </c>
      <c r="V18" s="58" t="str">
        <f t="shared" si="10"/>
        <v>ME</v>
      </c>
      <c r="W18" s="56">
        <v>11</v>
      </c>
      <c r="X18" s="63">
        <v>11421.15</v>
      </c>
      <c r="Y18" s="130">
        <f t="shared" si="11"/>
        <v>4.25</v>
      </c>
      <c r="Z18" s="63">
        <v>12188.02</v>
      </c>
      <c r="AA18" s="130">
        <f t="shared" si="12"/>
        <v>2.75</v>
      </c>
      <c r="AB18" s="63">
        <v>9645.48</v>
      </c>
      <c r="AC18" s="130">
        <f t="shared" si="13"/>
        <v>4.0799999999999272</v>
      </c>
      <c r="AD18" s="63">
        <v>9734.52</v>
      </c>
      <c r="AE18" s="130">
        <f t="shared" si="2"/>
        <v>0.44999999999890861</v>
      </c>
      <c r="AF18" s="125" t="str">
        <f t="shared" si="14"/>
        <v>ME</v>
      </c>
      <c r="AG18" s="56">
        <v>11</v>
      </c>
      <c r="AH18" s="63">
        <v>45530.47</v>
      </c>
      <c r="AI18" s="130">
        <f t="shared" si="15"/>
        <v>12.150000000001455</v>
      </c>
      <c r="AJ18" s="63">
        <v>47666.19</v>
      </c>
      <c r="AK18" s="130">
        <f t="shared" si="16"/>
        <v>11.889999999999418</v>
      </c>
      <c r="AL18" s="63">
        <v>585.34</v>
      </c>
      <c r="AM18" s="130" t="str">
        <f t="shared" si="17"/>
        <v/>
      </c>
      <c r="AN18" s="63">
        <v>546.38</v>
      </c>
      <c r="AO18" s="130" t="str">
        <f t="shared" si="3"/>
        <v/>
      </c>
      <c r="AP18" s="125" t="str">
        <f t="shared" si="18"/>
        <v>ME</v>
      </c>
      <c r="AQ18" s="56">
        <v>11</v>
      </c>
      <c r="AR18" s="63">
        <v>6543.64</v>
      </c>
      <c r="AS18" s="130">
        <f t="shared" si="19"/>
        <v>2.2100000000000364</v>
      </c>
      <c r="AT18" s="63">
        <v>7255.05</v>
      </c>
      <c r="AU18" s="130">
        <f t="shared" si="20"/>
        <v>2.3699999999998909</v>
      </c>
      <c r="AV18" s="63">
        <v>249.01</v>
      </c>
      <c r="AW18" s="130">
        <f t="shared" si="21"/>
        <v>0.34000000000000341</v>
      </c>
      <c r="AX18" s="63">
        <v>237.14</v>
      </c>
      <c r="AY18" s="130" t="str">
        <f t="shared" si="4"/>
        <v/>
      </c>
      <c r="AZ18" s="125" t="str">
        <f t="shared" si="22"/>
        <v>ME</v>
      </c>
      <c r="BA18" s="56">
        <v>11</v>
      </c>
      <c r="BB18" s="64">
        <v>0.61899999999999999</v>
      </c>
      <c r="BC18" s="62">
        <v>9</v>
      </c>
      <c r="BD18" s="61">
        <v>7.2</v>
      </c>
      <c r="BE18" s="61">
        <v>2.7</v>
      </c>
      <c r="BF18" s="61">
        <v>15.4</v>
      </c>
      <c r="BG18" s="61">
        <v>7.2</v>
      </c>
      <c r="BH18" s="64">
        <v>0.22500000000000001</v>
      </c>
      <c r="BI18" s="64">
        <v>0.23100000000000001</v>
      </c>
      <c r="BJ18" s="64">
        <v>0.05</v>
      </c>
      <c r="BK18" s="64">
        <v>6.8000000000000005E-2</v>
      </c>
      <c r="BL18" s="64">
        <v>4.8000000000000001E-2</v>
      </c>
      <c r="BM18" s="64">
        <v>5.7000000000000002E-2</v>
      </c>
      <c r="BN18" s="65" t="str">
        <f t="shared" si="23"/>
        <v>ME</v>
      </c>
      <c r="BO18" s="56">
        <v>11</v>
      </c>
      <c r="BP18" s="64">
        <v>6.8000000000000005E-2</v>
      </c>
      <c r="BQ18" s="62">
        <v>0</v>
      </c>
      <c r="BR18" s="61">
        <v>7.3</v>
      </c>
      <c r="BS18" s="61">
        <v>6.3</v>
      </c>
      <c r="BT18" s="61">
        <v>18.8</v>
      </c>
      <c r="BU18" s="64">
        <v>1.2E-2</v>
      </c>
      <c r="BV18" s="63">
        <v>1.26</v>
      </c>
      <c r="BW18" s="63">
        <v>1.1100000000000001</v>
      </c>
      <c r="BX18" s="66" t="s">
        <v>245</v>
      </c>
      <c r="BY18" s="172" t="s">
        <v>246</v>
      </c>
      <c r="BZ18" s="67" t="str">
        <f t="shared" si="24"/>
        <v>ME</v>
      </c>
      <c r="CA18" s="56">
        <v>11</v>
      </c>
      <c r="CB18" s="61">
        <v>92.5</v>
      </c>
      <c r="CC18" s="61"/>
      <c r="CD18" s="68">
        <f t="shared" si="25"/>
        <v>1.2999999999999972</v>
      </c>
      <c r="CE18" s="69">
        <f t="shared" si="26"/>
        <v>6.0505444999999876</v>
      </c>
      <c r="CF18" s="69">
        <f t="shared" si="27"/>
        <v>4.2709725882352849</v>
      </c>
      <c r="CG18" s="62">
        <v>50</v>
      </c>
      <c r="CH18" s="62">
        <v>100</v>
      </c>
      <c r="CI18" s="65" t="str">
        <f t="shared" si="28"/>
        <v>ME</v>
      </c>
      <c r="CJ18" s="56">
        <v>11</v>
      </c>
      <c r="CK18" s="61">
        <v>90.1</v>
      </c>
      <c r="CL18" s="61"/>
      <c r="CM18" s="68">
        <f t="shared" si="29"/>
        <v>3</v>
      </c>
      <c r="CN18" s="69">
        <f t="shared" si="30"/>
        <v>13.962795000000002</v>
      </c>
      <c r="CO18" s="68">
        <f t="shared" si="31"/>
        <v>23.829637046137343</v>
      </c>
      <c r="CP18" s="62">
        <v>50</v>
      </c>
      <c r="CQ18" s="62">
        <v>83</v>
      </c>
      <c r="CR18" s="65" t="str">
        <f t="shared" si="32"/>
        <v>ME</v>
      </c>
      <c r="CS18" s="56">
        <v>11</v>
      </c>
      <c r="CT18" s="61">
        <v>86.9</v>
      </c>
      <c r="CU18" s="61">
        <v>112.8</v>
      </c>
      <c r="CV18" s="68">
        <f t="shared" si="33"/>
        <v>2.3999999999999915</v>
      </c>
      <c r="CW18" s="68">
        <f t="shared" si="34"/>
        <v>15.946175999999943</v>
      </c>
      <c r="CX18" s="69">
        <f t="shared" si="35"/>
        <v>6.8438523605149973E-2</v>
      </c>
      <c r="CY18" s="66" t="s">
        <v>256</v>
      </c>
      <c r="CZ18" s="66" t="s">
        <v>241</v>
      </c>
      <c r="DA18" s="66"/>
      <c r="DB18" s="65" t="str">
        <f t="shared" si="36"/>
        <v>ME</v>
      </c>
      <c r="DC18" s="56">
        <v>11</v>
      </c>
      <c r="DD18" s="61">
        <v>75.099999999999994</v>
      </c>
      <c r="DE18" s="61">
        <v>103.8</v>
      </c>
      <c r="DF18" s="68">
        <f t="shared" si="37"/>
        <v>13.700000000000003</v>
      </c>
      <c r="DG18" s="69">
        <f t="shared" si="38"/>
        <v>0.7391318345600002</v>
      </c>
      <c r="DH18" s="68">
        <f t="shared" si="39"/>
        <v>3.1722396333047223</v>
      </c>
      <c r="DI18" s="62">
        <v>87</v>
      </c>
      <c r="DJ18" s="62">
        <v>54</v>
      </c>
      <c r="DK18" s="65" t="str">
        <f t="shared" si="40"/>
        <v>ME</v>
      </c>
      <c r="DL18" s="56">
        <v>11</v>
      </c>
      <c r="DM18" s="63">
        <v>8.64</v>
      </c>
      <c r="DN18" s="64">
        <v>2.1999999999999999E-2</v>
      </c>
      <c r="DO18" s="64">
        <v>3.3000000000000002E-2</v>
      </c>
      <c r="DP18" s="64">
        <v>4.5999999999999999E-2</v>
      </c>
      <c r="DQ18" s="63">
        <v>6.78</v>
      </c>
      <c r="DR18" s="61">
        <v>6.3</v>
      </c>
      <c r="DS18" s="64">
        <v>1.3049999999999999</v>
      </c>
      <c r="DT18" s="61">
        <v>86</v>
      </c>
      <c r="DU18" s="63">
        <v>4.18</v>
      </c>
      <c r="DV18" s="64">
        <v>0.83</v>
      </c>
      <c r="DW18" s="64">
        <v>0.501</v>
      </c>
      <c r="DX18" s="66" t="s">
        <v>242</v>
      </c>
      <c r="DY18" s="65" t="str">
        <f t="shared" si="41"/>
        <v>ME</v>
      </c>
      <c r="DZ18" s="128">
        <v>11</v>
      </c>
      <c r="EA18" s="173">
        <f t="shared" si="42"/>
        <v>0.15574866310160429</v>
      </c>
      <c r="EB18" s="173">
        <f t="shared" si="43"/>
        <v>0.16397058823529412</v>
      </c>
      <c r="EC18" s="173">
        <f t="shared" si="44"/>
        <v>0.72961373390557938</v>
      </c>
      <c r="ED18" s="63">
        <v>1.2</v>
      </c>
      <c r="EE18" s="63">
        <v>1.32</v>
      </c>
      <c r="EF18" s="63">
        <v>0.04</v>
      </c>
      <c r="EG18" s="63">
        <v>0.06</v>
      </c>
      <c r="EH18" s="127" t="str">
        <f t="shared" si="5"/>
        <v>ME</v>
      </c>
      <c r="EI18" s="56">
        <v>11</v>
      </c>
      <c r="EJ18" s="334"/>
      <c r="EK18" s="334"/>
      <c r="EL18" s="334"/>
      <c r="EM18" s="334"/>
      <c r="EN18" s="334"/>
      <c r="EO18" s="334"/>
      <c r="EP18" s="334"/>
      <c r="EQ18" s="65" t="str">
        <f t="shared" si="45"/>
        <v>ME</v>
      </c>
      <c r="ER18" s="20"/>
      <c r="ES18" s="20"/>
      <c r="ET18" s="20"/>
      <c r="EU18" s="20"/>
      <c r="EV18" s="20"/>
      <c r="EW18" s="20"/>
      <c r="EX18" s="20"/>
    </row>
    <row r="19" spans="1:154" s="3" customFormat="1" ht="17.149999999999999" customHeight="1" x14ac:dyDescent="0.25">
      <c r="A19" s="56">
        <v>12</v>
      </c>
      <c r="B19" s="276">
        <v>867803</v>
      </c>
      <c r="C19" s="58">
        <f t="shared" si="6"/>
        <v>196</v>
      </c>
      <c r="D19" s="167">
        <v>9.39</v>
      </c>
      <c r="E19" s="57">
        <v>772103</v>
      </c>
      <c r="F19" s="58">
        <f t="shared" si="7"/>
        <v>188</v>
      </c>
      <c r="G19" s="168">
        <v>3.41</v>
      </c>
      <c r="H19" s="57">
        <v>734569</v>
      </c>
      <c r="I19" s="58">
        <f t="shared" si="0"/>
        <v>173</v>
      </c>
      <c r="J19" s="60" t="s">
        <v>194</v>
      </c>
      <c r="K19" s="56">
        <v>12</v>
      </c>
      <c r="L19" s="57">
        <v>67944</v>
      </c>
      <c r="M19" s="58" t="str">
        <f t="shared" si="8"/>
        <v/>
      </c>
      <c r="N19" s="57">
        <v>171651</v>
      </c>
      <c r="O19" s="58">
        <f t="shared" si="9"/>
        <v>44</v>
      </c>
      <c r="P19" s="57">
        <v>194713</v>
      </c>
      <c r="Q19" s="169" t="str">
        <f t="shared" si="1"/>
        <v/>
      </c>
      <c r="R19" s="57">
        <v>658</v>
      </c>
      <c r="S19" s="57">
        <v>666</v>
      </c>
      <c r="T19" s="57">
        <v>137</v>
      </c>
      <c r="U19" s="57">
        <v>134</v>
      </c>
      <c r="V19" s="58" t="str">
        <f t="shared" si="10"/>
        <v>ME</v>
      </c>
      <c r="W19" s="56">
        <v>12</v>
      </c>
      <c r="X19" s="63">
        <v>11425.4</v>
      </c>
      <c r="Y19" s="130">
        <f t="shared" si="11"/>
        <v>2.3700000000008004</v>
      </c>
      <c r="Z19" s="63">
        <v>12190.77</v>
      </c>
      <c r="AA19" s="130">
        <f t="shared" si="12"/>
        <v>3.3699999999989814</v>
      </c>
      <c r="AB19" s="63">
        <v>9649.56</v>
      </c>
      <c r="AC19" s="130">
        <f t="shared" si="13"/>
        <v>1.8900000000012369</v>
      </c>
      <c r="AD19" s="63">
        <v>9734.9699999999993</v>
      </c>
      <c r="AE19" s="130">
        <f t="shared" si="2"/>
        <v>2.7200000000011642</v>
      </c>
      <c r="AF19" s="125" t="str">
        <f t="shared" si="14"/>
        <v>ME</v>
      </c>
      <c r="AG19" s="56">
        <v>12</v>
      </c>
      <c r="AH19" s="63">
        <v>45542.62</v>
      </c>
      <c r="AI19" s="130">
        <f t="shared" si="15"/>
        <v>8.1299999999973807</v>
      </c>
      <c r="AJ19" s="63">
        <v>47678.080000000002</v>
      </c>
      <c r="AK19" s="130">
        <f t="shared" si="16"/>
        <v>12.110000000000582</v>
      </c>
      <c r="AL19" s="63">
        <v>585.34</v>
      </c>
      <c r="AM19" s="130" t="str">
        <f t="shared" si="17"/>
        <v/>
      </c>
      <c r="AN19" s="63">
        <v>546.38</v>
      </c>
      <c r="AO19" s="130" t="str">
        <f t="shared" si="3"/>
        <v/>
      </c>
      <c r="AP19" s="125" t="str">
        <f t="shared" si="18"/>
        <v>ME</v>
      </c>
      <c r="AQ19" s="56">
        <v>12</v>
      </c>
      <c r="AR19" s="63">
        <v>6545.85</v>
      </c>
      <c r="AS19" s="130">
        <f t="shared" si="19"/>
        <v>1.9499999999998181</v>
      </c>
      <c r="AT19" s="63">
        <v>7257.42</v>
      </c>
      <c r="AU19" s="130">
        <f t="shared" si="20"/>
        <v>2.0500000000001819</v>
      </c>
      <c r="AV19" s="63">
        <v>249.35</v>
      </c>
      <c r="AW19" s="130" t="str">
        <f t="shared" si="21"/>
        <v/>
      </c>
      <c r="AX19" s="63">
        <v>237.14</v>
      </c>
      <c r="AY19" s="130" t="str">
        <f t="shared" si="4"/>
        <v/>
      </c>
      <c r="AZ19" s="125" t="str">
        <f t="shared" si="22"/>
        <v>ME</v>
      </c>
      <c r="BA19" s="56">
        <v>12</v>
      </c>
      <c r="BB19" s="64">
        <v>0.61799999999999999</v>
      </c>
      <c r="BC19" s="62">
        <v>31</v>
      </c>
      <c r="BD19" s="61">
        <v>7.3</v>
      </c>
      <c r="BE19" s="61">
        <v>2.7</v>
      </c>
      <c r="BF19" s="61">
        <v>15.9</v>
      </c>
      <c r="BG19" s="61">
        <v>7.3</v>
      </c>
      <c r="BH19" s="64">
        <v>0.22</v>
      </c>
      <c r="BI19" s="64">
        <v>0.22600000000000001</v>
      </c>
      <c r="BJ19" s="64">
        <v>4.5999999999999999E-2</v>
      </c>
      <c r="BK19" s="64">
        <v>4.8000000000000001E-2</v>
      </c>
      <c r="BL19" s="64">
        <v>4.8000000000000001E-2</v>
      </c>
      <c r="BM19" s="64">
        <v>0.06</v>
      </c>
      <c r="BN19" s="65" t="str">
        <f t="shared" si="23"/>
        <v>ME</v>
      </c>
      <c r="BO19" s="56">
        <v>12</v>
      </c>
      <c r="BP19" s="64">
        <v>6.9000000000000006E-2</v>
      </c>
      <c r="BQ19" s="62">
        <v>0</v>
      </c>
      <c r="BR19" s="61">
        <v>7.3</v>
      </c>
      <c r="BS19" s="61">
        <v>6.8</v>
      </c>
      <c r="BT19" s="61">
        <v>19.100000000000001</v>
      </c>
      <c r="BU19" s="64">
        <v>1.2999999999999999E-2</v>
      </c>
      <c r="BV19" s="63">
        <v>1.23</v>
      </c>
      <c r="BW19" s="63">
        <v>1.1200000000000001</v>
      </c>
      <c r="BX19" s="66" t="s">
        <v>245</v>
      </c>
      <c r="BY19" s="172" t="s">
        <v>246</v>
      </c>
      <c r="BZ19" s="67" t="str">
        <f t="shared" si="24"/>
        <v>ME</v>
      </c>
      <c r="CA19" s="56">
        <v>12</v>
      </c>
      <c r="CB19" s="61">
        <v>91.2</v>
      </c>
      <c r="CC19" s="61"/>
      <c r="CD19" s="68">
        <f t="shared" si="25"/>
        <v>1.4000000000000057</v>
      </c>
      <c r="CE19" s="69">
        <f t="shared" si="26"/>
        <v>6.515971000000027</v>
      </c>
      <c r="CF19" s="69">
        <f t="shared" si="27"/>
        <v>4.5197486705202499</v>
      </c>
      <c r="CG19" s="62">
        <v>49</v>
      </c>
      <c r="CH19" s="62">
        <v>100</v>
      </c>
      <c r="CI19" s="65" t="str">
        <f t="shared" si="28"/>
        <v>ME</v>
      </c>
      <c r="CJ19" s="56">
        <v>12</v>
      </c>
      <c r="CK19" s="61">
        <v>87.1</v>
      </c>
      <c r="CL19" s="61"/>
      <c r="CM19" s="68">
        <f t="shared" si="29"/>
        <v>2.2999999999999972</v>
      </c>
      <c r="CN19" s="69">
        <f t="shared" si="30"/>
        <v>10.704809499999987</v>
      </c>
      <c r="CO19" s="68">
        <f t="shared" si="31"/>
        <v>21.718201518749975</v>
      </c>
      <c r="CP19" s="62">
        <v>52</v>
      </c>
      <c r="CQ19" s="62">
        <v>83</v>
      </c>
      <c r="CR19" s="65" t="str">
        <f t="shared" si="32"/>
        <v>ME</v>
      </c>
      <c r="CS19" s="56">
        <v>12</v>
      </c>
      <c r="CT19" s="61">
        <v>110.4</v>
      </c>
      <c r="CU19" s="61">
        <v>104.8</v>
      </c>
      <c r="CV19" s="68">
        <f t="shared" si="33"/>
        <v>2.0999999999999943</v>
      </c>
      <c r="CW19" s="68">
        <f t="shared" si="34"/>
        <v>13.952903999999963</v>
      </c>
      <c r="CX19" s="69">
        <f t="shared" si="35"/>
        <v>7.1188285714285524E-2</v>
      </c>
      <c r="CY19" s="66" t="s">
        <v>240</v>
      </c>
      <c r="CZ19" s="66" t="s">
        <v>241</v>
      </c>
      <c r="DA19" s="66" t="s">
        <v>242</v>
      </c>
      <c r="DB19" s="65" t="str">
        <f t="shared" si="36"/>
        <v>ME</v>
      </c>
      <c r="DC19" s="56">
        <v>12</v>
      </c>
      <c r="DD19" s="61">
        <v>90.1</v>
      </c>
      <c r="DE19" s="61">
        <v>102.1</v>
      </c>
      <c r="DF19" s="68">
        <f t="shared" si="37"/>
        <v>12</v>
      </c>
      <c r="DG19" s="69">
        <f t="shared" si="38"/>
        <v>0.64741474560000001</v>
      </c>
      <c r="DH19" s="68">
        <f t="shared" si="39"/>
        <v>3.3031364571428576</v>
      </c>
      <c r="DI19" s="62">
        <v>88</v>
      </c>
      <c r="DJ19" s="62">
        <v>54</v>
      </c>
      <c r="DK19" s="65" t="str">
        <f t="shared" si="40"/>
        <v>ME</v>
      </c>
      <c r="DL19" s="56">
        <v>12</v>
      </c>
      <c r="DM19" s="63">
        <v>8.4700000000000006</v>
      </c>
      <c r="DN19" s="64">
        <v>1.9E-2</v>
      </c>
      <c r="DO19" s="64">
        <v>3.2000000000000001E-2</v>
      </c>
      <c r="DP19" s="64">
        <v>4.4999999999999998E-2</v>
      </c>
      <c r="DQ19" s="63">
        <v>6.77</v>
      </c>
      <c r="DR19" s="61">
        <v>6.8</v>
      </c>
      <c r="DS19" s="64">
        <v>1.282</v>
      </c>
      <c r="DT19" s="61">
        <v>85</v>
      </c>
      <c r="DU19" s="63">
        <v>4.13</v>
      </c>
      <c r="DV19" s="64">
        <v>1.5489999999999999</v>
      </c>
      <c r="DW19" s="64">
        <v>0.57699999999999996</v>
      </c>
      <c r="DX19" s="66" t="s">
        <v>242</v>
      </c>
      <c r="DY19" s="65" t="str">
        <f t="shared" si="41"/>
        <v>ME</v>
      </c>
      <c r="DZ19" s="128">
        <v>12</v>
      </c>
      <c r="EA19" s="173">
        <f t="shared" si="42"/>
        <v>0.13101604278074866</v>
      </c>
      <c r="EB19" s="173">
        <f t="shared" si="43"/>
        <v>0.13823529411764707</v>
      </c>
      <c r="EC19" s="173">
        <f t="shared" si="44"/>
        <v>0.88265306122448983</v>
      </c>
      <c r="ED19" s="63">
        <v>1.23</v>
      </c>
      <c r="EE19" s="63">
        <v>1.3</v>
      </c>
      <c r="EF19" s="63">
        <v>0.04</v>
      </c>
      <c r="EG19" s="63">
        <v>0.05</v>
      </c>
      <c r="EH19" s="127" t="str">
        <f t="shared" si="5"/>
        <v>ME</v>
      </c>
      <c r="EI19" s="56">
        <v>12</v>
      </c>
      <c r="EJ19" s="334"/>
      <c r="EK19" s="334"/>
      <c r="EL19" s="334"/>
      <c r="EM19" s="334"/>
      <c r="EN19" s="334"/>
      <c r="EO19" s="334"/>
      <c r="EP19" s="334"/>
      <c r="EQ19" s="65" t="str">
        <f t="shared" si="45"/>
        <v>ME</v>
      </c>
      <c r="ER19" s="20"/>
      <c r="ES19" s="20"/>
      <c r="ET19" s="20"/>
      <c r="EU19" s="20"/>
      <c r="EV19" s="20"/>
      <c r="EW19" s="20"/>
      <c r="EX19" s="20"/>
    </row>
    <row r="20" spans="1:154" s="3" customFormat="1" ht="17.149999999999999" customHeight="1" x14ac:dyDescent="0.25">
      <c r="A20" s="56">
        <v>13</v>
      </c>
      <c r="B20" s="57">
        <v>867999</v>
      </c>
      <c r="C20" s="58">
        <f t="shared" si="6"/>
        <v>294</v>
      </c>
      <c r="D20" s="167">
        <v>8.8000000000000007</v>
      </c>
      <c r="E20" s="59">
        <v>772291</v>
      </c>
      <c r="F20" s="58">
        <f t="shared" si="7"/>
        <v>235</v>
      </c>
      <c r="G20" s="168">
        <v>2.69</v>
      </c>
      <c r="H20" s="57">
        <v>734742</v>
      </c>
      <c r="I20" s="58">
        <f t="shared" si="0"/>
        <v>223</v>
      </c>
      <c r="J20" s="60" t="s">
        <v>194</v>
      </c>
      <c r="K20" s="56">
        <v>13</v>
      </c>
      <c r="L20" s="57">
        <v>67944</v>
      </c>
      <c r="M20" s="58">
        <f t="shared" si="8"/>
        <v>42</v>
      </c>
      <c r="N20" s="59">
        <v>171695</v>
      </c>
      <c r="O20" s="58">
        <f t="shared" si="9"/>
        <v>49</v>
      </c>
      <c r="P20" s="57">
        <v>194713</v>
      </c>
      <c r="Q20" s="169" t="str">
        <f t="shared" si="1"/>
        <v/>
      </c>
      <c r="R20" s="57">
        <v>658</v>
      </c>
      <c r="S20" s="57">
        <v>666</v>
      </c>
      <c r="T20" s="57">
        <v>137</v>
      </c>
      <c r="U20" s="57">
        <v>134</v>
      </c>
      <c r="V20" s="58" t="str">
        <f t="shared" si="10"/>
        <v>ME</v>
      </c>
      <c r="W20" s="56">
        <v>13</v>
      </c>
      <c r="X20" s="63">
        <v>11427.77</v>
      </c>
      <c r="Y20" s="130">
        <f t="shared" si="11"/>
        <v>2.6000000000003638</v>
      </c>
      <c r="Z20" s="63">
        <v>12194.14</v>
      </c>
      <c r="AA20" s="130">
        <f t="shared" si="12"/>
        <v>6.1900000000005093</v>
      </c>
      <c r="AB20" s="63">
        <v>9651.4500000000007</v>
      </c>
      <c r="AC20" s="130">
        <f t="shared" si="13"/>
        <v>2.1199999999989814</v>
      </c>
      <c r="AD20" s="63">
        <v>9737.69</v>
      </c>
      <c r="AE20" s="130">
        <f t="shared" si="2"/>
        <v>3.8099999999994907</v>
      </c>
      <c r="AF20" s="125" t="str">
        <f t="shared" si="14"/>
        <v>ME</v>
      </c>
      <c r="AG20" s="56">
        <v>13</v>
      </c>
      <c r="AH20" s="63">
        <v>45550.75</v>
      </c>
      <c r="AI20" s="130">
        <f t="shared" si="15"/>
        <v>15.879999999997381</v>
      </c>
      <c r="AJ20" s="63">
        <v>47690.19</v>
      </c>
      <c r="AK20" s="130">
        <f t="shared" si="16"/>
        <v>8.1599999999962165</v>
      </c>
      <c r="AL20" s="63">
        <v>585.34</v>
      </c>
      <c r="AM20" s="130" t="str">
        <f t="shared" si="17"/>
        <v/>
      </c>
      <c r="AN20" s="63">
        <v>546.38</v>
      </c>
      <c r="AO20" s="130">
        <f t="shared" si="3"/>
        <v>2.9999999999972715E-2</v>
      </c>
      <c r="AP20" s="125" t="str">
        <f t="shared" si="18"/>
        <v>ME</v>
      </c>
      <c r="AQ20" s="56">
        <v>13</v>
      </c>
      <c r="AR20" s="63">
        <v>6547.8</v>
      </c>
      <c r="AS20" s="130">
        <f t="shared" si="19"/>
        <v>2.7299999999995634</v>
      </c>
      <c r="AT20" s="63">
        <v>7259.47</v>
      </c>
      <c r="AU20" s="130">
        <f t="shared" si="20"/>
        <v>2.5099999999993088</v>
      </c>
      <c r="AV20" s="63">
        <v>249.35</v>
      </c>
      <c r="AW20" s="130" t="str">
        <f t="shared" si="21"/>
        <v/>
      </c>
      <c r="AX20" s="63">
        <v>237.14</v>
      </c>
      <c r="AY20" s="130">
        <f t="shared" si="4"/>
        <v>0.34000000000000341</v>
      </c>
      <c r="AZ20" s="125" t="str">
        <f t="shared" si="22"/>
        <v>ME</v>
      </c>
      <c r="BA20" s="56">
        <v>13</v>
      </c>
      <c r="BB20" s="64">
        <v>0.51500000000000001</v>
      </c>
      <c r="BC20" s="62">
        <v>15</v>
      </c>
      <c r="BD20" s="61">
        <v>7.2</v>
      </c>
      <c r="BE20" s="61">
        <v>2.7</v>
      </c>
      <c r="BF20" s="61">
        <v>15.9</v>
      </c>
      <c r="BG20" s="61">
        <v>7.2</v>
      </c>
      <c r="BH20" s="64">
        <v>0.248</v>
      </c>
      <c r="BI20" s="64">
        <v>0.247</v>
      </c>
      <c r="BJ20" s="64">
        <v>4.3999999999999997E-2</v>
      </c>
      <c r="BK20" s="64">
        <v>4.5999999999999999E-2</v>
      </c>
      <c r="BL20" s="64">
        <v>4.7E-2</v>
      </c>
      <c r="BM20" s="64">
        <v>5.1999999999999998E-2</v>
      </c>
      <c r="BN20" s="65" t="str">
        <f t="shared" si="23"/>
        <v>ME</v>
      </c>
      <c r="BO20" s="56">
        <v>13</v>
      </c>
      <c r="BP20" s="64">
        <v>6.6000000000000003E-2</v>
      </c>
      <c r="BQ20" s="62">
        <v>0</v>
      </c>
      <c r="BR20" s="61">
        <v>7.3</v>
      </c>
      <c r="BS20" s="61">
        <v>6.8</v>
      </c>
      <c r="BT20" s="61">
        <v>19.600000000000001</v>
      </c>
      <c r="BU20" s="64">
        <v>0.01</v>
      </c>
      <c r="BV20" s="63">
        <v>1.21</v>
      </c>
      <c r="BW20" s="63">
        <v>1.17</v>
      </c>
      <c r="BX20" s="66" t="s">
        <v>286</v>
      </c>
      <c r="BY20" s="172" t="s">
        <v>246</v>
      </c>
      <c r="BZ20" s="67" t="str">
        <f t="shared" si="24"/>
        <v>ME</v>
      </c>
      <c r="CA20" s="56">
        <v>13</v>
      </c>
      <c r="CB20" s="61">
        <v>89.8</v>
      </c>
      <c r="CC20" s="61"/>
      <c r="CD20" s="68">
        <f t="shared" si="25"/>
        <v>1.5999999999999943</v>
      </c>
      <c r="CE20" s="69">
        <f t="shared" si="26"/>
        <v>7.4468239999999746</v>
      </c>
      <c r="CF20" s="69">
        <f t="shared" si="27"/>
        <v>4.0072595515694927</v>
      </c>
      <c r="CG20" s="62">
        <v>50</v>
      </c>
      <c r="CH20" s="62">
        <v>100</v>
      </c>
      <c r="CI20" s="65" t="str">
        <f t="shared" si="28"/>
        <v>ME</v>
      </c>
      <c r="CJ20" s="56">
        <v>13</v>
      </c>
      <c r="CK20" s="61">
        <v>84.8</v>
      </c>
      <c r="CL20" s="61">
        <v>97.3</v>
      </c>
      <c r="CM20" s="68">
        <f t="shared" si="29"/>
        <v>3.7999999999999972</v>
      </c>
      <c r="CN20" s="69">
        <f t="shared" si="30"/>
        <v>17.686206999999989</v>
      </c>
      <c r="CO20" s="68">
        <f t="shared" si="31"/>
        <v>23.921497324999986</v>
      </c>
      <c r="CP20" s="62">
        <v>52</v>
      </c>
      <c r="CQ20" s="62">
        <v>83</v>
      </c>
      <c r="CR20" s="65" t="str">
        <f t="shared" si="32"/>
        <v>ME</v>
      </c>
      <c r="CS20" s="56">
        <v>13</v>
      </c>
      <c r="CT20" s="61">
        <v>102.7</v>
      </c>
      <c r="CU20" s="61"/>
      <c r="CV20" s="68">
        <f t="shared" si="33"/>
        <v>3.1000000000000085</v>
      </c>
      <c r="CW20" s="68">
        <f t="shared" si="34"/>
        <v>20.597144000000053</v>
      </c>
      <c r="CX20" s="69">
        <f t="shared" si="35"/>
        <v>7.0058312925170244E-2</v>
      </c>
      <c r="CY20" s="66" t="s">
        <v>240</v>
      </c>
      <c r="CZ20" s="66" t="s">
        <v>241</v>
      </c>
      <c r="DA20" s="66"/>
      <c r="DB20" s="65" t="str">
        <f t="shared" si="36"/>
        <v>ME</v>
      </c>
      <c r="DC20" s="56">
        <v>13</v>
      </c>
      <c r="DD20" s="61">
        <v>90.1</v>
      </c>
      <c r="DE20" s="61">
        <v>102.6</v>
      </c>
      <c r="DF20" s="68">
        <f t="shared" si="37"/>
        <v>10.899999999999991</v>
      </c>
      <c r="DG20" s="69">
        <f t="shared" si="38"/>
        <v>0.58806839391999965</v>
      </c>
      <c r="DH20" s="68">
        <f t="shared" si="39"/>
        <v>2.0002326323809512</v>
      </c>
      <c r="DI20" s="62">
        <v>86</v>
      </c>
      <c r="DJ20" s="62">
        <v>54</v>
      </c>
      <c r="DK20" s="65" t="str">
        <f t="shared" si="40"/>
        <v>ME</v>
      </c>
      <c r="DL20" s="56">
        <v>13</v>
      </c>
      <c r="DM20" s="63">
        <v>8.14</v>
      </c>
      <c r="DN20" s="64">
        <v>1.7999999999999999E-2</v>
      </c>
      <c r="DO20" s="64">
        <v>3.2000000000000001E-2</v>
      </c>
      <c r="DP20" s="64">
        <v>4.2999999999999997E-2</v>
      </c>
      <c r="DQ20" s="63">
        <v>6.77</v>
      </c>
      <c r="DR20" s="61">
        <v>6.8</v>
      </c>
      <c r="DS20" s="64">
        <v>1.248</v>
      </c>
      <c r="DT20" s="61">
        <v>84.2</v>
      </c>
      <c r="DU20" s="63">
        <v>4.2</v>
      </c>
      <c r="DV20" s="64">
        <v>0.98899999999999999</v>
      </c>
      <c r="DW20" s="64">
        <v>0.443</v>
      </c>
      <c r="DX20" s="66" t="s">
        <v>242</v>
      </c>
      <c r="DY20" s="65" t="str">
        <f t="shared" si="41"/>
        <v>ME</v>
      </c>
      <c r="DZ20" s="128">
        <v>13</v>
      </c>
      <c r="EA20" s="173">
        <f t="shared" si="42"/>
        <v>0.196524064171123</v>
      </c>
      <c r="EB20" s="173">
        <f t="shared" si="43"/>
        <v>0.17279411764705882</v>
      </c>
      <c r="EC20" s="173">
        <f t="shared" si="44"/>
        <v>0.75850340136054417</v>
      </c>
      <c r="ED20" s="63">
        <v>0.78</v>
      </c>
      <c r="EE20" s="63">
        <v>1.27</v>
      </c>
      <c r="EF20" s="63">
        <v>0.03</v>
      </c>
      <c r="EG20" s="63">
        <v>0.03</v>
      </c>
      <c r="EH20" s="127" t="str">
        <f t="shared" si="5"/>
        <v>ME</v>
      </c>
      <c r="EI20" s="56">
        <v>13</v>
      </c>
      <c r="EJ20" s="334" t="s">
        <v>288</v>
      </c>
      <c r="EK20" s="334"/>
      <c r="EL20" s="334"/>
      <c r="EM20" s="334"/>
      <c r="EN20" s="334"/>
      <c r="EO20" s="334"/>
      <c r="EP20" s="334"/>
      <c r="EQ20" s="65" t="str">
        <f t="shared" si="45"/>
        <v>ME</v>
      </c>
      <c r="ER20" s="20"/>
      <c r="ES20" s="20"/>
      <c r="ET20" s="20"/>
      <c r="EU20" s="20"/>
      <c r="EV20" s="20"/>
      <c r="EW20" s="20"/>
      <c r="EX20" s="20"/>
    </row>
    <row r="21" spans="1:154" s="3" customFormat="1" ht="17.149999999999999" customHeight="1" x14ac:dyDescent="0.25">
      <c r="A21" s="56">
        <v>14</v>
      </c>
      <c r="B21" s="57">
        <v>868293</v>
      </c>
      <c r="C21" s="58">
        <f t="shared" si="6"/>
        <v>224</v>
      </c>
      <c r="D21" s="167">
        <v>9.4</v>
      </c>
      <c r="E21" s="59">
        <v>772526</v>
      </c>
      <c r="F21" s="58">
        <f t="shared" si="7"/>
        <v>238</v>
      </c>
      <c r="G21" s="168">
        <v>2.06</v>
      </c>
      <c r="H21" s="57">
        <v>734965</v>
      </c>
      <c r="I21" s="58">
        <f t="shared" si="0"/>
        <v>190</v>
      </c>
      <c r="J21" s="60" t="s">
        <v>194</v>
      </c>
      <c r="K21" s="56">
        <v>14</v>
      </c>
      <c r="L21" s="57">
        <v>67986</v>
      </c>
      <c r="M21" s="58">
        <f t="shared" si="8"/>
        <v>8</v>
      </c>
      <c r="N21" s="59">
        <v>171744</v>
      </c>
      <c r="O21" s="58">
        <f t="shared" si="9"/>
        <v>51</v>
      </c>
      <c r="P21" s="57">
        <v>194713</v>
      </c>
      <c r="Q21" s="169" t="str">
        <f t="shared" si="1"/>
        <v/>
      </c>
      <c r="R21" s="57">
        <v>658</v>
      </c>
      <c r="S21" s="57">
        <v>667</v>
      </c>
      <c r="T21" s="57">
        <v>137</v>
      </c>
      <c r="U21" s="57">
        <v>134</v>
      </c>
      <c r="V21" s="58" t="str">
        <f t="shared" si="10"/>
        <v>ME</v>
      </c>
      <c r="W21" s="56">
        <v>14</v>
      </c>
      <c r="X21" s="63">
        <v>11430.37</v>
      </c>
      <c r="Y21" s="130">
        <f t="shared" si="11"/>
        <v>4.0099999999983993</v>
      </c>
      <c r="Z21" s="63">
        <v>12200.33</v>
      </c>
      <c r="AA21" s="130">
        <f t="shared" si="12"/>
        <v>2.6000000000003638</v>
      </c>
      <c r="AB21" s="63">
        <v>9653.57</v>
      </c>
      <c r="AC21" s="130">
        <f t="shared" si="13"/>
        <v>2.9799999999995634</v>
      </c>
      <c r="AD21" s="63">
        <v>9741.5</v>
      </c>
      <c r="AE21" s="130">
        <f t="shared" si="2"/>
        <v>2.069999999999709</v>
      </c>
      <c r="AF21" s="125" t="str">
        <f t="shared" si="14"/>
        <v>ME</v>
      </c>
      <c r="AG21" s="56">
        <v>14</v>
      </c>
      <c r="AH21" s="63">
        <v>45566.63</v>
      </c>
      <c r="AI21" s="130">
        <f t="shared" si="15"/>
        <v>8.930000000000291</v>
      </c>
      <c r="AJ21" s="63">
        <v>47698.35</v>
      </c>
      <c r="AK21" s="130">
        <f t="shared" si="16"/>
        <v>15.849999999998545</v>
      </c>
      <c r="AL21" s="63">
        <v>585.34</v>
      </c>
      <c r="AM21" s="130" t="str">
        <f t="shared" si="17"/>
        <v/>
      </c>
      <c r="AN21" s="63">
        <v>546.41</v>
      </c>
      <c r="AO21" s="130" t="str">
        <f t="shared" si="3"/>
        <v/>
      </c>
      <c r="AP21" s="125" t="str">
        <f t="shared" si="18"/>
        <v>ME</v>
      </c>
      <c r="AQ21" s="56">
        <v>14</v>
      </c>
      <c r="AR21" s="63">
        <v>6550.53</v>
      </c>
      <c r="AS21" s="130">
        <f t="shared" si="19"/>
        <v>2.0200000000004366</v>
      </c>
      <c r="AT21" s="63">
        <v>7261.98</v>
      </c>
      <c r="AU21" s="130">
        <f t="shared" si="20"/>
        <v>2.0800000000008367</v>
      </c>
      <c r="AV21" s="63">
        <v>249.35</v>
      </c>
      <c r="AW21" s="130">
        <f t="shared" si="21"/>
        <v>9.0000000000003411E-2</v>
      </c>
      <c r="AX21" s="63">
        <v>237.48</v>
      </c>
      <c r="AY21" s="130" t="str">
        <f t="shared" si="4"/>
        <v/>
      </c>
      <c r="AZ21" s="125" t="str">
        <f t="shared" si="22"/>
        <v>ME</v>
      </c>
      <c r="BA21" s="56">
        <v>14</v>
      </c>
      <c r="BB21" s="64"/>
      <c r="BC21" s="62"/>
      <c r="BD21" s="61"/>
      <c r="BE21" s="61"/>
      <c r="BF21" s="61"/>
      <c r="BG21" s="61"/>
      <c r="BH21" s="64"/>
      <c r="BI21" s="64"/>
      <c r="BJ21" s="64"/>
      <c r="BK21" s="64"/>
      <c r="BL21" s="64"/>
      <c r="BM21" s="64"/>
      <c r="BN21" s="65" t="str">
        <f t="shared" si="23"/>
        <v>ME</v>
      </c>
      <c r="BO21" s="56">
        <v>14</v>
      </c>
      <c r="BP21" s="64">
        <v>7.2999999999999995E-2</v>
      </c>
      <c r="BQ21" s="62"/>
      <c r="BR21" s="61"/>
      <c r="BS21" s="61"/>
      <c r="BT21" s="61"/>
      <c r="BU21" s="64"/>
      <c r="BV21" s="63">
        <v>1.2</v>
      </c>
      <c r="BW21" s="63">
        <v>1.07</v>
      </c>
      <c r="BX21" s="66" t="s">
        <v>287</v>
      </c>
      <c r="BY21" s="172" t="s">
        <v>246</v>
      </c>
      <c r="BZ21" s="67" t="str">
        <f t="shared" si="24"/>
        <v>ME</v>
      </c>
      <c r="CA21" s="56">
        <v>14</v>
      </c>
      <c r="CB21" s="61">
        <v>88.2</v>
      </c>
      <c r="CC21" s="61"/>
      <c r="CD21" s="68">
        <f t="shared" si="25"/>
        <v>1.4000000000000057</v>
      </c>
      <c r="CE21" s="69">
        <f t="shared" si="26"/>
        <v>6.515971000000027</v>
      </c>
      <c r="CF21" s="69">
        <f t="shared" si="27"/>
        <v>4.1153501052631745</v>
      </c>
      <c r="CG21" s="62">
        <v>50</v>
      </c>
      <c r="CH21" s="62">
        <v>100</v>
      </c>
      <c r="CI21" s="65" t="str">
        <f t="shared" si="28"/>
        <v>ME</v>
      </c>
      <c r="CJ21" s="56">
        <v>14</v>
      </c>
      <c r="CK21" s="61">
        <v>93.5</v>
      </c>
      <c r="CL21" s="61"/>
      <c r="CM21" s="68">
        <f t="shared" si="29"/>
        <v>2.7999999999999972</v>
      </c>
      <c r="CN21" s="69">
        <f t="shared" si="30"/>
        <v>13.031941999999988</v>
      </c>
      <c r="CO21" s="68">
        <f t="shared" si="31"/>
        <v>23.134605965624985</v>
      </c>
      <c r="CP21" s="62">
        <v>52</v>
      </c>
      <c r="CQ21" s="62">
        <v>83</v>
      </c>
      <c r="CR21" s="65" t="str">
        <f t="shared" si="32"/>
        <v>ME</v>
      </c>
      <c r="CS21" s="56">
        <v>14</v>
      </c>
      <c r="CT21" s="61">
        <v>99.6</v>
      </c>
      <c r="CU21" s="61"/>
      <c r="CV21" s="68">
        <f t="shared" si="33"/>
        <v>2.2999999999999972</v>
      </c>
      <c r="CW21" s="68">
        <f t="shared" si="34"/>
        <v>15.28175199999998</v>
      </c>
      <c r="CX21" s="69">
        <f t="shared" si="35"/>
        <v>6.822210714285705E-2</v>
      </c>
      <c r="CY21" s="66" t="s">
        <v>240</v>
      </c>
      <c r="CZ21" s="66" t="s">
        <v>241</v>
      </c>
      <c r="DA21" s="66"/>
      <c r="DB21" s="65" t="str">
        <f t="shared" si="36"/>
        <v>ME</v>
      </c>
      <c r="DC21" s="56">
        <v>14</v>
      </c>
      <c r="DD21" s="61">
        <v>91.7</v>
      </c>
      <c r="DE21" s="61">
        <v>101.5</v>
      </c>
      <c r="DF21" s="68">
        <f t="shared" si="37"/>
        <v>18.099999999999994</v>
      </c>
      <c r="DG21" s="69">
        <f t="shared" si="38"/>
        <v>0.97651724127999973</v>
      </c>
      <c r="DH21" s="68">
        <f t="shared" si="39"/>
        <v>4.3594519699999994</v>
      </c>
      <c r="DI21" s="62">
        <v>88</v>
      </c>
      <c r="DJ21" s="62">
        <v>54</v>
      </c>
      <c r="DK21" s="65" t="str">
        <f t="shared" si="40"/>
        <v>ME</v>
      </c>
      <c r="DL21" s="56">
        <v>14</v>
      </c>
      <c r="DM21" s="63">
        <v>8.34</v>
      </c>
      <c r="DN21" s="64">
        <v>1.7000000000000001E-2</v>
      </c>
      <c r="DO21" s="64">
        <v>3.5000000000000003E-2</v>
      </c>
      <c r="DP21" s="64">
        <v>4.8000000000000001E-2</v>
      </c>
      <c r="DQ21" s="63">
        <v>6.76</v>
      </c>
      <c r="DR21" s="61">
        <v>6.8</v>
      </c>
      <c r="DS21" s="64">
        <v>1.2110000000000001</v>
      </c>
      <c r="DT21" s="61">
        <v>83.9</v>
      </c>
      <c r="DU21" s="63">
        <v>4.2699999999999996</v>
      </c>
      <c r="DV21" s="64">
        <v>1.758</v>
      </c>
      <c r="DW21" s="64">
        <v>0.55500000000000005</v>
      </c>
      <c r="DX21" s="66" t="s">
        <v>242</v>
      </c>
      <c r="DY21" s="65" t="str">
        <f t="shared" si="41"/>
        <v>ME</v>
      </c>
      <c r="DZ21" s="128">
        <v>14</v>
      </c>
      <c r="EA21" s="173">
        <f t="shared" si="42"/>
        <v>0.1497326203208556</v>
      </c>
      <c r="EB21" s="173">
        <f t="shared" si="43"/>
        <v>0.17499999999999999</v>
      </c>
      <c r="EC21" s="173">
        <f t="shared" si="44"/>
        <v>0.8482142857142857</v>
      </c>
      <c r="ED21" s="63">
        <v>1.18</v>
      </c>
      <c r="EE21" s="63">
        <v>1.21</v>
      </c>
      <c r="EF21" s="63">
        <v>0.05</v>
      </c>
      <c r="EG21" s="63">
        <v>0.04</v>
      </c>
      <c r="EH21" s="127" t="str">
        <f t="shared" si="5"/>
        <v>ME</v>
      </c>
      <c r="EI21" s="56">
        <v>14</v>
      </c>
      <c r="EJ21" s="334"/>
      <c r="EK21" s="334"/>
      <c r="EL21" s="334"/>
      <c r="EM21" s="334"/>
      <c r="EN21" s="334"/>
      <c r="EO21" s="334"/>
      <c r="EP21" s="334"/>
      <c r="EQ21" s="65" t="str">
        <f t="shared" si="45"/>
        <v>ME</v>
      </c>
      <c r="ER21" s="20"/>
      <c r="ES21" s="20"/>
      <c r="ET21" s="20"/>
      <c r="EU21" s="20"/>
      <c r="EV21" s="20"/>
      <c r="EW21" s="20"/>
      <c r="EX21" s="20"/>
    </row>
    <row r="22" spans="1:154" s="3" customFormat="1" ht="17.149999999999999" customHeight="1" x14ac:dyDescent="0.35">
      <c r="A22" s="56">
        <v>15</v>
      </c>
      <c r="B22" s="57">
        <v>868517</v>
      </c>
      <c r="C22" s="58">
        <f t="shared" si="6"/>
        <v>256</v>
      </c>
      <c r="D22" s="167">
        <v>9.51</v>
      </c>
      <c r="E22" s="59">
        <v>772764</v>
      </c>
      <c r="F22" s="58">
        <f t="shared" si="7"/>
        <v>232</v>
      </c>
      <c r="G22" s="168">
        <v>3.39</v>
      </c>
      <c r="H22" s="57">
        <v>735155</v>
      </c>
      <c r="I22" s="58">
        <f t="shared" si="0"/>
        <v>224</v>
      </c>
      <c r="J22" s="60" t="s">
        <v>194</v>
      </c>
      <c r="K22" s="56">
        <v>15</v>
      </c>
      <c r="L22" s="57">
        <v>67994</v>
      </c>
      <c r="M22" s="58">
        <f t="shared" si="8"/>
        <v>12</v>
      </c>
      <c r="N22" s="59">
        <v>171795</v>
      </c>
      <c r="O22" s="58">
        <f t="shared" si="9"/>
        <v>51</v>
      </c>
      <c r="P22" s="57">
        <v>194713</v>
      </c>
      <c r="Q22" s="169" t="str">
        <f t="shared" si="1"/>
        <v/>
      </c>
      <c r="R22" s="57">
        <v>658</v>
      </c>
      <c r="S22" s="57">
        <v>667</v>
      </c>
      <c r="T22" s="57">
        <v>137</v>
      </c>
      <c r="U22" s="57">
        <v>135</v>
      </c>
      <c r="V22" s="58" t="str">
        <f t="shared" si="10"/>
        <v>ME</v>
      </c>
      <c r="W22" s="56">
        <v>15</v>
      </c>
      <c r="X22" s="63">
        <v>11434.38</v>
      </c>
      <c r="Y22" s="130">
        <f t="shared" si="11"/>
        <v>2.5100000000002183</v>
      </c>
      <c r="Z22" s="63">
        <v>12202.93</v>
      </c>
      <c r="AA22" s="130">
        <f t="shared" si="12"/>
        <v>4.9599999999991269</v>
      </c>
      <c r="AB22" s="63">
        <v>9656.5499999999993</v>
      </c>
      <c r="AC22" s="130">
        <f t="shared" si="13"/>
        <v>2.0200000000004366</v>
      </c>
      <c r="AD22" s="63">
        <v>9743.57</v>
      </c>
      <c r="AE22" s="130">
        <f t="shared" si="2"/>
        <v>3.9400000000005093</v>
      </c>
      <c r="AF22" s="125" t="str">
        <f t="shared" si="14"/>
        <v>ME</v>
      </c>
      <c r="AG22" s="56">
        <v>15</v>
      </c>
      <c r="AH22" s="63">
        <v>45575.56</v>
      </c>
      <c r="AI22" s="130">
        <f t="shared" si="15"/>
        <v>15.080000000001746</v>
      </c>
      <c r="AJ22" s="63">
        <v>47714.2</v>
      </c>
      <c r="AK22" s="130">
        <f t="shared" si="16"/>
        <v>9.069999999999709</v>
      </c>
      <c r="AL22" s="63">
        <v>585.34</v>
      </c>
      <c r="AM22" s="130" t="str">
        <f t="shared" si="17"/>
        <v/>
      </c>
      <c r="AN22" s="63">
        <v>546.41</v>
      </c>
      <c r="AO22" s="130" t="str">
        <f t="shared" si="3"/>
        <v/>
      </c>
      <c r="AP22" s="125" t="str">
        <f t="shared" si="18"/>
        <v>ME</v>
      </c>
      <c r="AQ22" s="56">
        <v>15</v>
      </c>
      <c r="AR22" s="63">
        <v>6552.55</v>
      </c>
      <c r="AS22" s="130">
        <f t="shared" si="19"/>
        <v>2.4099999999998545</v>
      </c>
      <c r="AT22" s="63">
        <v>7264.06</v>
      </c>
      <c r="AU22" s="130">
        <f t="shared" si="20"/>
        <v>2.4499999999998181</v>
      </c>
      <c r="AV22" s="63">
        <v>249.44</v>
      </c>
      <c r="AW22" s="130" t="str">
        <f t="shared" si="21"/>
        <v/>
      </c>
      <c r="AX22" s="63">
        <v>237.48</v>
      </c>
      <c r="AY22" s="130" t="str">
        <f t="shared" si="4"/>
        <v/>
      </c>
      <c r="AZ22" s="125" t="str">
        <f t="shared" si="22"/>
        <v>ME</v>
      </c>
      <c r="BA22" s="56">
        <v>15</v>
      </c>
      <c r="BB22" s="64"/>
      <c r="BC22" s="70"/>
      <c r="BD22" s="71"/>
      <c r="BE22" s="71"/>
      <c r="BF22" s="71"/>
      <c r="BG22" s="71"/>
      <c r="BH22" s="72"/>
      <c r="BI22" s="72"/>
      <c r="BJ22" s="72"/>
      <c r="BK22" s="72"/>
      <c r="BL22" s="64"/>
      <c r="BM22" s="64"/>
      <c r="BN22" s="65" t="str">
        <f t="shared" si="23"/>
        <v>ME</v>
      </c>
      <c r="BO22" s="56">
        <v>15</v>
      </c>
      <c r="BP22" s="64">
        <v>6.5000000000000002E-2</v>
      </c>
      <c r="BQ22" s="62"/>
      <c r="BR22" s="61"/>
      <c r="BS22" s="61"/>
      <c r="BT22" s="61"/>
      <c r="BU22" s="64"/>
      <c r="BV22" s="63">
        <v>1.1599999999999999</v>
      </c>
      <c r="BW22" s="63">
        <v>0.9</v>
      </c>
      <c r="BX22" s="66" t="s">
        <v>290</v>
      </c>
      <c r="BY22" s="172" t="s">
        <v>246</v>
      </c>
      <c r="BZ22" s="67" t="str">
        <f t="shared" si="24"/>
        <v>ME</v>
      </c>
      <c r="CA22" s="56">
        <v>15</v>
      </c>
      <c r="CB22" s="61">
        <v>86.8</v>
      </c>
      <c r="CC22" s="61"/>
      <c r="CD22" s="68">
        <f t="shared" si="25"/>
        <v>1.7000000000000028</v>
      </c>
      <c r="CE22" s="69">
        <f t="shared" si="26"/>
        <v>7.9122505000000141</v>
      </c>
      <c r="CF22" s="69">
        <f t="shared" si="27"/>
        <v>4.2387056250000077</v>
      </c>
      <c r="CG22" s="62">
        <v>54</v>
      </c>
      <c r="CH22" s="62">
        <v>100</v>
      </c>
      <c r="CI22" s="65" t="str">
        <f t="shared" si="28"/>
        <v>ME</v>
      </c>
      <c r="CJ22" s="56">
        <v>15</v>
      </c>
      <c r="CK22" s="61">
        <v>90.7</v>
      </c>
      <c r="CL22" s="61"/>
      <c r="CM22" s="68">
        <f t="shared" si="29"/>
        <v>3.1000000000000085</v>
      </c>
      <c r="CN22" s="69">
        <f t="shared" si="30"/>
        <v>14.428221500000042</v>
      </c>
      <c r="CO22" s="68">
        <f t="shared" si="31"/>
        <v>22.411649529199288</v>
      </c>
      <c r="CP22" s="62">
        <v>52</v>
      </c>
      <c r="CQ22" s="62">
        <v>83</v>
      </c>
      <c r="CR22" s="65" t="str">
        <f t="shared" si="32"/>
        <v>ME</v>
      </c>
      <c r="CS22" s="56">
        <v>15</v>
      </c>
      <c r="CT22" s="61">
        <v>97.3</v>
      </c>
      <c r="CU22" s="61"/>
      <c r="CV22" s="68">
        <f t="shared" si="33"/>
        <v>2.3999999999999915</v>
      </c>
      <c r="CW22" s="68">
        <f t="shared" si="34"/>
        <v>15.946175999999943</v>
      </c>
      <c r="CX22" s="69">
        <f t="shared" si="35"/>
        <v>6.2289749999999776E-2</v>
      </c>
      <c r="CY22" s="66" t="s">
        <v>240</v>
      </c>
      <c r="CZ22" s="66" t="s">
        <v>241</v>
      </c>
      <c r="DA22" s="66"/>
      <c r="DB22" s="65" t="str">
        <f t="shared" si="36"/>
        <v>ME</v>
      </c>
      <c r="DC22" s="56">
        <v>15</v>
      </c>
      <c r="DD22" s="61">
        <v>83.4</v>
      </c>
      <c r="DE22" s="61">
        <v>101.7</v>
      </c>
      <c r="DF22" s="68">
        <f t="shared" si="37"/>
        <v>21.400000000000006</v>
      </c>
      <c r="DG22" s="69">
        <f t="shared" si="38"/>
        <v>1.1545562963200002</v>
      </c>
      <c r="DH22" s="68">
        <f t="shared" si="39"/>
        <v>4.5099855325000009</v>
      </c>
      <c r="DI22" s="62">
        <v>90</v>
      </c>
      <c r="DJ22" s="62">
        <v>54</v>
      </c>
      <c r="DK22" s="65" t="str">
        <f t="shared" si="40"/>
        <v>ME</v>
      </c>
      <c r="DL22" s="56">
        <v>15</v>
      </c>
      <c r="DM22" s="63">
        <v>8.4499999999999993</v>
      </c>
      <c r="DN22" s="64">
        <v>1.7999999999999999E-2</v>
      </c>
      <c r="DO22" s="64">
        <v>3.3000000000000002E-2</v>
      </c>
      <c r="DP22" s="64">
        <v>4.9000000000000002E-2</v>
      </c>
      <c r="DQ22" s="63">
        <v>6.76</v>
      </c>
      <c r="DR22" s="61">
        <v>7</v>
      </c>
      <c r="DS22" s="64">
        <v>1.1950000000000001</v>
      </c>
      <c r="DT22" s="61">
        <v>84.2</v>
      </c>
      <c r="DU22" s="63">
        <v>4.25</v>
      </c>
      <c r="DV22" s="64">
        <v>1.532</v>
      </c>
      <c r="DW22" s="64">
        <v>0.45200000000000001</v>
      </c>
      <c r="DX22" s="66" t="s">
        <v>242</v>
      </c>
      <c r="DY22" s="65" t="str">
        <f t="shared" si="41"/>
        <v>ME</v>
      </c>
      <c r="DZ22" s="128">
        <v>15</v>
      </c>
      <c r="EA22" s="173">
        <f t="shared" si="42"/>
        <v>0.17112299465240641</v>
      </c>
      <c r="EB22" s="173">
        <f t="shared" si="43"/>
        <v>0.17058823529411765</v>
      </c>
      <c r="EC22" s="173">
        <f t="shared" si="44"/>
        <v>0.875</v>
      </c>
      <c r="ED22" s="63">
        <v>1.1599999999999999</v>
      </c>
      <c r="EE22" s="63">
        <v>1.2</v>
      </c>
      <c r="EF22" s="63">
        <v>0.05</v>
      </c>
      <c r="EG22" s="63">
        <v>0.05</v>
      </c>
      <c r="EH22" s="127" t="str">
        <f t="shared" si="5"/>
        <v>ME</v>
      </c>
      <c r="EI22" s="56">
        <v>15</v>
      </c>
      <c r="EJ22" s="334" t="s">
        <v>291</v>
      </c>
      <c r="EK22" s="334"/>
      <c r="EL22" s="334"/>
      <c r="EM22" s="334"/>
      <c r="EN22" s="334"/>
      <c r="EO22" s="334"/>
      <c r="EP22" s="334"/>
      <c r="EQ22" s="65" t="str">
        <f t="shared" si="45"/>
        <v>ME</v>
      </c>
      <c r="ER22" s="20"/>
      <c r="ES22" s="20"/>
      <c r="ET22" s="20"/>
      <c r="EU22" s="20"/>
      <c r="EV22" s="20"/>
      <c r="EW22" s="20"/>
      <c r="EX22" s="20"/>
    </row>
    <row r="23" spans="1:154" s="3" customFormat="1" ht="17.149999999999999" customHeight="1" x14ac:dyDescent="0.35">
      <c r="A23" s="56">
        <v>16</v>
      </c>
      <c r="B23" s="57">
        <v>868773</v>
      </c>
      <c r="C23" s="58">
        <f t="shared" si="6"/>
        <v>160</v>
      </c>
      <c r="D23" s="167">
        <v>9.5399999999999991</v>
      </c>
      <c r="E23" s="59">
        <v>772996</v>
      </c>
      <c r="F23" s="58">
        <f t="shared" si="7"/>
        <v>248</v>
      </c>
      <c r="G23" s="168">
        <v>3.39</v>
      </c>
      <c r="H23" s="57">
        <v>735379</v>
      </c>
      <c r="I23" s="58">
        <f t="shared" si="0"/>
        <v>140</v>
      </c>
      <c r="J23" s="60" t="s">
        <v>194</v>
      </c>
      <c r="K23" s="56">
        <v>16</v>
      </c>
      <c r="L23" s="57">
        <v>68006</v>
      </c>
      <c r="M23" s="58">
        <f t="shared" si="8"/>
        <v>2</v>
      </c>
      <c r="N23" s="59">
        <v>171846</v>
      </c>
      <c r="O23" s="58">
        <f t="shared" si="9"/>
        <v>40</v>
      </c>
      <c r="P23" s="57">
        <v>194713</v>
      </c>
      <c r="Q23" s="169" t="str">
        <f t="shared" si="1"/>
        <v/>
      </c>
      <c r="R23" s="57">
        <v>658</v>
      </c>
      <c r="S23" s="57">
        <v>667</v>
      </c>
      <c r="T23" s="57">
        <v>137</v>
      </c>
      <c r="U23" s="57">
        <v>135</v>
      </c>
      <c r="V23" s="58" t="str">
        <f t="shared" si="10"/>
        <v>ME</v>
      </c>
      <c r="W23" s="56">
        <v>16</v>
      </c>
      <c r="X23" s="63">
        <v>11436.89</v>
      </c>
      <c r="Y23" s="130">
        <f t="shared" si="11"/>
        <v>2.3400000000001455</v>
      </c>
      <c r="Z23" s="63">
        <v>12207.89</v>
      </c>
      <c r="AA23" s="130">
        <f t="shared" si="12"/>
        <v>2.319999999999709</v>
      </c>
      <c r="AB23" s="63">
        <v>9658.57</v>
      </c>
      <c r="AC23" s="130">
        <f t="shared" si="13"/>
        <v>1.8600000000005821</v>
      </c>
      <c r="AD23" s="63">
        <v>9747.51</v>
      </c>
      <c r="AE23" s="130">
        <f t="shared" si="2"/>
        <v>1.8600000000005821</v>
      </c>
      <c r="AF23" s="125" t="str">
        <f t="shared" si="14"/>
        <v>ME</v>
      </c>
      <c r="AG23" s="56">
        <v>16</v>
      </c>
      <c r="AH23" s="63">
        <v>45590.64</v>
      </c>
      <c r="AI23" s="130">
        <f t="shared" si="15"/>
        <v>11.590000000003783</v>
      </c>
      <c r="AJ23" s="63">
        <v>47723.27</v>
      </c>
      <c r="AK23" s="130">
        <f t="shared" si="16"/>
        <v>14.940000000002328</v>
      </c>
      <c r="AL23" s="63">
        <v>585.34</v>
      </c>
      <c r="AM23" s="130" t="str">
        <f t="shared" si="17"/>
        <v/>
      </c>
      <c r="AN23" s="63">
        <v>546.41</v>
      </c>
      <c r="AO23" s="130" t="str">
        <f t="shared" si="3"/>
        <v/>
      </c>
      <c r="AP23" s="125" t="str">
        <f t="shared" si="18"/>
        <v>ME</v>
      </c>
      <c r="AQ23" s="56">
        <v>16</v>
      </c>
      <c r="AR23" s="63">
        <v>6554.96</v>
      </c>
      <c r="AS23" s="130">
        <f t="shared" si="19"/>
        <v>2.5100000000002183</v>
      </c>
      <c r="AT23" s="63">
        <v>7266.51</v>
      </c>
      <c r="AU23" s="130">
        <f t="shared" si="20"/>
        <v>2.069999999999709</v>
      </c>
      <c r="AV23" s="63">
        <v>249.44</v>
      </c>
      <c r="AW23" s="130" t="str">
        <f t="shared" si="21"/>
        <v/>
      </c>
      <c r="AX23" s="63">
        <v>237.48</v>
      </c>
      <c r="AY23" s="130" t="str">
        <f t="shared" si="4"/>
        <v/>
      </c>
      <c r="AZ23" s="125" t="str">
        <f t="shared" si="22"/>
        <v>ME</v>
      </c>
      <c r="BA23" s="56">
        <v>16</v>
      </c>
      <c r="BB23" s="64">
        <v>0.54</v>
      </c>
      <c r="BC23" s="62">
        <v>15</v>
      </c>
      <c r="BD23" s="61">
        <v>7.2</v>
      </c>
      <c r="BE23" s="61">
        <v>2.7</v>
      </c>
      <c r="BF23" s="61">
        <v>14.7</v>
      </c>
      <c r="BG23" s="61">
        <v>7.2</v>
      </c>
      <c r="BH23" s="64">
        <v>0.30499999999999999</v>
      </c>
      <c r="BI23" s="64">
        <v>0.307</v>
      </c>
      <c r="BJ23" s="64">
        <v>6.5000000000000002E-2</v>
      </c>
      <c r="BK23" s="64">
        <v>4.9000000000000002E-2</v>
      </c>
      <c r="BL23" s="64">
        <v>4.8000000000000001E-2</v>
      </c>
      <c r="BM23" s="64">
        <v>5.0999999999999997E-2</v>
      </c>
      <c r="BN23" s="65" t="str">
        <f t="shared" si="23"/>
        <v>ME</v>
      </c>
      <c r="BO23" s="56">
        <v>16</v>
      </c>
      <c r="BP23" s="64">
        <v>6.3E-2</v>
      </c>
      <c r="BQ23" s="62">
        <v>0</v>
      </c>
      <c r="BR23" s="61">
        <v>7.1</v>
      </c>
      <c r="BS23" s="61">
        <v>6.9</v>
      </c>
      <c r="BT23" s="61">
        <v>18.8</v>
      </c>
      <c r="BU23" s="64">
        <v>0.01</v>
      </c>
      <c r="BV23" s="63">
        <v>1.19</v>
      </c>
      <c r="BW23" s="63">
        <v>1.02</v>
      </c>
      <c r="BX23" s="66" t="s">
        <v>253</v>
      </c>
      <c r="BY23" s="172" t="s">
        <v>246</v>
      </c>
      <c r="BZ23" s="67" t="str">
        <f t="shared" si="24"/>
        <v>ME</v>
      </c>
      <c r="CA23" s="56">
        <v>16</v>
      </c>
      <c r="CB23" s="61">
        <v>85.1</v>
      </c>
      <c r="CC23" s="61">
        <v>98.5</v>
      </c>
      <c r="CD23" s="68">
        <f t="shared" si="25"/>
        <v>1.0999999999999943</v>
      </c>
      <c r="CE23" s="69">
        <f t="shared" si="26"/>
        <v>5.1196914999999734</v>
      </c>
      <c r="CF23" s="69">
        <f t="shared" si="27"/>
        <v>4.3883069999999771</v>
      </c>
      <c r="CG23" s="62">
        <v>54</v>
      </c>
      <c r="CH23" s="62">
        <v>100</v>
      </c>
      <c r="CI23" s="65" t="str">
        <f t="shared" si="28"/>
        <v>ME</v>
      </c>
      <c r="CJ23" s="56">
        <v>16</v>
      </c>
      <c r="CK23" s="61">
        <v>87.6</v>
      </c>
      <c r="CL23" s="61">
        <v>97.8</v>
      </c>
      <c r="CM23" s="68">
        <f t="shared" si="29"/>
        <v>1.7000000000000028</v>
      </c>
      <c r="CN23" s="69">
        <f t="shared" si="30"/>
        <v>7.9122505000000141</v>
      </c>
      <c r="CO23" s="68">
        <f t="shared" si="31"/>
        <v>19.664415070781285</v>
      </c>
      <c r="CP23" s="62">
        <v>53</v>
      </c>
      <c r="CQ23" s="62">
        <v>83</v>
      </c>
      <c r="CR23" s="65" t="str">
        <f t="shared" si="32"/>
        <v>ME</v>
      </c>
      <c r="CS23" s="56">
        <v>16</v>
      </c>
      <c r="CT23" s="61">
        <v>94.9</v>
      </c>
      <c r="CU23" s="61"/>
      <c r="CV23" s="68">
        <f t="shared" si="33"/>
        <v>1.7000000000000028</v>
      </c>
      <c r="CW23" s="68">
        <f t="shared" si="34"/>
        <v>11.295208000000018</v>
      </c>
      <c r="CX23" s="69">
        <f t="shared" si="35"/>
        <v>7.0595050000000117E-2</v>
      </c>
      <c r="CY23" s="66" t="s">
        <v>240</v>
      </c>
      <c r="CZ23" s="66" t="s">
        <v>241</v>
      </c>
      <c r="DA23" s="66"/>
      <c r="DB23" s="65" t="str">
        <f t="shared" si="36"/>
        <v>ME</v>
      </c>
      <c r="DC23" s="56">
        <v>16</v>
      </c>
      <c r="DD23" s="61">
        <v>80.3</v>
      </c>
      <c r="DE23" s="61">
        <v>103.3</v>
      </c>
      <c r="DF23" s="68">
        <f t="shared" si="37"/>
        <v>13.599999999999994</v>
      </c>
      <c r="DG23" s="69">
        <f t="shared" si="38"/>
        <v>0.73373671167999976</v>
      </c>
      <c r="DH23" s="68">
        <f t="shared" si="39"/>
        <v>4.5858544479999983</v>
      </c>
      <c r="DI23" s="62">
        <v>90</v>
      </c>
      <c r="DJ23" s="62">
        <v>54</v>
      </c>
      <c r="DK23" s="65" t="str">
        <f t="shared" si="40"/>
        <v>ME</v>
      </c>
      <c r="DL23" s="56">
        <v>16</v>
      </c>
      <c r="DM23" s="63">
        <v>8.17</v>
      </c>
      <c r="DN23" s="64">
        <v>1.7999999999999999E-2</v>
      </c>
      <c r="DO23" s="64">
        <v>0.03</v>
      </c>
      <c r="DP23" s="64">
        <v>4.3999999999999997E-2</v>
      </c>
      <c r="DQ23" s="63">
        <v>6.75</v>
      </c>
      <c r="DR23" s="61">
        <v>6.9</v>
      </c>
      <c r="DS23" s="64">
        <v>1.1910000000000001</v>
      </c>
      <c r="DT23" s="61">
        <v>86.2</v>
      </c>
      <c r="DU23" s="63">
        <v>4.3899999999999997</v>
      </c>
      <c r="DV23" s="64">
        <v>0.88700000000000001</v>
      </c>
      <c r="DW23" s="64">
        <v>0.45500000000000002</v>
      </c>
      <c r="DX23" s="66" t="s">
        <v>242</v>
      </c>
      <c r="DY23" s="65" t="str">
        <f t="shared" si="41"/>
        <v>ME</v>
      </c>
      <c r="DZ23" s="128">
        <v>16</v>
      </c>
      <c r="EA23" s="173">
        <f t="shared" si="42"/>
        <v>0.10695187165775401</v>
      </c>
      <c r="EB23" s="173">
        <f t="shared" si="43"/>
        <v>0.18235294117647058</v>
      </c>
      <c r="EC23" s="173">
        <f t="shared" si="44"/>
        <v>0.875</v>
      </c>
      <c r="ED23" s="63">
        <v>1.17</v>
      </c>
      <c r="EE23" s="63">
        <v>1.2</v>
      </c>
      <c r="EF23" s="63">
        <v>0.04</v>
      </c>
      <c r="EG23" s="63">
        <v>0.06</v>
      </c>
      <c r="EH23" s="127" t="str">
        <f t="shared" si="5"/>
        <v>ME</v>
      </c>
      <c r="EI23" s="56">
        <v>16</v>
      </c>
      <c r="EJ23" s="334"/>
      <c r="EK23" s="334"/>
      <c r="EL23" s="334"/>
      <c r="EM23" s="334"/>
      <c r="EN23" s="334"/>
      <c r="EO23" s="334"/>
      <c r="EP23" s="334"/>
      <c r="EQ23" s="65" t="str">
        <f t="shared" si="45"/>
        <v>ME</v>
      </c>
      <c r="ER23" s="20"/>
      <c r="ES23" s="20"/>
      <c r="ET23" s="20"/>
      <c r="EU23" s="20"/>
      <c r="EV23" s="20"/>
      <c r="EW23" s="20"/>
      <c r="EX23" s="20"/>
    </row>
    <row r="24" spans="1:154" s="3" customFormat="1" ht="17.149999999999999" customHeight="1" x14ac:dyDescent="0.35">
      <c r="A24" s="56">
        <v>17</v>
      </c>
      <c r="B24" s="57">
        <v>868933</v>
      </c>
      <c r="C24" s="58">
        <f t="shared" si="6"/>
        <v>250</v>
      </c>
      <c r="D24" s="167">
        <v>9.51</v>
      </c>
      <c r="E24" s="59">
        <v>773244</v>
      </c>
      <c r="F24" s="58">
        <f t="shared" si="7"/>
        <v>229</v>
      </c>
      <c r="G24" s="168">
        <v>3.62</v>
      </c>
      <c r="H24" s="57">
        <v>735519</v>
      </c>
      <c r="I24" s="58">
        <f t="shared" si="0"/>
        <v>184</v>
      </c>
      <c r="J24" s="60" t="s">
        <v>194</v>
      </c>
      <c r="K24" s="56">
        <v>17</v>
      </c>
      <c r="L24" s="57">
        <v>68008</v>
      </c>
      <c r="M24" s="58">
        <f t="shared" si="8"/>
        <v>43</v>
      </c>
      <c r="N24" s="59">
        <v>171886</v>
      </c>
      <c r="O24" s="58">
        <f t="shared" si="9"/>
        <v>46</v>
      </c>
      <c r="P24" s="57">
        <v>194713</v>
      </c>
      <c r="Q24" s="169" t="str">
        <f t="shared" si="1"/>
        <v/>
      </c>
      <c r="R24" s="57">
        <v>658</v>
      </c>
      <c r="S24" s="57">
        <v>667</v>
      </c>
      <c r="T24" s="57">
        <v>137</v>
      </c>
      <c r="U24" s="57">
        <v>135</v>
      </c>
      <c r="V24" s="58" t="str">
        <f t="shared" si="10"/>
        <v>ME</v>
      </c>
      <c r="W24" s="56">
        <v>17</v>
      </c>
      <c r="X24" s="63">
        <v>11439.23</v>
      </c>
      <c r="Y24" s="130">
        <f t="shared" si="11"/>
        <v>3.2900000000008731</v>
      </c>
      <c r="Z24" s="63">
        <v>12210.21</v>
      </c>
      <c r="AA24" s="130">
        <f t="shared" si="12"/>
        <v>4.2400000000016007</v>
      </c>
      <c r="AB24" s="63">
        <v>9660.43</v>
      </c>
      <c r="AC24" s="130">
        <f t="shared" si="13"/>
        <v>4.4899999999997817</v>
      </c>
      <c r="AD24" s="63">
        <v>9749.3700000000008</v>
      </c>
      <c r="AE24" s="130">
        <f t="shared" si="2"/>
        <v>0.42999999999847205</v>
      </c>
      <c r="AF24" s="125" t="str">
        <f t="shared" si="14"/>
        <v>ME</v>
      </c>
      <c r="AG24" s="56">
        <v>17</v>
      </c>
      <c r="AH24" s="63">
        <v>45602.23</v>
      </c>
      <c r="AI24" s="130">
        <f t="shared" si="15"/>
        <v>12.409999999996217</v>
      </c>
      <c r="AJ24" s="63">
        <v>47738.21</v>
      </c>
      <c r="AK24" s="130">
        <f t="shared" si="16"/>
        <v>12.279999999998836</v>
      </c>
      <c r="AL24" s="63">
        <v>585.34</v>
      </c>
      <c r="AM24" s="130" t="str">
        <f t="shared" si="17"/>
        <v/>
      </c>
      <c r="AN24" s="63">
        <v>546.41</v>
      </c>
      <c r="AO24" s="130" t="str">
        <f t="shared" si="3"/>
        <v/>
      </c>
      <c r="AP24" s="125" t="str">
        <f t="shared" si="18"/>
        <v>ME</v>
      </c>
      <c r="AQ24" s="56">
        <v>17</v>
      </c>
      <c r="AR24" s="63">
        <v>6557.47</v>
      </c>
      <c r="AS24" s="130">
        <f t="shared" si="19"/>
        <v>2.3000000000001819</v>
      </c>
      <c r="AT24" s="63">
        <v>7268.58</v>
      </c>
      <c r="AU24" s="130">
        <f t="shared" si="20"/>
        <v>1.7399999999997817</v>
      </c>
      <c r="AV24" s="63">
        <v>249.44</v>
      </c>
      <c r="AW24" s="130" t="str">
        <f t="shared" si="21"/>
        <v/>
      </c>
      <c r="AX24" s="63">
        <v>237.48</v>
      </c>
      <c r="AY24" s="130">
        <f t="shared" si="4"/>
        <v>0.34000000000000341</v>
      </c>
      <c r="AZ24" s="125" t="str">
        <f t="shared" si="22"/>
        <v>ME</v>
      </c>
      <c r="BA24" s="56">
        <v>17</v>
      </c>
      <c r="BB24" s="64">
        <v>0.56100000000000005</v>
      </c>
      <c r="BC24" s="62">
        <v>42</v>
      </c>
      <c r="BD24" s="61">
        <v>6.9</v>
      </c>
      <c r="BE24" s="61">
        <v>2.7</v>
      </c>
      <c r="BF24" s="61">
        <v>16.2</v>
      </c>
      <c r="BG24" s="61">
        <v>6.9</v>
      </c>
      <c r="BH24" s="64">
        <v>0.30299999999999999</v>
      </c>
      <c r="BI24" s="64">
        <v>0.29099999999999998</v>
      </c>
      <c r="BJ24" s="64">
        <v>6.2E-2</v>
      </c>
      <c r="BK24" s="64">
        <v>5.2999999999999999E-2</v>
      </c>
      <c r="BL24" s="64">
        <v>4.8000000000000001E-2</v>
      </c>
      <c r="BM24" s="64">
        <v>5.5E-2</v>
      </c>
      <c r="BN24" s="65" t="str">
        <f t="shared" si="23"/>
        <v>ME</v>
      </c>
      <c r="BO24" s="56">
        <v>17</v>
      </c>
      <c r="BP24" s="64">
        <v>6.3E-2</v>
      </c>
      <c r="BQ24" s="62">
        <v>0</v>
      </c>
      <c r="BR24" s="61">
        <v>7.2</v>
      </c>
      <c r="BS24" s="61">
        <v>7</v>
      </c>
      <c r="BT24" s="61">
        <v>19.5</v>
      </c>
      <c r="BU24" s="64">
        <v>1.2999999999999999E-2</v>
      </c>
      <c r="BV24" s="63">
        <v>1.1499999999999999</v>
      </c>
      <c r="BW24" s="63">
        <v>1.05</v>
      </c>
      <c r="BX24" s="66" t="s">
        <v>245</v>
      </c>
      <c r="BY24" s="172" t="s">
        <v>246</v>
      </c>
      <c r="BZ24" s="67" t="str">
        <f t="shared" si="24"/>
        <v>ME</v>
      </c>
      <c r="CA24" s="56">
        <v>17</v>
      </c>
      <c r="CB24" s="61">
        <v>97.4</v>
      </c>
      <c r="CC24" s="61"/>
      <c r="CD24" s="68">
        <f t="shared" si="25"/>
        <v>1.8000000000000114</v>
      </c>
      <c r="CE24" s="69">
        <f t="shared" si="26"/>
        <v>8.3776770000000536</v>
      </c>
      <c r="CF24" s="69">
        <f t="shared" si="27"/>
        <v>5.4637023913043832</v>
      </c>
      <c r="CG24" s="62">
        <v>58</v>
      </c>
      <c r="CH24" s="62">
        <v>100</v>
      </c>
      <c r="CI24" s="65" t="str">
        <f t="shared" si="28"/>
        <v>ME</v>
      </c>
      <c r="CJ24" s="56">
        <v>17</v>
      </c>
      <c r="CK24" s="61">
        <v>96.1</v>
      </c>
      <c r="CL24" s="61"/>
      <c r="CM24" s="68">
        <f t="shared" si="29"/>
        <v>3.1999999999999886</v>
      </c>
      <c r="CN24" s="69">
        <f t="shared" si="30"/>
        <v>14.893647999999949</v>
      </c>
      <c r="CO24" s="68">
        <f t="shared" si="31"/>
        <v>23.689836508799921</v>
      </c>
      <c r="CP24" s="62">
        <v>53</v>
      </c>
      <c r="CQ24" s="62">
        <v>83</v>
      </c>
      <c r="CR24" s="65" t="str">
        <f t="shared" si="32"/>
        <v>ME</v>
      </c>
      <c r="CS24" s="56">
        <v>17</v>
      </c>
      <c r="CT24" s="61">
        <v>93.2</v>
      </c>
      <c r="CU24" s="61"/>
      <c r="CV24" s="68">
        <f t="shared" si="33"/>
        <v>2.6000000000000085</v>
      </c>
      <c r="CW24" s="68">
        <f t="shared" si="34"/>
        <v>17.275024000000055</v>
      </c>
      <c r="CX24" s="69">
        <f t="shared" si="35"/>
        <v>6.9100096000000222E-2</v>
      </c>
      <c r="CY24" s="66" t="s">
        <v>240</v>
      </c>
      <c r="CZ24" s="66" t="s">
        <v>241</v>
      </c>
      <c r="DA24" s="66"/>
      <c r="DB24" s="65" t="str">
        <f t="shared" si="36"/>
        <v>ME</v>
      </c>
      <c r="DC24" s="56">
        <v>17</v>
      </c>
      <c r="DD24" s="61">
        <v>89.7</v>
      </c>
      <c r="DE24" s="61">
        <v>103.4</v>
      </c>
      <c r="DF24" s="68">
        <f t="shared" si="37"/>
        <v>21.200000000000003</v>
      </c>
      <c r="DG24" s="69">
        <f t="shared" si="38"/>
        <v>1.1437660505600002</v>
      </c>
      <c r="DH24" s="68">
        <f t="shared" si="39"/>
        <v>4.575064202240001</v>
      </c>
      <c r="DI24" s="62">
        <v>89</v>
      </c>
      <c r="DJ24" s="62">
        <v>54</v>
      </c>
      <c r="DK24" s="65" t="str">
        <f t="shared" si="40"/>
        <v>ME</v>
      </c>
      <c r="DL24" s="56">
        <v>17</v>
      </c>
      <c r="DM24" s="63">
        <v>8.6999999999999993</v>
      </c>
      <c r="DN24" s="64">
        <v>0.02</v>
      </c>
      <c r="DO24" s="64">
        <v>3.3000000000000002E-2</v>
      </c>
      <c r="DP24" s="64">
        <v>4.4999999999999998E-2</v>
      </c>
      <c r="DQ24" s="63">
        <v>6.76</v>
      </c>
      <c r="DR24" s="61">
        <v>7</v>
      </c>
      <c r="DS24" s="64">
        <v>1.1719999999999999</v>
      </c>
      <c r="DT24" s="61">
        <v>84.2</v>
      </c>
      <c r="DU24" s="63">
        <v>4.1399999999999997</v>
      </c>
      <c r="DV24" s="64">
        <v>0.69199999999999995</v>
      </c>
      <c r="DW24" s="64">
        <v>0.441</v>
      </c>
      <c r="DX24" s="66" t="s">
        <v>247</v>
      </c>
      <c r="DY24" s="65" t="str">
        <f t="shared" si="41"/>
        <v>ME</v>
      </c>
      <c r="DZ24" s="128">
        <v>17</v>
      </c>
      <c r="EA24" s="173">
        <f t="shared" si="42"/>
        <v>0.16711229946524064</v>
      </c>
      <c r="EB24" s="173">
        <f t="shared" si="43"/>
        <v>0.16838235294117648</v>
      </c>
      <c r="EC24" s="173">
        <f t="shared" si="44"/>
        <v>0.73599999999999999</v>
      </c>
      <c r="ED24" s="63">
        <v>1.1299999999999999</v>
      </c>
      <c r="EE24" s="63">
        <v>1.19</v>
      </c>
      <c r="EF24" s="63">
        <v>0.04</v>
      </c>
      <c r="EG24" s="63">
        <v>0.08</v>
      </c>
      <c r="EH24" s="127" t="str">
        <f t="shared" si="5"/>
        <v>ME</v>
      </c>
      <c r="EI24" s="56">
        <v>17</v>
      </c>
      <c r="EJ24" s="334"/>
      <c r="EK24" s="334"/>
      <c r="EL24" s="334"/>
      <c r="EM24" s="334"/>
      <c r="EN24" s="334"/>
      <c r="EO24" s="334"/>
      <c r="EP24" s="334"/>
      <c r="EQ24" s="65" t="str">
        <f t="shared" si="45"/>
        <v>ME</v>
      </c>
      <c r="ER24" s="20"/>
      <c r="ES24" s="20"/>
      <c r="ET24" s="20"/>
      <c r="EU24" s="20"/>
      <c r="EV24" s="20"/>
      <c r="EW24" s="20"/>
      <c r="EX24" s="20"/>
    </row>
    <row r="25" spans="1:154" s="3" customFormat="1" ht="17.149999999999999" customHeight="1" x14ac:dyDescent="0.35">
      <c r="A25" s="56">
        <v>18</v>
      </c>
      <c r="B25" s="57">
        <v>869183</v>
      </c>
      <c r="C25" s="58">
        <f t="shared" si="6"/>
        <v>197</v>
      </c>
      <c r="D25" s="167">
        <v>9.57</v>
      </c>
      <c r="E25" s="59">
        <v>773473</v>
      </c>
      <c r="F25" s="58">
        <f t="shared" si="7"/>
        <v>212</v>
      </c>
      <c r="G25" s="168">
        <v>3.29</v>
      </c>
      <c r="H25" s="57">
        <v>735703</v>
      </c>
      <c r="I25" s="58">
        <f t="shared" si="0"/>
        <v>175</v>
      </c>
      <c r="J25" s="60" t="s">
        <v>194</v>
      </c>
      <c r="K25" s="56">
        <v>18</v>
      </c>
      <c r="L25" s="57">
        <v>68051</v>
      </c>
      <c r="M25" s="58" t="str">
        <f t="shared" si="8"/>
        <v/>
      </c>
      <c r="N25" s="59">
        <v>171932</v>
      </c>
      <c r="O25" s="58">
        <f t="shared" si="9"/>
        <v>46</v>
      </c>
      <c r="P25" s="57">
        <v>194713</v>
      </c>
      <c r="Q25" s="169" t="str">
        <f t="shared" si="1"/>
        <v/>
      </c>
      <c r="R25" s="57">
        <v>659</v>
      </c>
      <c r="S25" s="57">
        <v>667</v>
      </c>
      <c r="T25" s="57">
        <v>137</v>
      </c>
      <c r="U25" s="57">
        <v>135</v>
      </c>
      <c r="V25" s="58" t="str">
        <f t="shared" si="10"/>
        <v>ME</v>
      </c>
      <c r="W25" s="56">
        <v>18</v>
      </c>
      <c r="X25" s="63">
        <v>11442.52</v>
      </c>
      <c r="Y25" s="130">
        <f t="shared" si="11"/>
        <v>3.3299999999999272</v>
      </c>
      <c r="Z25" s="63">
        <v>12214.45</v>
      </c>
      <c r="AA25" s="130">
        <f t="shared" si="12"/>
        <v>2.4099999999998545</v>
      </c>
      <c r="AB25" s="63">
        <v>9664.92</v>
      </c>
      <c r="AC25" s="130">
        <f t="shared" si="13"/>
        <v>1.9400000000005093</v>
      </c>
      <c r="AD25" s="63">
        <v>9749.7999999999993</v>
      </c>
      <c r="AE25" s="130">
        <f t="shared" si="2"/>
        <v>2.7100000000009459</v>
      </c>
      <c r="AF25" s="125" t="str">
        <f t="shared" si="14"/>
        <v>ME</v>
      </c>
      <c r="AG25" s="56">
        <v>18</v>
      </c>
      <c r="AH25" s="63">
        <v>45614.64</v>
      </c>
      <c r="AI25" s="130">
        <f t="shared" si="15"/>
        <v>10.569999999999709</v>
      </c>
      <c r="AJ25" s="63">
        <v>47750.49</v>
      </c>
      <c r="AK25" s="130">
        <f t="shared" si="16"/>
        <v>11.720000000001164</v>
      </c>
      <c r="AL25" s="63">
        <v>585.34</v>
      </c>
      <c r="AM25" s="130" t="str">
        <f t="shared" si="17"/>
        <v/>
      </c>
      <c r="AN25" s="63">
        <v>546.41</v>
      </c>
      <c r="AO25" s="130" t="str">
        <f t="shared" si="3"/>
        <v/>
      </c>
      <c r="AP25" s="125" t="str">
        <f t="shared" si="18"/>
        <v>ME</v>
      </c>
      <c r="AQ25" s="56">
        <v>18</v>
      </c>
      <c r="AR25" s="63">
        <v>6559.77</v>
      </c>
      <c r="AS25" s="130">
        <f t="shared" si="19"/>
        <v>2.0499999999992724</v>
      </c>
      <c r="AT25" s="63">
        <v>7270.32</v>
      </c>
      <c r="AU25" s="130">
        <f t="shared" si="20"/>
        <v>2.180000000000291</v>
      </c>
      <c r="AV25" s="63">
        <v>249.44</v>
      </c>
      <c r="AW25" s="130" t="str">
        <f t="shared" si="21"/>
        <v/>
      </c>
      <c r="AX25" s="63">
        <v>237.82</v>
      </c>
      <c r="AY25" s="130" t="str">
        <f t="shared" si="4"/>
        <v/>
      </c>
      <c r="AZ25" s="125" t="str">
        <f t="shared" si="22"/>
        <v>ME</v>
      </c>
      <c r="BA25" s="56">
        <v>18</v>
      </c>
      <c r="BB25" s="64">
        <v>0.57299999999999995</v>
      </c>
      <c r="BC25" s="62">
        <v>23</v>
      </c>
      <c r="BD25" s="61">
        <v>7.1</v>
      </c>
      <c r="BE25" s="61">
        <v>2.7</v>
      </c>
      <c r="BF25" s="61">
        <v>16.8</v>
      </c>
      <c r="BG25" s="61">
        <v>7.1</v>
      </c>
      <c r="BH25" s="64">
        <v>0.25800000000000001</v>
      </c>
      <c r="BI25" s="64">
        <v>0.26100000000000001</v>
      </c>
      <c r="BJ25" s="64">
        <v>5.1999999999999998E-2</v>
      </c>
      <c r="BK25" s="64">
        <v>5.0999999999999997E-2</v>
      </c>
      <c r="BL25" s="64">
        <v>4.8000000000000001E-2</v>
      </c>
      <c r="BM25" s="64">
        <v>5.5E-2</v>
      </c>
      <c r="BN25" s="65" t="str">
        <f t="shared" si="23"/>
        <v>ME</v>
      </c>
      <c r="BO25" s="56">
        <v>18</v>
      </c>
      <c r="BP25" s="64">
        <v>6.2E-2</v>
      </c>
      <c r="BQ25" s="62">
        <v>0</v>
      </c>
      <c r="BR25" s="61">
        <v>7.3</v>
      </c>
      <c r="BS25" s="61">
        <v>7.1</v>
      </c>
      <c r="BT25" s="61">
        <v>18.399999999999999</v>
      </c>
      <c r="BU25" s="64">
        <v>0.01</v>
      </c>
      <c r="BV25" s="63">
        <v>1.19</v>
      </c>
      <c r="BW25" s="63">
        <v>0.99</v>
      </c>
      <c r="BX25" s="66" t="s">
        <v>253</v>
      </c>
      <c r="BY25" s="172" t="s">
        <v>246</v>
      </c>
      <c r="BZ25" s="67" t="str">
        <f t="shared" si="24"/>
        <v>ME</v>
      </c>
      <c r="CA25" s="56">
        <v>18</v>
      </c>
      <c r="CB25" s="61">
        <v>95.6</v>
      </c>
      <c r="CC25" s="61"/>
      <c r="CD25" s="68">
        <f t="shared" si="25"/>
        <v>1.5</v>
      </c>
      <c r="CE25" s="69">
        <f t="shared" si="26"/>
        <v>6.9813975000000008</v>
      </c>
      <c r="CF25" s="69">
        <f t="shared" si="27"/>
        <v>4.7872440000000003</v>
      </c>
      <c r="CG25" s="62">
        <v>58</v>
      </c>
      <c r="CH25" s="62">
        <v>100</v>
      </c>
      <c r="CI25" s="65" t="str">
        <f t="shared" si="28"/>
        <v>ME</v>
      </c>
      <c r="CJ25" s="56">
        <v>18</v>
      </c>
      <c r="CK25" s="61">
        <v>92.9</v>
      </c>
      <c r="CL25" s="61"/>
      <c r="CM25" s="68">
        <f t="shared" si="29"/>
        <v>2.6000000000000085</v>
      </c>
      <c r="CN25" s="69">
        <f t="shared" si="30"/>
        <v>12.101089000000041</v>
      </c>
      <c r="CO25" s="68">
        <f t="shared" si="31"/>
        <v>24.426385994162523</v>
      </c>
      <c r="CP25" s="62">
        <v>54</v>
      </c>
      <c r="CQ25" s="62">
        <v>83</v>
      </c>
      <c r="CR25" s="65" t="str">
        <f t="shared" si="32"/>
        <v>ME</v>
      </c>
      <c r="CS25" s="56">
        <v>18</v>
      </c>
      <c r="CT25" s="61">
        <v>90.6</v>
      </c>
      <c r="CU25" s="61">
        <v>113.4</v>
      </c>
      <c r="CV25" s="68">
        <f t="shared" si="33"/>
        <v>1.4000000000000057</v>
      </c>
      <c r="CW25" s="68">
        <f t="shared" si="34"/>
        <v>9.3019360000000386</v>
      </c>
      <c r="CX25" s="69">
        <f t="shared" si="35"/>
        <v>4.7217949238578874E-2</v>
      </c>
      <c r="CY25" s="66" t="s">
        <v>240</v>
      </c>
      <c r="CZ25" s="66" t="s">
        <v>241</v>
      </c>
      <c r="DA25" s="66"/>
      <c r="DB25" s="65" t="str">
        <f t="shared" si="36"/>
        <v>ME</v>
      </c>
      <c r="DC25" s="56">
        <v>18</v>
      </c>
      <c r="DD25" s="61">
        <v>82.2</v>
      </c>
      <c r="DE25" s="61">
        <v>102.7</v>
      </c>
      <c r="DF25" s="68">
        <f t="shared" si="37"/>
        <v>17.400000000000006</v>
      </c>
      <c r="DG25" s="69">
        <f t="shared" si="38"/>
        <v>0.93875138112000023</v>
      </c>
      <c r="DH25" s="68">
        <f t="shared" si="39"/>
        <v>4.7652354371573615</v>
      </c>
      <c r="DI25" s="62">
        <v>89</v>
      </c>
      <c r="DJ25" s="62">
        <v>54</v>
      </c>
      <c r="DK25" s="65" t="str">
        <f t="shared" si="40"/>
        <v>ME</v>
      </c>
      <c r="DL25" s="56">
        <v>18</v>
      </c>
      <c r="DM25" s="63">
        <v>8.41</v>
      </c>
      <c r="DN25" s="64">
        <v>2.1000000000000001E-2</v>
      </c>
      <c r="DO25" s="64">
        <v>3.2000000000000001E-2</v>
      </c>
      <c r="DP25" s="64">
        <v>4.3999999999999997E-2</v>
      </c>
      <c r="DQ25" s="63">
        <v>6.76</v>
      </c>
      <c r="DR25" s="61">
        <v>7.1</v>
      </c>
      <c r="DS25" s="64">
        <v>1.204</v>
      </c>
      <c r="DT25" s="61">
        <v>83.8</v>
      </c>
      <c r="DU25" s="63">
        <v>4.12</v>
      </c>
      <c r="DV25" s="64">
        <v>1.5469999999999999</v>
      </c>
      <c r="DW25" s="64">
        <v>0.84599999999999997</v>
      </c>
      <c r="DX25" s="66" t="s">
        <v>242</v>
      </c>
      <c r="DY25" s="65" t="str">
        <f t="shared" si="41"/>
        <v>ME</v>
      </c>
      <c r="DZ25" s="128">
        <v>18</v>
      </c>
      <c r="EA25" s="173">
        <f t="shared" si="42"/>
        <v>0.13168449197860962</v>
      </c>
      <c r="EB25" s="173">
        <f t="shared" si="43"/>
        <v>0.15588235294117647</v>
      </c>
      <c r="EC25" s="173">
        <f t="shared" si="44"/>
        <v>0.8883248730964467</v>
      </c>
      <c r="ED25" s="63">
        <v>1.1499999999999999</v>
      </c>
      <c r="EE25" s="63">
        <v>1.27</v>
      </c>
      <c r="EF25" s="63">
        <v>0.04</v>
      </c>
      <c r="EG25" s="284">
        <v>0.47</v>
      </c>
      <c r="EH25" s="127" t="str">
        <f t="shared" si="5"/>
        <v>ME</v>
      </c>
      <c r="EI25" s="56">
        <v>18</v>
      </c>
      <c r="EJ25" s="334" t="s">
        <v>292</v>
      </c>
      <c r="EK25" s="334"/>
      <c r="EL25" s="334"/>
      <c r="EM25" s="334"/>
      <c r="EN25" s="334"/>
      <c r="EO25" s="334"/>
      <c r="EP25" s="334"/>
      <c r="EQ25" s="65" t="str">
        <f t="shared" si="45"/>
        <v>ME</v>
      </c>
      <c r="ER25" s="20"/>
      <c r="ES25" s="20"/>
      <c r="ET25" s="20"/>
      <c r="EU25" s="20"/>
      <c r="EV25" s="20"/>
      <c r="EW25" s="20"/>
      <c r="EX25" s="20"/>
    </row>
    <row r="26" spans="1:154" s="3" customFormat="1" ht="17.149999999999999" customHeight="1" x14ac:dyDescent="0.35">
      <c r="A26" s="56">
        <v>19</v>
      </c>
      <c r="B26" s="57">
        <v>869380</v>
      </c>
      <c r="C26" s="58">
        <f t="shared" si="6"/>
        <v>201</v>
      </c>
      <c r="D26" s="167">
        <v>9.35</v>
      </c>
      <c r="E26" s="59">
        <v>773685</v>
      </c>
      <c r="F26" s="58">
        <f t="shared" si="7"/>
        <v>188</v>
      </c>
      <c r="G26" s="168">
        <v>3.53</v>
      </c>
      <c r="H26" s="57">
        <v>735878</v>
      </c>
      <c r="I26" s="58">
        <f t="shared" si="0"/>
        <v>178</v>
      </c>
      <c r="J26" s="60" t="s">
        <v>194</v>
      </c>
      <c r="K26" s="56">
        <v>19</v>
      </c>
      <c r="L26" s="57">
        <v>68051</v>
      </c>
      <c r="M26" s="58" t="str">
        <f t="shared" si="8"/>
        <v/>
      </c>
      <c r="N26" s="59">
        <v>171978</v>
      </c>
      <c r="O26" s="58">
        <f t="shared" si="9"/>
        <v>34</v>
      </c>
      <c r="P26" s="57">
        <v>194713</v>
      </c>
      <c r="Q26" s="169" t="str">
        <f t="shared" si="1"/>
        <v/>
      </c>
      <c r="R26" s="57">
        <v>659</v>
      </c>
      <c r="S26" s="57">
        <v>667</v>
      </c>
      <c r="T26" s="57">
        <v>137</v>
      </c>
      <c r="U26" s="57">
        <v>135</v>
      </c>
      <c r="V26" s="58" t="str">
        <f t="shared" si="10"/>
        <v>ME</v>
      </c>
      <c r="W26" s="56">
        <v>19</v>
      </c>
      <c r="X26" s="63">
        <v>11445.85</v>
      </c>
      <c r="Y26" s="130">
        <f t="shared" si="11"/>
        <v>3.4400000000005093</v>
      </c>
      <c r="Z26" s="63">
        <v>12216.86</v>
      </c>
      <c r="AA26" s="130">
        <f t="shared" si="12"/>
        <v>2.5100000000002183</v>
      </c>
      <c r="AB26" s="63">
        <v>9666.86</v>
      </c>
      <c r="AC26" s="130">
        <f t="shared" si="13"/>
        <v>1.9699999999993452</v>
      </c>
      <c r="AD26" s="63">
        <v>9752.51</v>
      </c>
      <c r="AE26" s="130">
        <f t="shared" si="2"/>
        <v>2.7700000000004366</v>
      </c>
      <c r="AF26" s="125" t="str">
        <f t="shared" si="14"/>
        <v>ME</v>
      </c>
      <c r="AG26" s="56">
        <v>19</v>
      </c>
      <c r="AH26" s="63">
        <v>45625.21</v>
      </c>
      <c r="AI26" s="130">
        <f t="shared" si="15"/>
        <v>13.440000000002328</v>
      </c>
      <c r="AJ26" s="63">
        <v>47762.21</v>
      </c>
      <c r="AK26" s="130">
        <f t="shared" si="16"/>
        <v>7.7600000000020373</v>
      </c>
      <c r="AL26" s="63">
        <v>585.34</v>
      </c>
      <c r="AM26" s="130" t="str">
        <f t="shared" si="17"/>
        <v/>
      </c>
      <c r="AN26" s="63">
        <v>546.41</v>
      </c>
      <c r="AO26" s="130" t="str">
        <f t="shared" si="3"/>
        <v/>
      </c>
      <c r="AP26" s="125" t="str">
        <f t="shared" si="18"/>
        <v>ME</v>
      </c>
      <c r="AQ26" s="56">
        <v>19</v>
      </c>
      <c r="AR26" s="63">
        <v>6561.82</v>
      </c>
      <c r="AS26" s="130">
        <f t="shared" si="19"/>
        <v>1.9099999999998545</v>
      </c>
      <c r="AT26" s="63">
        <v>7272.5</v>
      </c>
      <c r="AU26" s="130">
        <f t="shared" si="20"/>
        <v>1.9600000000000364</v>
      </c>
      <c r="AV26" s="63">
        <v>249.44</v>
      </c>
      <c r="AW26" s="130" t="str">
        <f t="shared" si="21"/>
        <v/>
      </c>
      <c r="AX26" s="63">
        <v>237.82</v>
      </c>
      <c r="AY26" s="130" t="str">
        <f t="shared" si="4"/>
        <v/>
      </c>
      <c r="AZ26" s="125" t="str">
        <f t="shared" si="22"/>
        <v>ME</v>
      </c>
      <c r="BA26" s="56">
        <v>19</v>
      </c>
      <c r="BB26" s="64">
        <v>0.55400000000000005</v>
      </c>
      <c r="BC26" s="62">
        <v>12</v>
      </c>
      <c r="BD26" s="61">
        <v>7.1</v>
      </c>
      <c r="BE26" s="61">
        <v>2.7</v>
      </c>
      <c r="BF26" s="61">
        <v>14.4</v>
      </c>
      <c r="BG26" s="61">
        <v>7.1</v>
      </c>
      <c r="BH26" s="64">
        <v>0.23300000000000001</v>
      </c>
      <c r="BI26" s="64">
        <v>0.254</v>
      </c>
      <c r="BJ26" s="64">
        <v>4.8000000000000001E-2</v>
      </c>
      <c r="BK26" s="64">
        <v>4.9000000000000002E-2</v>
      </c>
      <c r="BL26" s="64">
        <v>5.8000000000000003E-2</v>
      </c>
      <c r="BM26" s="64">
        <v>5.7000000000000002E-2</v>
      </c>
      <c r="BN26" s="65" t="str">
        <f t="shared" si="23"/>
        <v>ME</v>
      </c>
      <c r="BO26" s="56">
        <v>19</v>
      </c>
      <c r="BP26" s="64">
        <v>6.7000000000000004E-2</v>
      </c>
      <c r="BQ26" s="62">
        <v>0</v>
      </c>
      <c r="BR26" s="61">
        <v>7.2</v>
      </c>
      <c r="BS26" s="61">
        <v>7.2</v>
      </c>
      <c r="BT26" s="61">
        <v>18.5</v>
      </c>
      <c r="BU26" s="64">
        <v>1.4E-2</v>
      </c>
      <c r="BV26" s="63">
        <v>1.19</v>
      </c>
      <c r="BW26" s="63">
        <v>0.94</v>
      </c>
      <c r="BX26" s="66" t="s">
        <v>286</v>
      </c>
      <c r="BY26" s="172" t="s">
        <v>246</v>
      </c>
      <c r="BZ26" s="67" t="str">
        <f t="shared" si="24"/>
        <v>ME</v>
      </c>
      <c r="CA26" s="56">
        <v>19</v>
      </c>
      <c r="CB26" s="61">
        <v>94.1</v>
      </c>
      <c r="CC26" s="61"/>
      <c r="CD26" s="68">
        <f t="shared" si="25"/>
        <v>1.0999999999999943</v>
      </c>
      <c r="CE26" s="69">
        <f t="shared" si="26"/>
        <v>5.1196914999999734</v>
      </c>
      <c r="CF26" s="69">
        <f t="shared" si="27"/>
        <v>3.4514774157303192</v>
      </c>
      <c r="CG26" s="62">
        <v>53</v>
      </c>
      <c r="CH26" s="62">
        <v>100</v>
      </c>
      <c r="CI26" s="65" t="str">
        <f t="shared" si="28"/>
        <v>ME</v>
      </c>
      <c r="CJ26" s="56">
        <v>19</v>
      </c>
      <c r="CK26" s="61">
        <v>90.3</v>
      </c>
      <c r="CL26" s="61"/>
      <c r="CM26" s="68">
        <f t="shared" si="29"/>
        <v>2.2000000000000028</v>
      </c>
      <c r="CN26" s="69">
        <f t="shared" si="30"/>
        <v>10.239383000000014</v>
      </c>
      <c r="CO26" s="68">
        <f t="shared" si="31"/>
        <v>20.257167412686599</v>
      </c>
      <c r="CP26" s="62">
        <v>53</v>
      </c>
      <c r="CQ26" s="62">
        <v>83</v>
      </c>
      <c r="CR26" s="65" t="str">
        <f t="shared" si="32"/>
        <v>ME</v>
      </c>
      <c r="CS26" s="56">
        <v>19</v>
      </c>
      <c r="CT26" s="61">
        <v>112</v>
      </c>
      <c r="CU26" s="61">
        <v>107.6</v>
      </c>
      <c r="CV26" s="68">
        <f t="shared" si="33"/>
        <v>2</v>
      </c>
      <c r="CW26" s="68">
        <f t="shared" si="34"/>
        <v>13.28848</v>
      </c>
      <c r="CX26" s="69">
        <f t="shared" si="35"/>
        <v>6.6111840796019894E-2</v>
      </c>
      <c r="CY26" s="66" t="s">
        <v>240</v>
      </c>
      <c r="CZ26" s="66" t="s">
        <v>241</v>
      </c>
      <c r="DA26" s="66"/>
      <c r="DB26" s="65" t="str">
        <f t="shared" si="36"/>
        <v>ME</v>
      </c>
      <c r="DC26" s="56">
        <v>19</v>
      </c>
      <c r="DD26" s="61">
        <v>85.3</v>
      </c>
      <c r="DE26" s="61">
        <v>103.4</v>
      </c>
      <c r="DF26" s="68">
        <f t="shared" si="37"/>
        <v>17.200000000000003</v>
      </c>
      <c r="DG26" s="69">
        <f t="shared" si="38"/>
        <v>0.92796113536000013</v>
      </c>
      <c r="DH26" s="68">
        <f t="shared" si="39"/>
        <v>4.6167220664676627</v>
      </c>
      <c r="DI26" s="62">
        <v>90</v>
      </c>
      <c r="DJ26" s="62">
        <v>54</v>
      </c>
      <c r="DK26" s="65" t="str">
        <f t="shared" si="40"/>
        <v>ME</v>
      </c>
      <c r="DL26" s="56">
        <v>19</v>
      </c>
      <c r="DM26" s="63">
        <v>8.5299999999999994</v>
      </c>
      <c r="DN26" s="64">
        <v>2.1000000000000001E-2</v>
      </c>
      <c r="DO26" s="64">
        <v>3.2000000000000001E-2</v>
      </c>
      <c r="DP26" s="64">
        <v>4.4999999999999998E-2</v>
      </c>
      <c r="DQ26" s="63">
        <v>6.74</v>
      </c>
      <c r="DR26" s="61">
        <v>7.2</v>
      </c>
      <c r="DS26" s="64">
        <v>1.2729999999999999</v>
      </c>
      <c r="DT26" s="61">
        <v>86.5</v>
      </c>
      <c r="DU26" s="63">
        <v>4.13</v>
      </c>
      <c r="DV26" s="64">
        <v>0.94199999999999995</v>
      </c>
      <c r="DW26" s="64">
        <v>0.53200000000000003</v>
      </c>
      <c r="DX26" s="66" t="s">
        <v>242</v>
      </c>
      <c r="DY26" s="65" t="str">
        <f t="shared" si="41"/>
        <v>ME</v>
      </c>
      <c r="DZ26" s="128">
        <v>19</v>
      </c>
      <c r="EA26" s="173">
        <f t="shared" si="42"/>
        <v>0.13435828877005349</v>
      </c>
      <c r="EB26" s="173">
        <f t="shared" si="43"/>
        <v>0.13823529411764707</v>
      </c>
      <c r="EC26" s="173">
        <f t="shared" si="44"/>
        <v>0.88557213930348255</v>
      </c>
      <c r="ED26" s="63">
        <v>1.17</v>
      </c>
      <c r="EE26" s="63">
        <v>1.32</v>
      </c>
      <c r="EF26" s="63">
        <v>0.05</v>
      </c>
      <c r="EG26" s="63">
        <v>0.28000000000000003</v>
      </c>
      <c r="EH26" s="127" t="str">
        <f t="shared" si="5"/>
        <v>ME</v>
      </c>
      <c r="EI26" s="56">
        <v>19</v>
      </c>
      <c r="EJ26" s="334"/>
      <c r="EK26" s="334"/>
      <c r="EL26" s="334"/>
      <c r="EM26" s="334"/>
      <c r="EN26" s="334"/>
      <c r="EO26" s="334"/>
      <c r="EP26" s="334"/>
      <c r="EQ26" s="65" t="str">
        <f t="shared" si="45"/>
        <v>ME</v>
      </c>
      <c r="ER26" s="20"/>
      <c r="ES26" s="20"/>
      <c r="ET26" s="20"/>
      <c r="EU26" s="20"/>
      <c r="EV26" s="20"/>
      <c r="EW26" s="20"/>
      <c r="EX26" s="20"/>
    </row>
    <row r="27" spans="1:154" s="3" customFormat="1" ht="17.149999999999999" customHeight="1" x14ac:dyDescent="0.35">
      <c r="A27" s="56">
        <v>20</v>
      </c>
      <c r="B27" s="57">
        <v>869581</v>
      </c>
      <c r="C27" s="58">
        <f t="shared" si="6"/>
        <v>286</v>
      </c>
      <c r="D27" s="167">
        <v>9.59</v>
      </c>
      <c r="E27" s="59">
        <v>773873</v>
      </c>
      <c r="F27" s="58">
        <f t="shared" si="7"/>
        <v>245</v>
      </c>
      <c r="G27" s="168">
        <v>1.68</v>
      </c>
      <c r="H27" s="57">
        <v>736056</v>
      </c>
      <c r="I27" s="58">
        <f t="shared" si="0"/>
        <v>208</v>
      </c>
      <c r="J27" s="60" t="s">
        <v>194</v>
      </c>
      <c r="K27" s="56">
        <v>20</v>
      </c>
      <c r="L27" s="57">
        <v>68051</v>
      </c>
      <c r="M27" s="58">
        <f t="shared" si="8"/>
        <v>48</v>
      </c>
      <c r="N27" s="59">
        <v>172012</v>
      </c>
      <c r="O27" s="58">
        <f t="shared" si="9"/>
        <v>53</v>
      </c>
      <c r="P27" s="57">
        <v>194713</v>
      </c>
      <c r="Q27" s="169" t="str">
        <f t="shared" si="1"/>
        <v/>
      </c>
      <c r="R27" s="57">
        <v>659</v>
      </c>
      <c r="S27" s="57">
        <v>667</v>
      </c>
      <c r="T27" s="57">
        <v>137</v>
      </c>
      <c r="U27" s="57">
        <v>135</v>
      </c>
      <c r="V27" s="58" t="str">
        <f t="shared" si="10"/>
        <v>ME</v>
      </c>
      <c r="W27" s="56">
        <v>20</v>
      </c>
      <c r="X27" s="63">
        <v>11449.29</v>
      </c>
      <c r="Y27" s="130">
        <f t="shared" si="11"/>
        <v>3.0999999999985448</v>
      </c>
      <c r="Z27" s="63">
        <v>12219.37</v>
      </c>
      <c r="AA27" s="130">
        <f t="shared" si="12"/>
        <v>5.3899999999994179</v>
      </c>
      <c r="AB27" s="63">
        <v>9668.83</v>
      </c>
      <c r="AC27" s="130">
        <f t="shared" si="13"/>
        <v>1.1700000000000728</v>
      </c>
      <c r="AD27" s="63">
        <v>9755.2800000000007</v>
      </c>
      <c r="AE27" s="130">
        <f t="shared" si="2"/>
        <v>4.3599999999987631</v>
      </c>
      <c r="AF27" s="125" t="str">
        <f t="shared" si="14"/>
        <v>ME</v>
      </c>
      <c r="AG27" s="56">
        <v>20</v>
      </c>
      <c r="AH27" s="63">
        <v>45638.65</v>
      </c>
      <c r="AI27" s="130">
        <f t="shared" si="15"/>
        <v>9.7200000000011642</v>
      </c>
      <c r="AJ27" s="63">
        <v>47769.97</v>
      </c>
      <c r="AK27" s="130">
        <f t="shared" si="16"/>
        <v>16.25</v>
      </c>
      <c r="AL27" s="63">
        <v>585.34</v>
      </c>
      <c r="AM27" s="130" t="str">
        <f t="shared" si="17"/>
        <v/>
      </c>
      <c r="AN27" s="63">
        <v>546.41</v>
      </c>
      <c r="AO27" s="130" t="str">
        <f t="shared" si="3"/>
        <v/>
      </c>
      <c r="AP27" s="125" t="str">
        <f t="shared" si="18"/>
        <v>ME</v>
      </c>
      <c r="AQ27" s="56">
        <v>20</v>
      </c>
      <c r="AR27" s="63">
        <v>6563.73</v>
      </c>
      <c r="AS27" s="130">
        <f t="shared" si="19"/>
        <v>2.1200000000008004</v>
      </c>
      <c r="AT27" s="63">
        <v>7274.46</v>
      </c>
      <c r="AU27" s="130">
        <f t="shared" si="20"/>
        <v>2</v>
      </c>
      <c r="AV27" s="63">
        <v>249.44</v>
      </c>
      <c r="AW27" s="130">
        <f t="shared" si="21"/>
        <v>0.34000000000000341</v>
      </c>
      <c r="AX27" s="63">
        <v>237.82</v>
      </c>
      <c r="AY27" s="130">
        <f t="shared" si="4"/>
        <v>9.0000000000003411E-2</v>
      </c>
      <c r="AZ27" s="125" t="str">
        <f t="shared" si="22"/>
        <v>ME</v>
      </c>
      <c r="BA27" s="56">
        <v>20</v>
      </c>
      <c r="BB27" s="64">
        <v>0.63600000000000001</v>
      </c>
      <c r="BC27" s="62">
        <v>18</v>
      </c>
      <c r="BD27" s="61">
        <v>7.2</v>
      </c>
      <c r="BE27" s="61">
        <v>2.7</v>
      </c>
      <c r="BF27" s="61">
        <v>15.8</v>
      </c>
      <c r="BG27" s="61">
        <v>7.2</v>
      </c>
      <c r="BH27" s="64">
        <v>0.33500000000000002</v>
      </c>
      <c r="BI27" s="64">
        <v>0.317</v>
      </c>
      <c r="BJ27" s="64">
        <v>0.05</v>
      </c>
      <c r="BK27" s="64">
        <v>5.2999999999999999E-2</v>
      </c>
      <c r="BL27" s="64">
        <v>5.5E-2</v>
      </c>
      <c r="BM27" s="64">
        <v>5.8000000000000003E-2</v>
      </c>
      <c r="BN27" s="65" t="str">
        <f t="shared" si="23"/>
        <v>ME</v>
      </c>
      <c r="BO27" s="56">
        <v>20</v>
      </c>
      <c r="BP27" s="64">
        <v>7.4999999999999997E-2</v>
      </c>
      <c r="BQ27" s="62">
        <v>0</v>
      </c>
      <c r="BR27" s="61">
        <v>7</v>
      </c>
      <c r="BS27" s="61">
        <v>7.1</v>
      </c>
      <c r="BT27" s="61">
        <v>18.100000000000001</v>
      </c>
      <c r="BU27" s="64">
        <v>8.0000000000000002E-3</v>
      </c>
      <c r="BV27" s="63">
        <v>1.19</v>
      </c>
      <c r="BW27" s="63">
        <v>1.02</v>
      </c>
      <c r="BX27" s="66" t="s">
        <v>255</v>
      </c>
      <c r="BY27" s="172" t="s">
        <v>246</v>
      </c>
      <c r="BZ27" s="67" t="str">
        <f t="shared" si="24"/>
        <v>ME</v>
      </c>
      <c r="CA27" s="56">
        <v>20</v>
      </c>
      <c r="CB27" s="61">
        <v>93</v>
      </c>
      <c r="CC27" s="61"/>
      <c r="CD27" s="68">
        <f t="shared" si="25"/>
        <v>1.5</v>
      </c>
      <c r="CE27" s="69">
        <f t="shared" si="26"/>
        <v>6.9813975000000008</v>
      </c>
      <c r="CF27" s="69">
        <f t="shared" si="27"/>
        <v>4.0277293269230778</v>
      </c>
      <c r="CG27" s="62">
        <v>53</v>
      </c>
      <c r="CH27" s="62">
        <v>100</v>
      </c>
      <c r="CI27" s="65" t="str">
        <f t="shared" si="28"/>
        <v>ME</v>
      </c>
      <c r="CJ27" s="56">
        <v>20</v>
      </c>
      <c r="CK27" s="61">
        <v>88.1</v>
      </c>
      <c r="CL27" s="61"/>
      <c r="CM27" s="68">
        <f t="shared" si="29"/>
        <v>3.6999999999999886</v>
      </c>
      <c r="CN27" s="69">
        <f t="shared" si="30"/>
        <v>17.22078049999995</v>
      </c>
      <c r="CO27" s="68">
        <f t="shared" si="31"/>
        <v>23.94350827211532</v>
      </c>
      <c r="CP27" s="62">
        <v>54</v>
      </c>
      <c r="CQ27" s="62">
        <v>83</v>
      </c>
      <c r="CR27" s="65" t="str">
        <f t="shared" si="32"/>
        <v>ME</v>
      </c>
      <c r="CS27" s="56">
        <v>20</v>
      </c>
      <c r="CT27" s="61">
        <v>105.6</v>
      </c>
      <c r="CU27" s="61"/>
      <c r="CV27" s="68">
        <f t="shared" si="33"/>
        <v>3</v>
      </c>
      <c r="CW27" s="68">
        <f t="shared" si="34"/>
        <v>19.93272</v>
      </c>
      <c r="CX27" s="69">
        <f t="shared" si="35"/>
        <v>6.969482517482517E-2</v>
      </c>
      <c r="CY27" s="66" t="s">
        <v>240</v>
      </c>
      <c r="CZ27" s="66" t="s">
        <v>241</v>
      </c>
      <c r="DA27" s="66"/>
      <c r="DB27" s="65" t="str">
        <f t="shared" si="36"/>
        <v>ME</v>
      </c>
      <c r="DC27" s="56">
        <v>20</v>
      </c>
      <c r="DD27" s="61">
        <v>86.2</v>
      </c>
      <c r="DE27" s="61">
        <v>103.7</v>
      </c>
      <c r="DF27" s="68">
        <f t="shared" si="37"/>
        <v>24.900000000000006</v>
      </c>
      <c r="DG27" s="69">
        <f t="shared" si="38"/>
        <v>1.3433855971200004</v>
      </c>
      <c r="DH27" s="68">
        <f t="shared" si="39"/>
        <v>4.6971524374825186</v>
      </c>
      <c r="DI27" s="62">
        <v>90</v>
      </c>
      <c r="DJ27" s="62">
        <v>54</v>
      </c>
      <c r="DK27" s="65" t="str">
        <f t="shared" si="40"/>
        <v>ME</v>
      </c>
      <c r="DL27" s="56">
        <v>20</v>
      </c>
      <c r="DM27" s="63">
        <v>8.17</v>
      </c>
      <c r="DN27" s="64">
        <v>0.02</v>
      </c>
      <c r="DO27" s="64">
        <v>3.3000000000000002E-2</v>
      </c>
      <c r="DP27" s="64">
        <v>4.3999999999999997E-2</v>
      </c>
      <c r="DQ27" s="63">
        <v>6.74</v>
      </c>
      <c r="DR27" s="61">
        <v>7.2</v>
      </c>
      <c r="DS27" s="64">
        <v>1.3180000000000001</v>
      </c>
      <c r="DT27" s="61">
        <v>86.4</v>
      </c>
      <c r="DU27" s="63">
        <v>4.2</v>
      </c>
      <c r="DV27" s="64">
        <v>0.70199999999999996</v>
      </c>
      <c r="DW27" s="64">
        <v>0.438</v>
      </c>
      <c r="DX27" s="66" t="s">
        <v>242</v>
      </c>
      <c r="DY27" s="65" t="str">
        <f t="shared" si="41"/>
        <v>ME</v>
      </c>
      <c r="DZ27" s="128">
        <v>20</v>
      </c>
      <c r="EA27" s="173">
        <f t="shared" si="42"/>
        <v>0.19117647058823528</v>
      </c>
      <c r="EB27" s="173">
        <f t="shared" si="43"/>
        <v>0.18014705882352941</v>
      </c>
      <c r="EC27" s="173">
        <f t="shared" si="44"/>
        <v>0.72727272727272729</v>
      </c>
      <c r="ED27" s="63">
        <v>1.18</v>
      </c>
      <c r="EE27" s="63">
        <v>1.32</v>
      </c>
      <c r="EF27" s="63">
        <v>0.05</v>
      </c>
      <c r="EG27" s="284">
        <v>0.39</v>
      </c>
      <c r="EH27" s="127" t="str">
        <f t="shared" si="5"/>
        <v>ME</v>
      </c>
      <c r="EI27" s="56">
        <v>20</v>
      </c>
      <c r="EJ27" s="334" t="s">
        <v>293</v>
      </c>
      <c r="EK27" s="334"/>
      <c r="EL27" s="334"/>
      <c r="EM27" s="334"/>
      <c r="EN27" s="334"/>
      <c r="EO27" s="334"/>
      <c r="EP27" s="334"/>
      <c r="EQ27" s="65" t="str">
        <f t="shared" si="45"/>
        <v>ME</v>
      </c>
      <c r="ER27" s="20"/>
      <c r="ES27" s="20"/>
      <c r="ET27" s="20"/>
      <c r="EU27" s="20"/>
      <c r="EV27" s="20"/>
      <c r="EW27" s="20"/>
      <c r="EX27" s="20"/>
    </row>
    <row r="28" spans="1:154" s="3" customFormat="1" ht="17.149999999999999" customHeight="1" x14ac:dyDescent="0.35">
      <c r="A28" s="56">
        <v>21</v>
      </c>
      <c r="B28" s="57">
        <v>869867</v>
      </c>
      <c r="C28" s="58">
        <f t="shared" si="6"/>
        <v>192</v>
      </c>
      <c r="D28" s="167">
        <v>9.49</v>
      </c>
      <c r="E28" s="59">
        <v>774118</v>
      </c>
      <c r="F28" s="58">
        <f t="shared" si="7"/>
        <v>255</v>
      </c>
      <c r="G28" s="168">
        <v>3.31</v>
      </c>
      <c r="H28" s="57">
        <v>736264</v>
      </c>
      <c r="I28" s="58">
        <f t="shared" si="0"/>
        <v>170</v>
      </c>
      <c r="J28" s="60" t="s">
        <v>194</v>
      </c>
      <c r="K28" s="56">
        <v>21</v>
      </c>
      <c r="L28" s="57">
        <v>68099</v>
      </c>
      <c r="M28" s="58">
        <f t="shared" si="8"/>
        <v>1</v>
      </c>
      <c r="N28" s="59">
        <v>172065</v>
      </c>
      <c r="O28" s="58">
        <f t="shared" si="9"/>
        <v>54</v>
      </c>
      <c r="P28" s="57">
        <v>194713</v>
      </c>
      <c r="Q28" s="169" t="str">
        <f t="shared" si="1"/>
        <v/>
      </c>
      <c r="R28" s="57">
        <v>659</v>
      </c>
      <c r="S28" s="57">
        <v>668</v>
      </c>
      <c r="T28" s="57">
        <v>138</v>
      </c>
      <c r="U28" s="57">
        <v>135</v>
      </c>
      <c r="V28" s="58" t="str">
        <f t="shared" si="10"/>
        <v>ME</v>
      </c>
      <c r="W28" s="56">
        <v>21</v>
      </c>
      <c r="X28" s="63">
        <v>11452.39</v>
      </c>
      <c r="Y28" s="130">
        <f t="shared" si="11"/>
        <v>3.1500000000014552</v>
      </c>
      <c r="Z28" s="63">
        <v>12224.76</v>
      </c>
      <c r="AA28" s="205">
        <f t="shared" si="12"/>
        <v>2.430000000000291</v>
      </c>
      <c r="AB28" s="63">
        <v>9670</v>
      </c>
      <c r="AC28" s="130">
        <f t="shared" si="13"/>
        <v>2.5900000000001455</v>
      </c>
      <c r="AD28" s="63">
        <v>9759.64</v>
      </c>
      <c r="AE28" s="130">
        <f t="shared" si="2"/>
        <v>1.930000000000291</v>
      </c>
      <c r="AF28" s="125" t="str">
        <f t="shared" si="14"/>
        <v>ME</v>
      </c>
      <c r="AG28" s="56">
        <v>21</v>
      </c>
      <c r="AH28" s="63">
        <v>45648.37</v>
      </c>
      <c r="AI28" s="130">
        <f t="shared" si="15"/>
        <v>14.290000000000873</v>
      </c>
      <c r="AJ28" s="63">
        <v>47786.22</v>
      </c>
      <c r="AK28" s="130">
        <f t="shared" si="16"/>
        <v>12.040000000000873</v>
      </c>
      <c r="AL28" s="63">
        <v>585.34</v>
      </c>
      <c r="AM28" s="130">
        <f t="shared" si="17"/>
        <v>1.999999999998181E-2</v>
      </c>
      <c r="AN28" s="63">
        <v>546.41</v>
      </c>
      <c r="AO28" s="130" t="str">
        <f t="shared" si="3"/>
        <v/>
      </c>
      <c r="AP28" s="125" t="str">
        <f t="shared" si="18"/>
        <v>ME</v>
      </c>
      <c r="AQ28" s="56">
        <v>21</v>
      </c>
      <c r="AR28" s="63">
        <v>6565.85</v>
      </c>
      <c r="AS28" s="130">
        <f t="shared" si="19"/>
        <v>0.3499999999994543</v>
      </c>
      <c r="AT28" s="63">
        <v>7276.46</v>
      </c>
      <c r="AU28" s="130">
        <f t="shared" si="20"/>
        <v>2.3500000000003638</v>
      </c>
      <c r="AV28" s="63">
        <v>249.78</v>
      </c>
      <c r="AW28" s="130" t="str">
        <f t="shared" si="21"/>
        <v/>
      </c>
      <c r="AX28" s="63">
        <v>237.91</v>
      </c>
      <c r="AY28" s="130" t="str">
        <f t="shared" si="4"/>
        <v/>
      </c>
      <c r="AZ28" s="125" t="str">
        <f t="shared" si="22"/>
        <v>ME</v>
      </c>
      <c r="BA28" s="56">
        <v>21</v>
      </c>
      <c r="BB28" s="64"/>
      <c r="BC28" s="62"/>
      <c r="BD28" s="61"/>
      <c r="BE28" s="61"/>
      <c r="BF28" s="61"/>
      <c r="BG28" s="61"/>
      <c r="BH28" s="64"/>
      <c r="BI28" s="64"/>
      <c r="BJ28" s="64"/>
      <c r="BK28" s="64"/>
      <c r="BL28" s="64"/>
      <c r="BM28" s="64"/>
      <c r="BN28" s="65" t="str">
        <f t="shared" si="23"/>
        <v>ME</v>
      </c>
      <c r="BO28" s="56">
        <v>21</v>
      </c>
      <c r="BP28" s="64">
        <v>6.6000000000000003E-2</v>
      </c>
      <c r="BQ28" s="62"/>
      <c r="BR28" s="61"/>
      <c r="BS28" s="61"/>
      <c r="BT28" s="61"/>
      <c r="BU28" s="64"/>
      <c r="BV28" s="63">
        <v>1.25</v>
      </c>
      <c r="BW28" s="63">
        <v>1.08</v>
      </c>
      <c r="BX28" s="66" t="s">
        <v>259</v>
      </c>
      <c r="BY28" s="172" t="s">
        <v>246</v>
      </c>
      <c r="BZ28" s="67" t="str">
        <f t="shared" si="24"/>
        <v>ME</v>
      </c>
      <c r="CA28" s="56">
        <v>21</v>
      </c>
      <c r="CB28" s="61">
        <v>91.5</v>
      </c>
      <c r="CC28" s="61"/>
      <c r="CD28" s="68">
        <f t="shared" si="25"/>
        <v>1.5</v>
      </c>
      <c r="CE28" s="69">
        <f t="shared" si="26"/>
        <v>6.9813975000000008</v>
      </c>
      <c r="CF28" s="69">
        <f t="shared" si="27"/>
        <v>4.9280452941176476</v>
      </c>
      <c r="CG28" s="62">
        <v>53</v>
      </c>
      <c r="CH28" s="62">
        <v>100</v>
      </c>
      <c r="CI28" s="65" t="str">
        <f t="shared" si="28"/>
        <v>ME</v>
      </c>
      <c r="CJ28" s="56">
        <v>21</v>
      </c>
      <c r="CK28" s="61">
        <v>84.4</v>
      </c>
      <c r="CL28" s="61">
        <v>98</v>
      </c>
      <c r="CM28" s="68">
        <f t="shared" si="29"/>
        <v>2.2000000000000028</v>
      </c>
      <c r="CN28" s="69">
        <f t="shared" si="30"/>
        <v>10.239383000000014</v>
      </c>
      <c r="CO28" s="68">
        <f t="shared" si="31"/>
        <v>21.20672213515628</v>
      </c>
      <c r="CP28" s="62">
        <v>53</v>
      </c>
      <c r="CQ28" s="62">
        <v>83</v>
      </c>
      <c r="CR28" s="65" t="str">
        <f t="shared" si="32"/>
        <v>ME</v>
      </c>
      <c r="CS28" s="56">
        <v>21</v>
      </c>
      <c r="CT28" s="61">
        <v>102.6</v>
      </c>
      <c r="CU28" s="61"/>
      <c r="CV28" s="68">
        <f t="shared" si="33"/>
        <v>1.8999999999999915</v>
      </c>
      <c r="CW28" s="68">
        <f t="shared" si="34"/>
        <v>12.624055999999943</v>
      </c>
      <c r="CX28" s="69">
        <f t="shared" si="35"/>
        <v>6.5750291666666363E-2</v>
      </c>
      <c r="CY28" s="66" t="s">
        <v>240</v>
      </c>
      <c r="CZ28" s="66" t="s">
        <v>241</v>
      </c>
      <c r="DA28" s="66"/>
      <c r="DB28" s="65" t="str">
        <f t="shared" si="36"/>
        <v>ME</v>
      </c>
      <c r="DC28" s="56">
        <v>21</v>
      </c>
      <c r="DD28" s="61">
        <v>78.8</v>
      </c>
      <c r="DE28" s="61">
        <v>103.7</v>
      </c>
      <c r="DF28" s="68">
        <f t="shared" si="37"/>
        <v>9.7999999999999972</v>
      </c>
      <c r="DG28" s="69">
        <f t="shared" si="38"/>
        <v>0.52872204223999986</v>
      </c>
      <c r="DH28" s="68">
        <f t="shared" si="39"/>
        <v>2.7537606366666658</v>
      </c>
      <c r="DI28" s="62">
        <v>90</v>
      </c>
      <c r="DJ28" s="62">
        <v>54</v>
      </c>
      <c r="DK28" s="65" t="str">
        <f t="shared" si="40"/>
        <v>ME</v>
      </c>
      <c r="DL28" s="56">
        <v>21</v>
      </c>
      <c r="DM28" s="63">
        <v>8.32</v>
      </c>
      <c r="DN28" s="64">
        <v>1.9E-2</v>
      </c>
      <c r="DO28" s="64">
        <v>3.4000000000000002E-2</v>
      </c>
      <c r="DP28" s="64">
        <v>4.2999999999999997E-2</v>
      </c>
      <c r="DQ28" s="63">
        <v>6.75</v>
      </c>
      <c r="DR28" s="61">
        <v>7.1</v>
      </c>
      <c r="DS28" s="64">
        <v>1.1850000000000001</v>
      </c>
      <c r="DT28" s="61">
        <v>86.5</v>
      </c>
      <c r="DU28" s="63">
        <v>4.21</v>
      </c>
      <c r="DV28" s="64">
        <v>1.7749999999999999</v>
      </c>
      <c r="DW28" s="64">
        <v>0.46500000000000002</v>
      </c>
      <c r="DX28" s="66" t="s">
        <v>242</v>
      </c>
      <c r="DY28" s="65" t="str">
        <f t="shared" si="41"/>
        <v>ME</v>
      </c>
      <c r="DZ28" s="128">
        <v>21</v>
      </c>
      <c r="EA28" s="173">
        <f t="shared" si="42"/>
        <v>0.12834224598930483</v>
      </c>
      <c r="EB28" s="173">
        <f t="shared" si="43"/>
        <v>0.1875</v>
      </c>
      <c r="EC28" s="173">
        <f t="shared" si="44"/>
        <v>0.88541666666666663</v>
      </c>
      <c r="ED28" s="63">
        <v>1.1100000000000001</v>
      </c>
      <c r="EE28" s="63">
        <v>1.2</v>
      </c>
      <c r="EF28" s="63">
        <v>0.04</v>
      </c>
      <c r="EG28" s="63">
        <v>0.04</v>
      </c>
      <c r="EH28" s="127" t="str">
        <f t="shared" si="5"/>
        <v>ME</v>
      </c>
      <c r="EI28" s="56">
        <v>21</v>
      </c>
      <c r="EJ28" s="334"/>
      <c r="EK28" s="334"/>
      <c r="EL28" s="334"/>
      <c r="EM28" s="334"/>
      <c r="EN28" s="334"/>
      <c r="EO28" s="334"/>
      <c r="EP28" s="334"/>
      <c r="EQ28" s="65" t="str">
        <f t="shared" si="45"/>
        <v>ME</v>
      </c>
      <c r="ER28" s="20"/>
      <c r="ES28" s="20"/>
      <c r="ET28" s="20"/>
      <c r="EU28" s="20"/>
      <c r="EV28" s="20"/>
      <c r="EW28" s="20"/>
      <c r="EX28" s="20"/>
    </row>
    <row r="29" spans="1:154" s="3" customFormat="1" ht="17.149999999999999" customHeight="1" x14ac:dyDescent="0.35">
      <c r="A29" s="56">
        <v>22</v>
      </c>
      <c r="B29" s="57">
        <v>870059</v>
      </c>
      <c r="C29" s="58">
        <f t="shared" si="6"/>
        <v>314</v>
      </c>
      <c r="D29" s="167">
        <v>9.73</v>
      </c>
      <c r="E29" s="59">
        <v>774373</v>
      </c>
      <c r="F29" s="58">
        <f t="shared" si="7"/>
        <v>189</v>
      </c>
      <c r="G29" s="168">
        <v>2.62</v>
      </c>
      <c r="H29" s="57">
        <v>736434</v>
      </c>
      <c r="I29" s="58">
        <f t="shared" si="0"/>
        <v>234</v>
      </c>
      <c r="J29" s="60" t="s">
        <v>194</v>
      </c>
      <c r="K29" s="56">
        <v>22</v>
      </c>
      <c r="L29" s="57">
        <v>68100</v>
      </c>
      <c r="M29" s="58">
        <f t="shared" si="8"/>
        <v>42</v>
      </c>
      <c r="N29" s="59">
        <v>172119</v>
      </c>
      <c r="O29" s="58">
        <f t="shared" si="9"/>
        <v>39</v>
      </c>
      <c r="P29" s="57">
        <v>194713</v>
      </c>
      <c r="Q29" s="169" t="str">
        <f t="shared" si="1"/>
        <v/>
      </c>
      <c r="R29" s="57">
        <v>659</v>
      </c>
      <c r="S29" s="57">
        <v>668</v>
      </c>
      <c r="T29" s="57">
        <v>138</v>
      </c>
      <c r="U29" s="57">
        <v>135</v>
      </c>
      <c r="V29" s="58" t="str">
        <f t="shared" si="10"/>
        <v>ME</v>
      </c>
      <c r="W29" s="56">
        <v>22</v>
      </c>
      <c r="X29" s="63">
        <v>11455.54</v>
      </c>
      <c r="Y29" s="130">
        <f t="shared" si="11"/>
        <v>6.5899999999983265</v>
      </c>
      <c r="Z29" s="63">
        <v>12227.19</v>
      </c>
      <c r="AA29" s="205">
        <f t="shared" si="12"/>
        <v>2.7999999999992724</v>
      </c>
      <c r="AB29" s="63">
        <v>9672.59</v>
      </c>
      <c r="AC29" s="130">
        <f t="shared" si="13"/>
        <v>5.1199999999989814</v>
      </c>
      <c r="AD29" s="63">
        <v>9761.57</v>
      </c>
      <c r="AE29" s="130">
        <f t="shared" si="2"/>
        <v>1.0799999999999272</v>
      </c>
      <c r="AF29" s="125" t="str">
        <f t="shared" si="14"/>
        <v>ME</v>
      </c>
      <c r="AG29" s="56">
        <v>22</v>
      </c>
      <c r="AH29" s="63">
        <v>45662.66</v>
      </c>
      <c r="AI29" s="130">
        <f t="shared" si="15"/>
        <v>8.3699999999953434</v>
      </c>
      <c r="AJ29" s="63">
        <v>47798.26</v>
      </c>
      <c r="AK29" s="130">
        <f t="shared" si="16"/>
        <v>11.970000000001164</v>
      </c>
      <c r="AL29" s="63">
        <v>585.36</v>
      </c>
      <c r="AM29" s="130" t="str">
        <f t="shared" si="17"/>
        <v/>
      </c>
      <c r="AN29" s="63">
        <v>546.41</v>
      </c>
      <c r="AO29" s="130" t="str">
        <f t="shared" si="3"/>
        <v/>
      </c>
      <c r="AP29" s="125" t="str">
        <f t="shared" si="18"/>
        <v>ME</v>
      </c>
      <c r="AQ29" s="56">
        <v>22</v>
      </c>
      <c r="AR29" s="63">
        <v>6566.2</v>
      </c>
      <c r="AS29" s="130">
        <f t="shared" si="19"/>
        <v>4.0399999999999636</v>
      </c>
      <c r="AT29" s="63">
        <v>7278.81</v>
      </c>
      <c r="AU29" s="130">
        <f t="shared" si="20"/>
        <v>1.9099999999998545</v>
      </c>
      <c r="AV29" s="63">
        <v>249.78</v>
      </c>
      <c r="AW29" s="130">
        <f t="shared" si="21"/>
        <v>0.34000000000000341</v>
      </c>
      <c r="AX29" s="63">
        <v>237.91</v>
      </c>
      <c r="AY29" s="130" t="str">
        <f t="shared" si="4"/>
        <v/>
      </c>
      <c r="AZ29" s="125" t="str">
        <f t="shared" si="22"/>
        <v>ME</v>
      </c>
      <c r="BA29" s="56">
        <v>22</v>
      </c>
      <c r="BB29" s="64">
        <v>0.54500000000000004</v>
      </c>
      <c r="BC29" s="62">
        <v>23</v>
      </c>
      <c r="BD29" s="61">
        <v>6.7</v>
      </c>
      <c r="BE29" s="61">
        <v>2.7</v>
      </c>
      <c r="BF29" s="61">
        <v>15.8</v>
      </c>
      <c r="BG29" s="61">
        <v>6.7</v>
      </c>
      <c r="BH29" s="64">
        <v>0.33100000000000002</v>
      </c>
      <c r="BI29" s="64">
        <v>0.25700000000000001</v>
      </c>
      <c r="BJ29" s="64">
        <v>5.5E-2</v>
      </c>
      <c r="BK29" s="64">
        <v>4.8000000000000001E-2</v>
      </c>
      <c r="BL29" s="64">
        <v>4.7E-2</v>
      </c>
      <c r="BM29" s="64">
        <v>5.2999999999999999E-2</v>
      </c>
      <c r="BN29" s="65" t="str">
        <f t="shared" si="23"/>
        <v>ME</v>
      </c>
      <c r="BO29" s="56">
        <v>22</v>
      </c>
      <c r="BP29" s="64">
        <v>8.1000000000000003E-2</v>
      </c>
      <c r="BQ29" s="62">
        <v>0</v>
      </c>
      <c r="BR29" s="61">
        <v>7.1</v>
      </c>
      <c r="BS29" s="61">
        <v>7.2</v>
      </c>
      <c r="BT29" s="61">
        <v>18</v>
      </c>
      <c r="BU29" s="64">
        <v>8.9999999999999993E-3</v>
      </c>
      <c r="BV29" s="63">
        <v>1.22</v>
      </c>
      <c r="BW29" s="63">
        <v>0.99</v>
      </c>
      <c r="BX29" s="66" t="s">
        <v>245</v>
      </c>
      <c r="BY29" s="172" t="s">
        <v>246</v>
      </c>
      <c r="BZ29" s="67" t="str">
        <f t="shared" si="24"/>
        <v>ME</v>
      </c>
      <c r="CA29" s="56">
        <v>22</v>
      </c>
      <c r="CB29" s="61">
        <v>90</v>
      </c>
      <c r="CC29" s="61"/>
      <c r="CD29" s="68">
        <f t="shared" si="25"/>
        <v>1.9000000000000057</v>
      </c>
      <c r="CE29" s="69">
        <f t="shared" si="26"/>
        <v>8.8431035000000264</v>
      </c>
      <c r="CF29" s="69">
        <f t="shared" si="27"/>
        <v>4.5349248717948862</v>
      </c>
      <c r="CG29" s="62">
        <v>53</v>
      </c>
      <c r="CH29" s="62">
        <v>100</v>
      </c>
      <c r="CI29" s="65" t="str">
        <f t="shared" si="28"/>
        <v>ME</v>
      </c>
      <c r="CJ29" s="56">
        <v>22</v>
      </c>
      <c r="CK29" s="61">
        <v>95.8</v>
      </c>
      <c r="CL29" s="61"/>
      <c r="CM29" s="68">
        <f t="shared" si="29"/>
        <v>4.0999999999999943</v>
      </c>
      <c r="CN29" s="69">
        <f t="shared" si="30"/>
        <v>19.082486499999973</v>
      </c>
      <c r="CO29" s="68">
        <f t="shared" si="31"/>
        <v>24.166085212499969</v>
      </c>
      <c r="CP29" s="62">
        <v>55</v>
      </c>
      <c r="CQ29" s="62">
        <v>83</v>
      </c>
      <c r="CR29" s="65" t="str">
        <f t="shared" si="32"/>
        <v>ME</v>
      </c>
      <c r="CS29" s="56">
        <v>22</v>
      </c>
      <c r="CT29" s="61">
        <v>100.7</v>
      </c>
      <c r="CU29" s="61"/>
      <c r="CV29" s="68">
        <f t="shared" si="33"/>
        <v>3.4000000000000057</v>
      </c>
      <c r="CW29" s="68">
        <f t="shared" si="34"/>
        <v>22.590416000000037</v>
      </c>
      <c r="CX29" s="69">
        <f t="shared" si="35"/>
        <v>7.1944000000000119E-2</v>
      </c>
      <c r="CY29" s="66" t="s">
        <v>240</v>
      </c>
      <c r="CZ29" s="66" t="s">
        <v>241</v>
      </c>
      <c r="DA29" s="66"/>
      <c r="DB29" s="65" t="str">
        <f t="shared" si="36"/>
        <v>ME</v>
      </c>
      <c r="DC29" s="56">
        <v>22</v>
      </c>
      <c r="DD29" s="61">
        <v>93.9</v>
      </c>
      <c r="DE29" s="61"/>
      <c r="DF29" s="68">
        <f t="shared" si="37"/>
        <v>26.5</v>
      </c>
      <c r="DG29" s="69">
        <f t="shared" si="38"/>
        <v>1.4297075631999998</v>
      </c>
      <c r="DH29" s="68">
        <f t="shared" si="39"/>
        <v>4.5532087999999993</v>
      </c>
      <c r="DI29" s="62">
        <v>90</v>
      </c>
      <c r="DJ29" s="62">
        <v>54</v>
      </c>
      <c r="DK29" s="65" t="str">
        <f t="shared" si="40"/>
        <v>ME</v>
      </c>
      <c r="DL29" s="56">
        <v>22</v>
      </c>
      <c r="DM29" s="63">
        <v>8.23</v>
      </c>
      <c r="DN29" s="64">
        <v>0.02</v>
      </c>
      <c r="DO29" s="64">
        <v>3.3000000000000002E-2</v>
      </c>
      <c r="DP29" s="64">
        <v>5.6000000000000001E-2</v>
      </c>
      <c r="DQ29" s="63">
        <v>6.73</v>
      </c>
      <c r="DR29" s="61">
        <v>7.2</v>
      </c>
      <c r="DS29" s="64">
        <v>1.1859999999999999</v>
      </c>
      <c r="DT29" s="61">
        <v>83.4</v>
      </c>
      <c r="DU29" s="63">
        <v>4.09</v>
      </c>
      <c r="DV29" s="64">
        <v>0.99</v>
      </c>
      <c r="DW29" s="64">
        <v>0.377</v>
      </c>
      <c r="DX29" s="66" t="s">
        <v>242</v>
      </c>
      <c r="DY29" s="65" t="str">
        <f t="shared" si="41"/>
        <v>ME</v>
      </c>
      <c r="DZ29" s="128">
        <v>22</v>
      </c>
      <c r="EA29" s="173">
        <f t="shared" si="42"/>
        <v>0.20989304812834225</v>
      </c>
      <c r="EB29" s="173">
        <f t="shared" si="43"/>
        <v>0.13897058823529412</v>
      </c>
      <c r="EC29" s="173">
        <f t="shared" si="44"/>
        <v>0.74522292993630568</v>
      </c>
      <c r="ED29" s="63">
        <v>0.99</v>
      </c>
      <c r="EE29" s="63">
        <v>1.2</v>
      </c>
      <c r="EF29" s="63">
        <v>0.04</v>
      </c>
      <c r="EG29" s="63">
        <v>0.05</v>
      </c>
      <c r="EH29" s="127" t="str">
        <f t="shared" si="5"/>
        <v>ME</v>
      </c>
      <c r="EI29" s="56">
        <v>22</v>
      </c>
      <c r="EJ29" s="334" t="s">
        <v>294</v>
      </c>
      <c r="EK29" s="334"/>
      <c r="EL29" s="334"/>
      <c r="EM29" s="334"/>
      <c r="EN29" s="334"/>
      <c r="EO29" s="334"/>
      <c r="EP29" s="334"/>
      <c r="EQ29" s="65" t="str">
        <f t="shared" si="45"/>
        <v>ME</v>
      </c>
      <c r="ER29" s="20"/>
      <c r="ES29" s="20"/>
      <c r="ET29" s="20"/>
      <c r="EU29" s="20"/>
      <c r="EV29" s="20"/>
      <c r="EW29" s="20"/>
      <c r="EX29" s="20"/>
    </row>
    <row r="30" spans="1:154" s="3" customFormat="1" ht="17.149999999999999" customHeight="1" x14ac:dyDescent="0.35">
      <c r="A30" s="56">
        <v>23</v>
      </c>
      <c r="B30" s="57">
        <v>870373</v>
      </c>
      <c r="C30" s="58">
        <f t="shared" si="6"/>
        <v>184</v>
      </c>
      <c r="D30" s="167">
        <v>9.4</v>
      </c>
      <c r="E30" s="59">
        <v>774562</v>
      </c>
      <c r="F30" s="58">
        <f t="shared" si="7"/>
        <v>253</v>
      </c>
      <c r="G30" s="168">
        <v>2.95</v>
      </c>
      <c r="H30" s="57">
        <v>736668</v>
      </c>
      <c r="I30" s="58">
        <f t="shared" si="0"/>
        <v>162</v>
      </c>
      <c r="J30" s="60" t="s">
        <v>194</v>
      </c>
      <c r="K30" s="56">
        <v>23</v>
      </c>
      <c r="L30" s="57">
        <v>68142</v>
      </c>
      <c r="M30" s="58" t="str">
        <f t="shared" si="8"/>
        <v/>
      </c>
      <c r="N30" s="59">
        <v>172158</v>
      </c>
      <c r="O30" s="58">
        <f t="shared" si="9"/>
        <v>56</v>
      </c>
      <c r="P30" s="57">
        <v>194713</v>
      </c>
      <c r="Q30" s="169" t="str">
        <f t="shared" si="1"/>
        <v/>
      </c>
      <c r="R30" s="57">
        <v>660</v>
      </c>
      <c r="S30" s="57">
        <v>668</v>
      </c>
      <c r="T30" s="57">
        <v>138</v>
      </c>
      <c r="U30" s="57">
        <v>135</v>
      </c>
      <c r="V30" s="58" t="str">
        <f t="shared" si="10"/>
        <v>ME</v>
      </c>
      <c r="W30" s="56">
        <v>23</v>
      </c>
      <c r="X30" s="63">
        <v>11462.13</v>
      </c>
      <c r="Y30" s="130">
        <f t="shared" si="11"/>
        <v>2.2800000000006548</v>
      </c>
      <c r="Z30" s="63">
        <v>12229.99</v>
      </c>
      <c r="AA30" s="130">
        <f t="shared" si="12"/>
        <v>3.1000000000003638</v>
      </c>
      <c r="AB30" s="63">
        <v>9677.7099999999991</v>
      </c>
      <c r="AC30" s="130">
        <f t="shared" si="13"/>
        <v>1.7900000000008731</v>
      </c>
      <c r="AD30" s="63">
        <v>9762.65</v>
      </c>
      <c r="AE30" s="130">
        <f t="shared" si="2"/>
        <v>2.5300000000006548</v>
      </c>
      <c r="AF30" s="125" t="str">
        <f t="shared" si="14"/>
        <v>ME</v>
      </c>
      <c r="AG30" s="56">
        <v>23</v>
      </c>
      <c r="AH30" s="63">
        <v>45671.03</v>
      </c>
      <c r="AI30" s="130">
        <f t="shared" si="15"/>
        <v>15.630000000004657</v>
      </c>
      <c r="AJ30" s="63">
        <v>47810.23</v>
      </c>
      <c r="AK30" s="130">
        <f t="shared" si="16"/>
        <v>12.059999999997672</v>
      </c>
      <c r="AL30" s="63">
        <v>585.36</v>
      </c>
      <c r="AM30" s="130" t="str">
        <f t="shared" si="17"/>
        <v/>
      </c>
      <c r="AN30" s="63">
        <v>546.41</v>
      </c>
      <c r="AO30" s="130" t="str">
        <f t="shared" si="3"/>
        <v/>
      </c>
      <c r="AP30" s="125" t="str">
        <f t="shared" si="18"/>
        <v>ME</v>
      </c>
      <c r="AQ30" s="56">
        <v>23</v>
      </c>
      <c r="AR30" s="63">
        <v>6570.24</v>
      </c>
      <c r="AS30" s="130">
        <f t="shared" si="19"/>
        <v>2.1400000000003274</v>
      </c>
      <c r="AT30" s="63">
        <v>7280.72</v>
      </c>
      <c r="AU30" s="130">
        <f t="shared" si="20"/>
        <v>2.0299999999997453</v>
      </c>
      <c r="AV30" s="63">
        <v>250.12</v>
      </c>
      <c r="AW30" s="130" t="str">
        <f t="shared" si="21"/>
        <v/>
      </c>
      <c r="AX30" s="63">
        <v>237.91</v>
      </c>
      <c r="AY30" s="130" t="str">
        <f t="shared" si="4"/>
        <v/>
      </c>
      <c r="AZ30" s="125" t="str">
        <f t="shared" si="22"/>
        <v>ME</v>
      </c>
      <c r="BA30" s="56">
        <v>23</v>
      </c>
      <c r="BB30" s="64">
        <v>0.61799999999999999</v>
      </c>
      <c r="BC30" s="62">
        <v>22</v>
      </c>
      <c r="BD30" s="61">
        <v>7.2</v>
      </c>
      <c r="BE30" s="61">
        <v>2.9</v>
      </c>
      <c r="BF30" s="61">
        <v>16.600000000000001</v>
      </c>
      <c r="BG30" s="61">
        <v>7.2</v>
      </c>
      <c r="BH30" s="64">
        <v>0.315</v>
      </c>
      <c r="BI30" s="64">
        <v>0.33400000000000002</v>
      </c>
      <c r="BJ30" s="64">
        <v>4.8000000000000001E-2</v>
      </c>
      <c r="BK30" s="64">
        <v>4.9000000000000002E-2</v>
      </c>
      <c r="BL30" s="64">
        <v>5.6000000000000001E-2</v>
      </c>
      <c r="BM30" s="64">
        <v>5.5E-2</v>
      </c>
      <c r="BN30" s="65" t="str">
        <f t="shared" si="23"/>
        <v>ME</v>
      </c>
      <c r="BO30" s="56">
        <v>23</v>
      </c>
      <c r="BP30" s="64">
        <v>6.8000000000000005E-2</v>
      </c>
      <c r="BQ30" s="62">
        <v>0</v>
      </c>
      <c r="BR30" s="61">
        <v>7.1</v>
      </c>
      <c r="BS30" s="61">
        <v>7.1</v>
      </c>
      <c r="BT30" s="61">
        <v>18.2</v>
      </c>
      <c r="BU30" s="64">
        <v>1.2E-2</v>
      </c>
      <c r="BV30" s="63">
        <v>1.25</v>
      </c>
      <c r="BW30" s="63">
        <v>1.1200000000000001</v>
      </c>
      <c r="BX30" s="66" t="s">
        <v>245</v>
      </c>
      <c r="BY30" s="172" t="s">
        <v>246</v>
      </c>
      <c r="BZ30" s="67" t="str">
        <f t="shared" si="24"/>
        <v>ME</v>
      </c>
      <c r="CA30" s="56">
        <v>23</v>
      </c>
      <c r="CB30" s="61">
        <v>88.1</v>
      </c>
      <c r="CC30" s="61"/>
      <c r="CD30" s="68">
        <f t="shared" si="25"/>
        <v>1.5999999999999943</v>
      </c>
      <c r="CE30" s="69">
        <f t="shared" si="26"/>
        <v>7.4468239999999746</v>
      </c>
      <c r="CF30" s="69">
        <f t="shared" si="27"/>
        <v>5.5161659259259066</v>
      </c>
      <c r="CG30" s="62">
        <v>53</v>
      </c>
      <c r="CH30" s="62">
        <v>100</v>
      </c>
      <c r="CI30" s="65" t="str">
        <f t="shared" si="28"/>
        <v>ME</v>
      </c>
      <c r="CJ30" s="56">
        <v>23</v>
      </c>
      <c r="CK30" s="61">
        <v>91.7</v>
      </c>
      <c r="CL30" s="61"/>
      <c r="CM30" s="68">
        <f t="shared" si="29"/>
        <v>2.1000000000000085</v>
      </c>
      <c r="CN30" s="69">
        <f t="shared" si="30"/>
        <v>9.7739565000000397</v>
      </c>
      <c r="CO30" s="68">
        <f t="shared" si="31"/>
        <v>21.122901099048999</v>
      </c>
      <c r="CP30" s="62">
        <v>53</v>
      </c>
      <c r="CQ30" s="62">
        <v>83</v>
      </c>
      <c r="CR30" s="65" t="str">
        <f t="shared" si="32"/>
        <v>ME</v>
      </c>
      <c r="CS30" s="56">
        <v>23</v>
      </c>
      <c r="CT30" s="61">
        <v>97.3</v>
      </c>
      <c r="CU30" s="61"/>
      <c r="CV30" s="68">
        <f t="shared" si="33"/>
        <v>1.7999999999999972</v>
      </c>
      <c r="CW30" s="68">
        <f t="shared" si="34"/>
        <v>11.959631999999981</v>
      </c>
      <c r="CX30" s="69">
        <f t="shared" si="35"/>
        <v>6.4997999999999903E-2</v>
      </c>
      <c r="CY30" s="66" t="s">
        <v>240</v>
      </c>
      <c r="CZ30" s="66" t="s">
        <v>241</v>
      </c>
      <c r="DA30" s="66"/>
      <c r="DB30" s="65" t="str">
        <f t="shared" si="36"/>
        <v>ME</v>
      </c>
      <c r="DC30" s="56">
        <v>23</v>
      </c>
      <c r="DD30" s="61">
        <v>67.400000000000006</v>
      </c>
      <c r="DE30" s="61">
        <v>103.3</v>
      </c>
      <c r="DF30" s="68">
        <f t="shared" si="37"/>
        <v>16.599999999999994</v>
      </c>
      <c r="DG30" s="69">
        <f t="shared" si="38"/>
        <v>0.89559039807999974</v>
      </c>
      <c r="DH30" s="68">
        <f t="shared" si="39"/>
        <v>4.8673391199999987</v>
      </c>
      <c r="DI30" s="62">
        <v>90</v>
      </c>
      <c r="DJ30" s="62">
        <v>54</v>
      </c>
      <c r="DK30" s="65" t="str">
        <f t="shared" si="40"/>
        <v>ME</v>
      </c>
      <c r="DL30" s="56">
        <v>23</v>
      </c>
      <c r="DM30" s="63">
        <v>8.14</v>
      </c>
      <c r="DN30" s="64">
        <v>0.02</v>
      </c>
      <c r="DO30" s="64">
        <v>3.2000000000000001E-2</v>
      </c>
      <c r="DP30" s="64">
        <v>4.8000000000000001E-2</v>
      </c>
      <c r="DQ30" s="63">
        <v>6.73</v>
      </c>
      <c r="DR30" s="61">
        <v>7.1</v>
      </c>
      <c r="DS30" s="64">
        <v>1.1910000000000001</v>
      </c>
      <c r="DT30" s="61">
        <v>85.5</v>
      </c>
      <c r="DU30" s="63">
        <v>4.3899999999999997</v>
      </c>
      <c r="DV30" s="64">
        <v>2.2709999999999999</v>
      </c>
      <c r="DW30" s="64">
        <v>0.41799999999999998</v>
      </c>
      <c r="DX30" s="66" t="s">
        <v>242</v>
      </c>
      <c r="DY30" s="65" t="str">
        <f t="shared" si="41"/>
        <v>ME</v>
      </c>
      <c r="DZ30" s="128">
        <v>23</v>
      </c>
      <c r="EA30" s="173">
        <f t="shared" si="42"/>
        <v>0.12299465240641712</v>
      </c>
      <c r="EB30" s="173">
        <f t="shared" si="43"/>
        <v>0.18602941176470589</v>
      </c>
      <c r="EC30" s="173">
        <f t="shared" si="44"/>
        <v>0.88043478260869568</v>
      </c>
      <c r="ED30" s="63">
        <v>1.1499999999999999</v>
      </c>
      <c r="EE30" s="63">
        <v>1.19</v>
      </c>
      <c r="EF30" s="63">
        <v>0.04</v>
      </c>
      <c r="EG30" s="63">
        <v>0.05</v>
      </c>
      <c r="EH30" s="127" t="str">
        <f t="shared" si="5"/>
        <v>ME</v>
      </c>
      <c r="EI30" s="56">
        <v>23</v>
      </c>
      <c r="EJ30" s="334"/>
      <c r="EK30" s="334"/>
      <c r="EL30" s="334"/>
      <c r="EM30" s="334"/>
      <c r="EN30" s="334"/>
      <c r="EO30" s="334"/>
      <c r="EP30" s="334"/>
      <c r="EQ30" s="65" t="str">
        <f t="shared" si="45"/>
        <v>ME</v>
      </c>
      <c r="ER30" s="20"/>
      <c r="ES30" s="20"/>
      <c r="ET30" s="20"/>
      <c r="EU30" s="20"/>
      <c r="EV30" s="20"/>
      <c r="EW30" s="20"/>
      <c r="EX30" s="20"/>
    </row>
    <row r="31" spans="1:154" s="3" customFormat="1" ht="17.149999999999999" customHeight="1" x14ac:dyDescent="0.35">
      <c r="A31" s="56">
        <v>24</v>
      </c>
      <c r="B31" s="57">
        <v>870557</v>
      </c>
      <c r="C31" s="58">
        <f t="shared" si="6"/>
        <v>167</v>
      </c>
      <c r="D31" s="167">
        <v>10.18</v>
      </c>
      <c r="E31" s="59">
        <v>774815</v>
      </c>
      <c r="F31" s="58">
        <f t="shared" si="7"/>
        <v>212</v>
      </c>
      <c r="G31" s="168">
        <v>1.82</v>
      </c>
      <c r="H31" s="57">
        <v>736830</v>
      </c>
      <c r="I31" s="58">
        <f t="shared" si="0"/>
        <v>146</v>
      </c>
      <c r="J31" s="60" t="s">
        <v>194</v>
      </c>
      <c r="K31" s="56">
        <v>24</v>
      </c>
      <c r="L31" s="57">
        <v>68142</v>
      </c>
      <c r="M31" s="58" t="str">
        <f t="shared" si="8"/>
        <v/>
      </c>
      <c r="N31" s="59">
        <v>172214</v>
      </c>
      <c r="O31" s="58">
        <f t="shared" si="9"/>
        <v>45</v>
      </c>
      <c r="P31" s="57">
        <v>194713</v>
      </c>
      <c r="Q31" s="169" t="str">
        <f t="shared" si="1"/>
        <v/>
      </c>
      <c r="R31" s="57">
        <v>660</v>
      </c>
      <c r="S31" s="57">
        <v>668</v>
      </c>
      <c r="T31" s="57">
        <v>138</v>
      </c>
      <c r="U31" s="57">
        <v>135</v>
      </c>
      <c r="V31" s="58" t="str">
        <f t="shared" si="10"/>
        <v>ME</v>
      </c>
      <c r="W31" s="56">
        <v>24</v>
      </c>
      <c r="X31" s="63">
        <v>11464.41</v>
      </c>
      <c r="Y31" s="130">
        <f t="shared" si="11"/>
        <v>2.3600000000005821</v>
      </c>
      <c r="Z31" s="63">
        <v>12233.09</v>
      </c>
      <c r="AA31" s="130">
        <f t="shared" si="12"/>
        <v>2.5399999999990541</v>
      </c>
      <c r="AB31" s="63">
        <v>9679.5</v>
      </c>
      <c r="AC31" s="130">
        <f t="shared" si="13"/>
        <v>1.8899999999994179</v>
      </c>
      <c r="AD31" s="63">
        <v>9765.18</v>
      </c>
      <c r="AE31" s="206">
        <f t="shared" si="2"/>
        <v>2.0100000000002183</v>
      </c>
      <c r="AF31" s="125" t="str">
        <f t="shared" si="14"/>
        <v>ME</v>
      </c>
      <c r="AG31" s="56">
        <v>24</v>
      </c>
      <c r="AH31" s="63">
        <v>45686.66</v>
      </c>
      <c r="AI31" s="130">
        <f t="shared" si="15"/>
        <v>10.709999999999127</v>
      </c>
      <c r="AJ31" s="63">
        <v>47822.29</v>
      </c>
      <c r="AK31" s="130">
        <f t="shared" si="16"/>
        <v>11.940000000002328</v>
      </c>
      <c r="AL31" s="63">
        <v>585.36</v>
      </c>
      <c r="AM31" s="130" t="str">
        <f t="shared" si="17"/>
        <v/>
      </c>
      <c r="AN31" s="63">
        <v>546.41</v>
      </c>
      <c r="AO31" s="130">
        <f t="shared" si="3"/>
        <v>0.22000000000002728</v>
      </c>
      <c r="AP31" s="125" t="str">
        <f t="shared" si="18"/>
        <v>ME</v>
      </c>
      <c r="AQ31" s="56">
        <v>24</v>
      </c>
      <c r="AR31" s="63">
        <v>6572.38</v>
      </c>
      <c r="AS31" s="130">
        <f t="shared" si="19"/>
        <v>2</v>
      </c>
      <c r="AT31" s="63">
        <v>7282.75</v>
      </c>
      <c r="AU31" s="130">
        <f t="shared" si="20"/>
        <v>2.1400000000003274</v>
      </c>
      <c r="AV31" s="63">
        <v>250.12</v>
      </c>
      <c r="AW31" s="130" t="str">
        <f t="shared" si="21"/>
        <v/>
      </c>
      <c r="AX31" s="63">
        <v>237.91</v>
      </c>
      <c r="AY31" s="130" t="str">
        <f t="shared" si="4"/>
        <v/>
      </c>
      <c r="AZ31" s="125" t="str">
        <f t="shared" si="22"/>
        <v>ME</v>
      </c>
      <c r="BA31" s="56">
        <v>24</v>
      </c>
      <c r="BB31" s="64">
        <v>0.59199999999999997</v>
      </c>
      <c r="BC31" s="62">
        <v>4</v>
      </c>
      <c r="BD31" s="61">
        <v>6.9</v>
      </c>
      <c r="BE31" s="61">
        <v>2.9</v>
      </c>
      <c r="BF31" s="61">
        <v>15.6</v>
      </c>
      <c r="BG31" s="61">
        <v>6.9</v>
      </c>
      <c r="BH31" s="64">
        <v>0.27400000000000002</v>
      </c>
      <c r="BI31" s="64">
        <v>0.27500000000000002</v>
      </c>
      <c r="BJ31" s="64">
        <v>4.7E-2</v>
      </c>
      <c r="BK31" s="64">
        <v>0.06</v>
      </c>
      <c r="BL31" s="64">
        <v>4.9000000000000002E-2</v>
      </c>
      <c r="BM31" s="64">
        <v>5.1999999999999998E-2</v>
      </c>
      <c r="BN31" s="65" t="str">
        <f t="shared" si="23"/>
        <v>ME</v>
      </c>
      <c r="BO31" s="56">
        <v>24</v>
      </c>
      <c r="BP31" s="64">
        <v>6.7000000000000004E-2</v>
      </c>
      <c r="BQ31" s="62">
        <v>0</v>
      </c>
      <c r="BR31" s="61">
        <v>7.2</v>
      </c>
      <c r="BS31" s="61">
        <v>7.2</v>
      </c>
      <c r="BT31" s="61">
        <v>19.100000000000001</v>
      </c>
      <c r="BU31" s="64">
        <v>0.01</v>
      </c>
      <c r="BV31" s="63">
        <v>1.25</v>
      </c>
      <c r="BW31" s="63">
        <v>1.08</v>
      </c>
      <c r="BX31" s="66" t="s">
        <v>245</v>
      </c>
      <c r="BY31" s="172" t="s">
        <v>246</v>
      </c>
      <c r="BZ31" s="67" t="str">
        <f t="shared" si="24"/>
        <v>ME</v>
      </c>
      <c r="CA31" s="56">
        <v>24</v>
      </c>
      <c r="CB31" s="61">
        <v>86.5</v>
      </c>
      <c r="CC31" s="61">
        <v>98.1</v>
      </c>
      <c r="CD31" s="68">
        <f t="shared" si="25"/>
        <v>1.1999999999999886</v>
      </c>
      <c r="CE31" s="69">
        <f t="shared" si="26"/>
        <v>5.5851179999999481</v>
      </c>
      <c r="CF31" s="69">
        <f t="shared" si="27"/>
        <v>4.5905079452054363</v>
      </c>
      <c r="CG31" s="62">
        <v>53</v>
      </c>
      <c r="CH31" s="62">
        <v>100</v>
      </c>
      <c r="CI31" s="65" t="str">
        <f t="shared" si="28"/>
        <v>ME</v>
      </c>
      <c r="CJ31" s="56">
        <v>24</v>
      </c>
      <c r="CK31" s="61">
        <v>89.6</v>
      </c>
      <c r="CL31" s="61"/>
      <c r="CM31" s="68">
        <f t="shared" si="29"/>
        <v>2</v>
      </c>
      <c r="CN31" s="69">
        <f t="shared" si="30"/>
        <v>9.3085300000000011</v>
      </c>
      <c r="CO31" s="68">
        <f t="shared" si="31"/>
        <v>22.164891943113776</v>
      </c>
      <c r="CP31" s="62">
        <v>57</v>
      </c>
      <c r="CQ31" s="62">
        <v>83</v>
      </c>
      <c r="CR31" s="65" t="str">
        <f t="shared" si="32"/>
        <v>ME</v>
      </c>
      <c r="CS31" s="56">
        <v>24</v>
      </c>
      <c r="CT31" s="61">
        <v>95.5</v>
      </c>
      <c r="CU31" s="61">
        <v>91.5</v>
      </c>
      <c r="CV31" s="68">
        <f t="shared" si="33"/>
        <v>1.7000000000000028</v>
      </c>
      <c r="CW31" s="68">
        <f t="shared" si="34"/>
        <v>11.295208000000018</v>
      </c>
      <c r="CX31" s="69">
        <f t="shared" si="35"/>
        <v>6.7635976047904306E-2</v>
      </c>
      <c r="CY31" s="66" t="s">
        <v>251</v>
      </c>
      <c r="CZ31" s="66" t="s">
        <v>241</v>
      </c>
      <c r="DA31" s="66"/>
      <c r="DB31" s="65" t="str">
        <f t="shared" si="36"/>
        <v>ME</v>
      </c>
      <c r="DC31" s="56">
        <v>24</v>
      </c>
      <c r="DD31" s="61">
        <v>86.7</v>
      </c>
      <c r="DE31" s="61">
        <v>102.9</v>
      </c>
      <c r="DF31" s="68">
        <f t="shared" si="37"/>
        <v>14.900000000000006</v>
      </c>
      <c r="DG31" s="69">
        <f t="shared" si="38"/>
        <v>0.80387330912000043</v>
      </c>
      <c r="DH31" s="68">
        <f t="shared" si="39"/>
        <v>4.8136126294610806</v>
      </c>
      <c r="DI31" s="62">
        <v>92</v>
      </c>
      <c r="DJ31" s="62">
        <v>54</v>
      </c>
      <c r="DK31" s="65" t="str">
        <f t="shared" si="40"/>
        <v>ME</v>
      </c>
      <c r="DL31" s="56">
        <v>24</v>
      </c>
      <c r="DM31" s="63">
        <v>7.61</v>
      </c>
      <c r="DN31" s="64">
        <v>2.1000000000000001E-2</v>
      </c>
      <c r="DO31" s="64">
        <v>3.2000000000000001E-2</v>
      </c>
      <c r="DP31" s="64">
        <v>4.5999999999999999E-2</v>
      </c>
      <c r="DQ31" s="63">
        <v>6.73</v>
      </c>
      <c r="DR31" s="61">
        <v>7.2</v>
      </c>
      <c r="DS31" s="64">
        <v>1.1890000000000001</v>
      </c>
      <c r="DT31" s="61">
        <v>86.3</v>
      </c>
      <c r="DU31" s="63">
        <v>4.2</v>
      </c>
      <c r="DV31" s="64">
        <v>1.5629999999999999</v>
      </c>
      <c r="DW31" s="64">
        <v>0.51700000000000002</v>
      </c>
      <c r="DX31" s="66" t="s">
        <v>242</v>
      </c>
      <c r="DY31" s="65" t="str">
        <f t="shared" si="41"/>
        <v>ME</v>
      </c>
      <c r="DZ31" s="128">
        <v>24</v>
      </c>
      <c r="EA31" s="173">
        <f t="shared" si="42"/>
        <v>0.11163101604278075</v>
      </c>
      <c r="EB31" s="173">
        <f t="shared" si="43"/>
        <v>0.15588235294117647</v>
      </c>
      <c r="EC31" s="173">
        <f t="shared" si="44"/>
        <v>0.87425149700598803</v>
      </c>
      <c r="ED31" s="63">
        <v>1.1599999999999999</v>
      </c>
      <c r="EE31" s="63">
        <v>1.21</v>
      </c>
      <c r="EF31" s="63">
        <v>0.04</v>
      </c>
      <c r="EG31" s="63">
        <v>0.05</v>
      </c>
      <c r="EH31" s="127" t="str">
        <f t="shared" si="5"/>
        <v>ME</v>
      </c>
      <c r="EI31" s="56">
        <v>24</v>
      </c>
      <c r="EJ31" s="334" t="s">
        <v>296</v>
      </c>
      <c r="EK31" s="334"/>
      <c r="EL31" s="334"/>
      <c r="EM31" s="334"/>
      <c r="EN31" s="334"/>
      <c r="EO31" s="334"/>
      <c r="EP31" s="334"/>
      <c r="EQ31" s="65" t="str">
        <f t="shared" si="45"/>
        <v>ME</v>
      </c>
      <c r="ER31" s="20"/>
      <c r="ES31" s="20"/>
      <c r="ET31" s="20"/>
      <c r="EU31" s="20"/>
      <c r="EV31" s="20"/>
      <c r="EW31" s="20"/>
      <c r="EX31" s="20"/>
    </row>
    <row r="32" spans="1:154" s="3" customFormat="1" ht="17.149999999999999" customHeight="1" x14ac:dyDescent="0.35">
      <c r="A32" s="56">
        <v>25</v>
      </c>
      <c r="B32" s="57">
        <v>870724</v>
      </c>
      <c r="C32" s="58">
        <f t="shared" si="6"/>
        <v>298</v>
      </c>
      <c r="D32" s="167">
        <v>9.49</v>
      </c>
      <c r="E32" s="59">
        <v>775027</v>
      </c>
      <c r="F32" s="58">
        <f t="shared" si="7"/>
        <v>199</v>
      </c>
      <c r="G32" s="168">
        <v>5.66</v>
      </c>
      <c r="H32" s="57">
        <v>736976</v>
      </c>
      <c r="I32" s="58">
        <f t="shared" si="0"/>
        <v>212</v>
      </c>
      <c r="J32" s="60" t="s">
        <v>194</v>
      </c>
      <c r="K32" s="56">
        <v>25</v>
      </c>
      <c r="L32" s="57">
        <v>68142</v>
      </c>
      <c r="M32" s="58">
        <f t="shared" si="8"/>
        <v>68</v>
      </c>
      <c r="N32" s="59">
        <v>172259</v>
      </c>
      <c r="O32" s="58">
        <f t="shared" si="9"/>
        <v>76</v>
      </c>
      <c r="P32" s="57">
        <v>194713</v>
      </c>
      <c r="Q32" s="169" t="str">
        <f t="shared" si="1"/>
        <v/>
      </c>
      <c r="R32" s="57">
        <v>660</v>
      </c>
      <c r="S32" s="57">
        <v>668</v>
      </c>
      <c r="T32" s="57">
        <v>138</v>
      </c>
      <c r="U32" s="57">
        <v>135</v>
      </c>
      <c r="V32" s="58" t="str">
        <f t="shared" si="10"/>
        <v>ME</v>
      </c>
      <c r="W32" s="56">
        <v>25</v>
      </c>
      <c r="X32" s="63">
        <v>11466.77</v>
      </c>
      <c r="Y32" s="130">
        <f t="shared" si="11"/>
        <v>1.3299999999999272</v>
      </c>
      <c r="Z32" s="63">
        <v>12235.63</v>
      </c>
      <c r="AA32" s="130">
        <f t="shared" si="12"/>
        <v>7.570000000001528</v>
      </c>
      <c r="AB32" s="63">
        <v>9681.39</v>
      </c>
      <c r="AC32" s="130">
        <f t="shared" si="13"/>
        <v>1.8000000000010914</v>
      </c>
      <c r="AD32" s="63">
        <v>9767.19</v>
      </c>
      <c r="AE32" s="206">
        <f t="shared" si="2"/>
        <v>3.8699999999989814</v>
      </c>
      <c r="AF32" s="125" t="str">
        <f t="shared" si="14"/>
        <v>ME</v>
      </c>
      <c r="AG32" s="56">
        <v>25</v>
      </c>
      <c r="AH32" s="63">
        <v>45697.37</v>
      </c>
      <c r="AI32" s="130">
        <f t="shared" si="15"/>
        <v>13.299999999995634</v>
      </c>
      <c r="AJ32" s="63">
        <v>47834.23</v>
      </c>
      <c r="AK32" s="130">
        <f t="shared" si="16"/>
        <v>7.9199999999982538</v>
      </c>
      <c r="AL32" s="63">
        <v>585.36</v>
      </c>
      <c r="AM32" s="130">
        <f t="shared" si="17"/>
        <v>0.35000000000002274</v>
      </c>
      <c r="AN32" s="63">
        <v>546.63</v>
      </c>
      <c r="AO32" s="130">
        <f t="shared" si="3"/>
        <v>0.37999999999999545</v>
      </c>
      <c r="AP32" s="125" t="str">
        <f t="shared" si="18"/>
        <v>ME</v>
      </c>
      <c r="AQ32" s="56">
        <v>25</v>
      </c>
      <c r="AR32" s="63">
        <v>6574.38</v>
      </c>
      <c r="AS32" s="130">
        <f t="shared" si="19"/>
        <v>3.5799999999999272</v>
      </c>
      <c r="AT32" s="63">
        <v>7284.89</v>
      </c>
      <c r="AU32" s="130">
        <f t="shared" si="20"/>
        <v>3.339999999999236</v>
      </c>
      <c r="AV32" s="63">
        <v>250.12</v>
      </c>
      <c r="AW32" s="130">
        <f t="shared" si="21"/>
        <v>0.32999999999998408</v>
      </c>
      <c r="AX32" s="63">
        <v>237.91</v>
      </c>
      <c r="AY32" s="130">
        <f t="shared" si="4"/>
        <v>0.21999999999999886</v>
      </c>
      <c r="AZ32" s="125" t="str">
        <f t="shared" si="22"/>
        <v>ME</v>
      </c>
      <c r="BA32" s="56">
        <v>25</v>
      </c>
      <c r="BB32" s="64">
        <v>0.51800000000000002</v>
      </c>
      <c r="BC32" s="62">
        <v>37</v>
      </c>
      <c r="BD32" s="61">
        <v>6.8</v>
      </c>
      <c r="BE32" s="61">
        <v>2.9</v>
      </c>
      <c r="BF32" s="61">
        <v>15.4</v>
      </c>
      <c r="BG32" s="61">
        <v>6.8</v>
      </c>
      <c r="BH32" s="64">
        <v>0.23799999999999999</v>
      </c>
      <c r="BI32" s="64">
        <v>0.23799999999999999</v>
      </c>
      <c r="BJ32" s="64">
        <v>4.5999999999999999E-2</v>
      </c>
      <c r="BK32" s="64">
        <v>5.2999999999999999E-2</v>
      </c>
      <c r="BL32" s="64">
        <v>4.2999999999999997E-2</v>
      </c>
      <c r="BM32" s="64">
        <v>4.9000000000000002E-2</v>
      </c>
      <c r="BN32" s="65" t="str">
        <f t="shared" si="23"/>
        <v>ME</v>
      </c>
      <c r="BO32" s="56">
        <v>25</v>
      </c>
      <c r="BP32" s="64">
        <v>6.6000000000000003E-2</v>
      </c>
      <c r="BQ32" s="62">
        <v>0</v>
      </c>
      <c r="BR32" s="61">
        <v>7.3</v>
      </c>
      <c r="BS32" s="61">
        <v>7.3</v>
      </c>
      <c r="BT32" s="61">
        <v>19.100000000000001</v>
      </c>
      <c r="BU32" s="64">
        <v>1.0999999999999999E-2</v>
      </c>
      <c r="BV32" s="63">
        <v>1.3</v>
      </c>
      <c r="BW32" s="63">
        <v>1.1299999999999999</v>
      </c>
      <c r="BX32" s="66" t="s">
        <v>286</v>
      </c>
      <c r="BY32" s="172" t="s">
        <v>246</v>
      </c>
      <c r="BZ32" s="67" t="str">
        <f t="shared" si="24"/>
        <v>ME</v>
      </c>
      <c r="CA32" s="56">
        <v>25</v>
      </c>
      <c r="CB32" s="61">
        <v>96.9</v>
      </c>
      <c r="CC32" s="61"/>
      <c r="CD32" s="68">
        <f t="shared" si="25"/>
        <v>1.9000000000000057</v>
      </c>
      <c r="CE32" s="69">
        <f t="shared" si="26"/>
        <v>8.8431035000000264</v>
      </c>
      <c r="CF32" s="69">
        <f t="shared" si="27"/>
        <v>5.0055302830188833</v>
      </c>
      <c r="CG32" s="62">
        <v>49</v>
      </c>
      <c r="CH32" s="62">
        <v>100</v>
      </c>
      <c r="CI32" s="65" t="str">
        <f t="shared" si="28"/>
        <v>ME</v>
      </c>
      <c r="CJ32" s="56">
        <v>25</v>
      </c>
      <c r="CK32" s="61">
        <v>87.6</v>
      </c>
      <c r="CL32" s="61"/>
      <c r="CM32" s="68">
        <f t="shared" si="29"/>
        <v>3.6999999999999886</v>
      </c>
      <c r="CN32" s="69">
        <f t="shared" si="30"/>
        <v>17.22078049999995</v>
      </c>
      <c r="CO32" s="68">
        <f t="shared" si="31"/>
        <v>22.979340153775105</v>
      </c>
      <c r="CP32" s="62">
        <v>53</v>
      </c>
      <c r="CQ32" s="62">
        <v>83</v>
      </c>
      <c r="CR32" s="65" t="str">
        <f t="shared" si="32"/>
        <v>ME</v>
      </c>
      <c r="CS32" s="56">
        <v>25</v>
      </c>
      <c r="CT32" s="61">
        <v>89.8</v>
      </c>
      <c r="CU32" s="61"/>
      <c r="CV32" s="68">
        <f t="shared" si="33"/>
        <v>3.3999999999999915</v>
      </c>
      <c r="CW32" s="68">
        <f t="shared" si="34"/>
        <v>22.590415999999944</v>
      </c>
      <c r="CX32" s="69">
        <f t="shared" si="35"/>
        <v>7.5806765100670956E-2</v>
      </c>
      <c r="CY32" s="66" t="s">
        <v>240</v>
      </c>
      <c r="CZ32" s="66" t="s">
        <v>241</v>
      </c>
      <c r="DA32" s="66"/>
      <c r="DB32" s="65" t="str">
        <f t="shared" si="36"/>
        <v>ME</v>
      </c>
      <c r="DC32" s="56">
        <v>25</v>
      </c>
      <c r="DD32" s="61">
        <v>88</v>
      </c>
      <c r="DE32" s="61">
        <v>105.1</v>
      </c>
      <c r="DF32" s="68">
        <f t="shared" si="37"/>
        <v>28.399999999999991</v>
      </c>
      <c r="DG32" s="69">
        <f t="shared" si="38"/>
        <v>1.5322148979199997</v>
      </c>
      <c r="DH32" s="68">
        <f t="shared" si="39"/>
        <v>5.1416607312751665</v>
      </c>
      <c r="DI32" s="62">
        <v>90</v>
      </c>
      <c r="DJ32" s="62">
        <v>54</v>
      </c>
      <c r="DK32" s="65" t="str">
        <f t="shared" si="40"/>
        <v>ME</v>
      </c>
      <c r="DL32" s="56">
        <v>25</v>
      </c>
      <c r="DM32" s="63">
        <v>7.79</v>
      </c>
      <c r="DN32" s="64">
        <v>2.1000000000000001E-2</v>
      </c>
      <c r="DO32" s="64">
        <v>3.2000000000000001E-2</v>
      </c>
      <c r="DP32" s="64">
        <v>4.5999999999999999E-2</v>
      </c>
      <c r="DQ32" s="63">
        <v>6.72</v>
      </c>
      <c r="DR32" s="61">
        <v>7.3</v>
      </c>
      <c r="DS32" s="64">
        <v>1.2629999999999999</v>
      </c>
      <c r="DT32" s="61">
        <v>84.8</v>
      </c>
      <c r="DU32" s="63">
        <v>4.1100000000000003</v>
      </c>
      <c r="DV32" s="64">
        <v>0.96299999999999997</v>
      </c>
      <c r="DW32" s="64">
        <v>0.16200000000000001</v>
      </c>
      <c r="DX32" s="66" t="s">
        <v>242</v>
      </c>
      <c r="DY32" s="65" t="str">
        <f t="shared" si="41"/>
        <v>ME</v>
      </c>
      <c r="DZ32" s="128">
        <v>25</v>
      </c>
      <c r="EA32" s="173">
        <f t="shared" si="42"/>
        <v>0.19919786096256684</v>
      </c>
      <c r="EB32" s="173">
        <f t="shared" si="43"/>
        <v>0.14632352941176471</v>
      </c>
      <c r="EC32" s="173">
        <f t="shared" si="44"/>
        <v>0.71140939597315433</v>
      </c>
      <c r="ED32" s="63">
        <v>1.05</v>
      </c>
      <c r="EE32" s="63">
        <v>1.3</v>
      </c>
      <c r="EF32" s="63">
        <v>0.04</v>
      </c>
      <c r="EG32" s="63">
        <v>0.09</v>
      </c>
      <c r="EH32" s="127" t="str">
        <f t="shared" si="5"/>
        <v>ME</v>
      </c>
      <c r="EI32" s="56">
        <v>25</v>
      </c>
      <c r="EJ32" s="334" t="s">
        <v>302</v>
      </c>
      <c r="EK32" s="334"/>
      <c r="EL32" s="334"/>
      <c r="EM32" s="334"/>
      <c r="EN32" s="334"/>
      <c r="EO32" s="334"/>
      <c r="EP32" s="334"/>
      <c r="EQ32" s="65" t="str">
        <f t="shared" si="45"/>
        <v>ME</v>
      </c>
      <c r="ER32" s="20"/>
      <c r="ES32" s="20"/>
      <c r="ET32" s="20"/>
      <c r="EU32" s="20"/>
      <c r="EV32" s="20"/>
      <c r="EW32" s="20"/>
      <c r="EX32" s="20"/>
    </row>
    <row r="33" spans="1:154" s="3" customFormat="1" ht="17.149999999999999" customHeight="1" x14ac:dyDescent="0.35">
      <c r="A33" s="56">
        <v>26</v>
      </c>
      <c r="B33" s="57">
        <v>871022</v>
      </c>
      <c r="C33" s="58">
        <f t="shared" si="6"/>
        <v>223</v>
      </c>
      <c r="D33" s="167">
        <v>9.39</v>
      </c>
      <c r="E33" s="59">
        <v>775226</v>
      </c>
      <c r="F33" s="58">
        <f t="shared" si="7"/>
        <v>245</v>
      </c>
      <c r="G33" s="168">
        <v>3.44</v>
      </c>
      <c r="H33" s="57">
        <v>737188</v>
      </c>
      <c r="I33" s="58">
        <f t="shared" si="0"/>
        <v>187</v>
      </c>
      <c r="J33" s="60" t="s">
        <v>194</v>
      </c>
      <c r="K33" s="56">
        <v>26</v>
      </c>
      <c r="L33" s="57">
        <v>68210</v>
      </c>
      <c r="M33" s="58" t="str">
        <f t="shared" si="8"/>
        <v/>
      </c>
      <c r="N33" s="59">
        <v>172335</v>
      </c>
      <c r="O33" s="58">
        <f t="shared" si="9"/>
        <v>64</v>
      </c>
      <c r="P33" s="57">
        <v>194713</v>
      </c>
      <c r="Q33" s="169" t="str">
        <f t="shared" si="1"/>
        <v/>
      </c>
      <c r="R33" s="57">
        <v>661</v>
      </c>
      <c r="S33" s="57">
        <v>669</v>
      </c>
      <c r="T33" s="57">
        <v>138</v>
      </c>
      <c r="U33" s="57">
        <v>135</v>
      </c>
      <c r="V33" s="58" t="str">
        <f t="shared" si="10"/>
        <v>ME</v>
      </c>
      <c r="W33" s="56">
        <v>26</v>
      </c>
      <c r="X33" s="63">
        <v>11468.1</v>
      </c>
      <c r="Y33" s="130">
        <f t="shared" si="11"/>
        <v>4.1999999999989086</v>
      </c>
      <c r="Z33" s="63">
        <v>12243.2</v>
      </c>
      <c r="AA33" s="130">
        <f t="shared" si="12"/>
        <v>2.4699999999993452</v>
      </c>
      <c r="AB33" s="63">
        <v>9683.19</v>
      </c>
      <c r="AC33" s="130">
        <f t="shared" si="13"/>
        <v>1.9399999999986903</v>
      </c>
      <c r="AD33" s="63">
        <v>9771.06</v>
      </c>
      <c r="AE33" s="130">
        <f t="shared" si="2"/>
        <v>2.9800000000013824</v>
      </c>
      <c r="AF33" s="125" t="str">
        <f t="shared" si="14"/>
        <v>ME</v>
      </c>
      <c r="AG33" s="56">
        <v>26</v>
      </c>
      <c r="AH33" s="63">
        <v>45710.67</v>
      </c>
      <c r="AI33" s="130">
        <f t="shared" si="15"/>
        <v>10.529999999998836</v>
      </c>
      <c r="AJ33" s="63">
        <v>47842.15</v>
      </c>
      <c r="AK33" s="130">
        <f t="shared" si="16"/>
        <v>14.589999999996508</v>
      </c>
      <c r="AL33" s="63">
        <v>585.71</v>
      </c>
      <c r="AM33" s="130" t="str">
        <f t="shared" si="17"/>
        <v/>
      </c>
      <c r="AN33" s="63">
        <v>547.01</v>
      </c>
      <c r="AO33" s="130" t="str">
        <f t="shared" si="3"/>
        <v/>
      </c>
      <c r="AP33" s="125" t="str">
        <f t="shared" si="18"/>
        <v>ME</v>
      </c>
      <c r="AQ33" s="56">
        <v>26</v>
      </c>
      <c r="AR33" s="63">
        <v>6577.96</v>
      </c>
      <c r="AS33" s="130">
        <f t="shared" si="19"/>
        <v>3.0799999999999272</v>
      </c>
      <c r="AT33" s="63">
        <v>7288.23</v>
      </c>
      <c r="AU33" s="130">
        <f t="shared" si="20"/>
        <v>3.3300000000008367</v>
      </c>
      <c r="AV33" s="63">
        <v>250.45</v>
      </c>
      <c r="AW33" s="130" t="str">
        <f t="shared" si="21"/>
        <v/>
      </c>
      <c r="AX33" s="63">
        <v>238.13</v>
      </c>
      <c r="AY33" s="130" t="str">
        <f t="shared" si="4"/>
        <v/>
      </c>
      <c r="AZ33" s="125" t="str">
        <f t="shared" si="22"/>
        <v>ME</v>
      </c>
      <c r="BA33" s="56">
        <v>26</v>
      </c>
      <c r="BB33" s="64">
        <v>0.53400000000000003</v>
      </c>
      <c r="BC33" s="62">
        <v>43</v>
      </c>
      <c r="BD33" s="61">
        <v>7.2</v>
      </c>
      <c r="BE33" s="61">
        <v>2.8</v>
      </c>
      <c r="BF33" s="61">
        <v>15.2</v>
      </c>
      <c r="BG33" s="61">
        <v>7.2</v>
      </c>
      <c r="BH33" s="64">
        <v>0.32500000000000001</v>
      </c>
      <c r="BI33" s="64">
        <v>0.34100000000000003</v>
      </c>
      <c r="BJ33" s="64">
        <v>4.3999999999999997E-2</v>
      </c>
      <c r="BK33" s="64">
        <v>4.5999999999999999E-2</v>
      </c>
      <c r="BL33" s="64">
        <v>4.5999999999999999E-2</v>
      </c>
      <c r="BM33" s="64">
        <v>0.05</v>
      </c>
      <c r="BN33" s="65" t="str">
        <f t="shared" si="23"/>
        <v>ME</v>
      </c>
      <c r="BO33" s="56">
        <v>26</v>
      </c>
      <c r="BP33" s="64">
        <v>8.3000000000000004E-2</v>
      </c>
      <c r="BQ33" s="62">
        <v>0</v>
      </c>
      <c r="BR33" s="61">
        <v>7.2</v>
      </c>
      <c r="BS33" s="61">
        <v>7.1</v>
      </c>
      <c r="BT33" s="61">
        <v>18.7</v>
      </c>
      <c r="BU33" s="64">
        <v>0.01</v>
      </c>
      <c r="BV33" s="63">
        <v>1.29</v>
      </c>
      <c r="BW33" s="63">
        <v>1.0900000000000001</v>
      </c>
      <c r="BX33" s="66" t="s">
        <v>245</v>
      </c>
      <c r="BY33" s="172" t="s">
        <v>246</v>
      </c>
      <c r="BZ33" s="67" t="str">
        <f t="shared" si="24"/>
        <v>ME</v>
      </c>
      <c r="CA33" s="56">
        <v>26</v>
      </c>
      <c r="CB33" s="61">
        <v>95</v>
      </c>
      <c r="CC33" s="61"/>
      <c r="CD33" s="68">
        <f t="shared" si="25"/>
        <v>1.4000000000000057</v>
      </c>
      <c r="CE33" s="69">
        <f t="shared" si="26"/>
        <v>6.515971000000027</v>
      </c>
      <c r="CF33" s="69">
        <f t="shared" si="27"/>
        <v>4.181371764705899</v>
      </c>
      <c r="CG33" s="62">
        <v>51</v>
      </c>
      <c r="CH33" s="62">
        <v>100</v>
      </c>
      <c r="CI33" s="65" t="str">
        <f t="shared" si="28"/>
        <v>ME</v>
      </c>
      <c r="CJ33" s="56">
        <v>26</v>
      </c>
      <c r="CK33" s="61">
        <v>83.9</v>
      </c>
      <c r="CL33" s="61"/>
      <c r="CM33" s="68">
        <f t="shared" si="29"/>
        <v>3</v>
      </c>
      <c r="CN33" s="69">
        <f t="shared" si="30"/>
        <v>13.962795000000002</v>
      </c>
      <c r="CO33" s="68">
        <f t="shared" si="31"/>
        <v>24.898230635650229</v>
      </c>
      <c r="CP33" s="62">
        <v>53</v>
      </c>
      <c r="CQ33" s="62">
        <v>83</v>
      </c>
      <c r="CR33" s="65" t="str">
        <f t="shared" si="32"/>
        <v>ME</v>
      </c>
      <c r="CS33" s="56">
        <v>26</v>
      </c>
      <c r="CT33" s="61">
        <v>86.4</v>
      </c>
      <c r="CU33" s="61"/>
      <c r="CV33" s="68">
        <f t="shared" si="33"/>
        <v>2</v>
      </c>
      <c r="CW33" s="68">
        <f t="shared" si="34"/>
        <v>13.28848</v>
      </c>
      <c r="CX33" s="69">
        <f t="shared" si="35"/>
        <v>5.9589596412556053E-2</v>
      </c>
      <c r="CY33" s="66" t="s">
        <v>240</v>
      </c>
      <c r="CZ33" s="66" t="s">
        <v>241</v>
      </c>
      <c r="DA33" s="66"/>
      <c r="DB33" s="65" t="str">
        <f t="shared" si="36"/>
        <v>ME</v>
      </c>
      <c r="DC33" s="56">
        <v>26</v>
      </c>
      <c r="DD33" s="61">
        <v>76.7</v>
      </c>
      <c r="DE33" s="61">
        <v>103.8</v>
      </c>
      <c r="DF33" s="68">
        <f t="shared" si="37"/>
        <v>19.799999999999997</v>
      </c>
      <c r="DG33" s="69">
        <f t="shared" si="38"/>
        <v>1.0682343302399999</v>
      </c>
      <c r="DH33" s="68">
        <f t="shared" si="39"/>
        <v>4.790288476412556</v>
      </c>
      <c r="DI33" s="62">
        <v>90</v>
      </c>
      <c r="DJ33" s="62">
        <v>54</v>
      </c>
      <c r="DK33" s="65" t="str">
        <f t="shared" si="40"/>
        <v>ME</v>
      </c>
      <c r="DL33" s="56">
        <v>26</v>
      </c>
      <c r="DM33" s="63">
        <v>7.42</v>
      </c>
      <c r="DN33" s="64">
        <v>2.1000000000000001E-2</v>
      </c>
      <c r="DO33" s="64">
        <v>3.2000000000000001E-2</v>
      </c>
      <c r="DP33" s="64">
        <v>0.06</v>
      </c>
      <c r="DQ33" s="63">
        <v>6.73</v>
      </c>
      <c r="DR33" s="61">
        <v>7.1</v>
      </c>
      <c r="DS33" s="64">
        <v>1.298</v>
      </c>
      <c r="DT33" s="61">
        <v>84.3</v>
      </c>
      <c r="DU33" s="63">
        <v>4.25</v>
      </c>
      <c r="DV33" s="64">
        <v>1.6990000000000001</v>
      </c>
      <c r="DW33" s="64">
        <v>0.63300000000000001</v>
      </c>
      <c r="DX33" s="66" t="s">
        <v>242</v>
      </c>
      <c r="DY33" s="65" t="str">
        <f t="shared" si="41"/>
        <v>ME</v>
      </c>
      <c r="DZ33" s="128">
        <v>26</v>
      </c>
      <c r="EA33" s="173">
        <f t="shared" si="42"/>
        <v>0.14906417112299467</v>
      </c>
      <c r="EB33" s="173">
        <f t="shared" si="43"/>
        <v>0.18014705882352941</v>
      </c>
      <c r="EC33" s="173">
        <f t="shared" si="44"/>
        <v>0.83856502242152464</v>
      </c>
      <c r="ED33" s="63">
        <v>1.26</v>
      </c>
      <c r="EE33" s="63">
        <v>1.32</v>
      </c>
      <c r="EF33" s="63">
        <v>0.04</v>
      </c>
      <c r="EG33" s="63">
        <v>0.1</v>
      </c>
      <c r="EH33" s="127" t="str">
        <f t="shared" si="5"/>
        <v>ME</v>
      </c>
      <c r="EI33" s="56">
        <v>26</v>
      </c>
      <c r="EJ33" s="334" t="s">
        <v>305</v>
      </c>
      <c r="EK33" s="334"/>
      <c r="EL33" s="334"/>
      <c r="EM33" s="334"/>
      <c r="EN33" s="334"/>
      <c r="EO33" s="334"/>
      <c r="EP33" s="334"/>
      <c r="EQ33" s="65" t="str">
        <f t="shared" si="45"/>
        <v>ME</v>
      </c>
      <c r="ER33" s="20"/>
      <c r="ES33" s="20"/>
      <c r="ET33" s="20"/>
      <c r="EU33" s="20"/>
      <c r="EV33" s="20"/>
      <c r="EW33" s="20"/>
      <c r="EX33" s="20"/>
    </row>
    <row r="34" spans="1:154" s="3" customFormat="1" ht="17.149999999999999" customHeight="1" x14ac:dyDescent="0.35">
      <c r="A34" s="56">
        <v>27</v>
      </c>
      <c r="B34" s="57">
        <v>871245</v>
      </c>
      <c r="C34" s="58">
        <f>IF(B35="","",IF(B35=B34,"",(B35-B34)))</f>
        <v>254</v>
      </c>
      <c r="D34" s="167">
        <v>9.56</v>
      </c>
      <c r="E34" s="59">
        <v>775471</v>
      </c>
      <c r="F34" s="58">
        <f>IF(E35="","",IF(E35=E34,"",(E35-E34)))</f>
        <v>232</v>
      </c>
      <c r="G34" s="168">
        <v>3.37</v>
      </c>
      <c r="H34" s="57">
        <v>737375</v>
      </c>
      <c r="I34" s="58">
        <f>IF(H35="","",IF(H35=H34,"",(H35-H34)))</f>
        <v>222</v>
      </c>
      <c r="J34" s="60" t="s">
        <v>237</v>
      </c>
      <c r="K34" s="56">
        <v>27</v>
      </c>
      <c r="L34" s="57">
        <v>68210</v>
      </c>
      <c r="M34" s="58" t="str">
        <f>IF(L35="","",IF(L35=L34,"",(L35-L34)))</f>
        <v/>
      </c>
      <c r="N34" s="59">
        <v>172399</v>
      </c>
      <c r="O34" s="58">
        <f>IF(N35="","",IF(N35=N34,"",(N35-N34)))</f>
        <v>32</v>
      </c>
      <c r="P34" s="57">
        <v>194713</v>
      </c>
      <c r="Q34" s="169" t="str">
        <f>IF(P35="","",IF(P35=P34,"",(P35-P34)))</f>
        <v/>
      </c>
      <c r="R34" s="57">
        <v>661</v>
      </c>
      <c r="S34" s="57">
        <v>669</v>
      </c>
      <c r="T34" s="57">
        <v>138</v>
      </c>
      <c r="U34" s="57">
        <v>135</v>
      </c>
      <c r="V34" s="58" t="str">
        <f t="shared" si="10"/>
        <v>SA/ME</v>
      </c>
      <c r="W34" s="56">
        <v>27</v>
      </c>
      <c r="X34" s="63">
        <v>11472.3</v>
      </c>
      <c r="Y34" s="130">
        <f>IF(X35="","",IF(X35=X34,"",X35-X34))</f>
        <v>2.5</v>
      </c>
      <c r="Z34" s="63">
        <v>12245.67</v>
      </c>
      <c r="AA34" s="130">
        <f>IF(Z35="","",IF(Z35=Z34,"",Z35-Z34))</f>
        <v>5</v>
      </c>
      <c r="AB34" s="63">
        <v>9685.1299999999992</v>
      </c>
      <c r="AC34" s="130">
        <f>IF(AB35="","",IF(AB35=AB34,"",AB35-AB34))</f>
        <v>3.930000000000291</v>
      </c>
      <c r="AD34" s="63">
        <v>9774.0400000000009</v>
      </c>
      <c r="AE34" s="130">
        <f>IF(AD35="","",IF(AD35=AD34,"",AD35-AD34))</f>
        <v>1.9499999999989086</v>
      </c>
      <c r="AF34" s="125" t="str">
        <f t="shared" si="14"/>
        <v>SA/ME</v>
      </c>
      <c r="AG34" s="56">
        <v>27</v>
      </c>
      <c r="AH34" s="63">
        <v>45721.2</v>
      </c>
      <c r="AI34" s="130">
        <f>IF(AH35="","",IF(AH35=AH34,"",AH35-AH34))</f>
        <v>13.470000000001164</v>
      </c>
      <c r="AJ34" s="63">
        <v>47856.74</v>
      </c>
      <c r="AK34" s="130">
        <f>IF(AJ35="","",IF(AJ35=AJ34,"",AJ35-AJ34))</f>
        <v>12.700000000004366</v>
      </c>
      <c r="AL34" s="63">
        <v>585.71</v>
      </c>
      <c r="AM34" s="130" t="str">
        <f>IF(AL35="","",IF(AL35=AL34,"",AL35-AL34))</f>
        <v/>
      </c>
      <c r="AN34" s="63">
        <v>547.01</v>
      </c>
      <c r="AO34" s="130" t="str">
        <f>IF(AN35="","",IF(AN35=AN34,"",AN35-AN34))</f>
        <v/>
      </c>
      <c r="AP34" s="125" t="str">
        <f t="shared" si="18"/>
        <v>SA/ME</v>
      </c>
      <c r="AQ34" s="56">
        <v>27</v>
      </c>
      <c r="AR34" s="63">
        <v>6581.04</v>
      </c>
      <c r="AS34" s="130">
        <f>IF(AR35="","",IF(AR35=AR34,"",AR35-AR34))</f>
        <v>1.4499999999998181</v>
      </c>
      <c r="AT34" s="63">
        <v>7291.56</v>
      </c>
      <c r="AU34" s="130">
        <f>IF(AT35="","",IF(AT35=AT34,"",AT35-AT34))</f>
        <v>1.75</v>
      </c>
      <c r="AV34" s="63">
        <v>250.45</v>
      </c>
      <c r="AW34" s="130" t="str">
        <f>IF(AV35="","",IF(AV35=AV34,"",AV35-AV34))</f>
        <v/>
      </c>
      <c r="AX34" s="63">
        <v>238.13</v>
      </c>
      <c r="AY34" s="130" t="str">
        <f>IF(AX35="","",IF(AX35=AX34,"",AX35-AX34))</f>
        <v/>
      </c>
      <c r="AZ34" s="125" t="str">
        <f t="shared" si="22"/>
        <v>SA/ME</v>
      </c>
      <c r="BA34" s="56">
        <v>27</v>
      </c>
      <c r="BB34" s="64"/>
      <c r="BC34" s="62"/>
      <c r="BD34" s="61"/>
      <c r="BE34" s="61"/>
      <c r="BF34" s="61"/>
      <c r="BG34" s="61"/>
      <c r="BH34" s="64"/>
      <c r="BI34" s="64"/>
      <c r="BJ34" s="64"/>
      <c r="BK34" s="64"/>
      <c r="BL34" s="64"/>
      <c r="BM34" s="64"/>
      <c r="BN34" s="65" t="str">
        <f t="shared" si="23"/>
        <v>SA/ME</v>
      </c>
      <c r="BO34" s="56">
        <v>27</v>
      </c>
      <c r="BP34" s="64">
        <v>7.4999999999999997E-2</v>
      </c>
      <c r="BQ34" s="62">
        <v>0</v>
      </c>
      <c r="BR34" s="61">
        <v>7.2</v>
      </c>
      <c r="BS34" s="61">
        <v>7.3</v>
      </c>
      <c r="BT34" s="61">
        <v>19.399999999999999</v>
      </c>
      <c r="BU34" s="64">
        <v>1.0999999999999999E-2</v>
      </c>
      <c r="BV34" s="63">
        <v>1.27</v>
      </c>
      <c r="BW34" s="63">
        <v>1.2</v>
      </c>
      <c r="BX34" s="66" t="s">
        <v>303</v>
      </c>
      <c r="BY34" s="172" t="s">
        <v>239</v>
      </c>
      <c r="BZ34" s="67" t="str">
        <f t="shared" si="24"/>
        <v>SA/ME</v>
      </c>
      <c r="CA34" s="56">
        <v>27</v>
      </c>
      <c r="CB34" s="61">
        <v>93.6</v>
      </c>
      <c r="CC34" s="61"/>
      <c r="CD34" s="68">
        <f>IF(CB35="","",IF(CC34="",IF(CB34=CB35,"",(CB34-CB35)),IF(CC34=CB35,"",(CC34-CB35))))</f>
        <v>1.5</v>
      </c>
      <c r="CE34" s="69">
        <f t="shared" si="26"/>
        <v>6.9813975000000008</v>
      </c>
      <c r="CF34" s="69">
        <f t="shared" si="27"/>
        <v>3.773728378378379</v>
      </c>
      <c r="CG34" s="62">
        <v>51</v>
      </c>
      <c r="CH34" s="62">
        <v>100</v>
      </c>
      <c r="CI34" s="65" t="str">
        <f t="shared" si="28"/>
        <v>SA/ME</v>
      </c>
      <c r="CJ34" s="56">
        <v>27</v>
      </c>
      <c r="CK34" s="61">
        <v>80.900000000000006</v>
      </c>
      <c r="CL34" s="61"/>
      <c r="CM34" s="68">
        <f>IF(CK35="","",IF(CL34="",IF(CK34=CK35,"",(CK34-CK35)),IF(CL34=CK35,"",(CL34-CK35))))</f>
        <v>3.1000000000000085</v>
      </c>
      <c r="CN34" s="69">
        <f t="shared" si="30"/>
        <v>14.428221500000042</v>
      </c>
      <c r="CO34" s="68">
        <f t="shared" si="31"/>
        <v>22.588119210531566</v>
      </c>
      <c r="CP34" s="62">
        <v>53</v>
      </c>
      <c r="CQ34" s="62">
        <v>83</v>
      </c>
      <c r="CR34" s="65" t="str">
        <f t="shared" si="32"/>
        <v>SA/ME</v>
      </c>
      <c r="CS34" s="56">
        <v>27</v>
      </c>
      <c r="CT34" s="61">
        <v>84.4</v>
      </c>
      <c r="CU34" s="61"/>
      <c r="CV34" s="68">
        <f>IF(CT35="","",IF(CU34="",IF(CT34=CT35,"",(CT34-CT35)),IF(CU34=CT35,"",(CU34-CT35))))</f>
        <v>2.8000000000000114</v>
      </c>
      <c r="CW34" s="68">
        <f t="shared" si="34"/>
        <v>18.603872000000077</v>
      </c>
      <c r="CX34" s="69">
        <f t="shared" si="35"/>
        <v>7.3243590551181403E-2</v>
      </c>
      <c r="CY34" s="66" t="s">
        <v>240</v>
      </c>
      <c r="CZ34" s="66" t="s">
        <v>241</v>
      </c>
      <c r="DA34" s="66"/>
      <c r="DB34" s="65" t="str">
        <f t="shared" si="36"/>
        <v>SA/ME</v>
      </c>
      <c r="DC34" s="56">
        <v>27</v>
      </c>
      <c r="DD34" s="61">
        <v>84</v>
      </c>
      <c r="DE34" s="61">
        <v>105</v>
      </c>
      <c r="DF34" s="68">
        <f>IF(DD35="","",IF(DE34="",IF(DD34=DD35,"",(DD34-DD35)),IF(DE34=DD35,"",(DE34-DD35))))</f>
        <v>23.299999999999997</v>
      </c>
      <c r="DG34" s="69">
        <f t="shared" si="38"/>
        <v>1.2570636310400001</v>
      </c>
      <c r="DH34" s="68">
        <f t="shared" si="39"/>
        <v>4.9490694135433069</v>
      </c>
      <c r="DI34" s="62">
        <v>90</v>
      </c>
      <c r="DJ34" s="62">
        <v>54</v>
      </c>
      <c r="DK34" s="65" t="str">
        <f t="shared" si="40"/>
        <v>SA/ME</v>
      </c>
      <c r="DL34" s="56">
        <v>27</v>
      </c>
      <c r="DM34" s="63">
        <v>7.59</v>
      </c>
      <c r="DN34" s="64">
        <v>0.02</v>
      </c>
      <c r="DO34" s="64">
        <v>3.3000000000000002E-2</v>
      </c>
      <c r="DP34" s="64">
        <v>5.0999999999999997E-2</v>
      </c>
      <c r="DQ34" s="63">
        <v>6.72</v>
      </c>
      <c r="DR34" s="61">
        <v>7.3</v>
      </c>
      <c r="DS34" s="64">
        <v>1.3340000000000001</v>
      </c>
      <c r="DT34" s="61">
        <v>84.2</v>
      </c>
      <c r="DU34" s="63">
        <v>4.2300000000000004</v>
      </c>
      <c r="DV34" s="64">
        <v>0.68400000000000005</v>
      </c>
      <c r="DW34" s="64">
        <v>0.51100000000000001</v>
      </c>
      <c r="DX34" s="66" t="s">
        <v>247</v>
      </c>
      <c r="DY34" s="65" t="str">
        <f t="shared" si="41"/>
        <v>SA/ME</v>
      </c>
      <c r="DZ34" s="128">
        <v>27</v>
      </c>
      <c r="EA34" s="173">
        <f t="shared" si="42"/>
        <v>0.1697860962566845</v>
      </c>
      <c r="EB34" s="173">
        <f t="shared" si="43"/>
        <v>0.17058823529411765</v>
      </c>
      <c r="EC34" s="173">
        <f t="shared" si="44"/>
        <v>0.87401574803149606</v>
      </c>
      <c r="ED34" s="63">
        <v>1.26</v>
      </c>
      <c r="EE34" s="63">
        <v>1.35</v>
      </c>
      <c r="EF34" s="63">
        <v>0.04</v>
      </c>
      <c r="EG34" s="63">
        <v>0.06</v>
      </c>
      <c r="EH34" s="127" t="str">
        <f t="shared" si="5"/>
        <v>SA/ME</v>
      </c>
      <c r="EI34" s="56">
        <v>27</v>
      </c>
      <c r="EJ34" s="334" t="s">
        <v>305</v>
      </c>
      <c r="EK34" s="334"/>
      <c r="EL34" s="334"/>
      <c r="EM34" s="334"/>
      <c r="EN34" s="334"/>
      <c r="EO34" s="334"/>
      <c r="EP34" s="334"/>
      <c r="EQ34" s="65" t="str">
        <f t="shared" si="45"/>
        <v>SA/ME</v>
      </c>
      <c r="ER34" s="20"/>
      <c r="ES34" s="20"/>
      <c r="ET34" s="20"/>
      <c r="EU34" s="20"/>
      <c r="EV34" s="20"/>
      <c r="EW34" s="20"/>
      <c r="EX34" s="20"/>
    </row>
    <row r="35" spans="1:154" s="3" customFormat="1" ht="17.149999999999999" customHeight="1" x14ac:dyDescent="0.35">
      <c r="A35" s="56">
        <v>28</v>
      </c>
      <c r="B35" s="57">
        <v>871499</v>
      </c>
      <c r="C35" s="58">
        <f>IF(B36="","",IF(B36=B35,"",(B36-B35)))</f>
        <v>257</v>
      </c>
      <c r="D35" s="167">
        <v>9.51</v>
      </c>
      <c r="E35" s="59">
        <v>775703</v>
      </c>
      <c r="F35" s="58">
        <f>IF(E36="","",IF(E36=E35,"",(E36-E35)))</f>
        <v>263</v>
      </c>
      <c r="G35" s="168">
        <v>3.67</v>
      </c>
      <c r="H35" s="57">
        <v>737597</v>
      </c>
      <c r="I35" s="58">
        <f>IF(H36="","",IF(H36=H35,"",(H36-H35)))</f>
        <v>145</v>
      </c>
      <c r="J35" s="60" t="s">
        <v>237</v>
      </c>
      <c r="K35" s="56">
        <v>28</v>
      </c>
      <c r="L35" s="57">
        <v>68210</v>
      </c>
      <c r="M35" s="58">
        <f>IF(L36="","",IF(L36=L35,"",(L36-L35)))</f>
        <v>90</v>
      </c>
      <c r="N35" s="59">
        <v>172431</v>
      </c>
      <c r="O35" s="58">
        <f>IF(N36="","",IF(N36=N35,"",(N36-N35)))</f>
        <v>97</v>
      </c>
      <c r="P35" s="57">
        <v>194713</v>
      </c>
      <c r="Q35" s="169" t="str">
        <f>IF(P36="","",IF(P36=P35,"",(P36-P35)))</f>
        <v/>
      </c>
      <c r="R35" s="57">
        <v>661</v>
      </c>
      <c r="S35" s="57">
        <v>669</v>
      </c>
      <c r="T35" s="57">
        <v>138</v>
      </c>
      <c r="U35" s="57">
        <v>135</v>
      </c>
      <c r="V35" s="58" t="str">
        <f t="shared" si="10"/>
        <v>SA/ME</v>
      </c>
      <c r="W35" s="56">
        <v>28</v>
      </c>
      <c r="X35" s="63">
        <v>11474.8</v>
      </c>
      <c r="Y35" s="285">
        <f>IF(X36="","",IF(X36=X35,"",X36-X35))</f>
        <v>5.25</v>
      </c>
      <c r="Z35" s="63">
        <v>12250.67</v>
      </c>
      <c r="AA35" s="285">
        <f>IF(Z36="","",IF(Z36=Z35,"",Z36-Z35))</f>
        <v>2.6399999999994179</v>
      </c>
      <c r="AB35" s="63">
        <v>9689.06</v>
      </c>
      <c r="AC35" s="285">
        <f>IF(AB36="","",IF(AB36=AB35,"",AB36-AB35))</f>
        <v>0.9500000000007276</v>
      </c>
      <c r="AD35" s="63">
        <v>9775.99</v>
      </c>
      <c r="AE35" s="285">
        <f>IF(AD36="","",IF(AD36=AD35,"",AD36-AD35))</f>
        <v>2.9600000000009459</v>
      </c>
      <c r="AF35" s="125" t="str">
        <f t="shared" si="14"/>
        <v>SA/ME</v>
      </c>
      <c r="AG35" s="56">
        <v>28</v>
      </c>
      <c r="AH35" s="63">
        <v>45734.67</v>
      </c>
      <c r="AI35" s="285">
        <f>IF(AH36="","",IF(AH36=AH35,"",AH36-AH35))</f>
        <v>14.75</v>
      </c>
      <c r="AJ35" s="63">
        <v>47869.440000000002</v>
      </c>
      <c r="AK35" s="285">
        <f>IF(AJ36="","",IF(AJ36=AJ35,"",AJ36-AJ35))</f>
        <v>12.799999999995634</v>
      </c>
      <c r="AL35" s="63">
        <v>585.71</v>
      </c>
      <c r="AM35" s="285" t="str">
        <f>IF(AL36="","",IF(AL36=AL35,"",AL36-AL35))</f>
        <v/>
      </c>
      <c r="AN35" s="63">
        <v>547.01</v>
      </c>
      <c r="AO35" s="130" t="str">
        <f>IF(March!AN8="","",IF(March!AN8=AN35,"",March!AN8-AN35))</f>
        <v/>
      </c>
      <c r="AP35" s="125" t="str">
        <f t="shared" si="18"/>
        <v>SA/ME</v>
      </c>
      <c r="AQ35" s="56">
        <v>28</v>
      </c>
      <c r="AR35" s="63">
        <v>6582.49</v>
      </c>
      <c r="AS35" s="285">
        <f>IF(AR36="","",IF(AR36=AR35,"",AR36-AR35))</f>
        <v>3.5799999999999272</v>
      </c>
      <c r="AT35" s="63">
        <v>7293.31</v>
      </c>
      <c r="AU35" s="285">
        <f>IF(AT36="","",IF(AT36=AT35,"",AT36-AT35))</f>
        <v>3.5299999999997453</v>
      </c>
      <c r="AV35" s="63">
        <v>250.45</v>
      </c>
      <c r="AW35" s="285">
        <f>IF(AV36="","",IF(AV36=AV35,"",AV36-AV35))</f>
        <v>0.34000000000000341</v>
      </c>
      <c r="AX35" s="63">
        <v>238.13</v>
      </c>
      <c r="AY35" s="285">
        <f>IF(AX36="","",IF(AX36=AX35,"",AX36-AX35))</f>
        <v>0.34000000000000341</v>
      </c>
      <c r="AZ35" s="125" t="str">
        <f t="shared" si="22"/>
        <v>SA/ME</v>
      </c>
      <c r="BA35" s="56">
        <v>28</v>
      </c>
      <c r="BB35" s="64"/>
      <c r="BC35" s="62"/>
      <c r="BD35" s="61"/>
      <c r="BE35" s="61"/>
      <c r="BF35" s="61"/>
      <c r="BG35" s="61"/>
      <c r="BH35" s="64"/>
      <c r="BI35" s="64"/>
      <c r="BJ35" s="64"/>
      <c r="BK35" s="64"/>
      <c r="BL35" s="64"/>
      <c r="BM35" s="64"/>
      <c r="BN35" s="65" t="str">
        <f t="shared" si="23"/>
        <v>SA/ME</v>
      </c>
      <c r="BO35" s="56">
        <v>28</v>
      </c>
      <c r="BP35" s="64">
        <v>9.1999999999999998E-2</v>
      </c>
      <c r="BQ35" s="62">
        <v>0</v>
      </c>
      <c r="BR35" s="61">
        <v>7.3</v>
      </c>
      <c r="BS35" s="61">
        <v>7.2</v>
      </c>
      <c r="BT35" s="61">
        <v>18.899999999999999</v>
      </c>
      <c r="BU35" s="64">
        <v>1.4E-2</v>
      </c>
      <c r="BV35" s="63">
        <v>1.3</v>
      </c>
      <c r="BW35" s="63">
        <v>1.23</v>
      </c>
      <c r="BX35" s="66" t="s">
        <v>304</v>
      </c>
      <c r="BY35" s="172" t="s">
        <v>239</v>
      </c>
      <c r="BZ35" s="67" t="str">
        <f t="shared" si="24"/>
        <v>SA/ME</v>
      </c>
      <c r="CA35" s="56">
        <v>28</v>
      </c>
      <c r="CB35" s="61">
        <v>92.1</v>
      </c>
      <c r="CC35" s="61"/>
      <c r="CD35" s="68">
        <f>IF(CB36="","",IF(CC35="",IF(CB35=CB36,"",(CB35-CB36)),IF(CC35=CB36,"",(CC35-CB36))))</f>
        <v>1.1999999999999886</v>
      </c>
      <c r="CE35" s="69">
        <f t="shared" si="26"/>
        <v>5.5851179999999481</v>
      </c>
      <c r="CF35" s="69">
        <f t="shared" si="27"/>
        <v>4.6221666206896117</v>
      </c>
      <c r="CG35" s="62">
        <v>51</v>
      </c>
      <c r="CH35" s="62">
        <v>100</v>
      </c>
      <c r="CI35" s="65" t="str">
        <f t="shared" si="28"/>
        <v>SA/ME</v>
      </c>
      <c r="CJ35" s="56">
        <v>28</v>
      </c>
      <c r="CK35" s="61">
        <v>77.8</v>
      </c>
      <c r="CL35" s="61"/>
      <c r="CM35" s="68">
        <f>IF(CK36="","",IF(CL35="",IF(CK35=CK36,"",(CK35-CK36)),IF(CL35=CK36,"",(CL35-CK36))))</f>
        <v>3.0999999999999943</v>
      </c>
      <c r="CN35" s="69">
        <f t="shared" si="30"/>
        <v>14.428221499999974</v>
      </c>
      <c r="CO35" s="68">
        <f t="shared" si="31"/>
        <v>22.324444667217865</v>
      </c>
      <c r="CP35" s="62">
        <v>53</v>
      </c>
      <c r="CQ35" s="62">
        <v>83</v>
      </c>
      <c r="CR35" s="65" t="str">
        <f t="shared" si="32"/>
        <v>SA/ME</v>
      </c>
      <c r="CS35" s="56">
        <v>28</v>
      </c>
      <c r="CT35" s="61">
        <v>81.599999999999994</v>
      </c>
      <c r="CU35" s="61"/>
      <c r="CV35" s="68">
        <f>IF(CT36="","",IF(CU35="",IF(CT35=CT36,"",(CT35-CT36)),IF(CU35=CT36,"",(CU35-CT36))))</f>
        <v>2.7999999999999972</v>
      </c>
      <c r="CW35" s="68">
        <f t="shared" si="34"/>
        <v>18.603871999999981</v>
      </c>
      <c r="CX35" s="69">
        <f t="shared" si="35"/>
        <v>7.2388607003890978E-2</v>
      </c>
      <c r="CY35" s="66" t="s">
        <v>240</v>
      </c>
      <c r="CZ35" s="66" t="s">
        <v>241</v>
      </c>
      <c r="DA35" s="66"/>
      <c r="DB35" s="65" t="str">
        <f t="shared" si="36"/>
        <v>SA/ME</v>
      </c>
      <c r="DC35" s="56">
        <v>28</v>
      </c>
      <c r="DD35" s="61">
        <v>81.7</v>
      </c>
      <c r="DE35" s="61">
        <v>105.1</v>
      </c>
      <c r="DF35" s="68">
        <f>IF(DD36="","",IF(DE35="",IF(DD35=DD36,"",(DD35-DD36)),IF(DE35=DD36,"",(DE35-DD36))))</f>
        <v>22.399999999999991</v>
      </c>
      <c r="DG35" s="69">
        <f t="shared" si="38"/>
        <v>1.2085075251199997</v>
      </c>
      <c r="DH35" s="68">
        <f t="shared" si="39"/>
        <v>4.7023639109727613</v>
      </c>
      <c r="DI35" s="62">
        <v>90</v>
      </c>
      <c r="DJ35" s="62">
        <v>54</v>
      </c>
      <c r="DK35" s="65" t="str">
        <f t="shared" si="40"/>
        <v>SA/ME</v>
      </c>
      <c r="DL35" s="56">
        <v>28</v>
      </c>
      <c r="DM35" s="63">
        <v>7.65</v>
      </c>
      <c r="DN35" s="64">
        <v>1.2999999999999999E-2</v>
      </c>
      <c r="DO35" s="64">
        <v>3.4000000000000002E-2</v>
      </c>
      <c r="DP35" s="64">
        <v>4.5999999999999999E-2</v>
      </c>
      <c r="DQ35" s="63">
        <v>6.71</v>
      </c>
      <c r="DR35" s="61">
        <v>7.2</v>
      </c>
      <c r="DS35" s="64">
        <v>1.3340000000000001</v>
      </c>
      <c r="DT35" s="61">
        <v>86.6</v>
      </c>
      <c r="DU35" s="63">
        <v>4.32</v>
      </c>
      <c r="DV35" s="64">
        <v>0.71399999999999997</v>
      </c>
      <c r="DW35" s="64">
        <v>0.74399999999999999</v>
      </c>
      <c r="DX35" s="66" t="s">
        <v>247</v>
      </c>
      <c r="DY35" s="65" t="str">
        <f t="shared" si="41"/>
        <v>SA/ME</v>
      </c>
      <c r="DZ35" s="128">
        <v>28</v>
      </c>
      <c r="EA35" s="173">
        <f t="shared" si="42"/>
        <v>0.17179144385026737</v>
      </c>
      <c r="EB35" s="173">
        <f t="shared" si="43"/>
        <v>0.19338235294117648</v>
      </c>
      <c r="EC35" s="173">
        <f t="shared" si="44"/>
        <v>0.56420233463035019</v>
      </c>
      <c r="ED35" s="63">
        <v>1.29</v>
      </c>
      <c r="EE35" s="63">
        <v>1.34</v>
      </c>
      <c r="EF35" s="63">
        <v>0.04</v>
      </c>
      <c r="EG35" s="63">
        <v>0.06</v>
      </c>
      <c r="EH35" s="127" t="str">
        <f t="shared" si="5"/>
        <v>SA/ME</v>
      </c>
      <c r="EI35" s="56">
        <v>28</v>
      </c>
      <c r="EJ35" s="334"/>
      <c r="EK35" s="334"/>
      <c r="EL35" s="334"/>
      <c r="EM35" s="334"/>
      <c r="EN35" s="334"/>
      <c r="EO35" s="334"/>
      <c r="EP35" s="334"/>
      <c r="EQ35" s="65" t="str">
        <f t="shared" si="45"/>
        <v>SA/ME</v>
      </c>
      <c r="ER35" s="20"/>
      <c r="ES35" s="20"/>
      <c r="ET35" s="20"/>
      <c r="EU35" s="20"/>
      <c r="EV35" s="20"/>
      <c r="EW35" s="20"/>
      <c r="EX35" s="20"/>
    </row>
    <row r="36" spans="1:154" s="3" customFormat="1" ht="17.149999999999999" customHeight="1" thickBot="1" x14ac:dyDescent="0.4">
      <c r="A36" s="56">
        <v>29</v>
      </c>
      <c r="B36" s="57">
        <v>871756</v>
      </c>
      <c r="C36" s="58">
        <f>IF(March!B8="","",IF(March!B8=B36,"",(March!B8-B36)))</f>
        <v>210</v>
      </c>
      <c r="D36" s="167">
        <v>9.7100000000000009</v>
      </c>
      <c r="E36" s="59">
        <v>775966</v>
      </c>
      <c r="F36" s="58">
        <f>IF(March!E8="","",IF(March!E8=E36,"",(March!E8-E36)))</f>
        <v>158</v>
      </c>
      <c r="G36" s="168">
        <v>3.03</v>
      </c>
      <c r="H36" s="57">
        <v>737742</v>
      </c>
      <c r="I36" s="58">
        <f>IF(March!H8="","",IF(March!H8=H36,"",(March!H8-H36)))</f>
        <v>187</v>
      </c>
      <c r="J36" s="60" t="s">
        <v>194</v>
      </c>
      <c r="K36" s="56">
        <v>29</v>
      </c>
      <c r="L36" s="57">
        <v>68300</v>
      </c>
      <c r="M36" s="58" t="str">
        <f>IF(March!L8="","",IF(March!L8=L36,"",(March!L8-L36)))</f>
        <v/>
      </c>
      <c r="N36" s="59">
        <v>172528</v>
      </c>
      <c r="O36" s="58">
        <f>IF(March!N8="","",IF(March!N8=N36,"",(March!N8-N36)))</f>
        <v>53</v>
      </c>
      <c r="P36" s="57">
        <v>194713</v>
      </c>
      <c r="Q36" s="58" t="str">
        <f>IF(March!P8="","",IF(March!P8=P36,"",(March!P8-P36)))</f>
        <v/>
      </c>
      <c r="R36" s="57">
        <v>662</v>
      </c>
      <c r="S36" s="57">
        <v>670</v>
      </c>
      <c r="T36" s="57">
        <v>138</v>
      </c>
      <c r="U36" s="57">
        <v>135</v>
      </c>
      <c r="V36" s="58" t="str">
        <f t="shared" si="10"/>
        <v>ME</v>
      </c>
      <c r="W36" s="56">
        <v>29</v>
      </c>
      <c r="X36" s="63">
        <v>11480.05</v>
      </c>
      <c r="Y36" s="69">
        <f>IF(March!X8="","",IF(March!X8=X36,"",(March!X8-X36)))</f>
        <v>2.25</v>
      </c>
      <c r="Z36" s="63">
        <v>12253.31</v>
      </c>
      <c r="AA36" s="69">
        <f>IF(March!Z8="","",IF(March!Z8=Z36,"",(March!Z8-Z36)))</f>
        <v>3.9200000000000728</v>
      </c>
      <c r="AB36" s="63">
        <v>9690.01</v>
      </c>
      <c r="AC36" s="69">
        <f>IF(March!AB8="","",IF(March!AB8=AB36,"",(March!AB8-AB36)))</f>
        <v>3.1999999999989086</v>
      </c>
      <c r="AD36" s="63">
        <v>9778.9500000000007</v>
      </c>
      <c r="AE36" s="69">
        <f>IF(March!AD8="","",IF(March!AD8=AD36,"",(March!AD8-AD36)))</f>
        <v>1.7699999999986176</v>
      </c>
      <c r="AF36" s="280" t="str">
        <f t="shared" si="14"/>
        <v>ME</v>
      </c>
      <c r="AG36" s="56">
        <v>29</v>
      </c>
      <c r="AH36" s="63">
        <v>45749.42</v>
      </c>
      <c r="AI36" s="69">
        <f>IF(March!AH8="","",IF(March!AH8=AH36,"",(March!AH8-AH36)))</f>
        <v>9.2600000000020373</v>
      </c>
      <c r="AJ36" s="63">
        <v>47882.239999999998</v>
      </c>
      <c r="AK36" s="69">
        <f>IF(March!AJ8="","",IF(March!AJ8=AJ36,"",(March!AJ8-AJ36)))</f>
        <v>8.5299999999988358</v>
      </c>
      <c r="AL36" s="63">
        <v>585.71</v>
      </c>
      <c r="AM36" s="69">
        <f>IF(March!AL8="","",IF(March!AL8=AL36,"",(March!AL8-AL36)))</f>
        <v>3.999999999996362E-2</v>
      </c>
      <c r="AN36" s="63">
        <v>547.01</v>
      </c>
      <c r="AO36" s="69" t="str">
        <f>IF(March!AN8="","",IF(March!AN8=AN36,"",(March!AN8-AN36)))</f>
        <v/>
      </c>
      <c r="AP36" s="280" t="str">
        <f t="shared" si="18"/>
        <v>ME</v>
      </c>
      <c r="AQ36" s="56">
        <v>29</v>
      </c>
      <c r="AR36" s="63">
        <v>6586.07</v>
      </c>
      <c r="AS36" s="69">
        <f>IF(March!AR8="","",IF(March!AR8=AR36,"",(March!AR8-AR36)))</f>
        <v>2.9000000000005457</v>
      </c>
      <c r="AT36" s="63">
        <v>7296.84</v>
      </c>
      <c r="AU36" s="69">
        <f>IF(March!AT8="","",IF(March!AT8=AT36,"",(March!AT8-AT36)))</f>
        <v>2.430000000000291</v>
      </c>
      <c r="AV36" s="63">
        <v>250.79</v>
      </c>
      <c r="AW36" s="69" t="str">
        <f>IF(March!AV8="","",IF(March!AV8=AV36,"",(March!AV8-AV36)))</f>
        <v/>
      </c>
      <c r="AX36" s="63">
        <v>238.47</v>
      </c>
      <c r="AY36" s="69" t="str">
        <f>IF(March!AX8="","",IF(March!AX8=AX36,"",(March!AX8-AX36)))</f>
        <v/>
      </c>
      <c r="AZ36" s="280" t="str">
        <f t="shared" si="22"/>
        <v>ME</v>
      </c>
      <c r="BA36" s="56">
        <v>29</v>
      </c>
      <c r="BB36" s="64">
        <v>0.53800000000000003</v>
      </c>
      <c r="BC36" s="62">
        <v>25</v>
      </c>
      <c r="BD36" s="61">
        <v>7.2</v>
      </c>
      <c r="BE36" s="61">
        <v>2.9</v>
      </c>
      <c r="BF36" s="61">
        <v>14.8</v>
      </c>
      <c r="BG36" s="61">
        <v>7.2</v>
      </c>
      <c r="BH36" s="64">
        <v>0.30499999999999999</v>
      </c>
      <c r="BI36" s="64">
        <v>0.312</v>
      </c>
      <c r="BJ36" s="64">
        <v>6.6000000000000003E-2</v>
      </c>
      <c r="BK36" s="64">
        <v>7.1999999999999995E-2</v>
      </c>
      <c r="BL36" s="64">
        <v>0.05</v>
      </c>
      <c r="BM36" s="64">
        <v>5.8000000000000003E-2</v>
      </c>
      <c r="BN36" s="65" t="str">
        <f t="shared" si="23"/>
        <v>ME</v>
      </c>
      <c r="BO36" s="56">
        <v>29</v>
      </c>
      <c r="BP36" s="64">
        <v>7.2999999999999995E-2</v>
      </c>
      <c r="BQ36" s="62">
        <v>0</v>
      </c>
      <c r="BR36" s="61">
        <v>7.3</v>
      </c>
      <c r="BS36" s="61">
        <v>7.2</v>
      </c>
      <c r="BT36" s="61">
        <v>18</v>
      </c>
      <c r="BU36" s="64">
        <v>1.0999999999999999E-2</v>
      </c>
      <c r="BV36" s="63">
        <v>1.29</v>
      </c>
      <c r="BW36" s="63">
        <v>1.2</v>
      </c>
      <c r="BX36" s="66" t="s">
        <v>245</v>
      </c>
      <c r="BY36" s="172" t="s">
        <v>246</v>
      </c>
      <c r="BZ36" s="67" t="str">
        <f t="shared" si="24"/>
        <v>ME</v>
      </c>
      <c r="CA36" s="56">
        <v>29</v>
      </c>
      <c r="CB36" s="61">
        <v>90.9</v>
      </c>
      <c r="CC36" s="61"/>
      <c r="CD36" s="68">
        <f>IF(March!CB8="","",IF(CC36="",IF(CB36=March!CB8,"",(CB36-March!CB8)),IF(CC36=March!CB8,"",(CC36-March!CB8))))</f>
        <v>1.2000000000000028</v>
      </c>
      <c r="CE36" s="69">
        <f t="shared" si="26"/>
        <v>5.5851180000000138</v>
      </c>
      <c r="CF36" s="69">
        <f t="shared" si="27"/>
        <v>3.5840329411764795</v>
      </c>
      <c r="CG36" s="62">
        <v>45</v>
      </c>
      <c r="CH36" s="62">
        <v>100</v>
      </c>
      <c r="CI36" s="65" t="str">
        <f t="shared" si="28"/>
        <v>ME</v>
      </c>
      <c r="CJ36" s="56">
        <v>29</v>
      </c>
      <c r="CK36" s="61">
        <v>74.7</v>
      </c>
      <c r="CL36" s="61">
        <v>98</v>
      </c>
      <c r="CM36" s="68">
        <f>IF(March!CK8="","",IF(CL36="",IF(CK36=March!CK8,"",(CK36-March!CK8)),IF(CL36=March!CK8,"",(CL36-March!CK8))))</f>
        <v>2.5</v>
      </c>
      <c r="CN36" s="69">
        <f t="shared" si="30"/>
        <v>11.6356625</v>
      </c>
      <c r="CO36" s="68">
        <f t="shared" si="31"/>
        <v>22.032958062500004</v>
      </c>
      <c r="CP36" s="62">
        <v>47</v>
      </c>
      <c r="CQ36" s="62">
        <v>83</v>
      </c>
      <c r="CR36" s="65" t="str">
        <f t="shared" si="32"/>
        <v>ME</v>
      </c>
      <c r="CS36" s="56">
        <v>29</v>
      </c>
      <c r="CT36" s="61">
        <v>78.8</v>
      </c>
      <c r="CU36" s="61">
        <v>104.2</v>
      </c>
      <c r="CV36" s="68">
        <f>IF(March!CT8="","",IF(CU36="",IF(CT36=March!CT8,"",(CT36-March!CT8)),IF(CU36=March!CT8,"",(CU36-March!CT8))))</f>
        <v>2.2999999999999972</v>
      </c>
      <c r="CW36" s="68">
        <f t="shared" si="34"/>
        <v>15.28175199999998</v>
      </c>
      <c r="CX36" s="69">
        <f t="shared" si="35"/>
        <v>7.2770247619047518E-2</v>
      </c>
      <c r="CY36" s="66" t="s">
        <v>240</v>
      </c>
      <c r="CZ36" s="66" t="s">
        <v>241</v>
      </c>
      <c r="DA36" s="66"/>
      <c r="DB36" s="65" t="str">
        <f t="shared" si="36"/>
        <v>ME</v>
      </c>
      <c r="DC36" s="56">
        <v>29</v>
      </c>
      <c r="DD36" s="61">
        <v>82.7</v>
      </c>
      <c r="DE36" s="61">
        <v>102.8</v>
      </c>
      <c r="DF36" s="68">
        <f>IF(March!DD8="","",IF(DE36="",IF(DD36=March!DD8,"",(DD36-March!DD8)),IF(DE36=March!DD8,"",(DE36-March!DD8))))</f>
        <v>18.099999999999994</v>
      </c>
      <c r="DG36" s="69">
        <f t="shared" si="38"/>
        <v>0.97651724127999973</v>
      </c>
      <c r="DH36" s="68">
        <f t="shared" si="39"/>
        <v>4.6500821013333322</v>
      </c>
      <c r="DI36" s="62">
        <v>90</v>
      </c>
      <c r="DJ36" s="62">
        <v>54</v>
      </c>
      <c r="DK36" s="65" t="str">
        <f t="shared" si="40"/>
        <v>ME</v>
      </c>
      <c r="DL36" s="56">
        <v>29</v>
      </c>
      <c r="DM36" s="63">
        <v>7.52</v>
      </c>
      <c r="DN36" s="64">
        <v>2.3E-2</v>
      </c>
      <c r="DO36" s="64">
        <v>3.4000000000000002E-2</v>
      </c>
      <c r="DP36" s="64">
        <v>4.9000000000000002E-2</v>
      </c>
      <c r="DQ36" s="63">
        <v>6.71</v>
      </c>
      <c r="DR36" s="61">
        <v>7.2</v>
      </c>
      <c r="DS36" s="64">
        <v>1.327</v>
      </c>
      <c r="DT36" s="61">
        <v>83.9</v>
      </c>
      <c r="DU36" s="63">
        <v>4.08</v>
      </c>
      <c r="DV36" s="64">
        <v>1.7010000000000001</v>
      </c>
      <c r="DW36" s="64">
        <v>1.67</v>
      </c>
      <c r="DX36" s="66" t="s">
        <v>242</v>
      </c>
      <c r="DY36" s="65" t="str">
        <f t="shared" si="41"/>
        <v>ME</v>
      </c>
      <c r="DZ36" s="282">
        <v>29</v>
      </c>
      <c r="EA36" s="173">
        <f t="shared" si="42"/>
        <v>0.14037433155080214</v>
      </c>
      <c r="EB36" s="173">
        <f t="shared" si="43"/>
        <v>0.1161764705882353</v>
      </c>
      <c r="EC36" s="173">
        <f t="shared" si="44"/>
        <v>0.89047619047619042</v>
      </c>
      <c r="ED36" s="63">
        <v>1.1299999999999999</v>
      </c>
      <c r="EE36" s="63">
        <v>1.34</v>
      </c>
      <c r="EF36" s="63">
        <v>0.05</v>
      </c>
      <c r="EG36" s="63">
        <v>0.04</v>
      </c>
      <c r="EH36" s="281" t="str">
        <f t="shared" si="5"/>
        <v>ME</v>
      </c>
      <c r="EI36" s="56">
        <v>29</v>
      </c>
      <c r="EJ36" s="374"/>
      <c r="EK36" s="375"/>
      <c r="EL36" s="375"/>
      <c r="EM36" s="375"/>
      <c r="EN36" s="375"/>
      <c r="EO36" s="375"/>
      <c r="EP36" s="376"/>
      <c r="EQ36" s="65" t="str">
        <f t="shared" si="45"/>
        <v>ME</v>
      </c>
      <c r="ER36" s="20"/>
      <c r="ES36" s="20"/>
      <c r="ET36" s="20"/>
      <c r="EU36" s="20"/>
      <c r="EV36" s="20"/>
      <c r="EW36" s="20"/>
      <c r="EX36" s="20"/>
    </row>
    <row r="37" spans="1:154" s="3" customFormat="1" ht="17.149999999999999" customHeight="1" thickBot="1" x14ac:dyDescent="0.4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124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/>
      <c r="BY37" s="73"/>
      <c r="BZ37" s="73"/>
      <c r="CA37" s="73"/>
      <c r="CB37" s="73"/>
      <c r="CC37" s="73"/>
      <c r="CD37" s="73"/>
      <c r="CE37" s="73"/>
      <c r="CF37" s="73"/>
      <c r="CG37" s="73"/>
      <c r="CH37" s="73"/>
      <c r="CI37" s="73"/>
      <c r="CJ37" s="73"/>
      <c r="CK37" s="73"/>
      <c r="CL37" s="73"/>
      <c r="CM37" s="73"/>
      <c r="CN37" s="75"/>
      <c r="CO37" s="73"/>
      <c r="CP37" s="73"/>
      <c r="CQ37" s="73"/>
      <c r="CR37" s="73"/>
      <c r="CS37" s="73"/>
      <c r="CT37" s="73"/>
      <c r="CU37" s="73"/>
      <c r="CV37" s="73"/>
      <c r="CW37" s="73"/>
      <c r="CX37" s="73"/>
      <c r="CY37" s="73"/>
      <c r="CZ37" s="73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3"/>
      <c r="DL37" s="73"/>
      <c r="DM37" s="73"/>
      <c r="DN37" s="73"/>
      <c r="DO37" s="73"/>
      <c r="DP37" s="73"/>
      <c r="DQ37" s="73"/>
      <c r="DR37" s="73"/>
      <c r="DS37" s="73"/>
      <c r="DT37" s="73"/>
      <c r="DU37" s="73"/>
      <c r="DV37" s="73"/>
      <c r="DW37" s="73"/>
      <c r="DX37" s="73"/>
      <c r="DY37" s="73"/>
      <c r="DZ37" s="195" t="s">
        <v>199</v>
      </c>
      <c r="EA37" s="198">
        <f>IF(COUNT(EA5:EA35)=0,"",AVERAGE(EA5:EA35))*100</f>
        <v>15.479373567608862</v>
      </c>
      <c r="EB37" s="199">
        <f>IF(COUNT(EB5:EB35)=0,"",AVERAGE(EB5:EB35))*100</f>
        <v>16.654411764705877</v>
      </c>
      <c r="EC37" s="200">
        <f>IF(COUNT(EC5:EC35)=0,"",AVERAGE(EC5:EC35))*100</f>
        <v>81.820953433052992</v>
      </c>
      <c r="ED37" s="73"/>
      <c r="EE37" s="73"/>
      <c r="EF37" s="73"/>
      <c r="EG37" s="73"/>
      <c r="EH37" s="73"/>
      <c r="EI37" s="73"/>
      <c r="EJ37" s="351"/>
      <c r="EK37" s="351"/>
      <c r="EL37" s="351"/>
      <c r="EM37" s="351"/>
      <c r="EN37" s="351"/>
      <c r="EO37" s="351"/>
      <c r="EP37" s="351"/>
      <c r="EQ37" s="73"/>
      <c r="ER37" s="20"/>
      <c r="ES37" s="20"/>
      <c r="ET37" s="20"/>
      <c r="EU37" s="20"/>
      <c r="EV37" s="20"/>
      <c r="EW37" s="20"/>
      <c r="EX37" s="20"/>
    </row>
    <row r="38" spans="1:154" s="3" customFormat="1" ht="17.149999999999999" customHeight="1" x14ac:dyDescent="0.35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124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5"/>
      <c r="CO38" s="73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  <c r="DR38" s="73"/>
      <c r="DS38" s="73"/>
      <c r="DT38" s="73"/>
      <c r="DU38" s="73"/>
      <c r="DV38" s="73"/>
      <c r="DW38" s="73"/>
      <c r="DX38" s="73"/>
      <c r="DY38" s="73"/>
      <c r="DZ38" s="84" t="s">
        <v>27</v>
      </c>
      <c r="EA38" s="82">
        <f>IF(COUNT(EA6:EA35)=0,"",MIN(EA6:EA35))*100</f>
        <v>10.695187165775401</v>
      </c>
      <c r="EB38" s="82">
        <f>IF(COUNT(EB6:EB35)=0,"",MIN(EB6:EB35))*100</f>
        <v>11.25</v>
      </c>
      <c r="EC38" s="82">
        <f>IF(COUNT(EC6:EC35)=0,"",MIN(EC6:EC35))*100</f>
        <v>56.420233463035018</v>
      </c>
      <c r="ED38" s="73"/>
      <c r="EE38" s="73"/>
      <c r="EF38" s="73"/>
      <c r="EG38" s="73"/>
      <c r="EH38" s="73"/>
      <c r="EI38" s="73"/>
      <c r="EJ38" s="351"/>
      <c r="EK38" s="351"/>
      <c r="EL38" s="351"/>
      <c r="EM38" s="351"/>
      <c r="EN38" s="351"/>
      <c r="EO38" s="351"/>
      <c r="EP38" s="351"/>
      <c r="EQ38" s="73"/>
      <c r="ER38" s="20"/>
      <c r="ES38" s="20"/>
      <c r="ET38" s="20"/>
      <c r="EU38" s="20"/>
      <c r="EV38" s="20"/>
      <c r="EW38" s="20"/>
      <c r="EX38" s="20"/>
    </row>
    <row r="39" spans="1:154" s="3" customFormat="1" ht="18.649999999999999" customHeight="1" x14ac:dyDescent="0.35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124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5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84" t="s">
        <v>28</v>
      </c>
      <c r="EA39" s="82">
        <f>IF(COUNT(EA6:EA35)=0,"",MAX(EA6:EA35))*100</f>
        <v>20.989304812834224</v>
      </c>
      <c r="EB39" s="82">
        <f>IF(COUNT(EB6:EB35)=0,"",MAX(EB6:EB35))*100</f>
        <v>20.22058823529412</v>
      </c>
      <c r="EC39" s="82">
        <f>IF(COUNT(EC6:EC35)=0,"",MAX(EC6:EC35))*100</f>
        <v>89.592760180995484</v>
      </c>
      <c r="ED39" s="73"/>
      <c r="EE39" s="73"/>
      <c r="EF39" s="73"/>
      <c r="EG39" s="73"/>
      <c r="EH39" s="73"/>
      <c r="EI39" s="73"/>
      <c r="EJ39" s="351"/>
      <c r="EK39" s="351"/>
      <c r="EL39" s="351"/>
      <c r="EM39" s="351"/>
      <c r="EN39" s="351"/>
      <c r="EO39" s="351"/>
      <c r="EP39" s="351"/>
      <c r="EQ39" s="73"/>
      <c r="ER39" s="20"/>
      <c r="ES39" s="20"/>
      <c r="ET39" s="20"/>
      <c r="EU39" s="20"/>
      <c r="EV39" s="20"/>
      <c r="EW39" s="20"/>
      <c r="EX39" s="20"/>
    </row>
    <row r="40" spans="1:154" s="3" customFormat="1" ht="18.649999999999999" customHeight="1" x14ac:dyDescent="0.35">
      <c r="A40" s="56" t="s">
        <v>2</v>
      </c>
      <c r="B40" s="77"/>
      <c r="C40" s="78">
        <f>IF(COUNT(C8:C38)=0,"",SUM(C8:C38))</f>
        <v>6694</v>
      </c>
      <c r="D40" s="75"/>
      <c r="E40" s="74"/>
      <c r="F40" s="78">
        <f>IF(COUNT(F8:F38)=0,"",SUM(F8:F38))</f>
        <v>6500</v>
      </c>
      <c r="G40" s="81"/>
      <c r="H40" s="74"/>
      <c r="I40" s="78">
        <f>IF(COUNT(I8:I38)=0,"",SUM(I8:I38))</f>
        <v>5436</v>
      </c>
      <c r="J40" s="79"/>
      <c r="K40" s="56" t="s">
        <v>2</v>
      </c>
      <c r="L40" s="77"/>
      <c r="M40" s="78">
        <f>IF(COUNT(M8:M38)=0,"",SUM(M8:M38))</f>
        <v>520</v>
      </c>
      <c r="N40" s="74"/>
      <c r="O40" s="78">
        <f>IF(COUNT(O8:O38)=0,"",SUM(O8:O38))</f>
        <v>1438</v>
      </c>
      <c r="P40" s="74"/>
      <c r="Q40" s="78" t="str">
        <f>IF(COUNT(Q8:Q38)=0,"",SUM(Q8:Q38))</f>
        <v/>
      </c>
      <c r="R40" s="77"/>
      <c r="S40" s="77"/>
      <c r="T40" s="77"/>
      <c r="U40" s="77"/>
      <c r="V40" s="79"/>
      <c r="W40" s="56" t="s">
        <v>2</v>
      </c>
      <c r="X40" s="81"/>
      <c r="Y40" s="82">
        <f>IF(COUNT(Y8:Y38)=0,"",SUM(Y8:Y38))</f>
        <v>97.579999999999927</v>
      </c>
      <c r="Z40" s="75"/>
      <c r="AA40" s="82">
        <f>IF(COUNT(AA8:AA38)=0,"",SUM(AA8:AA38))</f>
        <v>100.69999999999891</v>
      </c>
      <c r="AB40" s="75"/>
      <c r="AC40" s="82">
        <f>IF(COUNT(AC8:AC38)=0,"",SUM(AC8:AC38))</f>
        <v>74.109999999998763</v>
      </c>
      <c r="AD40" s="75"/>
      <c r="AE40" s="82">
        <f>IF(COUNT(AE8:AE38)=0,"",SUM(AE8:AE38))</f>
        <v>70.539999999999054</v>
      </c>
      <c r="AF40" s="79"/>
      <c r="AG40" s="56" t="s">
        <v>2</v>
      </c>
      <c r="AH40" s="81"/>
      <c r="AI40" s="82">
        <f>IF(COUNT(AI8:AI38)=0,"",SUM(AI8:AI38))</f>
        <v>347.87000000000262</v>
      </c>
      <c r="AJ40" s="75"/>
      <c r="AK40" s="82">
        <f>IF(COUNT(AK8:AK38)=0,"",SUM(AK8:AK38))</f>
        <v>344.60999999999331</v>
      </c>
      <c r="AL40" s="75"/>
      <c r="AM40" s="82">
        <f>IF(COUNT(AM8:AM38)=0,"",SUM(AM8:AM38))</f>
        <v>0.46000000000003638</v>
      </c>
      <c r="AN40" s="75"/>
      <c r="AO40" s="82">
        <f>IF(COUNT(AO8:AO38)=0,"",SUM(AO8:AO38))</f>
        <v>0.66999999999995907</v>
      </c>
      <c r="AP40" s="79"/>
      <c r="AQ40" s="56" t="s">
        <v>2</v>
      </c>
      <c r="AR40" s="81"/>
      <c r="AS40" s="82">
        <f>IF(COUNT(AS8:AS38)=0,"",SUM(AS8:AS38))</f>
        <v>67.5</v>
      </c>
      <c r="AT40" s="75"/>
      <c r="AU40" s="82">
        <f>IF(COUNT(AU8:AU38)=0,"",SUM(AU8:AU38))</f>
        <v>65.940000000000509</v>
      </c>
      <c r="AV40" s="75"/>
      <c r="AW40" s="82">
        <f>IF(COUNT(AW8:AW38)=0,"",SUM(AW8:AW38))</f>
        <v>2.1200000000000045</v>
      </c>
      <c r="AX40" s="75"/>
      <c r="AY40" s="82">
        <f>IF(COUNT(AY8:AY38)=0,"",SUM(AY8:AY38))</f>
        <v>2.0099999999999909</v>
      </c>
      <c r="AZ40" s="79"/>
      <c r="BA40" s="264" t="s">
        <v>2</v>
      </c>
      <c r="BB40" s="268">
        <f t="shared" ref="BB40:BM40" si="46">COUNTA(BB8:BB36)</f>
        <v>22</v>
      </c>
      <c r="BC40" s="268">
        <f t="shared" si="46"/>
        <v>22</v>
      </c>
      <c r="BD40" s="268">
        <f t="shared" si="46"/>
        <v>22</v>
      </c>
      <c r="BE40" s="268">
        <f t="shared" si="46"/>
        <v>22</v>
      </c>
      <c r="BF40" s="268">
        <f t="shared" si="46"/>
        <v>22</v>
      </c>
      <c r="BG40" s="268">
        <f t="shared" si="46"/>
        <v>22</v>
      </c>
      <c r="BH40" s="268">
        <f t="shared" si="46"/>
        <v>22</v>
      </c>
      <c r="BI40" s="268">
        <f t="shared" si="46"/>
        <v>22</v>
      </c>
      <c r="BJ40" s="268">
        <f t="shared" si="46"/>
        <v>22</v>
      </c>
      <c r="BK40" s="268">
        <f t="shared" si="46"/>
        <v>22</v>
      </c>
      <c r="BL40" s="268">
        <f t="shared" si="46"/>
        <v>22</v>
      </c>
      <c r="BM40" s="268">
        <f t="shared" si="46"/>
        <v>22</v>
      </c>
      <c r="BN40" s="266" t="s">
        <v>208</v>
      </c>
      <c r="BO40" s="264" t="s">
        <v>2</v>
      </c>
      <c r="BP40" s="268">
        <f t="shared" ref="BP40:BW40" si="47">COUNTA(BP8:BP36)</f>
        <v>29</v>
      </c>
      <c r="BQ40" s="268">
        <f t="shared" si="47"/>
        <v>26</v>
      </c>
      <c r="BR40" s="268">
        <f t="shared" si="47"/>
        <v>26</v>
      </c>
      <c r="BS40" s="268">
        <f t="shared" si="47"/>
        <v>26</v>
      </c>
      <c r="BT40" s="268">
        <f t="shared" si="47"/>
        <v>26</v>
      </c>
      <c r="BU40" s="268">
        <f t="shared" si="47"/>
        <v>26</v>
      </c>
      <c r="BV40" s="268">
        <f t="shared" si="47"/>
        <v>29</v>
      </c>
      <c r="BW40" s="268">
        <f t="shared" si="47"/>
        <v>29</v>
      </c>
      <c r="BX40" s="267" t="s">
        <v>208</v>
      </c>
      <c r="BY40" s="83"/>
      <c r="BZ40" s="73"/>
      <c r="CA40" s="56" t="s">
        <v>2</v>
      </c>
      <c r="CB40" s="73"/>
      <c r="CC40" s="73"/>
      <c r="CD40" s="80">
        <f>IF(COUNT(CD8:CD38)=0,"",SUM(CD8:CD38))</f>
        <v>43.299999999999983</v>
      </c>
      <c r="CE40" s="82">
        <f>IF(COUNT(CE8:CE38)=0,"",SUM(CE8:CE38))</f>
        <v>201.52967449999997</v>
      </c>
      <c r="CF40" s="75"/>
      <c r="CG40" s="74"/>
      <c r="CH40" s="74"/>
      <c r="CI40" s="73"/>
      <c r="CJ40" s="56" t="s">
        <v>2</v>
      </c>
      <c r="CK40" s="73"/>
      <c r="CL40" s="73"/>
      <c r="CM40" s="80">
        <f>IF(COUNT(CM8:CM38)=0,"",SUM(CM8:CM38))</f>
        <v>82.09999999999998</v>
      </c>
      <c r="CN40" s="82">
        <f>IF(COUNT(CN8:CN38)=0,"",SUM(CN8:CN38))</f>
        <v>382.11515650000001</v>
      </c>
      <c r="CO40" s="73"/>
      <c r="CP40" s="74"/>
      <c r="CQ40" s="74"/>
      <c r="CR40" s="73"/>
      <c r="CS40" s="56" t="s">
        <v>2</v>
      </c>
      <c r="CT40" s="73"/>
      <c r="CU40" s="73"/>
      <c r="CV40" s="80">
        <f>IF(COUNT(CV8:CV38)=0,"",SUM(CV8:CV38))</f>
        <v>68.799999999999983</v>
      </c>
      <c r="CW40" s="80">
        <f>IF(COUNT(CW8:CW38)=0,"",SUM(CW8:CW38))</f>
        <v>457.1237119999999</v>
      </c>
      <c r="CX40" s="75"/>
      <c r="CY40" s="74"/>
      <c r="CZ40" s="74"/>
      <c r="DA40" s="74"/>
      <c r="DB40" s="73"/>
      <c r="DC40" s="56" t="s">
        <v>2</v>
      </c>
      <c r="DD40" s="73"/>
      <c r="DE40" s="73"/>
      <c r="DF40" s="80">
        <f>IF(COUNT(DF8:DF38)=0,"",SUM(DF8:DF38))</f>
        <v>543.69999999999993</v>
      </c>
      <c r="DG40" s="82">
        <f>IF(COUNT(DG8:DG38)=0,"",SUM(DG8:DG38))</f>
        <v>29.333283098559999</v>
      </c>
      <c r="DH40" s="73"/>
      <c r="DI40" s="74"/>
      <c r="DJ40" s="74"/>
      <c r="DK40" s="73"/>
      <c r="DL40" s="56" t="s">
        <v>2</v>
      </c>
      <c r="DM40" s="75"/>
      <c r="DN40" s="124"/>
      <c r="DO40" s="124"/>
      <c r="DP40" s="124"/>
      <c r="DQ40" s="75"/>
      <c r="DR40" s="73"/>
      <c r="DS40" s="124"/>
      <c r="DT40" s="73"/>
      <c r="DU40" s="75"/>
      <c r="DV40" s="124"/>
      <c r="DW40" s="124"/>
      <c r="DX40" s="124"/>
      <c r="DY40" s="73"/>
      <c r="DZ40" s="84" t="s">
        <v>27</v>
      </c>
      <c r="EA40" s="75"/>
      <c r="EB40" s="76"/>
      <c r="EC40" s="76"/>
      <c r="ED40" s="82">
        <f>IF(COUNT(ED8:ED38)=0,"",MIN(ED8:ED38))</f>
        <v>0.78</v>
      </c>
      <c r="EE40" s="75"/>
      <c r="EF40" s="75"/>
      <c r="EG40" s="75"/>
      <c r="EH40" s="73"/>
      <c r="EI40" s="73"/>
      <c r="EJ40" s="351"/>
      <c r="EK40" s="351"/>
      <c r="EL40" s="351"/>
      <c r="EM40" s="351"/>
      <c r="EN40" s="351"/>
      <c r="EO40" s="351"/>
      <c r="EP40" s="351"/>
      <c r="EQ40" s="73"/>
      <c r="ER40" s="20"/>
      <c r="ES40" s="20"/>
      <c r="ET40" s="20"/>
      <c r="EU40" s="20"/>
      <c r="EV40" s="20"/>
      <c r="EW40" s="20"/>
      <c r="EX40" s="20"/>
    </row>
    <row r="41" spans="1:154" s="3" customFormat="1" ht="18" customHeight="1" x14ac:dyDescent="0.35">
      <c r="A41" s="56" t="s">
        <v>7</v>
      </c>
      <c r="B41" s="77"/>
      <c r="C41" s="78">
        <f>IF(COUNT(C8:C38)=0,"",AVERAGE(C8:C38))</f>
        <v>230.82758620689654</v>
      </c>
      <c r="D41" s="75"/>
      <c r="E41" s="74"/>
      <c r="F41" s="78">
        <f>IF(COUNT(F8:F38)=0,"",AVERAGE(F8:F38))</f>
        <v>224.13793103448276</v>
      </c>
      <c r="G41" s="81"/>
      <c r="H41" s="74"/>
      <c r="I41" s="78">
        <f>IF(COUNT(I8:I38)=0,"",AVERAGE(I8:I38))</f>
        <v>187.44827586206895</v>
      </c>
      <c r="J41" s="79"/>
      <c r="K41" s="56" t="s">
        <v>7</v>
      </c>
      <c r="L41" s="77"/>
      <c r="M41" s="78">
        <f>IF(COUNT(M8:M38)=0,"",AVERAGE(M8:M38))</f>
        <v>34.666666666666664</v>
      </c>
      <c r="N41" s="74"/>
      <c r="O41" s="78">
        <f>IF(COUNT(O8:O38)=0,"",AVERAGE(O8:O38))</f>
        <v>49.586206896551722</v>
      </c>
      <c r="P41" s="74"/>
      <c r="Q41" s="78" t="str">
        <f>IF(COUNT(Q8:Q38)=0,"",AVERAGE(Q8:Q38))</f>
        <v/>
      </c>
      <c r="R41" s="77"/>
      <c r="S41" s="77"/>
      <c r="T41" s="77"/>
      <c r="U41" s="77"/>
      <c r="V41" s="79"/>
      <c r="W41" s="56" t="s">
        <v>7</v>
      </c>
      <c r="X41" s="75"/>
      <c r="Y41" s="75"/>
      <c r="Z41" s="75"/>
      <c r="AA41" s="75"/>
      <c r="AB41" s="75"/>
      <c r="AC41" s="75"/>
      <c r="AD41" s="75"/>
      <c r="AE41" s="75"/>
      <c r="AF41" s="79"/>
      <c r="AG41" s="56" t="s">
        <v>7</v>
      </c>
      <c r="AH41" s="75"/>
      <c r="AI41" s="75"/>
      <c r="AJ41" s="75"/>
      <c r="AK41" s="75"/>
      <c r="AL41" s="75"/>
      <c r="AM41" s="75"/>
      <c r="AN41" s="75"/>
      <c r="AO41" s="75"/>
      <c r="AP41" s="79"/>
      <c r="AQ41" s="56" t="s">
        <v>7</v>
      </c>
      <c r="AR41" s="75"/>
      <c r="AS41" s="75"/>
      <c r="AT41" s="75"/>
      <c r="AU41" s="75"/>
      <c r="AV41" s="75"/>
      <c r="AW41" s="75"/>
      <c r="AX41" s="75"/>
      <c r="AY41" s="75"/>
      <c r="AZ41" s="79"/>
      <c r="BA41" s="56" t="s">
        <v>7</v>
      </c>
      <c r="BB41" s="84">
        <f t="shared" ref="BB41:BM41" si="48">IF(COUNT(BB8:BB38)=0,"",AVERAGE(BB8:BB38))</f>
        <v>0.56554545454545468</v>
      </c>
      <c r="BC41" s="78">
        <f t="shared" si="48"/>
        <v>22.227272727272727</v>
      </c>
      <c r="BD41" s="80">
        <f t="shared" si="48"/>
        <v>7.1318181818181818</v>
      </c>
      <c r="BE41" s="80">
        <f t="shared" si="48"/>
        <v>2.7772727272727273</v>
      </c>
      <c r="BF41" s="80">
        <f t="shared" si="48"/>
        <v>15.959090909090911</v>
      </c>
      <c r="BG41" s="80">
        <f t="shared" si="48"/>
        <v>7.1318181818181818</v>
      </c>
      <c r="BH41" s="84">
        <f t="shared" si="48"/>
        <v>0.26650000000000001</v>
      </c>
      <c r="BI41" s="84">
        <f t="shared" si="48"/>
        <v>0.27022727272727276</v>
      </c>
      <c r="BJ41" s="84">
        <f t="shared" si="48"/>
        <v>5.2090909090909118E-2</v>
      </c>
      <c r="BK41" s="84">
        <f t="shared" si="48"/>
        <v>5.3409090909090934E-2</v>
      </c>
      <c r="BL41" s="84">
        <f t="shared" si="48"/>
        <v>4.9681818181818202E-2</v>
      </c>
      <c r="BM41" s="84">
        <f t="shared" si="48"/>
        <v>5.3590909090909113E-2</v>
      </c>
      <c r="BN41" s="73"/>
      <c r="BO41" s="56" t="s">
        <v>7</v>
      </c>
      <c r="BP41" s="84">
        <f t="shared" ref="BP41:BW41" si="49">IF(COUNT(BP8:BP38)=0,"",AVERAGE(BP8:BP38))</f>
        <v>7.1896551724137919E-2</v>
      </c>
      <c r="BQ41" s="78">
        <f t="shared" si="49"/>
        <v>0</v>
      </c>
      <c r="BR41" s="80">
        <f t="shared" si="49"/>
        <v>7.2307692307692299</v>
      </c>
      <c r="BS41" s="80">
        <f t="shared" si="49"/>
        <v>6.8538461538461535</v>
      </c>
      <c r="BT41" s="80">
        <f t="shared" si="49"/>
        <v>18.476923076923075</v>
      </c>
      <c r="BU41" s="84">
        <f t="shared" si="49"/>
        <v>1.1192307692307696E-2</v>
      </c>
      <c r="BV41" s="82">
        <f t="shared" si="49"/>
        <v>1.2486206896551724</v>
      </c>
      <c r="BW41" s="82">
        <f t="shared" si="49"/>
        <v>1.0972413793103448</v>
      </c>
      <c r="BX41" s="75"/>
      <c r="BY41" s="83"/>
      <c r="BZ41" s="73"/>
      <c r="CA41" s="56" t="s">
        <v>7</v>
      </c>
      <c r="CB41" s="73"/>
      <c r="CC41" s="73"/>
      <c r="CD41" s="80">
        <f>IF(COUNT(CD8:CD38)=0,"",AVERAGE(CD8:CD38))</f>
        <v>1.4931034482758614</v>
      </c>
      <c r="CE41" s="82">
        <f>IF(COUNT(CE8:CE38)=0,"",AVERAGE(CE8:CE38))</f>
        <v>6.9492991206896537</v>
      </c>
      <c r="CF41" s="82">
        <f>IF(COUNT(CF8:CF38)=0,"",AVERAGE(CF8:CF38))</f>
        <v>4.479488261936118</v>
      </c>
      <c r="CG41" s="74"/>
      <c r="CH41" s="74"/>
      <c r="CI41" s="73"/>
      <c r="CJ41" s="56" t="s">
        <v>7</v>
      </c>
      <c r="CK41" s="73"/>
      <c r="CL41" s="73"/>
      <c r="CM41" s="80">
        <f>IF(COUNT(CM8:CM38)=0,"",AVERAGE(CM8:CM38))</f>
        <v>2.83103448275862</v>
      </c>
      <c r="CN41" s="82">
        <f>IF(COUNT(CN8:CN38)=0,"",AVERAGE(CN8:CN38))</f>
        <v>13.176384706896553</v>
      </c>
      <c r="CO41" s="80">
        <f>IF(COUNT(CO8:CO38)=0,"",AVERAGE(CO8:CO38))</f>
        <v>22.567764043304813</v>
      </c>
      <c r="CP41" s="74"/>
      <c r="CQ41" s="74"/>
      <c r="CR41" s="73"/>
      <c r="CS41" s="56" t="s">
        <v>7</v>
      </c>
      <c r="CT41" s="73"/>
      <c r="CU41" s="73"/>
      <c r="CV41" s="80">
        <f>IF(COUNT(CV8:CV38)=0,"",AVERAGE(CV8:CV38))</f>
        <v>2.3724137931034477</v>
      </c>
      <c r="CW41" s="80">
        <f>IF(COUNT(CW8:CW38)=0,"",AVERAGE(CW8:CW38))</f>
        <v>15.762886620689653</v>
      </c>
      <c r="CX41" s="82">
        <f>IF(COUNT(CX8:CX38)=0,"",AVERAGE(CX8:CX38))</f>
        <v>6.802707145958363E-2</v>
      </c>
      <c r="CY41" s="74"/>
      <c r="CZ41" s="74"/>
      <c r="DA41" s="74"/>
      <c r="DB41" s="73"/>
      <c r="DC41" s="56" t="s">
        <v>7</v>
      </c>
      <c r="DD41" s="73"/>
      <c r="DE41" s="73"/>
      <c r="DF41" s="80">
        <f>IF(COUNT(DF8:DF38)=0,"",AVERAGE(DF8:DF38))</f>
        <v>18.748275862068962</v>
      </c>
      <c r="DG41" s="82">
        <f>IF(COUNT(DG8:DG38)=0,"",AVERAGE(DG8:DG38))</f>
        <v>1.0114925206400001</v>
      </c>
      <c r="DH41" s="80">
        <f>IF(COUNT(DH8:DH38)=0,"",AVERAGE(DH8:DH38))</f>
        <v>4.363974631074619</v>
      </c>
      <c r="DI41" s="74"/>
      <c r="DJ41" s="74"/>
      <c r="DK41" s="73"/>
      <c r="DL41" s="56" t="s">
        <v>7</v>
      </c>
      <c r="DM41" s="82">
        <f t="shared" ref="DM41:DW41" si="50">IF(COUNT(DM8:DM38)=0,"",AVERAGE(DM8:DM38))</f>
        <v>8.2637931034482737</v>
      </c>
      <c r="DN41" s="84">
        <f t="shared" si="50"/>
        <v>1.8482758620689661E-2</v>
      </c>
      <c r="DO41" s="84">
        <f t="shared" si="50"/>
        <v>3.2931034482758643E-2</v>
      </c>
      <c r="DP41" s="84">
        <f t="shared" si="50"/>
        <v>4.8517241379310364E-2</v>
      </c>
      <c r="DQ41" s="82">
        <f t="shared" si="50"/>
        <v>6.7517241379310349</v>
      </c>
      <c r="DR41" s="80">
        <f t="shared" si="50"/>
        <v>6.8689655172413779</v>
      </c>
      <c r="DS41" s="84">
        <f t="shared" si="50"/>
        <v>1.2454137931034484</v>
      </c>
      <c r="DT41" s="80">
        <f t="shared" si="50"/>
        <v>85.044827586206921</v>
      </c>
      <c r="DU41" s="82">
        <f t="shared" si="50"/>
        <v>4.2072413793103447</v>
      </c>
      <c r="DV41" s="84">
        <f t="shared" si="50"/>
        <v>1.2702413793103444</v>
      </c>
      <c r="DW41" s="84">
        <f t="shared" si="50"/>
        <v>0.59410344827586203</v>
      </c>
      <c r="DX41" s="124"/>
      <c r="DY41" s="73"/>
      <c r="DZ41" s="84" t="s">
        <v>28</v>
      </c>
      <c r="EA41" s="75"/>
      <c r="EB41" s="76"/>
      <c r="EC41" s="76"/>
      <c r="ED41" s="75"/>
      <c r="EE41" s="82">
        <f>IF(COUNT(EE8:EE38)=0,"",MAX(EE8:EE38))</f>
        <v>1.35</v>
      </c>
      <c r="EF41" s="82">
        <f>IF(COUNT(EF8:EF38)=0,"",MAX(EF8:EF38))</f>
        <v>0.05</v>
      </c>
      <c r="EG41" s="82">
        <f>IF(COUNT(EG8:EG38)=0,"",MAX(EG8:EG38))</f>
        <v>0.47</v>
      </c>
      <c r="EH41" s="73"/>
      <c r="EI41" s="73"/>
      <c r="EJ41" s="351"/>
      <c r="EK41" s="351"/>
      <c r="EL41" s="351"/>
      <c r="EM41" s="351"/>
      <c r="EN41" s="351"/>
      <c r="EO41" s="351"/>
      <c r="EP41" s="351"/>
      <c r="EQ41" s="73"/>
      <c r="ER41" s="20"/>
      <c r="ES41" s="20"/>
      <c r="ET41" s="20"/>
      <c r="EU41" s="20"/>
      <c r="EV41" s="20"/>
      <c r="EW41" s="20"/>
      <c r="EX41" s="20"/>
    </row>
    <row r="42" spans="1:154" ht="25.5" customHeight="1" x14ac:dyDescent="0.5">
      <c r="A42" s="314" t="s">
        <v>449</v>
      </c>
      <c r="B42" s="314"/>
      <c r="C42" s="314"/>
      <c r="D42" s="314"/>
      <c r="E42" s="314"/>
      <c r="F42" s="315" t="s">
        <v>115</v>
      </c>
      <c r="G42" s="315"/>
      <c r="H42" s="315"/>
      <c r="I42" s="315"/>
      <c r="J42" s="315"/>
      <c r="K42" s="314" t="str">
        <f>IF(A42="","",A42)</f>
        <v>Drinking Water System</v>
      </c>
      <c r="L42" s="314"/>
      <c r="M42" s="314"/>
      <c r="N42" s="314"/>
      <c r="O42" s="315" t="s">
        <v>125</v>
      </c>
      <c r="P42" s="315"/>
      <c r="Q42" s="315"/>
      <c r="R42" s="315"/>
      <c r="S42" s="315"/>
      <c r="T42" s="315"/>
      <c r="U42" s="315"/>
      <c r="V42" s="315"/>
      <c r="W42" s="314" t="str">
        <f>IF(A42="","",A42)</f>
        <v>Drinking Water System</v>
      </c>
      <c r="X42" s="314"/>
      <c r="Y42" s="314"/>
      <c r="Z42" s="314"/>
      <c r="AA42" s="314"/>
      <c r="AB42" s="315" t="s">
        <v>129</v>
      </c>
      <c r="AC42" s="315"/>
      <c r="AD42" s="315"/>
      <c r="AE42" s="315"/>
      <c r="AF42" s="315"/>
      <c r="AG42" s="314" t="str">
        <f>IF(A42="","",A42)</f>
        <v>Drinking Water System</v>
      </c>
      <c r="AH42" s="314"/>
      <c r="AI42" s="314"/>
      <c r="AJ42" s="314"/>
      <c r="AK42" s="314"/>
      <c r="AL42" s="315" t="s">
        <v>93</v>
      </c>
      <c r="AM42" s="315"/>
      <c r="AN42" s="315"/>
      <c r="AO42" s="315"/>
      <c r="AP42" s="315"/>
      <c r="AQ42" s="314" t="str">
        <f>IF(A42="","",A42)</f>
        <v>Drinking Water System</v>
      </c>
      <c r="AR42" s="314"/>
      <c r="AS42" s="314"/>
      <c r="AT42" s="314"/>
      <c r="AU42" s="314"/>
      <c r="AV42" s="315" t="s">
        <v>135</v>
      </c>
      <c r="AW42" s="315"/>
      <c r="AX42" s="315"/>
      <c r="AY42" s="315"/>
      <c r="AZ42" s="315"/>
      <c r="BA42" s="314" t="str">
        <f>IF(A42="","",A42)</f>
        <v>Drinking Water System</v>
      </c>
      <c r="BB42" s="314"/>
      <c r="BC42" s="314"/>
      <c r="BD42" s="314"/>
      <c r="BE42" s="314"/>
      <c r="BF42" s="352" t="s">
        <v>145</v>
      </c>
      <c r="BG42" s="352"/>
      <c r="BH42" s="352"/>
      <c r="BI42" s="352"/>
      <c r="BJ42" s="352"/>
      <c r="BK42" s="352"/>
      <c r="BL42" s="352"/>
      <c r="BM42" s="352"/>
      <c r="BN42" s="352"/>
      <c r="BO42" s="314" t="str">
        <f>IF(A42="","",A42)</f>
        <v>Drinking Water System</v>
      </c>
      <c r="BP42" s="314"/>
      <c r="BQ42" s="314"/>
      <c r="BR42" s="314"/>
      <c r="BS42" s="314"/>
      <c r="BT42" s="315" t="s">
        <v>100</v>
      </c>
      <c r="BU42" s="315"/>
      <c r="BV42" s="315"/>
      <c r="BW42" s="315"/>
      <c r="BX42" s="315"/>
      <c r="BY42" s="315"/>
      <c r="BZ42" s="315"/>
      <c r="CA42" s="314" t="str">
        <f>IF(A42="","",A42)</f>
        <v>Drinking Water System</v>
      </c>
      <c r="CB42" s="314"/>
      <c r="CC42" s="314"/>
      <c r="CD42" s="314"/>
      <c r="CE42" s="315" t="s">
        <v>154</v>
      </c>
      <c r="CF42" s="315"/>
      <c r="CG42" s="315"/>
      <c r="CH42" s="315"/>
      <c r="CI42" s="315"/>
      <c r="CJ42" s="314" t="str">
        <f>IF(A42="","",A42)</f>
        <v>Drinking Water System</v>
      </c>
      <c r="CK42" s="314"/>
      <c r="CL42" s="314"/>
      <c r="CM42" s="314"/>
      <c r="CN42" s="315" t="s">
        <v>155</v>
      </c>
      <c r="CO42" s="315"/>
      <c r="CP42" s="315"/>
      <c r="CQ42" s="315"/>
      <c r="CR42" s="315"/>
      <c r="CS42" s="314" t="str">
        <f>IF(A42="","",A42)</f>
        <v>Drinking Water System</v>
      </c>
      <c r="CT42" s="314"/>
      <c r="CU42" s="314"/>
      <c r="CV42" s="314"/>
      <c r="CW42" s="315" t="s">
        <v>101</v>
      </c>
      <c r="CX42" s="315"/>
      <c r="CY42" s="315"/>
      <c r="CZ42" s="315"/>
      <c r="DA42" s="315"/>
      <c r="DB42" s="315"/>
      <c r="DC42" s="314" t="str">
        <f>IF(A42="","",A42)</f>
        <v>Drinking Water System</v>
      </c>
      <c r="DD42" s="314"/>
      <c r="DE42" s="314"/>
      <c r="DF42" s="314"/>
      <c r="DG42" s="315" t="s">
        <v>159</v>
      </c>
      <c r="DH42" s="315"/>
      <c r="DI42" s="315"/>
      <c r="DJ42" s="315"/>
      <c r="DK42" s="315"/>
      <c r="DL42" s="324" t="str">
        <f>IF(A42="","",A42)</f>
        <v>Drinking Water System</v>
      </c>
      <c r="DM42" s="324"/>
      <c r="DN42" s="324"/>
      <c r="DO42" s="324"/>
      <c r="DP42" s="324"/>
      <c r="DQ42" s="325" t="s">
        <v>168</v>
      </c>
      <c r="DR42" s="325"/>
      <c r="DS42" s="325"/>
      <c r="DT42" s="325"/>
      <c r="DU42" s="325"/>
      <c r="DV42" s="325"/>
      <c r="DW42" s="325"/>
      <c r="DX42" s="325"/>
      <c r="DY42" s="325"/>
      <c r="DZ42" s="324" t="str">
        <f>IF(A42="","",A42)</f>
        <v>Drinking Water System</v>
      </c>
      <c r="EA42" s="324"/>
      <c r="EB42" s="324"/>
      <c r="EC42" s="324"/>
      <c r="ED42" s="324"/>
      <c r="EE42" s="324"/>
      <c r="EF42" s="325" t="s">
        <v>91</v>
      </c>
      <c r="EG42" s="325"/>
      <c r="EH42" s="325"/>
      <c r="EI42" s="314" t="str">
        <f>IF(A42="","",A42)</f>
        <v>Drinking Water System</v>
      </c>
      <c r="EJ42" s="314"/>
      <c r="EK42" s="314"/>
      <c r="EL42" s="314"/>
      <c r="EM42" s="315" t="s">
        <v>33</v>
      </c>
      <c r="EN42" s="315"/>
      <c r="EO42" s="315"/>
      <c r="EP42" s="315"/>
      <c r="EQ42" s="315"/>
    </row>
    <row r="43" spans="1:154" ht="14.15" customHeight="1" x14ac:dyDescent="0.35"/>
    <row r="44" spans="1:154" s="10" customFormat="1" ht="14.15" customHeight="1" x14ac:dyDescent="0.35">
      <c r="A44" s="20"/>
      <c r="B44" s="5"/>
      <c r="C44" s="5"/>
      <c r="D44" s="23"/>
      <c r="E44" s="5"/>
      <c r="F44" s="5"/>
      <c r="G44" s="23"/>
      <c r="H44" s="5"/>
      <c r="I44" s="5"/>
      <c r="J44" s="20"/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3"/>
      <c r="Y44" s="23"/>
      <c r="Z44" s="23"/>
      <c r="AA44" s="23"/>
      <c r="AB44" s="23"/>
      <c r="AC44" s="23"/>
      <c r="AD44" s="23"/>
      <c r="AE44" s="23"/>
      <c r="AF44" s="22"/>
      <c r="AG44" s="20"/>
      <c r="AH44" s="20"/>
      <c r="AI44" s="5"/>
      <c r="AJ44" s="5"/>
      <c r="AK44" s="5"/>
      <c r="AL44" s="5"/>
      <c r="AM44" s="5"/>
      <c r="AN44" s="5"/>
      <c r="AO44" s="22"/>
      <c r="AP44" s="5"/>
      <c r="AQ44" s="5"/>
      <c r="AR44" s="23"/>
      <c r="AS44" s="23"/>
      <c r="AT44" s="23"/>
      <c r="AU44" s="23"/>
      <c r="AV44" s="23"/>
      <c r="AW44" s="23"/>
      <c r="AX44" s="23"/>
      <c r="AY44" s="23"/>
      <c r="AZ44" s="5"/>
      <c r="BA44" s="38"/>
      <c r="BB44" s="13"/>
      <c r="BC44" s="11"/>
      <c r="BD44" s="12"/>
      <c r="BE44" s="12"/>
      <c r="BF44" s="12"/>
      <c r="BG44" s="12"/>
      <c r="BH44" s="38"/>
      <c r="BI44" s="38"/>
      <c r="BJ44" s="38"/>
      <c r="BK44" s="38"/>
      <c r="BL44" s="38"/>
      <c r="BM44" s="38"/>
      <c r="BN44" s="12"/>
      <c r="BO44" s="13"/>
      <c r="BP44" s="38"/>
      <c r="BQ44" s="11"/>
      <c r="BR44" s="12"/>
      <c r="BS44" s="12"/>
      <c r="BT44" s="12"/>
      <c r="BU44" s="38"/>
      <c r="BV44" s="13"/>
      <c r="BW44" s="13"/>
      <c r="BX44" s="12"/>
      <c r="BY44" s="11"/>
      <c r="BZ44" s="11"/>
      <c r="CB44" s="12"/>
      <c r="CC44" s="12"/>
      <c r="CD44" s="12"/>
      <c r="CE44" s="13"/>
      <c r="CF44" s="13"/>
      <c r="CG44" s="11"/>
      <c r="CH44" s="11"/>
      <c r="CI44" s="12"/>
      <c r="CJ44" s="13"/>
      <c r="CK44" s="12"/>
      <c r="CL44" s="12"/>
      <c r="CM44" s="12"/>
      <c r="CN44" s="12"/>
      <c r="CO44" s="12"/>
      <c r="CU44" s="13"/>
      <c r="CV44" s="11"/>
      <c r="CW44" s="12"/>
      <c r="CX44" s="13"/>
      <c r="CY44" s="12"/>
      <c r="CZ44" s="12"/>
      <c r="DA44" s="38"/>
      <c r="DB44" s="12"/>
      <c r="DC44" s="38"/>
      <c r="DD44" s="12"/>
      <c r="DE44" s="12"/>
      <c r="DF44" s="12"/>
      <c r="DG44" s="13"/>
      <c r="DH44" s="12"/>
      <c r="DI44" s="11"/>
      <c r="DJ44" s="11"/>
      <c r="DK44" s="38"/>
      <c r="DM44" s="13"/>
      <c r="DN44" s="38"/>
      <c r="DO44" s="38"/>
      <c r="DP44" s="38"/>
      <c r="DQ44" s="13"/>
      <c r="DR44" s="12"/>
      <c r="DS44" s="38"/>
      <c r="DT44" s="12"/>
      <c r="DU44" s="13"/>
      <c r="DV44" s="38"/>
      <c r="DW44" s="38"/>
      <c r="EB44" s="55"/>
      <c r="EC44" s="55"/>
      <c r="ED44" s="13"/>
      <c r="EE44" s="13"/>
      <c r="EF44" s="13"/>
      <c r="EG44" s="13"/>
    </row>
    <row r="45" spans="1:154" ht="22.5" customHeight="1" x14ac:dyDescent="0.35"/>
  </sheetData>
  <sheetProtection selectLockedCells="1"/>
  <mergeCells count="282">
    <mergeCell ref="A3:E3"/>
    <mergeCell ref="F3:J3"/>
    <mergeCell ref="K3:N3"/>
    <mergeCell ref="O3:V3"/>
    <mergeCell ref="W3:AA3"/>
    <mergeCell ref="AB3:AF3"/>
    <mergeCell ref="BO1:BZ2"/>
    <mergeCell ref="A1:J2"/>
    <mergeCell ref="K1:V2"/>
    <mergeCell ref="W1:AF2"/>
    <mergeCell ref="AG1:AP2"/>
    <mergeCell ref="AQ1:AZ2"/>
    <mergeCell ref="BA1:BN2"/>
    <mergeCell ref="BT3:BZ3"/>
    <mergeCell ref="AG3:AK3"/>
    <mergeCell ref="AL3:AP3"/>
    <mergeCell ref="EI1:EQ2"/>
    <mergeCell ref="CA1:CI2"/>
    <mergeCell ref="CJ1:CR2"/>
    <mergeCell ref="CS1:DB2"/>
    <mergeCell ref="DC1:DK2"/>
    <mergeCell ref="DL1:DP2"/>
    <mergeCell ref="DZ1:EA2"/>
    <mergeCell ref="EB1:EG2"/>
    <mergeCell ref="EI3:EL3"/>
    <mergeCell ref="EM3:EQ3"/>
    <mergeCell ref="DQ3:DY3"/>
    <mergeCell ref="DZ3:EE3"/>
    <mergeCell ref="EF3:EH3"/>
    <mergeCell ref="CA3:CD3"/>
    <mergeCell ref="CE3:CI3"/>
    <mergeCell ref="CJ3:CM3"/>
    <mergeCell ref="CN3:CR3"/>
    <mergeCell ref="CS3:CV3"/>
    <mergeCell ref="A4:A7"/>
    <mergeCell ref="B4:D4"/>
    <mergeCell ref="E4:G4"/>
    <mergeCell ref="H4:I4"/>
    <mergeCell ref="J4:J7"/>
    <mergeCell ref="CW3:DB3"/>
    <mergeCell ref="AQ3:AU3"/>
    <mergeCell ref="AV3:AZ3"/>
    <mergeCell ref="DL3:DP3"/>
    <mergeCell ref="AZ4:AZ7"/>
    <mergeCell ref="BA4:BA7"/>
    <mergeCell ref="BB4:BF4"/>
    <mergeCell ref="BG4:BG7"/>
    <mergeCell ref="S5:S7"/>
    <mergeCell ref="T5:T7"/>
    <mergeCell ref="U5:U7"/>
    <mergeCell ref="BA3:BE3"/>
    <mergeCell ref="BF3:BN3"/>
    <mergeCell ref="K4:K7"/>
    <mergeCell ref="L4:M4"/>
    <mergeCell ref="N4:O4"/>
    <mergeCell ref="DC3:DF3"/>
    <mergeCell ref="DG3:DK3"/>
    <mergeCell ref="BO3:BS3"/>
    <mergeCell ref="CC4:CC7"/>
    <mergeCell ref="CM4:CM7"/>
    <mergeCell ref="CN4:CN7"/>
    <mergeCell ref="CO4:CO7"/>
    <mergeCell ref="CP4:CP7"/>
    <mergeCell ref="AV6:AV7"/>
    <mergeCell ref="AW6:AW7"/>
    <mergeCell ref="AX6:AX7"/>
    <mergeCell ref="AY6:AY7"/>
    <mergeCell ref="BF5:BF7"/>
    <mergeCell ref="BH4:BI4"/>
    <mergeCell ref="BW4:BY4"/>
    <mergeCell ref="BK5:BK7"/>
    <mergeCell ref="BL5:BL7"/>
    <mergeCell ref="BM5:BM7"/>
    <mergeCell ref="AV5:AW5"/>
    <mergeCell ref="AX5:AY5"/>
    <mergeCell ref="BB5:BB7"/>
    <mergeCell ref="BC5:BC7"/>
    <mergeCell ref="BD5:BD7"/>
    <mergeCell ref="BT5:BT7"/>
    <mergeCell ref="BU5:BU7"/>
    <mergeCell ref="DP5:DP7"/>
    <mergeCell ref="BE5:BE7"/>
    <mergeCell ref="BI5:BI7"/>
    <mergeCell ref="BJ5:BJ7"/>
    <mergeCell ref="BQ5:BQ7"/>
    <mergeCell ref="BP5:BP7"/>
    <mergeCell ref="BR5:BR7"/>
    <mergeCell ref="BS5:BS7"/>
    <mergeCell ref="BW5:BW7"/>
    <mergeCell ref="BX5:BX7"/>
    <mergeCell ref="DJ4:DJ7"/>
    <mergeCell ref="DK4:DK7"/>
    <mergeCell ref="DL4:DL7"/>
    <mergeCell ref="BV5:BV7"/>
    <mergeCell ref="BJ4:BK4"/>
    <mergeCell ref="BL4:BM4"/>
    <mergeCell ref="BN4:BN7"/>
    <mergeCell ref="BO4:BO7"/>
    <mergeCell ref="BP4:BV4"/>
    <mergeCell ref="BH5:BH7"/>
    <mergeCell ref="CI4:CI7"/>
    <mergeCell ref="CJ4:CJ7"/>
    <mergeCell ref="CA4:CA7"/>
    <mergeCell ref="CB4:CB7"/>
    <mergeCell ref="EQ4:EQ7"/>
    <mergeCell ref="B5:B7"/>
    <mergeCell ref="C5:C7"/>
    <mergeCell ref="D5:D7"/>
    <mergeCell ref="E5:E7"/>
    <mergeCell ref="F5:F7"/>
    <mergeCell ref="G5:G7"/>
    <mergeCell ref="H5:H7"/>
    <mergeCell ref="DD4:DD7"/>
    <mergeCell ref="DE4:DE7"/>
    <mergeCell ref="ED4:EE4"/>
    <mergeCell ref="EH4:EH7"/>
    <mergeCell ref="X5:Y5"/>
    <mergeCell ref="Z5:AA5"/>
    <mergeCell ref="AB5:AC5"/>
    <mergeCell ref="AD5:AE5"/>
    <mergeCell ref="DO5:DO7"/>
    <mergeCell ref="DF4:DF7"/>
    <mergeCell ref="DG4:DG7"/>
    <mergeCell ref="DH4:DH7"/>
    <mergeCell ref="I5:I7"/>
    <mergeCell ref="DY4:DY7"/>
    <mergeCell ref="DZ4:DZ7"/>
    <mergeCell ref="EA4:EC4"/>
    <mergeCell ref="DB4:DB7"/>
    <mergeCell ref="DC4:DC7"/>
    <mergeCell ref="AV4:AY4"/>
    <mergeCell ref="DT5:DT7"/>
    <mergeCell ref="DU5:DU7"/>
    <mergeCell ref="CR4:CR7"/>
    <mergeCell ref="DN5:DN7"/>
    <mergeCell ref="DQ5:DQ7"/>
    <mergeCell ref="DR5:DR7"/>
    <mergeCell ref="CS4:CS7"/>
    <mergeCell ref="BY5:BY7"/>
    <mergeCell ref="BZ4:BZ7"/>
    <mergeCell ref="CD4:CD7"/>
    <mergeCell ref="CE4:CE7"/>
    <mergeCell ref="DS5:DS7"/>
    <mergeCell ref="CQ4:CQ7"/>
    <mergeCell ref="CF4:CF7"/>
    <mergeCell ref="CG4:CG7"/>
    <mergeCell ref="CH4:CH7"/>
    <mergeCell ref="CK4:CK7"/>
    <mergeCell ref="DN4:DO4"/>
    <mergeCell ref="DM5:DM7"/>
    <mergeCell ref="DI4:DI7"/>
    <mergeCell ref="DP4:DU4"/>
    <mergeCell ref="L5:L7"/>
    <mergeCell ref="M5:M7"/>
    <mergeCell ref="N5:N7"/>
    <mergeCell ref="O5:O7"/>
    <mergeCell ref="P5:P7"/>
    <mergeCell ref="Q5:Q7"/>
    <mergeCell ref="P4:Q4"/>
    <mergeCell ref="R4:U4"/>
    <mergeCell ref="V4:V7"/>
    <mergeCell ref="W4:W7"/>
    <mergeCell ref="X4:AA4"/>
    <mergeCell ref="AB4:AE4"/>
    <mergeCell ref="R5:R7"/>
    <mergeCell ref="X6:X7"/>
    <mergeCell ref="Y6:Y7"/>
    <mergeCell ref="Z6:Z7"/>
    <mergeCell ref="CZ4:CZ7"/>
    <mergeCell ref="DA4:DA7"/>
    <mergeCell ref="AH4:AO4"/>
    <mergeCell ref="AL5:AM5"/>
    <mergeCell ref="AN5:AO5"/>
    <mergeCell ref="AH5:AI5"/>
    <mergeCell ref="AJ5:AK5"/>
    <mergeCell ref="CL4:CL7"/>
    <mergeCell ref="CT4:CT7"/>
    <mergeCell ref="CU4:CU7"/>
    <mergeCell ref="CV4:CV7"/>
    <mergeCell ref="CW4:CW7"/>
    <mergeCell ref="CX4:CX7"/>
    <mergeCell ref="CY4:CY7"/>
    <mergeCell ref="AA6:AA7"/>
    <mergeCell ref="AB6:AB7"/>
    <mergeCell ref="AC6:AC7"/>
    <mergeCell ref="AD6:AD7"/>
    <mergeCell ref="AE6:AE7"/>
    <mergeCell ref="AH6:AH7"/>
    <mergeCell ref="AO6:AO7"/>
    <mergeCell ref="AR6:AR7"/>
    <mergeCell ref="AS6:AS7"/>
    <mergeCell ref="AQ4:AQ7"/>
    <mergeCell ref="AR4:AU4"/>
    <mergeCell ref="AR5:AS5"/>
    <mergeCell ref="AT5:AU5"/>
    <mergeCell ref="AT6:AT7"/>
    <mergeCell ref="AU6:AU7"/>
    <mergeCell ref="AP4:AP7"/>
    <mergeCell ref="AI6:AI7"/>
    <mergeCell ref="AJ6:AJ7"/>
    <mergeCell ref="AK6:AK7"/>
    <mergeCell ref="AL6:AL7"/>
    <mergeCell ref="AM6:AM7"/>
    <mergeCell ref="AN6:AN7"/>
    <mergeCell ref="AF4:AF7"/>
    <mergeCell ref="AG4:AG7"/>
    <mergeCell ref="EJ9:EP9"/>
    <mergeCell ref="EJ10:EP10"/>
    <mergeCell ref="EJ11:EP11"/>
    <mergeCell ref="EJ12:EP12"/>
    <mergeCell ref="EJ13:EP13"/>
    <mergeCell ref="DV5:DV7"/>
    <mergeCell ref="DW5:DW7"/>
    <mergeCell ref="DX5:DX7"/>
    <mergeCell ref="EA5:EA7"/>
    <mergeCell ref="EJ8:EP8"/>
    <mergeCell ref="EG5:EG7"/>
    <mergeCell ref="EJ4:EP7"/>
    <mergeCell ref="DV4:DX4"/>
    <mergeCell ref="EI4:EI7"/>
    <mergeCell ref="EB5:EB7"/>
    <mergeCell ref="EC5:EC7"/>
    <mergeCell ref="ED5:EE5"/>
    <mergeCell ref="EF5:EF7"/>
    <mergeCell ref="ED6:ED7"/>
    <mergeCell ref="EE6:EE7"/>
    <mergeCell ref="EJ21:EP21"/>
    <mergeCell ref="EJ22:EP22"/>
    <mergeCell ref="EJ23:EP23"/>
    <mergeCell ref="EJ24:EP24"/>
    <mergeCell ref="EJ25:EP25"/>
    <mergeCell ref="EJ14:EP14"/>
    <mergeCell ref="EJ36:EP36"/>
    <mergeCell ref="EJ37:EP37"/>
    <mergeCell ref="EJ38:EP38"/>
    <mergeCell ref="EJ26:EP26"/>
    <mergeCell ref="EJ15:EP15"/>
    <mergeCell ref="EJ16:EP16"/>
    <mergeCell ref="EJ17:EP17"/>
    <mergeCell ref="EJ18:EP18"/>
    <mergeCell ref="EJ19:EP19"/>
    <mergeCell ref="EJ20:EP20"/>
    <mergeCell ref="BF42:BN42"/>
    <mergeCell ref="BO42:BS42"/>
    <mergeCell ref="EJ27:EP27"/>
    <mergeCell ref="EJ28:EP28"/>
    <mergeCell ref="EJ29:EP29"/>
    <mergeCell ref="EJ30:EP30"/>
    <mergeCell ref="EJ31:EP31"/>
    <mergeCell ref="EJ32:EP32"/>
    <mergeCell ref="EJ33:EP33"/>
    <mergeCell ref="EJ34:EP34"/>
    <mergeCell ref="EJ35:EP35"/>
    <mergeCell ref="DC42:DF42"/>
    <mergeCell ref="DG42:DK42"/>
    <mergeCell ref="DL42:DP42"/>
    <mergeCell ref="DQ42:DY42"/>
    <mergeCell ref="DZ42:EE42"/>
    <mergeCell ref="A42:E42"/>
    <mergeCell ref="F42:J42"/>
    <mergeCell ref="K42:N42"/>
    <mergeCell ref="O42:V42"/>
    <mergeCell ref="W42:AA42"/>
    <mergeCell ref="EJ39:EP39"/>
    <mergeCell ref="EJ40:EP40"/>
    <mergeCell ref="EJ41:EP41"/>
    <mergeCell ref="EF42:EH42"/>
    <mergeCell ref="EI42:EL42"/>
    <mergeCell ref="AG42:AK42"/>
    <mergeCell ref="BT42:BZ42"/>
    <mergeCell ref="CA42:CD42"/>
    <mergeCell ref="EM42:EQ42"/>
    <mergeCell ref="CW42:DB42"/>
    <mergeCell ref="AB42:AF42"/>
    <mergeCell ref="CE42:CI42"/>
    <mergeCell ref="CJ42:CM42"/>
    <mergeCell ref="CN42:CR42"/>
    <mergeCell ref="CS42:CV42"/>
    <mergeCell ref="AL42:AP42"/>
    <mergeCell ref="AQ42:AU42"/>
    <mergeCell ref="AV42:AZ42"/>
    <mergeCell ref="BA42:BE42"/>
  </mergeCells>
  <pageMargins left="0.23622047244094491" right="0.23622047244094491" top="0.31496062992125984" bottom="0.74803149606299213" header="0.31496062992125984" footer="0.31496062992125984"/>
  <pageSetup pageOrder="overThenDown" orientation="portrait" horizontalDpi="4294967293" verticalDpi="4294967293" r:id="rId1"/>
  <headerFooter>
    <evenHeader>&amp;L&amp;28Red Lake WPCP&amp;R&amp;28New Plant</even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EX47"/>
  <sheetViews>
    <sheetView showGridLines="0" view="pageBreakPreview" topLeftCell="DS16" zoomScaleNormal="50" zoomScaleSheetLayoutView="100" zoomScalePageLayoutView="75" workbookViewId="0">
      <selection activeCell="G17" sqref="G17"/>
    </sheetView>
  </sheetViews>
  <sheetFormatPr defaultColWidth="9.1796875" defaultRowHeight="14.5" x14ac:dyDescent="0.35"/>
  <cols>
    <col min="1" max="1" width="6" style="20" customWidth="1"/>
    <col min="2" max="2" width="14" style="5" customWidth="1"/>
    <col min="3" max="3" width="8.54296875" style="5" customWidth="1"/>
    <col min="4" max="4" width="9.7265625" style="23" customWidth="1"/>
    <col min="5" max="5" width="14" style="5" customWidth="1"/>
    <col min="6" max="6" width="8.54296875" style="5" customWidth="1"/>
    <col min="7" max="7" width="9.7265625" style="23" customWidth="1"/>
    <col min="8" max="8" width="14" style="5" customWidth="1"/>
    <col min="9" max="9" width="8.54296875" style="5" customWidth="1"/>
    <col min="10" max="10" width="8.26953125" style="20" customWidth="1"/>
    <col min="11" max="11" width="5.54296875" style="20" customWidth="1"/>
    <col min="12" max="12" width="11.453125" style="5" customWidth="1"/>
    <col min="13" max="13" width="8" style="5" customWidth="1"/>
    <col min="14" max="14" width="11.453125" style="5" customWidth="1"/>
    <col min="15" max="15" width="8" style="5" customWidth="1"/>
    <col min="16" max="16" width="11.453125" style="5" customWidth="1"/>
    <col min="17" max="17" width="8" style="5" customWidth="1"/>
    <col min="18" max="21" width="7.453125" style="5" customWidth="1"/>
    <col min="22" max="22" width="7.7265625" style="5" customWidth="1"/>
    <col min="23" max="23" width="6" style="5" customWidth="1"/>
    <col min="24" max="24" width="12.7265625" style="23" customWidth="1"/>
    <col min="25" max="25" width="9" style="23" customWidth="1"/>
    <col min="26" max="26" width="12.7265625" style="23" customWidth="1"/>
    <col min="27" max="27" width="9" style="23" customWidth="1"/>
    <col min="28" max="28" width="12.7265625" style="23" customWidth="1"/>
    <col min="29" max="29" width="9" style="23" customWidth="1"/>
    <col min="30" max="30" width="12.7265625" style="23" customWidth="1"/>
    <col min="31" max="31" width="9" style="23" customWidth="1"/>
    <col min="32" max="32" width="8" style="22" customWidth="1"/>
    <col min="33" max="33" width="6" style="20" customWidth="1"/>
    <col min="34" max="34" width="12.7265625" style="20" customWidth="1"/>
    <col min="35" max="35" width="9" style="5" customWidth="1"/>
    <col min="36" max="36" width="12.7265625" style="5" customWidth="1"/>
    <col min="37" max="37" width="9" style="5" customWidth="1"/>
    <col min="38" max="38" width="12.7265625" style="5" customWidth="1"/>
    <col min="39" max="39" width="9" style="5" customWidth="1"/>
    <col min="40" max="40" width="12.7265625" style="5" customWidth="1"/>
    <col min="41" max="41" width="9" style="22" customWidth="1"/>
    <col min="42" max="42" width="8" style="5" customWidth="1"/>
    <col min="43" max="43" width="6" style="5" customWidth="1"/>
    <col min="44" max="44" width="12.7265625" style="23" customWidth="1"/>
    <col min="45" max="45" width="9" style="23" customWidth="1"/>
    <col min="46" max="46" width="12.7265625" style="23" customWidth="1"/>
    <col min="47" max="47" width="9" style="23" customWidth="1"/>
    <col min="48" max="48" width="12.7265625" style="23" customWidth="1"/>
    <col min="49" max="49" width="9" style="278" customWidth="1"/>
    <col min="50" max="50" width="12.7265625" style="23" customWidth="1"/>
    <col min="51" max="51" width="9" style="23" customWidth="1"/>
    <col min="52" max="52" width="8" style="5" customWidth="1"/>
    <col min="53" max="53" width="5.7265625" style="21" customWidth="1"/>
    <col min="54" max="54" width="7.1796875" style="23" customWidth="1"/>
    <col min="55" max="55" width="6.7265625" style="5" customWidth="1"/>
    <col min="56" max="57" width="6.7265625" style="22" customWidth="1"/>
    <col min="58" max="58" width="7.1796875" style="22" customWidth="1"/>
    <col min="59" max="59" width="6.7265625" style="22" customWidth="1"/>
    <col min="60" max="65" width="8" style="21" customWidth="1"/>
    <col min="66" max="66" width="6.81640625" style="22" customWidth="1"/>
    <col min="67" max="67" width="5.7265625" style="23" customWidth="1"/>
    <col min="68" max="68" width="8.54296875" style="21" customWidth="1"/>
    <col min="69" max="69" width="6.81640625" style="5" customWidth="1"/>
    <col min="70" max="70" width="6.7265625" style="22" customWidth="1"/>
    <col min="71" max="71" width="7.1796875" style="22" customWidth="1"/>
    <col min="72" max="72" width="8" style="22" customWidth="1"/>
    <col min="73" max="73" width="8.453125" style="21" customWidth="1"/>
    <col min="74" max="75" width="8.26953125" style="23" customWidth="1"/>
    <col min="76" max="76" width="8" style="22" customWidth="1"/>
    <col min="77" max="77" width="18.1796875" style="5" customWidth="1"/>
    <col min="78" max="78" width="7.453125" style="5" customWidth="1"/>
    <col min="79" max="79" width="7.1796875" style="20" customWidth="1"/>
    <col min="80" max="82" width="12" style="22" customWidth="1"/>
    <col min="83" max="84" width="12" style="23" customWidth="1"/>
    <col min="85" max="86" width="12" style="5" customWidth="1"/>
    <col min="87" max="87" width="9.1796875" style="22" customWidth="1"/>
    <col min="88" max="88" width="7.1796875" style="23" customWidth="1"/>
    <col min="89" max="93" width="12" style="22" customWidth="1"/>
    <col min="94" max="95" width="12" style="20" customWidth="1"/>
    <col min="96" max="96" width="9.1796875" style="20" customWidth="1"/>
    <col min="97" max="97" width="6.26953125" style="20" customWidth="1"/>
    <col min="98" max="98" width="9.453125" style="20" customWidth="1"/>
    <col min="99" max="99" width="13.81640625" style="23" customWidth="1"/>
    <col min="100" max="100" width="9.7265625" style="5" customWidth="1"/>
    <col min="101" max="101" width="9.7265625" style="22" customWidth="1"/>
    <col min="102" max="102" width="10" style="23" customWidth="1"/>
    <col min="103" max="104" width="12" style="22" customWidth="1"/>
    <col min="105" max="105" width="10.54296875" style="21" customWidth="1"/>
    <col min="106" max="106" width="8" style="22" customWidth="1"/>
    <col min="107" max="107" width="7.1796875" style="21" customWidth="1"/>
    <col min="108" max="110" width="12" style="22" customWidth="1"/>
    <col min="111" max="111" width="12" style="23" customWidth="1"/>
    <col min="112" max="112" width="12" style="22" customWidth="1"/>
    <col min="113" max="114" width="12" style="5" customWidth="1"/>
    <col min="115" max="115" width="9.1796875" style="21" customWidth="1"/>
    <col min="116" max="116" width="4.81640625" style="20" customWidth="1"/>
    <col min="117" max="117" width="6.453125" style="23" customWidth="1"/>
    <col min="118" max="120" width="7.7265625" style="21" customWidth="1"/>
    <col min="121" max="121" width="6.81640625" style="23" customWidth="1"/>
    <col min="122" max="122" width="6.81640625" style="22" customWidth="1"/>
    <col min="123" max="123" width="7.7265625" style="21" customWidth="1"/>
    <col min="124" max="124" width="7.1796875" style="22" customWidth="1"/>
    <col min="125" max="125" width="7.453125" style="23" customWidth="1"/>
    <col min="126" max="127" width="8.54296875" style="21" customWidth="1"/>
    <col min="128" max="128" width="7.1796875" style="20" customWidth="1"/>
    <col min="129" max="129" width="6.81640625" style="20" customWidth="1"/>
    <col min="130" max="130" width="6.54296875" style="20" customWidth="1"/>
    <col min="131" max="131" width="13" style="20" customWidth="1"/>
    <col min="132" max="133" width="13" style="54" customWidth="1"/>
    <col min="134" max="137" width="10" style="23" customWidth="1"/>
    <col min="138" max="138" width="11.453125" style="20" customWidth="1"/>
    <col min="139" max="139" width="7.26953125" style="20" customWidth="1"/>
    <col min="140" max="146" width="12" style="20" customWidth="1"/>
    <col min="147" max="16384" width="9.1796875" style="20"/>
  </cols>
  <sheetData>
    <row r="1" spans="1:154" ht="15" customHeight="1" x14ac:dyDescent="0.35">
      <c r="A1" s="373" t="s">
        <v>227</v>
      </c>
      <c r="B1" s="373"/>
      <c r="C1" s="373"/>
      <c r="D1" s="373"/>
      <c r="E1" s="373"/>
      <c r="F1" s="373"/>
      <c r="G1" s="373"/>
      <c r="H1" s="373"/>
      <c r="I1" s="373"/>
      <c r="J1" s="373"/>
      <c r="K1" s="345" t="str">
        <f>IF(A1="","",A1)</f>
        <v>March 2016</v>
      </c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 t="str">
        <f>IF(A1="","",A1)</f>
        <v>March 2016</v>
      </c>
      <c r="X1" s="345"/>
      <c r="Y1" s="345"/>
      <c r="Z1" s="345"/>
      <c r="AA1" s="345"/>
      <c r="AB1" s="345"/>
      <c r="AC1" s="345"/>
      <c r="AD1" s="345"/>
      <c r="AE1" s="345"/>
      <c r="AF1" s="345"/>
      <c r="AG1" s="345" t="str">
        <f>IF(A1="","",A1)</f>
        <v>March 2016</v>
      </c>
      <c r="AH1" s="345"/>
      <c r="AI1" s="345"/>
      <c r="AJ1" s="345"/>
      <c r="AK1" s="345"/>
      <c r="AL1" s="345"/>
      <c r="AM1" s="345"/>
      <c r="AN1" s="345"/>
      <c r="AO1" s="345"/>
      <c r="AP1" s="345"/>
      <c r="AQ1" s="345" t="str">
        <f>IF(A1="","",A1)</f>
        <v>March 2016</v>
      </c>
      <c r="AR1" s="345"/>
      <c r="AS1" s="345"/>
      <c r="AT1" s="345"/>
      <c r="AU1" s="345"/>
      <c r="AV1" s="345"/>
      <c r="AW1" s="345"/>
      <c r="AX1" s="345"/>
      <c r="AY1" s="345"/>
      <c r="AZ1" s="345"/>
      <c r="BA1" s="371" t="str">
        <f>IF(A1="","",A1)</f>
        <v>March 2016</v>
      </c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07" t="str">
        <f>IF(A1="","",A1)</f>
        <v>March 2016</v>
      </c>
      <c r="BP1" s="307"/>
      <c r="BQ1" s="307"/>
      <c r="BR1" s="307"/>
      <c r="BS1" s="307"/>
      <c r="BT1" s="307"/>
      <c r="BU1" s="307"/>
      <c r="BV1" s="307"/>
      <c r="BW1" s="307"/>
      <c r="BX1" s="307"/>
      <c r="BY1" s="307"/>
      <c r="BZ1" s="307"/>
      <c r="CA1" s="372" t="str">
        <f>IF(A1="","",A1)</f>
        <v>March 2016</v>
      </c>
      <c r="CB1" s="372"/>
      <c r="CC1" s="372"/>
      <c r="CD1" s="372"/>
      <c r="CE1" s="372"/>
      <c r="CF1" s="372"/>
      <c r="CG1" s="372"/>
      <c r="CH1" s="372"/>
      <c r="CI1" s="372"/>
      <c r="CJ1" s="372" t="str">
        <f>IF(A1="","",A1)</f>
        <v>March 2016</v>
      </c>
      <c r="CK1" s="372"/>
      <c r="CL1" s="372"/>
      <c r="CM1" s="372"/>
      <c r="CN1" s="372"/>
      <c r="CO1" s="372"/>
      <c r="CP1" s="372"/>
      <c r="CQ1" s="372"/>
      <c r="CR1" s="372"/>
      <c r="CS1" s="372" t="str">
        <f>IF(A1="","",A1)</f>
        <v>March 2016</v>
      </c>
      <c r="CT1" s="372"/>
      <c r="CU1" s="372"/>
      <c r="CV1" s="372"/>
      <c r="CW1" s="372"/>
      <c r="CX1" s="372"/>
      <c r="CY1" s="372"/>
      <c r="CZ1" s="372"/>
      <c r="DA1" s="372"/>
      <c r="DB1" s="372"/>
      <c r="DC1" s="372" t="str">
        <f>IF(A1="","",A1)</f>
        <v>March 2016</v>
      </c>
      <c r="DD1" s="372"/>
      <c r="DE1" s="372"/>
      <c r="DF1" s="372"/>
      <c r="DG1" s="372"/>
      <c r="DH1" s="372"/>
      <c r="DI1" s="372"/>
      <c r="DJ1" s="372"/>
      <c r="DK1" s="372"/>
      <c r="DL1" s="307" t="str">
        <f>IF(A1="","",A1)</f>
        <v>March 2016</v>
      </c>
      <c r="DM1" s="307"/>
      <c r="DN1" s="307"/>
      <c r="DO1" s="307"/>
      <c r="DP1" s="307"/>
      <c r="DQ1" s="53"/>
      <c r="DR1" s="85"/>
      <c r="DS1" s="39"/>
      <c r="DT1" s="85"/>
      <c r="DU1" s="53"/>
      <c r="DV1" s="39"/>
      <c r="DW1" s="39"/>
      <c r="DX1" s="39"/>
      <c r="DY1" s="126"/>
      <c r="DZ1" s="307" t="str">
        <f>IF(A1="","",A1)</f>
        <v>March 2016</v>
      </c>
      <c r="EA1" s="307"/>
      <c r="EB1" s="308" t="s">
        <v>196</v>
      </c>
      <c r="EC1" s="309"/>
      <c r="ED1" s="309"/>
      <c r="EE1" s="309"/>
      <c r="EF1" s="309"/>
      <c r="EG1" s="310"/>
      <c r="EH1" s="189"/>
      <c r="EI1" s="307" t="str">
        <f>IF(A1="","",A1)</f>
        <v>March 2016</v>
      </c>
      <c r="EJ1" s="307"/>
      <c r="EK1" s="307"/>
      <c r="EL1" s="307"/>
      <c r="EM1" s="307"/>
      <c r="EN1" s="307"/>
      <c r="EO1" s="307"/>
      <c r="EP1" s="307"/>
      <c r="EQ1" s="307"/>
    </row>
    <row r="2" spans="1:154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07"/>
      <c r="BP2" s="307"/>
      <c r="BQ2" s="307"/>
      <c r="BR2" s="307"/>
      <c r="BS2" s="307"/>
      <c r="BT2" s="307"/>
      <c r="BU2" s="307"/>
      <c r="BV2" s="307"/>
      <c r="BW2" s="307"/>
      <c r="BX2" s="307"/>
      <c r="BY2" s="307"/>
      <c r="BZ2" s="307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  <c r="CL2" s="372"/>
      <c r="CM2" s="372"/>
      <c r="CN2" s="372"/>
      <c r="CO2" s="372"/>
      <c r="CP2" s="372"/>
      <c r="CQ2" s="372"/>
      <c r="CR2" s="372"/>
      <c r="CS2" s="372"/>
      <c r="CT2" s="372"/>
      <c r="CU2" s="372"/>
      <c r="CV2" s="372"/>
      <c r="CW2" s="372"/>
      <c r="CX2" s="372"/>
      <c r="CY2" s="372"/>
      <c r="CZ2" s="372"/>
      <c r="DA2" s="372"/>
      <c r="DB2" s="372"/>
      <c r="DC2" s="372"/>
      <c r="DD2" s="372"/>
      <c r="DE2" s="372"/>
      <c r="DF2" s="372"/>
      <c r="DG2" s="372"/>
      <c r="DH2" s="372"/>
      <c r="DI2" s="372"/>
      <c r="DJ2" s="372"/>
      <c r="DK2" s="372"/>
      <c r="DL2" s="307"/>
      <c r="DM2" s="307"/>
      <c r="DN2" s="307"/>
      <c r="DO2" s="307"/>
      <c r="DP2" s="307"/>
      <c r="DQ2" s="53"/>
      <c r="DR2" s="85"/>
      <c r="DS2" s="39"/>
      <c r="DT2" s="85"/>
      <c r="DU2" s="53"/>
      <c r="DV2" s="39"/>
      <c r="DW2" s="39"/>
      <c r="DX2" s="39"/>
      <c r="DY2" s="126"/>
      <c r="DZ2" s="307"/>
      <c r="EA2" s="307"/>
      <c r="EB2" s="311"/>
      <c r="EC2" s="312"/>
      <c r="ED2" s="312"/>
      <c r="EE2" s="312"/>
      <c r="EF2" s="312"/>
      <c r="EG2" s="313"/>
      <c r="EH2" s="189"/>
      <c r="EI2" s="307"/>
      <c r="EJ2" s="307"/>
      <c r="EK2" s="307"/>
      <c r="EL2" s="307"/>
      <c r="EM2" s="307"/>
      <c r="EN2" s="307"/>
      <c r="EO2" s="307"/>
      <c r="EP2" s="307"/>
      <c r="EQ2" s="307"/>
    </row>
    <row r="3" spans="1:154" ht="25.5" customHeight="1" x14ac:dyDescent="0.25">
      <c r="A3" s="314" t="s">
        <v>449</v>
      </c>
      <c r="B3" s="314"/>
      <c r="C3" s="314"/>
      <c r="D3" s="314"/>
      <c r="E3" s="314"/>
      <c r="F3" s="315" t="s">
        <v>114</v>
      </c>
      <c r="G3" s="315"/>
      <c r="H3" s="315"/>
      <c r="I3" s="315"/>
      <c r="J3" s="315"/>
      <c r="K3" s="314" t="str">
        <f>IF(A3="","",A3)</f>
        <v>Drinking Water System</v>
      </c>
      <c r="L3" s="314"/>
      <c r="M3" s="314"/>
      <c r="N3" s="314"/>
      <c r="O3" s="315" t="s">
        <v>125</v>
      </c>
      <c r="P3" s="315"/>
      <c r="Q3" s="315"/>
      <c r="R3" s="315"/>
      <c r="S3" s="315"/>
      <c r="T3" s="315"/>
      <c r="U3" s="315"/>
      <c r="V3" s="315"/>
      <c r="W3" s="314" t="str">
        <f>IF(A3="","",A3)</f>
        <v>Drinking Water System</v>
      </c>
      <c r="X3" s="314"/>
      <c r="Y3" s="314"/>
      <c r="Z3" s="314"/>
      <c r="AA3" s="314"/>
      <c r="AB3" s="315" t="s">
        <v>129</v>
      </c>
      <c r="AC3" s="315"/>
      <c r="AD3" s="315"/>
      <c r="AE3" s="315"/>
      <c r="AF3" s="315"/>
      <c r="AG3" s="314" t="str">
        <f>IF(A3="","",A3)</f>
        <v>Drinking Water System</v>
      </c>
      <c r="AH3" s="314"/>
      <c r="AI3" s="314"/>
      <c r="AJ3" s="314"/>
      <c r="AK3" s="314"/>
      <c r="AL3" s="315" t="s">
        <v>93</v>
      </c>
      <c r="AM3" s="315"/>
      <c r="AN3" s="315"/>
      <c r="AO3" s="315"/>
      <c r="AP3" s="315"/>
      <c r="AQ3" s="314" t="str">
        <f>IF(A3="","",A3)</f>
        <v>Drinking Water System</v>
      </c>
      <c r="AR3" s="314"/>
      <c r="AS3" s="314"/>
      <c r="AT3" s="314"/>
      <c r="AU3" s="314"/>
      <c r="AV3" s="315" t="s">
        <v>135</v>
      </c>
      <c r="AW3" s="315"/>
      <c r="AX3" s="315"/>
      <c r="AY3" s="315"/>
      <c r="AZ3" s="315"/>
      <c r="BA3" s="314" t="str">
        <f>IF(A3="","",A3)</f>
        <v>Drinking Water System</v>
      </c>
      <c r="BB3" s="314"/>
      <c r="BC3" s="314"/>
      <c r="BD3" s="314"/>
      <c r="BE3" s="314"/>
      <c r="BF3" s="369" t="s">
        <v>145</v>
      </c>
      <c r="BG3" s="369"/>
      <c r="BH3" s="369"/>
      <c r="BI3" s="369"/>
      <c r="BJ3" s="369"/>
      <c r="BK3" s="369"/>
      <c r="BL3" s="369"/>
      <c r="BM3" s="369"/>
      <c r="BN3" s="369"/>
      <c r="BO3" s="314" t="str">
        <f>IF(A3="","",A3)</f>
        <v>Drinking Water System</v>
      </c>
      <c r="BP3" s="314"/>
      <c r="BQ3" s="314"/>
      <c r="BR3" s="314"/>
      <c r="BS3" s="314"/>
      <c r="BT3" s="315" t="s">
        <v>100</v>
      </c>
      <c r="BU3" s="315"/>
      <c r="BV3" s="315"/>
      <c r="BW3" s="315"/>
      <c r="BX3" s="315"/>
      <c r="BY3" s="315"/>
      <c r="BZ3" s="315"/>
      <c r="CA3" s="314" t="str">
        <f>IF(A3="","",A3)</f>
        <v>Drinking Water System</v>
      </c>
      <c r="CB3" s="314"/>
      <c r="CC3" s="314"/>
      <c r="CD3" s="314"/>
      <c r="CE3" s="315" t="s">
        <v>154</v>
      </c>
      <c r="CF3" s="315"/>
      <c r="CG3" s="315"/>
      <c r="CH3" s="315"/>
      <c r="CI3" s="315"/>
      <c r="CJ3" s="314" t="str">
        <f>IF(A3="","",A3)</f>
        <v>Drinking Water System</v>
      </c>
      <c r="CK3" s="314"/>
      <c r="CL3" s="314"/>
      <c r="CM3" s="314"/>
      <c r="CN3" s="315" t="s">
        <v>155</v>
      </c>
      <c r="CO3" s="315"/>
      <c r="CP3" s="315"/>
      <c r="CQ3" s="315"/>
      <c r="CR3" s="315"/>
      <c r="CS3" s="314" t="str">
        <f>IF(A3="","",A3)</f>
        <v>Drinking Water System</v>
      </c>
      <c r="CT3" s="314"/>
      <c r="CU3" s="314"/>
      <c r="CV3" s="314"/>
      <c r="CW3" s="315" t="s">
        <v>101</v>
      </c>
      <c r="CX3" s="315"/>
      <c r="CY3" s="315"/>
      <c r="CZ3" s="315"/>
      <c r="DA3" s="315"/>
      <c r="DB3" s="315"/>
      <c r="DC3" s="314" t="str">
        <f>IF(A3="","",A3)</f>
        <v>Drinking Water System</v>
      </c>
      <c r="DD3" s="314"/>
      <c r="DE3" s="314"/>
      <c r="DF3" s="314"/>
      <c r="DG3" s="315" t="s">
        <v>159</v>
      </c>
      <c r="DH3" s="315"/>
      <c r="DI3" s="315"/>
      <c r="DJ3" s="315"/>
      <c r="DK3" s="315"/>
      <c r="DL3" s="329" t="str">
        <f>IF(A3="","",A3)</f>
        <v>Drinking Water System</v>
      </c>
      <c r="DM3" s="329"/>
      <c r="DN3" s="329"/>
      <c r="DO3" s="329"/>
      <c r="DP3" s="329"/>
      <c r="DQ3" s="370" t="s">
        <v>168</v>
      </c>
      <c r="DR3" s="370"/>
      <c r="DS3" s="370"/>
      <c r="DT3" s="370"/>
      <c r="DU3" s="370"/>
      <c r="DV3" s="370"/>
      <c r="DW3" s="370"/>
      <c r="DX3" s="370"/>
      <c r="DY3" s="370"/>
      <c r="DZ3" s="329" t="str">
        <f>IF(A3="","",A3)</f>
        <v>Drinking Water System</v>
      </c>
      <c r="EA3" s="329"/>
      <c r="EB3" s="329"/>
      <c r="EC3" s="329"/>
      <c r="ED3" s="329"/>
      <c r="EE3" s="329"/>
      <c r="EF3" s="370" t="s">
        <v>91</v>
      </c>
      <c r="EG3" s="370"/>
      <c r="EH3" s="370"/>
      <c r="EI3" s="314" t="str">
        <f>IF(A3="","",A3)</f>
        <v>Drinking Water System</v>
      </c>
      <c r="EJ3" s="314"/>
      <c r="EK3" s="314"/>
      <c r="EL3" s="314"/>
      <c r="EM3" s="315" t="s">
        <v>33</v>
      </c>
      <c r="EN3" s="315"/>
      <c r="EO3" s="315"/>
      <c r="EP3" s="315"/>
      <c r="EQ3" s="315"/>
    </row>
    <row r="4" spans="1:154" ht="17.149999999999999" customHeight="1" x14ac:dyDescent="0.35">
      <c r="A4" s="359" t="s">
        <v>1</v>
      </c>
      <c r="B4" s="359" t="s">
        <v>38</v>
      </c>
      <c r="C4" s="359"/>
      <c r="D4" s="359"/>
      <c r="E4" s="317" t="s">
        <v>24</v>
      </c>
      <c r="F4" s="317"/>
      <c r="G4" s="317"/>
      <c r="H4" s="358" t="s">
        <v>112</v>
      </c>
      <c r="I4" s="358"/>
      <c r="J4" s="360" t="s">
        <v>0</v>
      </c>
      <c r="K4" s="359" t="s">
        <v>1</v>
      </c>
      <c r="L4" s="358" t="s">
        <v>117</v>
      </c>
      <c r="M4" s="358"/>
      <c r="N4" s="358" t="s">
        <v>118</v>
      </c>
      <c r="O4" s="358"/>
      <c r="P4" s="358" t="s">
        <v>119</v>
      </c>
      <c r="Q4" s="358"/>
      <c r="R4" s="362" t="s">
        <v>120</v>
      </c>
      <c r="S4" s="363"/>
      <c r="T4" s="363"/>
      <c r="U4" s="364"/>
      <c r="V4" s="360" t="s">
        <v>0</v>
      </c>
      <c r="W4" s="346" t="s">
        <v>1</v>
      </c>
      <c r="X4" s="344" t="s">
        <v>63</v>
      </c>
      <c r="Y4" s="344"/>
      <c r="Z4" s="344"/>
      <c r="AA4" s="344"/>
      <c r="AB4" s="344" t="s">
        <v>126</v>
      </c>
      <c r="AC4" s="344"/>
      <c r="AD4" s="344"/>
      <c r="AE4" s="344"/>
      <c r="AF4" s="342" t="s">
        <v>0</v>
      </c>
      <c r="AG4" s="346" t="s">
        <v>1</v>
      </c>
      <c r="AH4" s="330" t="s">
        <v>93</v>
      </c>
      <c r="AI4" s="331"/>
      <c r="AJ4" s="331"/>
      <c r="AK4" s="331"/>
      <c r="AL4" s="331"/>
      <c r="AM4" s="331"/>
      <c r="AN4" s="331"/>
      <c r="AO4" s="332"/>
      <c r="AP4" s="342" t="s">
        <v>0</v>
      </c>
      <c r="AQ4" s="346" t="s">
        <v>1</v>
      </c>
      <c r="AR4" s="344" t="s">
        <v>132</v>
      </c>
      <c r="AS4" s="344"/>
      <c r="AT4" s="344"/>
      <c r="AU4" s="344"/>
      <c r="AV4" s="344" t="s">
        <v>94</v>
      </c>
      <c r="AW4" s="344"/>
      <c r="AX4" s="344"/>
      <c r="AY4" s="344"/>
      <c r="AZ4" s="342" t="s">
        <v>0</v>
      </c>
      <c r="BA4" s="317" t="s">
        <v>1</v>
      </c>
      <c r="BB4" s="317" t="s">
        <v>38</v>
      </c>
      <c r="BC4" s="317"/>
      <c r="BD4" s="317"/>
      <c r="BE4" s="317"/>
      <c r="BF4" s="317"/>
      <c r="BG4" s="326" t="s">
        <v>146</v>
      </c>
      <c r="BH4" s="316" t="s">
        <v>136</v>
      </c>
      <c r="BI4" s="316"/>
      <c r="BJ4" s="316" t="s">
        <v>139</v>
      </c>
      <c r="BK4" s="316"/>
      <c r="BL4" s="316" t="s">
        <v>142</v>
      </c>
      <c r="BM4" s="316"/>
      <c r="BN4" s="347" t="s">
        <v>0</v>
      </c>
      <c r="BO4" s="317" t="s">
        <v>1</v>
      </c>
      <c r="BP4" s="344" t="s">
        <v>147</v>
      </c>
      <c r="BQ4" s="344"/>
      <c r="BR4" s="344"/>
      <c r="BS4" s="344"/>
      <c r="BT4" s="344"/>
      <c r="BU4" s="344"/>
      <c r="BV4" s="344"/>
      <c r="BW4" s="344" t="s">
        <v>148</v>
      </c>
      <c r="BX4" s="344"/>
      <c r="BY4" s="344"/>
      <c r="BZ4" s="347" t="s">
        <v>0</v>
      </c>
      <c r="CA4" s="317" t="s">
        <v>1</v>
      </c>
      <c r="CB4" s="318" t="s">
        <v>150</v>
      </c>
      <c r="CC4" s="318" t="s">
        <v>151</v>
      </c>
      <c r="CD4" s="318" t="s">
        <v>78</v>
      </c>
      <c r="CE4" s="321" t="s">
        <v>79</v>
      </c>
      <c r="CF4" s="321" t="s">
        <v>77</v>
      </c>
      <c r="CG4" s="336" t="s">
        <v>152</v>
      </c>
      <c r="CH4" s="336" t="s">
        <v>153</v>
      </c>
      <c r="CI4" s="342" t="s">
        <v>0</v>
      </c>
      <c r="CJ4" s="317" t="s">
        <v>1</v>
      </c>
      <c r="CK4" s="318" t="s">
        <v>150</v>
      </c>
      <c r="CL4" s="318" t="s">
        <v>151</v>
      </c>
      <c r="CM4" s="318" t="s">
        <v>78</v>
      </c>
      <c r="CN4" s="318" t="s">
        <v>79</v>
      </c>
      <c r="CO4" s="318" t="s">
        <v>77</v>
      </c>
      <c r="CP4" s="336" t="s">
        <v>152</v>
      </c>
      <c r="CQ4" s="336" t="s">
        <v>153</v>
      </c>
      <c r="CR4" s="342" t="s">
        <v>0</v>
      </c>
      <c r="CS4" s="317" t="s">
        <v>1</v>
      </c>
      <c r="CT4" s="318" t="s">
        <v>150</v>
      </c>
      <c r="CU4" s="318" t="s">
        <v>157</v>
      </c>
      <c r="CV4" s="318" t="s">
        <v>78</v>
      </c>
      <c r="CW4" s="318" t="s">
        <v>158</v>
      </c>
      <c r="CX4" s="321" t="s">
        <v>77</v>
      </c>
      <c r="CY4" s="336" t="s">
        <v>152</v>
      </c>
      <c r="CZ4" s="336" t="s">
        <v>153</v>
      </c>
      <c r="DA4" s="339" t="s">
        <v>156</v>
      </c>
      <c r="DB4" s="342" t="s">
        <v>0</v>
      </c>
      <c r="DC4" s="317" t="s">
        <v>1</v>
      </c>
      <c r="DD4" s="318" t="s">
        <v>150</v>
      </c>
      <c r="DE4" s="318" t="s">
        <v>151</v>
      </c>
      <c r="DF4" s="318" t="s">
        <v>78</v>
      </c>
      <c r="DG4" s="321" t="s">
        <v>160</v>
      </c>
      <c r="DH4" s="318" t="s">
        <v>77</v>
      </c>
      <c r="DI4" s="336" t="s">
        <v>152</v>
      </c>
      <c r="DJ4" s="336" t="s">
        <v>153</v>
      </c>
      <c r="DK4" s="342" t="s">
        <v>0</v>
      </c>
      <c r="DL4" s="317" t="s">
        <v>1</v>
      </c>
      <c r="DM4" s="129" t="s">
        <v>37</v>
      </c>
      <c r="DN4" s="316" t="s">
        <v>76</v>
      </c>
      <c r="DO4" s="316"/>
      <c r="DP4" s="316" t="s">
        <v>92</v>
      </c>
      <c r="DQ4" s="316"/>
      <c r="DR4" s="316"/>
      <c r="DS4" s="316"/>
      <c r="DT4" s="316"/>
      <c r="DU4" s="316"/>
      <c r="DV4" s="316" t="s">
        <v>165</v>
      </c>
      <c r="DW4" s="316"/>
      <c r="DX4" s="316"/>
      <c r="DY4" s="347" t="s">
        <v>0</v>
      </c>
      <c r="DZ4" s="368" t="s">
        <v>1</v>
      </c>
      <c r="EA4" s="344" t="s">
        <v>170</v>
      </c>
      <c r="EB4" s="344"/>
      <c r="EC4" s="344"/>
      <c r="ED4" s="344" t="s">
        <v>104</v>
      </c>
      <c r="EE4" s="344"/>
      <c r="EF4" s="132" t="s">
        <v>121</v>
      </c>
      <c r="EG4" s="132" t="s">
        <v>122</v>
      </c>
      <c r="EH4" s="367" t="s">
        <v>0</v>
      </c>
      <c r="EI4" s="346" t="s">
        <v>1</v>
      </c>
      <c r="EJ4" s="361" t="s">
        <v>34</v>
      </c>
      <c r="EK4" s="361"/>
      <c r="EL4" s="361"/>
      <c r="EM4" s="361"/>
      <c r="EN4" s="361"/>
      <c r="EO4" s="361"/>
      <c r="EP4" s="361"/>
      <c r="EQ4" s="365" t="s">
        <v>0</v>
      </c>
    </row>
    <row r="5" spans="1:154" ht="17.149999999999999" customHeight="1" x14ac:dyDescent="0.35">
      <c r="A5" s="359"/>
      <c r="B5" s="357" t="s">
        <v>83</v>
      </c>
      <c r="C5" s="357" t="s">
        <v>111</v>
      </c>
      <c r="D5" s="356" t="s">
        <v>32</v>
      </c>
      <c r="E5" s="357" t="s">
        <v>83</v>
      </c>
      <c r="F5" s="357" t="s">
        <v>110</v>
      </c>
      <c r="G5" s="356" t="s">
        <v>32</v>
      </c>
      <c r="H5" s="357" t="s">
        <v>83</v>
      </c>
      <c r="I5" s="357" t="s">
        <v>109</v>
      </c>
      <c r="J5" s="360"/>
      <c r="K5" s="359"/>
      <c r="L5" s="357" t="s">
        <v>83</v>
      </c>
      <c r="M5" s="357" t="s">
        <v>116</v>
      </c>
      <c r="N5" s="357" t="s">
        <v>83</v>
      </c>
      <c r="O5" s="357" t="s">
        <v>66</v>
      </c>
      <c r="P5" s="357" t="s">
        <v>83</v>
      </c>
      <c r="Q5" s="357" t="s">
        <v>116</v>
      </c>
      <c r="R5" s="336" t="s">
        <v>121</v>
      </c>
      <c r="S5" s="336" t="s">
        <v>122</v>
      </c>
      <c r="T5" s="336" t="s">
        <v>123</v>
      </c>
      <c r="U5" s="336" t="s">
        <v>124</v>
      </c>
      <c r="V5" s="360"/>
      <c r="W5" s="346"/>
      <c r="X5" s="333" t="s">
        <v>20</v>
      </c>
      <c r="Y5" s="333"/>
      <c r="Z5" s="333" t="s">
        <v>21</v>
      </c>
      <c r="AA5" s="333"/>
      <c r="AB5" s="333" t="s">
        <v>127</v>
      </c>
      <c r="AC5" s="333"/>
      <c r="AD5" s="333" t="s">
        <v>128</v>
      </c>
      <c r="AE5" s="333"/>
      <c r="AF5" s="342"/>
      <c r="AG5" s="346"/>
      <c r="AH5" s="333" t="s">
        <v>130</v>
      </c>
      <c r="AI5" s="333"/>
      <c r="AJ5" s="333" t="s">
        <v>131</v>
      </c>
      <c r="AK5" s="333"/>
      <c r="AL5" s="333" t="s">
        <v>65</v>
      </c>
      <c r="AM5" s="333"/>
      <c r="AN5" s="333" t="s">
        <v>75</v>
      </c>
      <c r="AO5" s="333"/>
      <c r="AP5" s="342"/>
      <c r="AQ5" s="346"/>
      <c r="AR5" s="333" t="s">
        <v>133</v>
      </c>
      <c r="AS5" s="333"/>
      <c r="AT5" s="333" t="s">
        <v>134</v>
      </c>
      <c r="AU5" s="333"/>
      <c r="AV5" s="333" t="s">
        <v>95</v>
      </c>
      <c r="AW5" s="333"/>
      <c r="AX5" s="333" t="s">
        <v>96</v>
      </c>
      <c r="AY5" s="333"/>
      <c r="AZ5" s="342"/>
      <c r="BA5" s="317"/>
      <c r="BB5" s="353" t="s">
        <v>25</v>
      </c>
      <c r="BC5" s="366" t="s">
        <v>29</v>
      </c>
      <c r="BD5" s="335" t="s">
        <v>4</v>
      </c>
      <c r="BE5" s="335" t="s">
        <v>80</v>
      </c>
      <c r="BF5" s="335" t="s">
        <v>81</v>
      </c>
      <c r="BG5" s="326"/>
      <c r="BH5" s="343" t="s">
        <v>137</v>
      </c>
      <c r="BI5" s="343" t="s">
        <v>138</v>
      </c>
      <c r="BJ5" s="343" t="s">
        <v>140</v>
      </c>
      <c r="BK5" s="343" t="s">
        <v>141</v>
      </c>
      <c r="BL5" s="343" t="s">
        <v>143</v>
      </c>
      <c r="BM5" s="343" t="s">
        <v>144</v>
      </c>
      <c r="BN5" s="347"/>
      <c r="BO5" s="317"/>
      <c r="BP5" s="328" t="s">
        <v>31</v>
      </c>
      <c r="BQ5" s="354" t="s">
        <v>22</v>
      </c>
      <c r="BR5" s="326" t="s">
        <v>4</v>
      </c>
      <c r="BS5" s="326" t="s">
        <v>82</v>
      </c>
      <c r="BT5" s="326" t="s">
        <v>149</v>
      </c>
      <c r="BU5" s="328" t="s">
        <v>23</v>
      </c>
      <c r="BV5" s="327" t="s">
        <v>99</v>
      </c>
      <c r="BW5" s="327" t="s">
        <v>98</v>
      </c>
      <c r="BX5" s="355" t="s">
        <v>26</v>
      </c>
      <c r="BY5" s="355" t="s">
        <v>97</v>
      </c>
      <c r="BZ5" s="347"/>
      <c r="CA5" s="317"/>
      <c r="CB5" s="319"/>
      <c r="CC5" s="319"/>
      <c r="CD5" s="319"/>
      <c r="CE5" s="322"/>
      <c r="CF5" s="322"/>
      <c r="CG5" s="337"/>
      <c r="CH5" s="337"/>
      <c r="CI5" s="342"/>
      <c r="CJ5" s="317"/>
      <c r="CK5" s="319"/>
      <c r="CL5" s="319"/>
      <c r="CM5" s="319"/>
      <c r="CN5" s="319"/>
      <c r="CO5" s="319"/>
      <c r="CP5" s="337"/>
      <c r="CQ5" s="337"/>
      <c r="CR5" s="342"/>
      <c r="CS5" s="317"/>
      <c r="CT5" s="319"/>
      <c r="CU5" s="319"/>
      <c r="CV5" s="319"/>
      <c r="CW5" s="319"/>
      <c r="CX5" s="322"/>
      <c r="CY5" s="337"/>
      <c r="CZ5" s="337"/>
      <c r="DA5" s="340"/>
      <c r="DB5" s="342"/>
      <c r="DC5" s="317"/>
      <c r="DD5" s="319"/>
      <c r="DE5" s="319"/>
      <c r="DF5" s="319"/>
      <c r="DG5" s="322"/>
      <c r="DH5" s="319"/>
      <c r="DI5" s="337"/>
      <c r="DJ5" s="337"/>
      <c r="DK5" s="342"/>
      <c r="DL5" s="317"/>
      <c r="DM5" s="327" t="s">
        <v>4</v>
      </c>
      <c r="DN5" s="328" t="s">
        <v>161</v>
      </c>
      <c r="DO5" s="328" t="s">
        <v>162</v>
      </c>
      <c r="DP5" s="328" t="s">
        <v>85</v>
      </c>
      <c r="DQ5" s="327" t="s">
        <v>4</v>
      </c>
      <c r="DR5" s="326" t="s">
        <v>82</v>
      </c>
      <c r="DS5" s="328" t="s">
        <v>163</v>
      </c>
      <c r="DT5" s="326" t="s">
        <v>164</v>
      </c>
      <c r="DU5" s="327" t="s">
        <v>169</v>
      </c>
      <c r="DV5" s="328" t="s">
        <v>172</v>
      </c>
      <c r="DW5" s="328" t="s">
        <v>166</v>
      </c>
      <c r="DX5" s="328" t="s">
        <v>167</v>
      </c>
      <c r="DY5" s="347"/>
      <c r="DZ5" s="368"/>
      <c r="EA5" s="348" t="s">
        <v>173</v>
      </c>
      <c r="EB5" s="348" t="s">
        <v>174</v>
      </c>
      <c r="EC5" s="348" t="s">
        <v>171</v>
      </c>
      <c r="ED5" s="327" t="s">
        <v>86</v>
      </c>
      <c r="EE5" s="327"/>
      <c r="EF5" s="327" t="s">
        <v>84</v>
      </c>
      <c r="EG5" s="327" t="s">
        <v>84</v>
      </c>
      <c r="EH5" s="367"/>
      <c r="EI5" s="346"/>
      <c r="EJ5" s="361"/>
      <c r="EK5" s="361"/>
      <c r="EL5" s="361"/>
      <c r="EM5" s="361"/>
      <c r="EN5" s="361"/>
      <c r="EO5" s="361"/>
      <c r="EP5" s="361"/>
      <c r="EQ5" s="365"/>
    </row>
    <row r="6" spans="1:154" ht="17.149999999999999" customHeight="1" x14ac:dyDescent="0.35">
      <c r="A6" s="359"/>
      <c r="B6" s="357"/>
      <c r="C6" s="357"/>
      <c r="D6" s="356"/>
      <c r="E6" s="357"/>
      <c r="F6" s="357"/>
      <c r="G6" s="356"/>
      <c r="H6" s="357"/>
      <c r="I6" s="357"/>
      <c r="J6" s="360"/>
      <c r="K6" s="359"/>
      <c r="L6" s="357"/>
      <c r="M6" s="357"/>
      <c r="N6" s="357"/>
      <c r="O6" s="357"/>
      <c r="P6" s="357"/>
      <c r="Q6" s="357"/>
      <c r="R6" s="337"/>
      <c r="S6" s="337"/>
      <c r="T6" s="337"/>
      <c r="U6" s="337"/>
      <c r="V6" s="360"/>
      <c r="W6" s="346"/>
      <c r="X6" s="333" t="s">
        <v>5</v>
      </c>
      <c r="Y6" s="333" t="s">
        <v>6</v>
      </c>
      <c r="Z6" s="333" t="s">
        <v>5</v>
      </c>
      <c r="AA6" s="333" t="s">
        <v>6</v>
      </c>
      <c r="AB6" s="333" t="s">
        <v>5</v>
      </c>
      <c r="AC6" s="333" t="s">
        <v>6</v>
      </c>
      <c r="AD6" s="333" t="s">
        <v>5</v>
      </c>
      <c r="AE6" s="333" t="s">
        <v>6</v>
      </c>
      <c r="AF6" s="342"/>
      <c r="AG6" s="346"/>
      <c r="AH6" s="333" t="s">
        <v>5</v>
      </c>
      <c r="AI6" s="333" t="s">
        <v>6</v>
      </c>
      <c r="AJ6" s="333" t="s">
        <v>5</v>
      </c>
      <c r="AK6" s="333" t="s">
        <v>6</v>
      </c>
      <c r="AL6" s="333" t="s">
        <v>5</v>
      </c>
      <c r="AM6" s="333" t="s">
        <v>6</v>
      </c>
      <c r="AN6" s="333" t="s">
        <v>5</v>
      </c>
      <c r="AO6" s="333" t="s">
        <v>6</v>
      </c>
      <c r="AP6" s="342"/>
      <c r="AQ6" s="346"/>
      <c r="AR6" s="333" t="s">
        <v>5</v>
      </c>
      <c r="AS6" s="333" t="s">
        <v>6</v>
      </c>
      <c r="AT6" s="333" t="s">
        <v>5</v>
      </c>
      <c r="AU6" s="333" t="s">
        <v>6</v>
      </c>
      <c r="AV6" s="333" t="s">
        <v>5</v>
      </c>
      <c r="AW6" s="356" t="s">
        <v>6</v>
      </c>
      <c r="AX6" s="333" t="s">
        <v>5</v>
      </c>
      <c r="AY6" s="333" t="s">
        <v>6</v>
      </c>
      <c r="AZ6" s="342"/>
      <c r="BA6" s="317"/>
      <c r="BB6" s="353"/>
      <c r="BC6" s="366"/>
      <c r="BD6" s="335"/>
      <c r="BE6" s="335"/>
      <c r="BF6" s="335"/>
      <c r="BG6" s="326"/>
      <c r="BH6" s="343"/>
      <c r="BI6" s="343"/>
      <c r="BJ6" s="343"/>
      <c r="BK6" s="343"/>
      <c r="BL6" s="343"/>
      <c r="BM6" s="343"/>
      <c r="BN6" s="347"/>
      <c r="BO6" s="317"/>
      <c r="BP6" s="328"/>
      <c r="BQ6" s="354"/>
      <c r="BR6" s="326"/>
      <c r="BS6" s="326"/>
      <c r="BT6" s="326"/>
      <c r="BU6" s="328"/>
      <c r="BV6" s="327"/>
      <c r="BW6" s="327"/>
      <c r="BX6" s="355"/>
      <c r="BY6" s="355"/>
      <c r="BZ6" s="347"/>
      <c r="CA6" s="317"/>
      <c r="CB6" s="319"/>
      <c r="CC6" s="319"/>
      <c r="CD6" s="319"/>
      <c r="CE6" s="322"/>
      <c r="CF6" s="322"/>
      <c r="CG6" s="337"/>
      <c r="CH6" s="337"/>
      <c r="CI6" s="342"/>
      <c r="CJ6" s="317"/>
      <c r="CK6" s="319"/>
      <c r="CL6" s="319"/>
      <c r="CM6" s="319"/>
      <c r="CN6" s="319"/>
      <c r="CO6" s="319"/>
      <c r="CP6" s="337"/>
      <c r="CQ6" s="337"/>
      <c r="CR6" s="342"/>
      <c r="CS6" s="317"/>
      <c r="CT6" s="319"/>
      <c r="CU6" s="319"/>
      <c r="CV6" s="319"/>
      <c r="CW6" s="319"/>
      <c r="CX6" s="322"/>
      <c r="CY6" s="337"/>
      <c r="CZ6" s="337"/>
      <c r="DA6" s="340"/>
      <c r="DB6" s="342"/>
      <c r="DC6" s="317"/>
      <c r="DD6" s="319"/>
      <c r="DE6" s="319"/>
      <c r="DF6" s="319"/>
      <c r="DG6" s="322"/>
      <c r="DH6" s="319"/>
      <c r="DI6" s="337"/>
      <c r="DJ6" s="337"/>
      <c r="DK6" s="342"/>
      <c r="DL6" s="317"/>
      <c r="DM6" s="327"/>
      <c r="DN6" s="328"/>
      <c r="DO6" s="328"/>
      <c r="DP6" s="328"/>
      <c r="DQ6" s="327"/>
      <c r="DR6" s="326"/>
      <c r="DS6" s="328"/>
      <c r="DT6" s="326"/>
      <c r="DU6" s="327"/>
      <c r="DV6" s="328"/>
      <c r="DW6" s="328"/>
      <c r="DX6" s="328"/>
      <c r="DY6" s="347"/>
      <c r="DZ6" s="368"/>
      <c r="EA6" s="348"/>
      <c r="EB6" s="348"/>
      <c r="EC6" s="348"/>
      <c r="ED6" s="327" t="s">
        <v>102</v>
      </c>
      <c r="EE6" s="327" t="s">
        <v>103</v>
      </c>
      <c r="EF6" s="327"/>
      <c r="EG6" s="327"/>
      <c r="EH6" s="367"/>
      <c r="EI6" s="346"/>
      <c r="EJ6" s="361"/>
      <c r="EK6" s="361"/>
      <c r="EL6" s="361"/>
      <c r="EM6" s="361"/>
      <c r="EN6" s="361"/>
      <c r="EO6" s="361"/>
      <c r="EP6" s="361"/>
      <c r="EQ6" s="365"/>
    </row>
    <row r="7" spans="1:154" ht="17.149999999999999" customHeight="1" x14ac:dyDescent="0.35">
      <c r="A7" s="359"/>
      <c r="B7" s="357"/>
      <c r="C7" s="357"/>
      <c r="D7" s="356"/>
      <c r="E7" s="357"/>
      <c r="F7" s="357"/>
      <c r="G7" s="356"/>
      <c r="H7" s="357"/>
      <c r="I7" s="357"/>
      <c r="J7" s="360"/>
      <c r="K7" s="359"/>
      <c r="L7" s="357"/>
      <c r="M7" s="357"/>
      <c r="N7" s="357"/>
      <c r="O7" s="357"/>
      <c r="P7" s="357"/>
      <c r="Q7" s="357"/>
      <c r="R7" s="338"/>
      <c r="S7" s="338"/>
      <c r="T7" s="338"/>
      <c r="U7" s="338"/>
      <c r="V7" s="360"/>
      <c r="W7" s="346"/>
      <c r="X7" s="333"/>
      <c r="Y7" s="333"/>
      <c r="Z7" s="333"/>
      <c r="AA7" s="333"/>
      <c r="AB7" s="333"/>
      <c r="AC7" s="333"/>
      <c r="AD7" s="333"/>
      <c r="AE7" s="333"/>
      <c r="AF7" s="342"/>
      <c r="AG7" s="346"/>
      <c r="AH7" s="333"/>
      <c r="AI7" s="333"/>
      <c r="AJ7" s="333"/>
      <c r="AK7" s="333"/>
      <c r="AL7" s="333"/>
      <c r="AM7" s="333"/>
      <c r="AN7" s="333"/>
      <c r="AO7" s="333"/>
      <c r="AP7" s="342"/>
      <c r="AQ7" s="346"/>
      <c r="AR7" s="333"/>
      <c r="AS7" s="333"/>
      <c r="AT7" s="333"/>
      <c r="AU7" s="333"/>
      <c r="AV7" s="333"/>
      <c r="AW7" s="356"/>
      <c r="AX7" s="333"/>
      <c r="AY7" s="333"/>
      <c r="AZ7" s="342"/>
      <c r="BA7" s="317"/>
      <c r="BB7" s="353"/>
      <c r="BC7" s="366"/>
      <c r="BD7" s="335"/>
      <c r="BE7" s="335"/>
      <c r="BF7" s="335"/>
      <c r="BG7" s="326"/>
      <c r="BH7" s="343"/>
      <c r="BI7" s="343"/>
      <c r="BJ7" s="343"/>
      <c r="BK7" s="343"/>
      <c r="BL7" s="343"/>
      <c r="BM7" s="343"/>
      <c r="BN7" s="347"/>
      <c r="BO7" s="317"/>
      <c r="BP7" s="328"/>
      <c r="BQ7" s="354"/>
      <c r="BR7" s="326"/>
      <c r="BS7" s="326"/>
      <c r="BT7" s="326"/>
      <c r="BU7" s="328"/>
      <c r="BV7" s="327"/>
      <c r="BW7" s="327"/>
      <c r="BX7" s="355"/>
      <c r="BY7" s="355"/>
      <c r="BZ7" s="347"/>
      <c r="CA7" s="317"/>
      <c r="CB7" s="320"/>
      <c r="CC7" s="320"/>
      <c r="CD7" s="320"/>
      <c r="CE7" s="323"/>
      <c r="CF7" s="323"/>
      <c r="CG7" s="338"/>
      <c r="CH7" s="338"/>
      <c r="CI7" s="342"/>
      <c r="CJ7" s="317"/>
      <c r="CK7" s="320"/>
      <c r="CL7" s="320"/>
      <c r="CM7" s="320"/>
      <c r="CN7" s="320"/>
      <c r="CO7" s="320"/>
      <c r="CP7" s="338"/>
      <c r="CQ7" s="338"/>
      <c r="CR7" s="342"/>
      <c r="CS7" s="317"/>
      <c r="CT7" s="320"/>
      <c r="CU7" s="320"/>
      <c r="CV7" s="320"/>
      <c r="CW7" s="320"/>
      <c r="CX7" s="323"/>
      <c r="CY7" s="338"/>
      <c r="CZ7" s="338"/>
      <c r="DA7" s="341"/>
      <c r="DB7" s="342"/>
      <c r="DC7" s="317"/>
      <c r="DD7" s="320"/>
      <c r="DE7" s="320"/>
      <c r="DF7" s="320"/>
      <c r="DG7" s="323"/>
      <c r="DH7" s="320"/>
      <c r="DI7" s="338"/>
      <c r="DJ7" s="338"/>
      <c r="DK7" s="342"/>
      <c r="DL7" s="317"/>
      <c r="DM7" s="327"/>
      <c r="DN7" s="328"/>
      <c r="DO7" s="328"/>
      <c r="DP7" s="328"/>
      <c r="DQ7" s="327"/>
      <c r="DR7" s="326"/>
      <c r="DS7" s="328"/>
      <c r="DT7" s="326"/>
      <c r="DU7" s="327"/>
      <c r="DV7" s="328"/>
      <c r="DW7" s="328"/>
      <c r="DX7" s="328"/>
      <c r="DY7" s="347"/>
      <c r="DZ7" s="368"/>
      <c r="EA7" s="348"/>
      <c r="EB7" s="348"/>
      <c r="EC7" s="348"/>
      <c r="ED7" s="327"/>
      <c r="EE7" s="327"/>
      <c r="EF7" s="327"/>
      <c r="EG7" s="327"/>
      <c r="EH7" s="367"/>
      <c r="EI7" s="346"/>
      <c r="EJ7" s="361"/>
      <c r="EK7" s="361"/>
      <c r="EL7" s="361"/>
      <c r="EM7" s="361"/>
      <c r="EN7" s="361"/>
      <c r="EO7" s="361"/>
      <c r="EP7" s="361"/>
      <c r="EQ7" s="365"/>
    </row>
    <row r="8" spans="1:154" s="3" customFormat="1" ht="17.149999999999999" customHeight="1" x14ac:dyDescent="0.25">
      <c r="A8" s="56">
        <v>1</v>
      </c>
      <c r="B8" s="57">
        <v>871966</v>
      </c>
      <c r="C8" s="58">
        <f>IF(B9="","",IF(B9=B8,"",(B9-B8)))</f>
        <v>189</v>
      </c>
      <c r="D8" s="167">
        <v>9.49</v>
      </c>
      <c r="E8" s="59">
        <v>776124</v>
      </c>
      <c r="F8" s="58">
        <f>IF(E9="","",IF(E9=E8,"",(E9-E8)))</f>
        <v>251</v>
      </c>
      <c r="G8" s="168">
        <v>3.47</v>
      </c>
      <c r="H8" s="57">
        <v>737929</v>
      </c>
      <c r="I8" s="58">
        <f t="shared" ref="I8:I37" si="0">IF(H9="","",IF(H9=H8,"",(H9-H8)))</f>
        <v>160</v>
      </c>
      <c r="J8" s="60" t="s">
        <v>194</v>
      </c>
      <c r="K8" s="56">
        <v>1</v>
      </c>
      <c r="L8" s="57">
        <v>68300</v>
      </c>
      <c r="M8" s="58" t="str">
        <f>IF(L9="","",IF(L9=L8,"",(L9-L8)))</f>
        <v/>
      </c>
      <c r="N8" s="59">
        <v>172581</v>
      </c>
      <c r="O8" s="58">
        <f>IF(N9="","",IF(N9=N8,"",(N9-N8)))</f>
        <v>32</v>
      </c>
      <c r="P8" s="57">
        <v>194713</v>
      </c>
      <c r="Q8" s="58" t="str">
        <f t="shared" ref="Q8:Q37" si="1">IF(P9="","",IF(P9=P8,"",(P9-P8)))</f>
        <v/>
      </c>
      <c r="R8" s="57">
        <v>662</v>
      </c>
      <c r="S8" s="57">
        <v>670</v>
      </c>
      <c r="T8" s="170">
        <v>138</v>
      </c>
      <c r="U8" s="57">
        <v>135</v>
      </c>
      <c r="V8" s="58" t="str">
        <f>IF(J8="","",J8)</f>
        <v>ME</v>
      </c>
      <c r="W8" s="56">
        <v>1</v>
      </c>
      <c r="X8" s="63">
        <v>11482.3</v>
      </c>
      <c r="Y8" s="130">
        <f>IF(X9="","",IF(X9=X8,"",X9-X8))</f>
        <v>2.5</v>
      </c>
      <c r="Z8" s="63">
        <v>12257.23</v>
      </c>
      <c r="AA8" s="130">
        <f>IF(Z9="","",IF(Z9=Z8,"",Z9-Z8))</f>
        <v>2.9700000000011642</v>
      </c>
      <c r="AB8" s="63">
        <v>9693.2099999999991</v>
      </c>
      <c r="AC8" s="130">
        <f>IF(AB9="","",IF(AB9=AB8,"",AB9-AB8))</f>
        <v>2.2600000000002183</v>
      </c>
      <c r="AD8" s="63">
        <v>9780.7199999999993</v>
      </c>
      <c r="AE8" s="130">
        <f t="shared" ref="AE8:AE37" si="2">IF(AD9="","",IF(AD9=AD8,"",AD9-AD8))</f>
        <v>1.9899999999997817</v>
      </c>
      <c r="AF8" s="125" t="str">
        <f>IF(J8="","",J8)</f>
        <v>ME</v>
      </c>
      <c r="AG8" s="56">
        <v>1</v>
      </c>
      <c r="AH8" s="63">
        <v>45758.68</v>
      </c>
      <c r="AI8" s="130">
        <f>IF(AH9="","",IF(AH9=AH8,"",AH9-AH8))</f>
        <v>11.610000000000582</v>
      </c>
      <c r="AJ8" s="63">
        <v>47890.77</v>
      </c>
      <c r="AK8" s="130">
        <f>IF(AJ9="","",IF(AJ9=AJ8,"",AJ9-AJ8))</f>
        <v>15.480000000003201</v>
      </c>
      <c r="AL8" s="63">
        <v>585.75</v>
      </c>
      <c r="AM8" s="130" t="str">
        <f>IF(AL9="","",IF(AL9=AL8,"",AL9-AL8))</f>
        <v/>
      </c>
      <c r="AN8" s="63">
        <v>547.01</v>
      </c>
      <c r="AO8" s="130" t="str">
        <f t="shared" ref="AO8:AO37" si="3">IF(AN9="","",IF(AN9=AN8,"",AN9-AN8))</f>
        <v/>
      </c>
      <c r="AP8" s="125" t="str">
        <f>IF(J8="","",J8)</f>
        <v>ME</v>
      </c>
      <c r="AQ8" s="56">
        <v>1</v>
      </c>
      <c r="AR8" s="63">
        <v>6588.97</v>
      </c>
      <c r="AS8" s="130">
        <f>IF(AR9="","",IF(AR9=AR8,"",AR9-AR8))</f>
        <v>1.9899999999997817</v>
      </c>
      <c r="AT8" s="63">
        <v>7299.27</v>
      </c>
      <c r="AU8" s="130">
        <f>IF(AT9="","",IF(AT9=AT8,"",AT9-AT8))</f>
        <v>2.3799999999991996</v>
      </c>
      <c r="AV8" s="63">
        <v>250.79</v>
      </c>
      <c r="AW8" s="277" t="str">
        <f>IF(AV9="","",IF(AV9=AV8,"",AV9-AV8))</f>
        <v/>
      </c>
      <c r="AX8" s="63">
        <v>238.47</v>
      </c>
      <c r="AY8" s="130" t="str">
        <f t="shared" ref="AY8:AY37" si="4">IF(AX9="","",IF(AX9=AX8,"",AX9-AX8))</f>
        <v/>
      </c>
      <c r="AZ8" s="125" t="str">
        <f>IF(J8="","",J8)</f>
        <v>ME</v>
      </c>
      <c r="BA8" s="56">
        <v>1</v>
      </c>
      <c r="BB8" s="64">
        <v>0.57899999999999996</v>
      </c>
      <c r="BC8" s="62">
        <v>18</v>
      </c>
      <c r="BD8" s="61">
        <v>7.2</v>
      </c>
      <c r="BE8" s="61">
        <v>2.9</v>
      </c>
      <c r="BF8" s="61">
        <v>16.2</v>
      </c>
      <c r="BG8" s="61">
        <v>7.2</v>
      </c>
      <c r="BH8" s="64">
        <v>0.26700000000000002</v>
      </c>
      <c r="BI8" s="64">
        <v>0.27300000000000002</v>
      </c>
      <c r="BJ8" s="64">
        <v>4.7E-2</v>
      </c>
      <c r="BK8" s="64">
        <v>4.7E-2</v>
      </c>
      <c r="BL8" s="64">
        <v>4.8000000000000001E-2</v>
      </c>
      <c r="BM8" s="64">
        <v>5.0999999999999997E-2</v>
      </c>
      <c r="BN8" s="65" t="str">
        <f>IF(J8="","",J8)</f>
        <v>ME</v>
      </c>
      <c r="BO8" s="56">
        <v>1</v>
      </c>
      <c r="BP8" s="64">
        <v>6.5000000000000002E-2</v>
      </c>
      <c r="BQ8" s="62">
        <v>0</v>
      </c>
      <c r="BR8" s="61">
        <v>7.3</v>
      </c>
      <c r="BS8" s="61">
        <v>7.2</v>
      </c>
      <c r="BT8" s="61">
        <v>17.7</v>
      </c>
      <c r="BU8" s="64">
        <v>8.0000000000000002E-3</v>
      </c>
      <c r="BV8" s="63">
        <v>1.32</v>
      </c>
      <c r="BW8" s="63">
        <v>1.2</v>
      </c>
      <c r="BX8" s="66" t="s">
        <v>245</v>
      </c>
      <c r="BY8" s="172" t="s">
        <v>246</v>
      </c>
      <c r="BZ8" s="67" t="str">
        <f>IF(J8="","",J8)</f>
        <v>ME</v>
      </c>
      <c r="CA8" s="56">
        <v>1</v>
      </c>
      <c r="CB8" s="61">
        <v>89.7</v>
      </c>
      <c r="CC8" s="61"/>
      <c r="CD8" s="69">
        <f>IF(CB9="","",IF(CC8="",IF(CB8=CB9,"",(CB8-CB9)),IF(CC8=CB9,"",(CC8-CB9))))</f>
        <v>0.90000000000000568</v>
      </c>
      <c r="CE8" s="69">
        <f>IF(CD8="","",(CD8*(0.785*77*77)/1000))</f>
        <v>4.1888385000000268</v>
      </c>
      <c r="CF8" s="69">
        <f>IF(CE8="","",(CE8*0.12*1000)/I8)</f>
        <v>3.1416288750000203</v>
      </c>
      <c r="CG8" s="62">
        <v>39</v>
      </c>
      <c r="CH8" s="62">
        <v>100</v>
      </c>
      <c r="CI8" s="65" t="str">
        <f>IF(J8="","",J8)</f>
        <v>ME</v>
      </c>
      <c r="CJ8" s="56">
        <v>1</v>
      </c>
      <c r="CK8" s="61">
        <v>95.5</v>
      </c>
      <c r="CL8" s="61"/>
      <c r="CM8" s="68">
        <f>IF(CK9="","",IF(CL8="",IF(CK8=CK9,"",(CK8-CK9)),IF(CL8=CK9,"",(CL8-CK9))))</f>
        <v>2.5</v>
      </c>
      <c r="CN8" s="68">
        <f>IF(CM8="","",(CM8*(0.785*77*77)/1000))</f>
        <v>11.6356625</v>
      </c>
      <c r="CO8" s="68">
        <f>IF(CN8="","",(CN8*0.33*1.205*1000)/C8)</f>
        <v>24.481064513888896</v>
      </c>
      <c r="CP8" s="62">
        <v>53</v>
      </c>
      <c r="CQ8" s="62">
        <v>83</v>
      </c>
      <c r="CR8" s="65" t="str">
        <f>IF(J8="","",J8)</f>
        <v>ME</v>
      </c>
      <c r="CS8" s="56">
        <v>1</v>
      </c>
      <c r="CT8" s="61">
        <v>101.9</v>
      </c>
      <c r="CU8" s="61"/>
      <c r="CV8" s="68">
        <f>IF(CT9="","",IF(CU8="",IF(CT8=CT9,"",(CT8-CT9)),IF(CU8=CT9,"",(CU8-CT9))))</f>
        <v>2</v>
      </c>
      <c r="CW8" s="68">
        <f>IF(CV8="","",(CV8*(0.785*92*92)/1000))</f>
        <v>13.28848</v>
      </c>
      <c r="CX8" s="69">
        <f>IF(CW8="","",(CW8)/C8)</f>
        <v>7.0309417989417991E-2</v>
      </c>
      <c r="CY8" s="66" t="s">
        <v>240</v>
      </c>
      <c r="CZ8" s="66" t="s">
        <v>241</v>
      </c>
      <c r="DA8" s="66"/>
      <c r="DB8" s="65" t="str">
        <f>IF(J8="","",J8)</f>
        <v>ME</v>
      </c>
      <c r="DC8" s="56">
        <v>1</v>
      </c>
      <c r="DD8" s="61">
        <v>84.7</v>
      </c>
      <c r="DE8" s="61">
        <v>103.9</v>
      </c>
      <c r="DF8" s="68">
        <f>IF(DD9="","",IF(DE8="",IF(DD8=DD9,"",(DD8-DD9)),IF(DE8=DD9,"",(DE8-DD9))))</f>
        <v>14.600000000000009</v>
      </c>
      <c r="DG8" s="69">
        <f>IF(DF8="","",(DF8*(0.785*92*92)*0.00812/1000))</f>
        <v>0.78768794048000057</v>
      </c>
      <c r="DH8" s="68">
        <f>IF(DG8="","",(DG8*1000)/C8)</f>
        <v>4.1676610607407438</v>
      </c>
      <c r="DI8" s="62">
        <v>89</v>
      </c>
      <c r="DJ8" s="62">
        <v>54</v>
      </c>
      <c r="DK8" s="65" t="str">
        <f>IF(J8="","",J8)</f>
        <v>ME</v>
      </c>
      <c r="DL8" s="56">
        <v>1</v>
      </c>
      <c r="DM8" s="63">
        <v>8.1999999999999993</v>
      </c>
      <c r="DN8" s="64">
        <v>1.7999999999999999E-2</v>
      </c>
      <c r="DO8" s="64">
        <v>3.4000000000000002E-2</v>
      </c>
      <c r="DP8" s="64">
        <v>4.7E-2</v>
      </c>
      <c r="DQ8" s="63">
        <v>6.71</v>
      </c>
      <c r="DR8" s="61">
        <v>7.2</v>
      </c>
      <c r="DS8" s="64">
        <v>1.3160000000000001</v>
      </c>
      <c r="DT8" s="61">
        <v>85.3</v>
      </c>
      <c r="DU8" s="63">
        <v>4.2699999999999996</v>
      </c>
      <c r="DV8" s="64">
        <v>0.69699999999999995</v>
      </c>
      <c r="DW8" s="64">
        <v>1.51</v>
      </c>
      <c r="DX8" s="66" t="s">
        <v>242</v>
      </c>
      <c r="DY8" s="65" t="str">
        <f>IF(J8="","",J8)</f>
        <v>ME</v>
      </c>
      <c r="DZ8" s="128">
        <v>1</v>
      </c>
      <c r="EA8" s="173">
        <f>IF(C8="","",C8/1496)</f>
        <v>0.12633689839572193</v>
      </c>
      <c r="EB8" s="173">
        <f>IF(F8="","",IF(Q8="",F8/1360,(F8+Q8)/1360))</f>
        <v>0.18455882352941178</v>
      </c>
      <c r="EC8" s="173">
        <f>IF(I8="","",IF(C8="","",I8/C8))</f>
        <v>0.84656084656084651</v>
      </c>
      <c r="ED8" s="63">
        <v>1.29</v>
      </c>
      <c r="EE8" s="63">
        <v>1.33</v>
      </c>
      <c r="EF8" s="63">
        <v>0.04</v>
      </c>
      <c r="EG8" s="63">
        <v>0.04</v>
      </c>
      <c r="EH8" s="127" t="str">
        <f t="shared" ref="EH8:EH38" si="5">IF(J8="","",J8)</f>
        <v>ME</v>
      </c>
      <c r="EI8" s="56">
        <v>1</v>
      </c>
      <c r="EJ8" s="334"/>
      <c r="EK8" s="334"/>
      <c r="EL8" s="334"/>
      <c r="EM8" s="334"/>
      <c r="EN8" s="334"/>
      <c r="EO8" s="334"/>
      <c r="EP8" s="334"/>
      <c r="EQ8" s="65" t="str">
        <f>IF(J8="","",J8)</f>
        <v>ME</v>
      </c>
      <c r="ER8" s="20"/>
      <c r="ES8" s="20"/>
      <c r="ET8" s="20"/>
      <c r="EU8" s="20"/>
      <c r="EV8" s="20"/>
      <c r="EW8" s="20"/>
      <c r="EX8" s="20"/>
    </row>
    <row r="9" spans="1:154" s="3" customFormat="1" ht="17.149999999999999" customHeight="1" x14ac:dyDescent="0.25">
      <c r="A9" s="56">
        <v>2</v>
      </c>
      <c r="B9" s="57">
        <v>872155</v>
      </c>
      <c r="C9" s="58">
        <f t="shared" ref="C9:C37" si="6">IF(B10="","",IF(B10=B9,"",(B10-B9)))</f>
        <v>280</v>
      </c>
      <c r="D9" s="167">
        <v>9.51</v>
      </c>
      <c r="E9" s="57">
        <v>776375</v>
      </c>
      <c r="F9" s="58">
        <f t="shared" ref="F9:F37" si="7">IF(E10="","",IF(E10=E9,"",(E10-E9)))</f>
        <v>215</v>
      </c>
      <c r="G9" s="168">
        <v>1.63</v>
      </c>
      <c r="H9" s="57">
        <v>738089</v>
      </c>
      <c r="I9" s="58">
        <f t="shared" si="0"/>
        <v>200</v>
      </c>
      <c r="J9" s="60" t="s">
        <v>194</v>
      </c>
      <c r="K9" s="56">
        <v>2</v>
      </c>
      <c r="L9" s="57">
        <v>68300</v>
      </c>
      <c r="M9" s="58">
        <f t="shared" ref="M9:M37" si="8">IF(L10="","",IF(L10=L9,"",(L10-L9)))</f>
        <v>49</v>
      </c>
      <c r="N9" s="57">
        <v>172613</v>
      </c>
      <c r="O9" s="58">
        <f t="shared" ref="O9:O37" si="9">IF(N10="","",IF(N10=N9,"",(N10-N9)))</f>
        <v>90</v>
      </c>
      <c r="P9" s="57">
        <v>194713</v>
      </c>
      <c r="Q9" s="58" t="str">
        <f t="shared" si="1"/>
        <v/>
      </c>
      <c r="R9" s="57">
        <v>662</v>
      </c>
      <c r="S9" s="57">
        <v>670</v>
      </c>
      <c r="T9" s="170">
        <v>138</v>
      </c>
      <c r="U9" s="57">
        <v>135</v>
      </c>
      <c r="V9" s="58" t="str">
        <f t="shared" ref="V9:V38" si="10">IF(J9="","",J9)</f>
        <v>ME</v>
      </c>
      <c r="W9" s="56">
        <v>2</v>
      </c>
      <c r="X9" s="63">
        <v>11484.8</v>
      </c>
      <c r="Y9" s="130">
        <f t="shared" ref="Y9:Y37" si="11">IF(X10="","",IF(X10=X9,"",X10-X9))</f>
        <v>5.9400000000005093</v>
      </c>
      <c r="Z9" s="63">
        <v>12260.2</v>
      </c>
      <c r="AA9" s="130">
        <f t="shared" ref="AA9:AA37" si="12">IF(Z10="","",IF(Z10=Z9,"",Z10-Z9))</f>
        <v>2.5199999999986176</v>
      </c>
      <c r="AB9" s="63">
        <v>9695.4699999999993</v>
      </c>
      <c r="AC9" s="130">
        <f t="shared" ref="AC9:AC37" si="13">IF(AB10="","",IF(AB10=AB9,"",AB10-AB9))</f>
        <v>2.2300000000013824</v>
      </c>
      <c r="AD9" s="63">
        <v>9782.7099999999991</v>
      </c>
      <c r="AE9" s="130">
        <f t="shared" si="2"/>
        <v>3.1300000000010186</v>
      </c>
      <c r="AF9" s="125" t="str">
        <f t="shared" ref="AF9:AF38" si="14">IF(J9="","",J9)</f>
        <v>ME</v>
      </c>
      <c r="AG9" s="56">
        <v>2</v>
      </c>
      <c r="AH9" s="63">
        <v>45770.29</v>
      </c>
      <c r="AI9" s="130">
        <f t="shared" ref="AI9:AI37" si="15">IF(AH10="","",IF(AH10=AH9,"",AH10-AH9))</f>
        <v>12.400000000001455</v>
      </c>
      <c r="AJ9" s="63">
        <v>47906.25</v>
      </c>
      <c r="AK9" s="130">
        <f t="shared" ref="AK9:AK37" si="16">IF(AJ10="","",IF(AJ10=AJ9,"",AJ10-AJ9))</f>
        <v>11.44999999999709</v>
      </c>
      <c r="AL9" s="63">
        <v>585.75</v>
      </c>
      <c r="AM9" s="130" t="str">
        <f t="shared" ref="AM9:AM37" si="17">IF(AL10="","",IF(AL10=AL9,"",AL10-AL9))</f>
        <v/>
      </c>
      <c r="AN9" s="63">
        <v>547.01</v>
      </c>
      <c r="AO9" s="130" t="str">
        <f t="shared" si="3"/>
        <v/>
      </c>
      <c r="AP9" s="125" t="str">
        <f t="shared" ref="AP9:AP38" si="18">IF(J9="","",J9)</f>
        <v>ME</v>
      </c>
      <c r="AQ9" s="56">
        <v>2</v>
      </c>
      <c r="AR9" s="63">
        <v>6590.96</v>
      </c>
      <c r="AS9" s="130">
        <f t="shared" ref="AS9:AS37" si="19">IF(AR10="","",IF(AR10=AR9,"",AR10-AR9))</f>
        <v>3.9799999999995634</v>
      </c>
      <c r="AT9" s="63">
        <v>7301.65</v>
      </c>
      <c r="AU9" s="130">
        <f t="shared" ref="AU9:AU37" si="20">IF(AT10="","",IF(AT10=AT9,"",AT10-AT9))</f>
        <v>4.0500000000001819</v>
      </c>
      <c r="AV9" s="63">
        <v>250.79</v>
      </c>
      <c r="AW9" s="277" t="str">
        <f t="shared" ref="AW9:AW37" si="21">IF(AV10="","",IF(AV10=AV9,"",AV10-AV9))</f>
        <v/>
      </c>
      <c r="AX9" s="63">
        <v>238.47</v>
      </c>
      <c r="AY9" s="130">
        <f t="shared" si="4"/>
        <v>0.34000000000000341</v>
      </c>
      <c r="AZ9" s="125" t="str">
        <f t="shared" ref="AZ9:AZ38" si="22">IF(J9="","",J9)</f>
        <v>ME</v>
      </c>
      <c r="BA9" s="56">
        <v>2</v>
      </c>
      <c r="BB9" s="64">
        <v>0.497</v>
      </c>
      <c r="BC9" s="62">
        <v>15</v>
      </c>
      <c r="BD9" s="61">
        <v>7.3</v>
      </c>
      <c r="BE9" s="61">
        <v>3</v>
      </c>
      <c r="BF9" s="61">
        <v>15.3</v>
      </c>
      <c r="BG9" s="61">
        <v>7.3</v>
      </c>
      <c r="BH9" s="64">
        <v>0.251</v>
      </c>
      <c r="BI9" s="64">
        <v>0.27200000000000002</v>
      </c>
      <c r="BJ9" s="64">
        <v>5.7000000000000002E-2</v>
      </c>
      <c r="BK9" s="64">
        <v>4.5999999999999999E-2</v>
      </c>
      <c r="BL9" s="64">
        <v>5.5E-2</v>
      </c>
      <c r="BM9" s="64">
        <v>5.2999999999999999E-2</v>
      </c>
      <c r="BN9" s="65" t="str">
        <f t="shared" ref="BN9:BN38" si="23">IF(J9="","",J9)</f>
        <v>ME</v>
      </c>
      <c r="BO9" s="56">
        <v>2</v>
      </c>
      <c r="BP9" s="64">
        <v>6.5000000000000002E-2</v>
      </c>
      <c r="BQ9" s="62">
        <v>0</v>
      </c>
      <c r="BR9" s="61">
        <v>7.2</v>
      </c>
      <c r="BS9" s="61">
        <v>7.2</v>
      </c>
      <c r="BT9" s="61">
        <v>19.899999999999999</v>
      </c>
      <c r="BU9" s="64">
        <v>1.2999999999999999E-2</v>
      </c>
      <c r="BV9" s="63">
        <v>1.25</v>
      </c>
      <c r="BW9" s="63">
        <v>1.19</v>
      </c>
      <c r="BX9" s="66" t="s">
        <v>285</v>
      </c>
      <c r="BY9" s="172" t="s">
        <v>246</v>
      </c>
      <c r="BZ9" s="67" t="str">
        <f t="shared" ref="BZ9:BZ38" si="24">IF(J9="","",J9)</f>
        <v>ME</v>
      </c>
      <c r="CA9" s="56">
        <v>2</v>
      </c>
      <c r="CB9" s="61">
        <v>88.8</v>
      </c>
      <c r="CC9" s="61"/>
      <c r="CD9" s="69">
        <f t="shared" ref="CD9:CD37" si="25">IF(CB10="","",IF(CC9="",IF(CB9=CB10,"",(CB9-CB10)),IF(CC9=CB10,"",(CC9-CB10))))</f>
        <v>1.2000000000000028</v>
      </c>
      <c r="CE9" s="69">
        <f t="shared" ref="CE9:CE38" si="26">IF(CD9="","",(CD9*(0.785*77*77)/1000))</f>
        <v>5.5851180000000138</v>
      </c>
      <c r="CF9" s="69">
        <f t="shared" ref="CF9:CF38" si="27">IF(CE9="","",(CE9*0.12*1000)/I9)</f>
        <v>3.3510708000000085</v>
      </c>
      <c r="CG9" s="62">
        <v>40</v>
      </c>
      <c r="CH9" s="62">
        <v>100</v>
      </c>
      <c r="CI9" s="65" t="str">
        <f t="shared" ref="CI9:CI38" si="28">IF(J9="","",J9)</f>
        <v>ME</v>
      </c>
      <c r="CJ9" s="56">
        <v>2</v>
      </c>
      <c r="CK9" s="61">
        <v>93</v>
      </c>
      <c r="CL9" s="61"/>
      <c r="CM9" s="68">
        <f t="shared" ref="CM9:CM37" si="29">IF(CK10="","",IF(CL9="",IF(CK9=CK10,"",(CK9-CK10)),IF(CL9=CK10,"",(CL9-CK10))))</f>
        <v>3.2999999999999972</v>
      </c>
      <c r="CN9" s="68">
        <f t="shared" ref="CN9:CN38" si="30">IF(CM9="","",(CM9*(0.785*77*77)/1000))</f>
        <v>15.359074499999988</v>
      </c>
      <c r="CO9" s="68">
        <f t="shared" ref="CO9:CO38" si="31">IF(CN9="","",(CN9*0.33*1.205*1000)/C9)</f>
        <v>21.812628481874988</v>
      </c>
      <c r="CP9" s="62">
        <v>53</v>
      </c>
      <c r="CQ9" s="62">
        <v>83</v>
      </c>
      <c r="CR9" s="65" t="str">
        <f t="shared" ref="CR9:CR38" si="32">IF(J9="","",J9)</f>
        <v>ME</v>
      </c>
      <c r="CS9" s="56">
        <v>2</v>
      </c>
      <c r="CT9" s="61">
        <v>99.9</v>
      </c>
      <c r="CU9" s="61">
        <v>96</v>
      </c>
      <c r="CV9" s="68">
        <f t="shared" ref="CV9:CV37" si="33">IF(CT10="","",IF(CU9="",IF(CT9=CT10,"",(CT9-CT10)),IF(CU9=CT10,"",(CU9-CT10))))</f>
        <v>2.9000000000000057</v>
      </c>
      <c r="CW9" s="68">
        <f t="shared" ref="CW9:CW38" si="34">IF(CV9="","",(CV9*(0.785*92*92)/1000))</f>
        <v>19.268296000000039</v>
      </c>
      <c r="CX9" s="69">
        <f t="shared" ref="CX9:CX38" si="35">IF(CW9="","",(CW9)/C9)</f>
        <v>6.8815342857142997E-2</v>
      </c>
      <c r="CY9" s="66" t="s">
        <v>240</v>
      </c>
      <c r="CZ9" s="66" t="s">
        <v>241</v>
      </c>
      <c r="DA9" s="66" t="s">
        <v>242</v>
      </c>
      <c r="DB9" s="65" t="str">
        <f t="shared" ref="DB9:DB38" si="36">IF(J9="","",J9)</f>
        <v>ME</v>
      </c>
      <c r="DC9" s="56">
        <v>2</v>
      </c>
      <c r="DD9" s="61">
        <v>89.3</v>
      </c>
      <c r="DE9" s="61">
        <v>103.7</v>
      </c>
      <c r="DF9" s="68">
        <f t="shared" ref="DF9:DF37" si="37">IF(DD10="","",IF(DE9="",IF(DD9=DD10,"",(DD9-DD10)),IF(DE9=DD10,"",(DE9-DD10))))</f>
        <v>25.900000000000006</v>
      </c>
      <c r="DG9" s="69">
        <f t="shared" ref="DG9:DG38" si="38">IF(DF9="","",(DF9*(0.785*92*92)*0.00812/1000))</f>
        <v>1.3973368259200001</v>
      </c>
      <c r="DH9" s="68">
        <f t="shared" ref="DH9:DH38" si="39">IF(DG9="","",(DG9*1000)/C9)</f>
        <v>4.9904886640000008</v>
      </c>
      <c r="DI9" s="62">
        <v>90</v>
      </c>
      <c r="DJ9" s="62">
        <v>54</v>
      </c>
      <c r="DK9" s="65" t="str">
        <f t="shared" ref="DK9:DK38" si="40">IF(J9="","",J9)</f>
        <v>ME</v>
      </c>
      <c r="DL9" s="56">
        <v>2</v>
      </c>
      <c r="DM9" s="63">
        <v>8.0399999999999991</v>
      </c>
      <c r="DN9" s="64">
        <v>1.7000000000000001E-2</v>
      </c>
      <c r="DO9" s="64">
        <v>3.3000000000000002E-2</v>
      </c>
      <c r="DP9" s="64">
        <v>4.4999999999999998E-2</v>
      </c>
      <c r="DQ9" s="63">
        <v>6.7</v>
      </c>
      <c r="DR9" s="61">
        <v>7.2</v>
      </c>
      <c r="DS9" s="64">
        <v>1.278</v>
      </c>
      <c r="DT9" s="61">
        <v>86.5</v>
      </c>
      <c r="DU9" s="63">
        <v>4.12</v>
      </c>
      <c r="DV9" s="64">
        <v>0.71</v>
      </c>
      <c r="DW9" s="64">
        <v>0.71</v>
      </c>
      <c r="DX9" s="66" t="s">
        <v>247</v>
      </c>
      <c r="DY9" s="65" t="str">
        <f t="shared" ref="DY9:DY38" si="41">IF(J9="","",J9)</f>
        <v>ME</v>
      </c>
      <c r="DZ9" s="128">
        <v>2</v>
      </c>
      <c r="EA9" s="173">
        <f t="shared" ref="EA9:EA38" si="42">IF(C9="","",C9/1496)</f>
        <v>0.18716577540106952</v>
      </c>
      <c r="EB9" s="173">
        <f t="shared" ref="EB9:EB38" si="43">IF(F9="","",IF(Q9="",F9/1360,(F9+Q9)/1360))</f>
        <v>0.15808823529411764</v>
      </c>
      <c r="EC9" s="173">
        <f t="shared" ref="EC9:EC38" si="44">IF(I9="","",IF(C9="","",I9/C9))</f>
        <v>0.7142857142857143</v>
      </c>
      <c r="ED9" s="63">
        <v>1.24</v>
      </c>
      <c r="EE9" s="63">
        <v>1.3</v>
      </c>
      <c r="EF9" s="63">
        <v>0.04</v>
      </c>
      <c r="EG9" s="63">
        <v>0.03</v>
      </c>
      <c r="EH9" s="127" t="str">
        <f t="shared" si="5"/>
        <v>ME</v>
      </c>
      <c r="EI9" s="56">
        <v>2</v>
      </c>
      <c r="EJ9" s="349"/>
      <c r="EK9" s="334"/>
      <c r="EL9" s="334"/>
      <c r="EM9" s="334"/>
      <c r="EN9" s="334"/>
      <c r="EO9" s="334"/>
      <c r="EP9" s="334"/>
      <c r="EQ9" s="65" t="str">
        <f t="shared" ref="EQ9:EQ38" si="45">IF(J9="","",J9)</f>
        <v>ME</v>
      </c>
      <c r="ER9" s="20"/>
      <c r="ES9" s="20"/>
      <c r="ET9" s="20"/>
      <c r="EU9" s="20"/>
      <c r="EV9" s="20"/>
      <c r="EW9" s="20"/>
      <c r="EX9" s="20"/>
    </row>
    <row r="10" spans="1:154" s="3" customFormat="1" ht="17.149999999999999" customHeight="1" x14ac:dyDescent="0.25">
      <c r="A10" s="56">
        <v>3</v>
      </c>
      <c r="B10" s="57">
        <v>872435</v>
      </c>
      <c r="C10" s="58">
        <f t="shared" si="6"/>
        <v>257</v>
      </c>
      <c r="D10" s="167">
        <v>9.93</v>
      </c>
      <c r="E10" s="57">
        <v>776590</v>
      </c>
      <c r="F10" s="58">
        <f t="shared" si="7"/>
        <v>300</v>
      </c>
      <c r="G10" s="168">
        <v>1.92</v>
      </c>
      <c r="H10" s="57">
        <v>738289</v>
      </c>
      <c r="I10" s="58">
        <f t="shared" si="0"/>
        <v>225</v>
      </c>
      <c r="J10" s="60" t="s">
        <v>194</v>
      </c>
      <c r="K10" s="56">
        <v>3</v>
      </c>
      <c r="L10" s="57">
        <v>68349</v>
      </c>
      <c r="M10" s="58" t="str">
        <f t="shared" si="8"/>
        <v/>
      </c>
      <c r="N10" s="57">
        <v>172703</v>
      </c>
      <c r="O10" s="58">
        <f t="shared" si="9"/>
        <v>31</v>
      </c>
      <c r="P10" s="57">
        <v>194713</v>
      </c>
      <c r="Q10" s="58" t="str">
        <f t="shared" si="1"/>
        <v/>
      </c>
      <c r="R10" s="57">
        <v>663</v>
      </c>
      <c r="S10" s="57">
        <v>670</v>
      </c>
      <c r="T10" s="170">
        <v>138</v>
      </c>
      <c r="U10" s="57">
        <v>135</v>
      </c>
      <c r="V10" s="58" t="str">
        <f t="shared" si="10"/>
        <v>ME</v>
      </c>
      <c r="W10" s="56">
        <v>3</v>
      </c>
      <c r="X10" s="63">
        <v>11490.74</v>
      </c>
      <c r="Y10" s="130">
        <f t="shared" si="11"/>
        <v>2.5100000000002183</v>
      </c>
      <c r="Z10" s="63">
        <v>12262.72</v>
      </c>
      <c r="AA10" s="130">
        <f t="shared" si="12"/>
        <v>5.0600000000013097</v>
      </c>
      <c r="AB10" s="63">
        <v>9697.7000000000007</v>
      </c>
      <c r="AC10" s="130">
        <f t="shared" si="13"/>
        <v>4</v>
      </c>
      <c r="AD10" s="63">
        <v>9785.84</v>
      </c>
      <c r="AE10" s="130">
        <f t="shared" si="2"/>
        <v>2</v>
      </c>
      <c r="AF10" s="125" t="str">
        <f t="shared" si="14"/>
        <v>ME</v>
      </c>
      <c r="AG10" s="56">
        <v>3</v>
      </c>
      <c r="AH10" s="63">
        <v>45782.69</v>
      </c>
      <c r="AI10" s="130">
        <f t="shared" si="15"/>
        <v>10.680000000000291</v>
      </c>
      <c r="AJ10" s="63">
        <v>47917.7</v>
      </c>
      <c r="AK10" s="130">
        <f t="shared" si="16"/>
        <v>12.560000000004948</v>
      </c>
      <c r="AL10" s="63">
        <v>585.75</v>
      </c>
      <c r="AM10" s="130" t="str">
        <f t="shared" si="17"/>
        <v/>
      </c>
      <c r="AN10" s="63">
        <v>547.01</v>
      </c>
      <c r="AO10" s="130" t="str">
        <f t="shared" si="3"/>
        <v/>
      </c>
      <c r="AP10" s="125" t="str">
        <f t="shared" si="18"/>
        <v>ME</v>
      </c>
      <c r="AQ10" s="56">
        <v>3</v>
      </c>
      <c r="AR10" s="63">
        <v>6594.94</v>
      </c>
      <c r="AS10" s="130">
        <f t="shared" si="19"/>
        <v>1.5500000000001819</v>
      </c>
      <c r="AT10" s="63">
        <v>7305.7</v>
      </c>
      <c r="AU10" s="130">
        <f t="shared" si="20"/>
        <v>1.6900000000005093</v>
      </c>
      <c r="AV10" s="63">
        <v>250.79</v>
      </c>
      <c r="AW10" s="277" t="str">
        <f t="shared" si="21"/>
        <v/>
      </c>
      <c r="AX10" s="63">
        <v>238.81</v>
      </c>
      <c r="AY10" s="130" t="str">
        <f t="shared" si="4"/>
        <v/>
      </c>
      <c r="AZ10" s="125" t="str">
        <f t="shared" si="22"/>
        <v>ME</v>
      </c>
      <c r="BA10" s="56">
        <v>3</v>
      </c>
      <c r="BB10" s="64">
        <v>0.53400000000000003</v>
      </c>
      <c r="BC10" s="62">
        <v>21</v>
      </c>
      <c r="BD10" s="61">
        <v>7.2</v>
      </c>
      <c r="BE10" s="61">
        <v>3</v>
      </c>
      <c r="BF10" s="61">
        <v>15.4</v>
      </c>
      <c r="BG10" s="61">
        <v>7.2</v>
      </c>
      <c r="BH10" s="64">
        <v>0.247</v>
      </c>
      <c r="BI10" s="64">
        <v>0.25</v>
      </c>
      <c r="BJ10" s="64">
        <v>5.0999999999999997E-2</v>
      </c>
      <c r="BK10" s="64">
        <v>0.05</v>
      </c>
      <c r="BL10" s="64">
        <v>4.8000000000000001E-2</v>
      </c>
      <c r="BM10" s="64">
        <v>0.05</v>
      </c>
      <c r="BN10" s="65" t="str">
        <f t="shared" si="23"/>
        <v>ME</v>
      </c>
      <c r="BO10" s="56">
        <v>3</v>
      </c>
      <c r="BP10" s="64">
        <v>6.9000000000000006E-2</v>
      </c>
      <c r="BQ10" s="62">
        <v>0</v>
      </c>
      <c r="BR10" s="61">
        <v>7.3</v>
      </c>
      <c r="BS10" s="61">
        <v>7.2</v>
      </c>
      <c r="BT10" s="61">
        <v>18.399999999999999</v>
      </c>
      <c r="BU10" s="64">
        <v>1.0999999999999999E-2</v>
      </c>
      <c r="BV10" s="63">
        <v>1.26</v>
      </c>
      <c r="BW10" s="63">
        <v>1.1399999999999999</v>
      </c>
      <c r="BX10" s="66" t="s">
        <v>245</v>
      </c>
      <c r="BY10" s="172" t="s">
        <v>246</v>
      </c>
      <c r="BZ10" s="67" t="str">
        <f t="shared" si="24"/>
        <v>ME</v>
      </c>
      <c r="CA10" s="56">
        <v>3</v>
      </c>
      <c r="CB10" s="61">
        <v>87.6</v>
      </c>
      <c r="CC10" s="61"/>
      <c r="CD10" s="69">
        <f t="shared" si="25"/>
        <v>1.2999999999999972</v>
      </c>
      <c r="CE10" s="69">
        <f t="shared" si="26"/>
        <v>6.0505444999999876</v>
      </c>
      <c r="CF10" s="69">
        <f t="shared" si="27"/>
        <v>3.2269570666666594</v>
      </c>
      <c r="CG10" s="62">
        <v>40</v>
      </c>
      <c r="CH10" s="62">
        <v>100</v>
      </c>
      <c r="CI10" s="65" t="str">
        <f t="shared" si="28"/>
        <v>ME</v>
      </c>
      <c r="CJ10" s="56">
        <v>3</v>
      </c>
      <c r="CK10" s="61">
        <v>89.7</v>
      </c>
      <c r="CL10" s="61"/>
      <c r="CM10" s="68">
        <f t="shared" si="29"/>
        <v>3.2000000000000028</v>
      </c>
      <c r="CN10" s="68">
        <f t="shared" si="30"/>
        <v>14.893648000000013</v>
      </c>
      <c r="CO10" s="68">
        <f t="shared" si="31"/>
        <v>23.04458804357979</v>
      </c>
      <c r="CP10" s="62">
        <v>55</v>
      </c>
      <c r="CQ10" s="62">
        <v>83</v>
      </c>
      <c r="CR10" s="65" t="str">
        <f t="shared" si="32"/>
        <v>ME</v>
      </c>
      <c r="CS10" s="56">
        <v>3</v>
      </c>
      <c r="CT10" s="61">
        <v>93.1</v>
      </c>
      <c r="CU10" s="61"/>
      <c r="CV10" s="68">
        <f t="shared" si="33"/>
        <v>2.7999999999999972</v>
      </c>
      <c r="CW10" s="68">
        <f t="shared" si="34"/>
        <v>18.603871999999981</v>
      </c>
      <c r="CX10" s="69">
        <f t="shared" si="35"/>
        <v>7.2388607003890978E-2</v>
      </c>
      <c r="CY10" s="66" t="s">
        <v>251</v>
      </c>
      <c r="CZ10" s="66" t="s">
        <v>241</v>
      </c>
      <c r="DA10" s="66"/>
      <c r="DB10" s="65" t="str">
        <f t="shared" si="36"/>
        <v>ME</v>
      </c>
      <c r="DC10" s="56">
        <v>3</v>
      </c>
      <c r="DD10" s="61">
        <v>77.8</v>
      </c>
      <c r="DE10" s="61">
        <v>103.1</v>
      </c>
      <c r="DF10" s="68">
        <f t="shared" si="37"/>
        <v>22.599999999999994</v>
      </c>
      <c r="DG10" s="69">
        <f t="shared" si="38"/>
        <v>1.2192977708799997</v>
      </c>
      <c r="DH10" s="68">
        <f t="shared" si="39"/>
        <v>4.7443493030350181</v>
      </c>
      <c r="DI10" s="62">
        <v>94</v>
      </c>
      <c r="DJ10" s="62">
        <v>54</v>
      </c>
      <c r="DK10" s="65" t="str">
        <f t="shared" si="40"/>
        <v>ME</v>
      </c>
      <c r="DL10" s="56">
        <v>3</v>
      </c>
      <c r="DM10" s="63">
        <v>8.1999999999999993</v>
      </c>
      <c r="DN10" s="64">
        <v>2.1000000000000001E-2</v>
      </c>
      <c r="DO10" s="64">
        <v>3.2000000000000001E-2</v>
      </c>
      <c r="DP10" s="64">
        <v>4.3999999999999997E-2</v>
      </c>
      <c r="DQ10" s="63">
        <v>6.7</v>
      </c>
      <c r="DR10" s="61">
        <v>7.2</v>
      </c>
      <c r="DS10" s="64">
        <v>1.2270000000000001</v>
      </c>
      <c r="DT10" s="61">
        <v>84.5</v>
      </c>
      <c r="DU10" s="63">
        <v>4.2</v>
      </c>
      <c r="DV10" s="64">
        <v>0.69599999999999995</v>
      </c>
      <c r="DW10" s="64">
        <v>1.53</v>
      </c>
      <c r="DX10" s="66" t="s">
        <v>242</v>
      </c>
      <c r="DY10" s="65" t="str">
        <f t="shared" si="41"/>
        <v>ME</v>
      </c>
      <c r="DZ10" s="128">
        <v>3</v>
      </c>
      <c r="EA10" s="173">
        <f t="shared" si="42"/>
        <v>0.17179144385026737</v>
      </c>
      <c r="EB10" s="173">
        <f t="shared" si="43"/>
        <v>0.22058823529411764</v>
      </c>
      <c r="EC10" s="173">
        <f t="shared" si="44"/>
        <v>0.8754863813229572</v>
      </c>
      <c r="ED10" s="63">
        <v>1.18</v>
      </c>
      <c r="EE10" s="63">
        <v>1.25</v>
      </c>
      <c r="EF10" s="63">
        <v>0.04</v>
      </c>
      <c r="EG10" s="63">
        <v>0.04</v>
      </c>
      <c r="EH10" s="127" t="str">
        <f t="shared" si="5"/>
        <v>ME</v>
      </c>
      <c r="EI10" s="56">
        <v>3</v>
      </c>
      <c r="EJ10" s="334"/>
      <c r="EK10" s="334"/>
      <c r="EL10" s="334"/>
      <c r="EM10" s="334"/>
      <c r="EN10" s="334"/>
      <c r="EO10" s="334"/>
      <c r="EP10" s="334"/>
      <c r="EQ10" s="65" t="str">
        <f t="shared" si="45"/>
        <v>ME</v>
      </c>
      <c r="ER10" s="20"/>
      <c r="ES10" s="20"/>
      <c r="ET10" s="20"/>
      <c r="EU10" s="20"/>
      <c r="EV10" s="20"/>
      <c r="EW10" s="20"/>
      <c r="EX10" s="20"/>
    </row>
    <row r="11" spans="1:154" s="3" customFormat="1" ht="17.149999999999999" customHeight="1" x14ac:dyDescent="0.25">
      <c r="A11" s="56">
        <v>4</v>
      </c>
      <c r="B11" s="57">
        <v>872692</v>
      </c>
      <c r="C11" s="58">
        <f t="shared" si="6"/>
        <v>160</v>
      </c>
      <c r="D11" s="167">
        <v>9.68</v>
      </c>
      <c r="E11" s="57">
        <v>776890</v>
      </c>
      <c r="F11" s="58">
        <f t="shared" si="7"/>
        <v>124</v>
      </c>
      <c r="G11" s="168">
        <v>3.23</v>
      </c>
      <c r="H11" s="57">
        <v>738514</v>
      </c>
      <c r="I11" s="58">
        <f t="shared" si="0"/>
        <v>140</v>
      </c>
      <c r="J11" s="60" t="s">
        <v>194</v>
      </c>
      <c r="K11" s="56">
        <v>4</v>
      </c>
      <c r="L11" s="57">
        <v>68349</v>
      </c>
      <c r="M11" s="58" t="str">
        <f t="shared" si="8"/>
        <v/>
      </c>
      <c r="N11" s="57">
        <v>172734</v>
      </c>
      <c r="O11" s="58">
        <f t="shared" si="9"/>
        <v>30</v>
      </c>
      <c r="P11" s="57">
        <v>194713</v>
      </c>
      <c r="Q11" s="169" t="str">
        <f t="shared" si="1"/>
        <v/>
      </c>
      <c r="R11" s="57">
        <v>663</v>
      </c>
      <c r="S11" s="57">
        <v>670</v>
      </c>
      <c r="T11" s="170">
        <v>138</v>
      </c>
      <c r="U11" s="57">
        <v>135</v>
      </c>
      <c r="V11" s="58" t="str">
        <f t="shared" si="10"/>
        <v>ME</v>
      </c>
      <c r="W11" s="56">
        <v>4</v>
      </c>
      <c r="X11" s="63">
        <v>11493.25</v>
      </c>
      <c r="Y11" s="130">
        <f t="shared" si="11"/>
        <v>2.4099999999998545</v>
      </c>
      <c r="Z11" s="63">
        <v>12267.78</v>
      </c>
      <c r="AA11" s="130">
        <f t="shared" si="12"/>
        <v>2.2699999999986176</v>
      </c>
      <c r="AB11" s="63">
        <v>9701.7000000000007</v>
      </c>
      <c r="AC11" s="130">
        <f t="shared" si="13"/>
        <v>1.7799999999988358</v>
      </c>
      <c r="AD11" s="63">
        <v>9787.84</v>
      </c>
      <c r="AE11" s="130">
        <f t="shared" si="2"/>
        <v>1.930000000000291</v>
      </c>
      <c r="AF11" s="125" t="str">
        <f t="shared" si="14"/>
        <v>ME</v>
      </c>
      <c r="AG11" s="56">
        <v>4</v>
      </c>
      <c r="AH11" s="63">
        <v>45793.37</v>
      </c>
      <c r="AI11" s="130">
        <f t="shared" si="15"/>
        <v>13.319999999999709</v>
      </c>
      <c r="AJ11" s="63">
        <v>47930.26</v>
      </c>
      <c r="AK11" s="130">
        <f t="shared" si="16"/>
        <v>9.0499999999956344</v>
      </c>
      <c r="AL11" s="63">
        <v>585.75</v>
      </c>
      <c r="AM11" s="130" t="str">
        <f t="shared" si="17"/>
        <v/>
      </c>
      <c r="AN11" s="63">
        <v>547.01</v>
      </c>
      <c r="AO11" s="130" t="str">
        <f t="shared" si="3"/>
        <v/>
      </c>
      <c r="AP11" s="125" t="str">
        <f t="shared" si="18"/>
        <v>ME</v>
      </c>
      <c r="AQ11" s="56">
        <v>4</v>
      </c>
      <c r="AR11" s="63">
        <v>6596.49</v>
      </c>
      <c r="AS11" s="130">
        <f t="shared" si="19"/>
        <v>1.7300000000004729</v>
      </c>
      <c r="AT11" s="63">
        <v>7307.39</v>
      </c>
      <c r="AU11" s="130">
        <f t="shared" si="20"/>
        <v>1.3699999999998909</v>
      </c>
      <c r="AV11" s="63">
        <v>250.79</v>
      </c>
      <c r="AW11" s="277" t="str">
        <f t="shared" si="21"/>
        <v/>
      </c>
      <c r="AX11" s="63">
        <v>238.81</v>
      </c>
      <c r="AY11" s="130" t="str">
        <f t="shared" si="4"/>
        <v/>
      </c>
      <c r="AZ11" s="125" t="str">
        <f t="shared" si="22"/>
        <v>ME</v>
      </c>
      <c r="BA11" s="56">
        <v>4</v>
      </c>
      <c r="BB11" s="64">
        <v>0.45700000000000002</v>
      </c>
      <c r="BC11" s="62">
        <v>20</v>
      </c>
      <c r="BD11" s="61">
        <v>7.3</v>
      </c>
      <c r="BE11" s="61">
        <v>2.8</v>
      </c>
      <c r="BF11" s="61">
        <v>14.2</v>
      </c>
      <c r="BG11" s="61">
        <v>7.3</v>
      </c>
      <c r="BH11" s="64">
        <v>0.23499999999999999</v>
      </c>
      <c r="BI11" s="64">
        <v>0.23599999999999999</v>
      </c>
      <c r="BJ11" s="64">
        <v>4.4999999999999998E-2</v>
      </c>
      <c r="BK11" s="64">
        <v>5.7000000000000002E-2</v>
      </c>
      <c r="BL11" s="64">
        <v>4.9000000000000002E-2</v>
      </c>
      <c r="BM11" s="64">
        <v>0.05</v>
      </c>
      <c r="BN11" s="65" t="str">
        <f t="shared" si="23"/>
        <v>ME</v>
      </c>
      <c r="BO11" s="56">
        <v>4</v>
      </c>
      <c r="BP11" s="64">
        <v>6.2E-2</v>
      </c>
      <c r="BQ11" s="62">
        <v>0</v>
      </c>
      <c r="BR11" s="61">
        <v>7.3</v>
      </c>
      <c r="BS11" s="61">
        <v>7.1</v>
      </c>
      <c r="BT11" s="61">
        <v>18</v>
      </c>
      <c r="BU11" s="64">
        <v>0.01</v>
      </c>
      <c r="BV11" s="63">
        <v>1.17</v>
      </c>
      <c r="BW11" s="63">
        <v>1.07</v>
      </c>
      <c r="BX11" s="66" t="s">
        <v>269</v>
      </c>
      <c r="BY11" s="172" t="s">
        <v>246</v>
      </c>
      <c r="BZ11" s="67" t="str">
        <f t="shared" si="24"/>
        <v>ME</v>
      </c>
      <c r="CA11" s="56">
        <v>4</v>
      </c>
      <c r="CB11" s="61">
        <v>86.3</v>
      </c>
      <c r="CC11" s="61"/>
      <c r="CD11" s="69">
        <f t="shared" si="25"/>
        <v>0.79999999999999716</v>
      </c>
      <c r="CE11" s="69">
        <f t="shared" si="26"/>
        <v>3.7234119999999873</v>
      </c>
      <c r="CF11" s="69">
        <f t="shared" si="27"/>
        <v>3.1914959999999888</v>
      </c>
      <c r="CG11" s="62">
        <v>39</v>
      </c>
      <c r="CH11" s="62">
        <v>100</v>
      </c>
      <c r="CI11" s="65" t="str">
        <f t="shared" si="28"/>
        <v>ME</v>
      </c>
      <c r="CJ11" s="56">
        <v>4</v>
      </c>
      <c r="CK11" s="61">
        <v>86.5</v>
      </c>
      <c r="CL11" s="61"/>
      <c r="CM11" s="68">
        <f t="shared" si="29"/>
        <v>2</v>
      </c>
      <c r="CN11" s="68">
        <f t="shared" si="30"/>
        <v>9.3085300000000011</v>
      </c>
      <c r="CO11" s="68">
        <f t="shared" si="31"/>
        <v>23.134605965625006</v>
      </c>
      <c r="CP11" s="62">
        <v>54</v>
      </c>
      <c r="CQ11" s="62">
        <v>83</v>
      </c>
      <c r="CR11" s="65" t="str">
        <f t="shared" si="32"/>
        <v>ME</v>
      </c>
      <c r="CS11" s="56">
        <v>4</v>
      </c>
      <c r="CT11" s="61">
        <v>90.3</v>
      </c>
      <c r="CU11" s="61">
        <v>113.5</v>
      </c>
      <c r="CV11" s="68">
        <f t="shared" si="33"/>
        <v>0.59999999999999432</v>
      </c>
      <c r="CW11" s="68">
        <f t="shared" si="34"/>
        <v>3.9865439999999621</v>
      </c>
      <c r="CX11" s="69">
        <f t="shared" si="35"/>
        <v>2.4915899999999762E-2</v>
      </c>
      <c r="CY11" s="66" t="s">
        <v>240</v>
      </c>
      <c r="CZ11" s="66" t="s">
        <v>241</v>
      </c>
      <c r="DA11" s="66"/>
      <c r="DB11" s="65" t="str">
        <f t="shared" si="36"/>
        <v>ME</v>
      </c>
      <c r="DC11" s="56">
        <v>4</v>
      </c>
      <c r="DD11" s="61">
        <v>80.5</v>
      </c>
      <c r="DE11" s="61">
        <v>102.8</v>
      </c>
      <c r="DF11" s="68">
        <f t="shared" si="37"/>
        <v>7.5999999999999943</v>
      </c>
      <c r="DG11" s="69">
        <f t="shared" si="38"/>
        <v>0.41002933887999965</v>
      </c>
      <c r="DH11" s="68">
        <f t="shared" si="39"/>
        <v>2.5626833679999979</v>
      </c>
      <c r="DI11" s="62">
        <v>91</v>
      </c>
      <c r="DJ11" s="62">
        <v>54</v>
      </c>
      <c r="DK11" s="65" t="str">
        <f t="shared" si="40"/>
        <v>ME</v>
      </c>
      <c r="DL11" s="56">
        <v>4</v>
      </c>
      <c r="DM11" s="63">
        <v>8.27</v>
      </c>
      <c r="DN11" s="64">
        <v>2.1000000000000001E-2</v>
      </c>
      <c r="DO11" s="64">
        <v>3.2000000000000001E-2</v>
      </c>
      <c r="DP11" s="64">
        <v>4.2999999999999997E-2</v>
      </c>
      <c r="DQ11" s="63">
        <v>6.69</v>
      </c>
      <c r="DR11" s="61">
        <v>7.1</v>
      </c>
      <c r="DS11" s="64">
        <v>1.1579999999999999</v>
      </c>
      <c r="DT11" s="61">
        <v>85</v>
      </c>
      <c r="DU11" s="63">
        <v>4.3499999999999996</v>
      </c>
      <c r="DV11" s="64">
        <v>0.70199999999999996</v>
      </c>
      <c r="DW11" s="64">
        <v>0.61399999999999999</v>
      </c>
      <c r="DX11" s="66" t="s">
        <v>247</v>
      </c>
      <c r="DY11" s="65" t="str">
        <f t="shared" si="41"/>
        <v>ME</v>
      </c>
      <c r="DZ11" s="128">
        <v>4</v>
      </c>
      <c r="EA11" s="173">
        <f t="shared" si="42"/>
        <v>0.10695187165775401</v>
      </c>
      <c r="EB11" s="173">
        <f t="shared" si="43"/>
        <v>9.1176470588235289E-2</v>
      </c>
      <c r="EC11" s="173">
        <f t="shared" si="44"/>
        <v>0.875</v>
      </c>
      <c r="ED11" s="63">
        <v>1.1200000000000001</v>
      </c>
      <c r="EE11" s="63">
        <v>1.19</v>
      </c>
      <c r="EF11" s="63">
        <v>0.04</v>
      </c>
      <c r="EG11" s="63">
        <v>0.04</v>
      </c>
      <c r="EH11" s="127" t="str">
        <f t="shared" si="5"/>
        <v>ME</v>
      </c>
      <c r="EI11" s="56">
        <v>4</v>
      </c>
      <c r="EJ11" s="334" t="s">
        <v>308</v>
      </c>
      <c r="EK11" s="334"/>
      <c r="EL11" s="334"/>
      <c r="EM11" s="334"/>
      <c r="EN11" s="334"/>
      <c r="EO11" s="334"/>
      <c r="EP11" s="334"/>
      <c r="EQ11" s="65" t="str">
        <f t="shared" si="45"/>
        <v>ME</v>
      </c>
      <c r="ER11" s="20"/>
      <c r="ES11" s="20"/>
      <c r="ET11" s="20"/>
      <c r="EU11" s="20"/>
      <c r="EV11" s="20"/>
      <c r="EW11" s="20"/>
      <c r="EX11" s="20"/>
    </row>
    <row r="12" spans="1:154" s="3" customFormat="1" ht="17.149999999999999" customHeight="1" x14ac:dyDescent="0.25">
      <c r="A12" s="56">
        <v>5</v>
      </c>
      <c r="B12" s="57">
        <v>872852</v>
      </c>
      <c r="C12" s="58">
        <f t="shared" si="6"/>
        <v>296</v>
      </c>
      <c r="D12" s="167">
        <v>9.59</v>
      </c>
      <c r="E12" s="57">
        <v>777014</v>
      </c>
      <c r="F12" s="58">
        <f t="shared" si="7"/>
        <v>235</v>
      </c>
      <c r="G12" s="168">
        <v>3.39</v>
      </c>
      <c r="H12" s="57">
        <v>738654</v>
      </c>
      <c r="I12" s="58">
        <f t="shared" si="0"/>
        <v>220</v>
      </c>
      <c r="J12" s="60" t="s">
        <v>194</v>
      </c>
      <c r="K12" s="56">
        <v>5</v>
      </c>
      <c r="L12" s="57">
        <v>68349</v>
      </c>
      <c r="M12" s="58">
        <f t="shared" si="8"/>
        <v>48</v>
      </c>
      <c r="N12" s="57">
        <v>172764</v>
      </c>
      <c r="O12" s="58">
        <f t="shared" si="9"/>
        <v>76</v>
      </c>
      <c r="P12" s="57">
        <v>194713</v>
      </c>
      <c r="Q12" s="169" t="str">
        <f t="shared" si="1"/>
        <v/>
      </c>
      <c r="R12" s="57">
        <v>663</v>
      </c>
      <c r="S12" s="57">
        <v>670</v>
      </c>
      <c r="T12" s="57">
        <v>138</v>
      </c>
      <c r="U12" s="57">
        <v>135</v>
      </c>
      <c r="V12" s="58" t="str">
        <f t="shared" si="10"/>
        <v>ME</v>
      </c>
      <c r="W12" s="56">
        <v>5</v>
      </c>
      <c r="X12" s="63">
        <v>11495.66</v>
      </c>
      <c r="Y12" s="130">
        <f t="shared" si="11"/>
        <v>6.3500000000003638</v>
      </c>
      <c r="Z12" s="63">
        <v>12270.05</v>
      </c>
      <c r="AA12" s="130">
        <f t="shared" si="12"/>
        <v>2.4700000000011642</v>
      </c>
      <c r="AB12" s="63">
        <v>9703.48</v>
      </c>
      <c r="AC12" s="130">
        <f t="shared" si="13"/>
        <v>1.9700000000011642</v>
      </c>
      <c r="AD12" s="63">
        <v>9789.77</v>
      </c>
      <c r="AE12" s="130">
        <f t="shared" si="2"/>
        <v>3.8500000000003638</v>
      </c>
      <c r="AF12" s="125" t="str">
        <f t="shared" si="14"/>
        <v>ME</v>
      </c>
      <c r="AG12" s="56">
        <v>5</v>
      </c>
      <c r="AH12" s="63">
        <v>45806.69</v>
      </c>
      <c r="AI12" s="130">
        <f t="shared" si="15"/>
        <v>9.0499999999956344</v>
      </c>
      <c r="AJ12" s="63">
        <v>47939.31</v>
      </c>
      <c r="AK12" s="130">
        <f t="shared" si="16"/>
        <v>14.950000000004366</v>
      </c>
      <c r="AL12" s="63">
        <v>585.75</v>
      </c>
      <c r="AM12" s="130" t="str">
        <f t="shared" si="17"/>
        <v/>
      </c>
      <c r="AN12" s="63">
        <v>547.01</v>
      </c>
      <c r="AO12" s="130" t="str">
        <f t="shared" si="3"/>
        <v/>
      </c>
      <c r="AP12" s="125" t="str">
        <f t="shared" si="18"/>
        <v>ME</v>
      </c>
      <c r="AQ12" s="56">
        <v>5</v>
      </c>
      <c r="AR12" s="63">
        <v>6598.22</v>
      </c>
      <c r="AS12" s="130">
        <f t="shared" si="19"/>
        <v>3.3800000000001091</v>
      </c>
      <c r="AT12" s="63">
        <v>7308.76</v>
      </c>
      <c r="AU12" s="130">
        <f t="shared" si="20"/>
        <v>3.5799999999999272</v>
      </c>
      <c r="AV12" s="63">
        <v>250.79</v>
      </c>
      <c r="AW12" s="277">
        <f t="shared" si="21"/>
        <v>0.34000000000000341</v>
      </c>
      <c r="AX12" s="63">
        <v>238.81</v>
      </c>
      <c r="AY12" s="130" t="str">
        <f t="shared" si="4"/>
        <v/>
      </c>
      <c r="AZ12" s="125" t="str">
        <f t="shared" si="22"/>
        <v>ME</v>
      </c>
      <c r="BA12" s="56">
        <v>5</v>
      </c>
      <c r="BB12" s="64"/>
      <c r="BC12" s="62"/>
      <c r="BD12" s="61"/>
      <c r="BE12" s="61"/>
      <c r="BF12" s="61"/>
      <c r="BG12" s="61"/>
      <c r="BH12" s="64"/>
      <c r="BI12" s="64"/>
      <c r="BJ12" s="64"/>
      <c r="BK12" s="64"/>
      <c r="BL12" s="64"/>
      <c r="BM12" s="64"/>
      <c r="BN12" s="65" t="str">
        <f t="shared" si="23"/>
        <v>ME</v>
      </c>
      <c r="BO12" s="56">
        <v>5</v>
      </c>
      <c r="BP12" s="64">
        <v>6.5000000000000002E-2</v>
      </c>
      <c r="BQ12" s="62"/>
      <c r="BR12" s="61"/>
      <c r="BS12" s="61"/>
      <c r="BT12" s="61"/>
      <c r="BU12" s="64"/>
      <c r="BV12" s="63">
        <v>1.1000000000000001</v>
      </c>
      <c r="BW12" s="63">
        <v>0.84</v>
      </c>
      <c r="BX12" s="66" t="s">
        <v>273</v>
      </c>
      <c r="BY12" s="172" t="s">
        <v>246</v>
      </c>
      <c r="BZ12" s="67" t="str">
        <f t="shared" si="24"/>
        <v>ME</v>
      </c>
      <c r="CA12" s="56">
        <v>5</v>
      </c>
      <c r="CB12" s="61">
        <v>85.5</v>
      </c>
      <c r="CC12" s="61"/>
      <c r="CD12" s="69">
        <f t="shared" si="25"/>
        <v>1.7000000000000028</v>
      </c>
      <c r="CE12" s="69">
        <f t="shared" si="26"/>
        <v>7.9122505000000141</v>
      </c>
      <c r="CF12" s="69">
        <f t="shared" si="27"/>
        <v>4.3157730000000081</v>
      </c>
      <c r="CG12" s="62">
        <v>54</v>
      </c>
      <c r="CH12" s="62">
        <v>100</v>
      </c>
      <c r="CI12" s="65" t="str">
        <f t="shared" si="28"/>
        <v>ME</v>
      </c>
      <c r="CJ12" s="56">
        <v>5</v>
      </c>
      <c r="CK12" s="61">
        <v>84.5</v>
      </c>
      <c r="CL12" s="61"/>
      <c r="CM12" s="68">
        <f t="shared" si="29"/>
        <v>3.7999999999999972</v>
      </c>
      <c r="CN12" s="68">
        <f t="shared" si="30"/>
        <v>17.686206999999989</v>
      </c>
      <c r="CO12" s="68">
        <f t="shared" si="31"/>
        <v>23.759865586317556</v>
      </c>
      <c r="CP12" s="62">
        <v>53</v>
      </c>
      <c r="CQ12" s="62">
        <v>83</v>
      </c>
      <c r="CR12" s="65" t="str">
        <f t="shared" si="32"/>
        <v>ME</v>
      </c>
      <c r="CS12" s="56">
        <v>5</v>
      </c>
      <c r="CT12" s="61">
        <v>112.9</v>
      </c>
      <c r="CU12" s="61"/>
      <c r="CV12" s="68">
        <f t="shared" si="33"/>
        <v>3.2000000000000028</v>
      </c>
      <c r="CW12" s="68">
        <f t="shared" si="34"/>
        <v>21.261568000000018</v>
      </c>
      <c r="CX12" s="69">
        <f t="shared" si="35"/>
        <v>7.1829621621621681E-2</v>
      </c>
      <c r="CY12" s="66" t="s">
        <v>240</v>
      </c>
      <c r="CZ12" s="66" t="s">
        <v>241</v>
      </c>
      <c r="DA12" s="66"/>
      <c r="DB12" s="65" t="str">
        <f t="shared" si="36"/>
        <v>ME</v>
      </c>
      <c r="DC12" s="56">
        <v>5</v>
      </c>
      <c r="DD12" s="61">
        <v>95.2</v>
      </c>
      <c r="DE12" s="61">
        <v>103.5</v>
      </c>
      <c r="DF12" s="68">
        <f t="shared" si="37"/>
        <v>27.299999999999997</v>
      </c>
      <c r="DG12" s="69">
        <f t="shared" si="38"/>
        <v>1.47286854624</v>
      </c>
      <c r="DH12" s="68">
        <f t="shared" si="39"/>
        <v>4.9759072508108106</v>
      </c>
      <c r="DI12" s="62">
        <v>90</v>
      </c>
      <c r="DJ12" s="62">
        <v>54</v>
      </c>
      <c r="DK12" s="65" t="str">
        <f t="shared" si="40"/>
        <v>ME</v>
      </c>
      <c r="DL12" s="56">
        <v>5</v>
      </c>
      <c r="DM12" s="63">
        <v>8.3000000000000007</v>
      </c>
      <c r="DN12" s="64">
        <v>1.7999999999999999E-2</v>
      </c>
      <c r="DO12" s="64">
        <v>3.3000000000000002E-2</v>
      </c>
      <c r="DP12" s="64">
        <v>4.2999999999999997E-2</v>
      </c>
      <c r="DQ12" s="63">
        <v>6.68</v>
      </c>
      <c r="DR12" s="61">
        <v>7.3</v>
      </c>
      <c r="DS12" s="64">
        <v>1.1040000000000001</v>
      </c>
      <c r="DT12" s="61">
        <v>85.5</v>
      </c>
      <c r="DU12" s="63">
        <v>4.25</v>
      </c>
      <c r="DV12" s="64">
        <v>0.71799999999999997</v>
      </c>
      <c r="DW12" s="64">
        <v>0.95499999999999996</v>
      </c>
      <c r="DX12" s="66" t="s">
        <v>247</v>
      </c>
      <c r="DY12" s="65" t="str">
        <f t="shared" si="41"/>
        <v>ME</v>
      </c>
      <c r="DZ12" s="128">
        <v>5</v>
      </c>
      <c r="EA12" s="173">
        <f t="shared" si="42"/>
        <v>0.19786096256684493</v>
      </c>
      <c r="EB12" s="173">
        <f t="shared" si="43"/>
        <v>0.17279411764705882</v>
      </c>
      <c r="EC12" s="173">
        <f t="shared" si="44"/>
        <v>0.7432432432432432</v>
      </c>
      <c r="ED12" s="63">
        <v>1.03</v>
      </c>
      <c r="EE12" s="63">
        <v>1.1200000000000001</v>
      </c>
      <c r="EF12" s="63">
        <v>0.04</v>
      </c>
      <c r="EG12" s="63">
        <v>0.04</v>
      </c>
      <c r="EH12" s="127" t="str">
        <f t="shared" si="5"/>
        <v>ME</v>
      </c>
      <c r="EI12" s="56">
        <v>5</v>
      </c>
      <c r="EJ12" s="334"/>
      <c r="EK12" s="334"/>
      <c r="EL12" s="334"/>
      <c r="EM12" s="334"/>
      <c r="EN12" s="334"/>
      <c r="EO12" s="334"/>
      <c r="EP12" s="334"/>
      <c r="EQ12" s="65" t="str">
        <f t="shared" si="45"/>
        <v>ME</v>
      </c>
      <c r="ER12" s="20"/>
      <c r="ES12" s="20"/>
      <c r="ET12" s="20"/>
      <c r="EU12" s="20"/>
      <c r="EV12" s="20"/>
      <c r="EW12" s="20"/>
      <c r="EX12" s="20"/>
    </row>
    <row r="13" spans="1:154" s="3" customFormat="1" ht="17.149999999999999" customHeight="1" x14ac:dyDescent="0.25">
      <c r="A13" s="56">
        <v>6</v>
      </c>
      <c r="B13" s="57">
        <v>873148</v>
      </c>
      <c r="C13" s="58">
        <f t="shared" si="6"/>
        <v>175</v>
      </c>
      <c r="D13" s="167">
        <v>9.51</v>
      </c>
      <c r="E13" s="57">
        <v>777249</v>
      </c>
      <c r="F13" s="58">
        <f t="shared" si="7"/>
        <v>274</v>
      </c>
      <c r="G13" s="168">
        <v>3.44</v>
      </c>
      <c r="H13" s="57">
        <v>738874</v>
      </c>
      <c r="I13" s="58">
        <f t="shared" si="0"/>
        <v>155</v>
      </c>
      <c r="J13" s="60" t="s">
        <v>194</v>
      </c>
      <c r="K13" s="56">
        <v>6</v>
      </c>
      <c r="L13" s="57">
        <v>68397</v>
      </c>
      <c r="M13" s="58">
        <f t="shared" si="8"/>
        <v>2</v>
      </c>
      <c r="N13" s="57">
        <v>172840</v>
      </c>
      <c r="O13" s="58">
        <f t="shared" si="9"/>
        <v>36</v>
      </c>
      <c r="P13" s="57">
        <v>194713</v>
      </c>
      <c r="Q13" s="169" t="str">
        <f t="shared" si="1"/>
        <v/>
      </c>
      <c r="R13" s="57">
        <v>663</v>
      </c>
      <c r="S13" s="57">
        <v>671</v>
      </c>
      <c r="T13" s="57">
        <v>138</v>
      </c>
      <c r="U13" s="57">
        <v>135</v>
      </c>
      <c r="V13" s="58" t="str">
        <f t="shared" si="10"/>
        <v>ME</v>
      </c>
      <c r="W13" s="56">
        <v>6</v>
      </c>
      <c r="X13" s="63">
        <v>11502.01</v>
      </c>
      <c r="Y13" s="130">
        <f t="shared" si="11"/>
        <v>2.4599999999991269</v>
      </c>
      <c r="Z13" s="63">
        <v>12272.52</v>
      </c>
      <c r="AA13" s="130">
        <f t="shared" si="12"/>
        <v>2.7099999999991269</v>
      </c>
      <c r="AB13" s="63">
        <v>9705.4500000000007</v>
      </c>
      <c r="AC13" s="130">
        <f t="shared" si="13"/>
        <v>2.1599999999998545</v>
      </c>
      <c r="AD13" s="63">
        <v>9793.6200000000008</v>
      </c>
      <c r="AE13" s="130">
        <f t="shared" si="2"/>
        <v>2.0099999999983993</v>
      </c>
      <c r="AF13" s="125" t="str">
        <f t="shared" si="14"/>
        <v>ME</v>
      </c>
      <c r="AG13" s="56">
        <v>6</v>
      </c>
      <c r="AH13" s="63">
        <v>45815.74</v>
      </c>
      <c r="AI13" s="130">
        <f t="shared" si="15"/>
        <v>14.959999999999127</v>
      </c>
      <c r="AJ13" s="63">
        <v>47954.26</v>
      </c>
      <c r="AK13" s="130">
        <f t="shared" si="16"/>
        <v>12.360000000000582</v>
      </c>
      <c r="AL13" s="63">
        <v>585.75</v>
      </c>
      <c r="AM13" s="130" t="str">
        <f t="shared" si="17"/>
        <v/>
      </c>
      <c r="AN13" s="63">
        <v>547.01</v>
      </c>
      <c r="AO13" s="130" t="str">
        <f t="shared" si="3"/>
        <v/>
      </c>
      <c r="AP13" s="125" t="str">
        <f t="shared" si="18"/>
        <v>ME</v>
      </c>
      <c r="AQ13" s="56">
        <v>6</v>
      </c>
      <c r="AR13" s="63">
        <v>6601.6</v>
      </c>
      <c r="AS13" s="130">
        <f t="shared" si="19"/>
        <v>1.819999999999709</v>
      </c>
      <c r="AT13" s="63">
        <v>7312.34</v>
      </c>
      <c r="AU13" s="130">
        <f t="shared" si="20"/>
        <v>1.9200000000000728</v>
      </c>
      <c r="AV13" s="63">
        <v>251.13</v>
      </c>
      <c r="AW13" s="277" t="str">
        <f t="shared" si="21"/>
        <v/>
      </c>
      <c r="AX13" s="63">
        <v>238.81</v>
      </c>
      <c r="AY13" s="130" t="str">
        <f t="shared" si="4"/>
        <v/>
      </c>
      <c r="AZ13" s="125" t="str">
        <f t="shared" si="22"/>
        <v>ME</v>
      </c>
      <c r="BA13" s="56">
        <v>6</v>
      </c>
      <c r="BB13" s="64"/>
      <c r="BC13" s="62"/>
      <c r="BD13" s="61"/>
      <c r="BE13" s="61"/>
      <c r="BF13" s="61"/>
      <c r="BG13" s="61"/>
      <c r="BH13" s="64"/>
      <c r="BI13" s="64"/>
      <c r="BJ13" s="64"/>
      <c r="BK13" s="64"/>
      <c r="BL13" s="64"/>
      <c r="BM13" s="64"/>
      <c r="BN13" s="65" t="str">
        <f t="shared" si="23"/>
        <v>ME</v>
      </c>
      <c r="BO13" s="56">
        <v>6</v>
      </c>
      <c r="BP13" s="64">
        <v>6.2E-2</v>
      </c>
      <c r="BQ13" s="62"/>
      <c r="BR13" s="61"/>
      <c r="BS13" s="61"/>
      <c r="BT13" s="61"/>
      <c r="BU13" s="64"/>
      <c r="BV13" s="63">
        <v>1.04</v>
      </c>
      <c r="BW13" s="63">
        <v>0.88</v>
      </c>
      <c r="BX13" s="66" t="s">
        <v>253</v>
      </c>
      <c r="BY13" s="172" t="s">
        <v>246</v>
      </c>
      <c r="BZ13" s="67" t="str">
        <f t="shared" si="24"/>
        <v>ME</v>
      </c>
      <c r="CA13" s="56">
        <v>6</v>
      </c>
      <c r="CB13" s="61">
        <v>83.8</v>
      </c>
      <c r="CC13" s="61"/>
      <c r="CD13" s="69">
        <f t="shared" si="25"/>
        <v>1.5</v>
      </c>
      <c r="CE13" s="69">
        <f t="shared" si="26"/>
        <v>6.9813975000000008</v>
      </c>
      <c r="CF13" s="69">
        <f t="shared" si="27"/>
        <v>5.4049529032258068</v>
      </c>
      <c r="CG13" s="62">
        <v>54</v>
      </c>
      <c r="CH13" s="62">
        <v>100</v>
      </c>
      <c r="CI13" s="65" t="str">
        <f t="shared" si="28"/>
        <v>ME</v>
      </c>
      <c r="CJ13" s="56">
        <v>6</v>
      </c>
      <c r="CK13" s="61">
        <v>80.7</v>
      </c>
      <c r="CL13" s="61"/>
      <c r="CM13" s="68">
        <f t="shared" si="29"/>
        <v>2.1000000000000085</v>
      </c>
      <c r="CN13" s="68">
        <f t="shared" si="30"/>
        <v>9.7739565000000397</v>
      </c>
      <c r="CO13" s="68">
        <f t="shared" si="31"/>
        <v>22.209221727000092</v>
      </c>
      <c r="CP13" s="62">
        <v>53</v>
      </c>
      <c r="CQ13" s="62">
        <v>83</v>
      </c>
      <c r="CR13" s="65" t="str">
        <f t="shared" si="32"/>
        <v>ME</v>
      </c>
      <c r="CS13" s="56">
        <v>6</v>
      </c>
      <c r="CT13" s="61">
        <v>109.7</v>
      </c>
      <c r="CU13" s="61"/>
      <c r="CV13" s="68">
        <f t="shared" si="33"/>
        <v>1.7000000000000028</v>
      </c>
      <c r="CW13" s="68">
        <f t="shared" si="34"/>
        <v>11.295208000000018</v>
      </c>
      <c r="CX13" s="69">
        <f t="shared" si="35"/>
        <v>6.4544045714285819E-2</v>
      </c>
      <c r="CY13" s="66" t="s">
        <v>240</v>
      </c>
      <c r="CZ13" s="66" t="s">
        <v>241</v>
      </c>
      <c r="DA13" s="66"/>
      <c r="DB13" s="65" t="str">
        <f t="shared" si="36"/>
        <v>ME</v>
      </c>
      <c r="DC13" s="56">
        <v>6</v>
      </c>
      <c r="DD13" s="61">
        <v>76.2</v>
      </c>
      <c r="DE13" s="61">
        <v>105.9</v>
      </c>
      <c r="DF13" s="68">
        <f t="shared" si="37"/>
        <v>16</v>
      </c>
      <c r="DG13" s="69">
        <f t="shared" si="38"/>
        <v>0.86321966080000001</v>
      </c>
      <c r="DH13" s="68">
        <f t="shared" si="39"/>
        <v>4.9326837760000002</v>
      </c>
      <c r="DI13" s="62">
        <v>90</v>
      </c>
      <c r="DJ13" s="62">
        <v>54</v>
      </c>
      <c r="DK13" s="65" t="str">
        <f t="shared" si="40"/>
        <v>ME</v>
      </c>
      <c r="DL13" s="56">
        <v>6</v>
      </c>
      <c r="DM13" s="63">
        <v>8.5</v>
      </c>
      <c r="DN13" s="64">
        <v>0.18</v>
      </c>
      <c r="DO13" s="64">
        <v>3.4000000000000002E-2</v>
      </c>
      <c r="DP13" s="64">
        <v>4.2999999999999997E-2</v>
      </c>
      <c r="DQ13" s="63">
        <v>6.67</v>
      </c>
      <c r="DR13" s="61">
        <v>7.2</v>
      </c>
      <c r="DS13" s="64">
        <v>1.01</v>
      </c>
      <c r="DT13" s="61">
        <v>85.5</v>
      </c>
      <c r="DU13" s="63">
        <v>4.3499999999999996</v>
      </c>
      <c r="DV13" s="64">
        <v>0.71499999999999997</v>
      </c>
      <c r="DW13" s="64">
        <v>0.52</v>
      </c>
      <c r="DX13" s="66" t="s">
        <v>247</v>
      </c>
      <c r="DY13" s="65" t="str">
        <f t="shared" si="41"/>
        <v>ME</v>
      </c>
      <c r="DZ13" s="128">
        <v>6</v>
      </c>
      <c r="EA13" s="173">
        <f t="shared" si="42"/>
        <v>0.11697860962566844</v>
      </c>
      <c r="EB13" s="173">
        <f t="shared" si="43"/>
        <v>0.20147058823529412</v>
      </c>
      <c r="EC13" s="173">
        <f t="shared" si="44"/>
        <v>0.88571428571428568</v>
      </c>
      <c r="ED13" s="63">
        <v>0.94</v>
      </c>
      <c r="EE13" s="63">
        <v>1.03</v>
      </c>
      <c r="EF13" s="63">
        <v>0.05</v>
      </c>
      <c r="EG13" s="63">
        <v>0.05</v>
      </c>
      <c r="EH13" s="127" t="str">
        <f t="shared" si="5"/>
        <v>ME</v>
      </c>
      <c r="EI13" s="56">
        <v>6</v>
      </c>
      <c r="EJ13" s="334"/>
      <c r="EK13" s="334"/>
      <c r="EL13" s="334"/>
      <c r="EM13" s="334"/>
      <c r="EN13" s="334"/>
      <c r="EO13" s="334"/>
      <c r="EP13" s="334"/>
      <c r="EQ13" s="65" t="str">
        <f t="shared" si="45"/>
        <v>ME</v>
      </c>
      <c r="ER13" s="20"/>
      <c r="ES13" s="20"/>
      <c r="ET13" s="20"/>
      <c r="EU13" s="20"/>
      <c r="EV13" s="20"/>
      <c r="EW13" s="20"/>
      <c r="EX13" s="20"/>
    </row>
    <row r="14" spans="1:154" s="3" customFormat="1" ht="17.149999999999999" customHeight="1" x14ac:dyDescent="0.25">
      <c r="A14" s="56">
        <v>7</v>
      </c>
      <c r="B14" s="57">
        <v>873323</v>
      </c>
      <c r="C14" s="58">
        <f t="shared" si="6"/>
        <v>218</v>
      </c>
      <c r="D14" s="167">
        <v>9.94</v>
      </c>
      <c r="E14" s="57">
        <v>777523</v>
      </c>
      <c r="F14" s="58">
        <f t="shared" si="7"/>
        <v>213</v>
      </c>
      <c r="G14" s="168">
        <v>2.72</v>
      </c>
      <c r="H14" s="57">
        <v>739029</v>
      </c>
      <c r="I14" s="58">
        <f t="shared" si="0"/>
        <v>195</v>
      </c>
      <c r="J14" s="60" t="s">
        <v>194</v>
      </c>
      <c r="K14" s="56">
        <v>7</v>
      </c>
      <c r="L14" s="57">
        <v>68399</v>
      </c>
      <c r="M14" s="58">
        <f t="shared" si="8"/>
        <v>2</v>
      </c>
      <c r="N14" s="57">
        <v>172876</v>
      </c>
      <c r="O14" s="58">
        <f t="shared" si="9"/>
        <v>27</v>
      </c>
      <c r="P14" s="57">
        <v>194713</v>
      </c>
      <c r="Q14" s="169" t="str">
        <f t="shared" si="1"/>
        <v/>
      </c>
      <c r="R14" s="57">
        <v>663</v>
      </c>
      <c r="S14" s="57">
        <v>671</v>
      </c>
      <c r="T14" s="57">
        <v>138</v>
      </c>
      <c r="U14" s="57">
        <v>135</v>
      </c>
      <c r="V14" s="58" t="str">
        <f t="shared" si="10"/>
        <v>ME</v>
      </c>
      <c r="W14" s="56">
        <v>7</v>
      </c>
      <c r="X14" s="63">
        <v>11504.47</v>
      </c>
      <c r="Y14" s="130">
        <f t="shared" si="11"/>
        <v>2.3500000000003638</v>
      </c>
      <c r="Z14" s="63">
        <v>12275.23</v>
      </c>
      <c r="AA14" s="130">
        <f t="shared" si="12"/>
        <v>4.0500000000010914</v>
      </c>
      <c r="AB14" s="63">
        <v>9707.61</v>
      </c>
      <c r="AC14" s="130">
        <f t="shared" si="13"/>
        <v>3.3099999999994907</v>
      </c>
      <c r="AD14" s="63">
        <v>9795.6299999999992</v>
      </c>
      <c r="AE14" s="130">
        <f t="shared" si="2"/>
        <v>1.8700000000008004</v>
      </c>
      <c r="AF14" s="125" t="str">
        <f t="shared" si="14"/>
        <v>ME</v>
      </c>
      <c r="AG14" s="56">
        <v>7</v>
      </c>
      <c r="AH14" s="63">
        <v>45830.7</v>
      </c>
      <c r="AI14" s="130">
        <f t="shared" si="15"/>
        <v>11.040000000000873</v>
      </c>
      <c r="AJ14" s="63">
        <v>47966.62</v>
      </c>
      <c r="AK14" s="130">
        <f t="shared" si="16"/>
        <v>11.649999999994179</v>
      </c>
      <c r="AL14" s="63">
        <v>585.75</v>
      </c>
      <c r="AM14" s="130" t="str">
        <f t="shared" si="17"/>
        <v/>
      </c>
      <c r="AN14" s="63">
        <v>547.01</v>
      </c>
      <c r="AO14" s="130" t="str">
        <f t="shared" si="3"/>
        <v/>
      </c>
      <c r="AP14" s="125" t="str">
        <f t="shared" si="18"/>
        <v>ME</v>
      </c>
      <c r="AQ14" s="56">
        <v>7</v>
      </c>
      <c r="AR14" s="63">
        <v>6603.42</v>
      </c>
      <c r="AS14" s="130">
        <f t="shared" si="19"/>
        <v>1.2600000000002183</v>
      </c>
      <c r="AT14" s="63">
        <v>7314.26</v>
      </c>
      <c r="AU14" s="130">
        <f t="shared" si="20"/>
        <v>1.6300000000001091</v>
      </c>
      <c r="AV14" s="63">
        <v>251.13</v>
      </c>
      <c r="AW14" s="277" t="str">
        <f t="shared" si="21"/>
        <v/>
      </c>
      <c r="AX14" s="63">
        <v>238.81</v>
      </c>
      <c r="AY14" s="130" t="str">
        <f t="shared" si="4"/>
        <v/>
      </c>
      <c r="AZ14" s="125" t="str">
        <f t="shared" si="22"/>
        <v>ME</v>
      </c>
      <c r="BA14" s="56">
        <v>7</v>
      </c>
      <c r="BB14" s="64">
        <v>0.52300000000000002</v>
      </c>
      <c r="BC14" s="62">
        <v>4</v>
      </c>
      <c r="BD14" s="61">
        <v>7.1</v>
      </c>
      <c r="BE14" s="61">
        <v>2.9</v>
      </c>
      <c r="BF14" s="61">
        <v>15.3</v>
      </c>
      <c r="BG14" s="61">
        <v>7.1</v>
      </c>
      <c r="BH14" s="64">
        <v>0.254</v>
      </c>
      <c r="BI14" s="64">
        <v>0.29099999999999998</v>
      </c>
      <c r="BJ14" s="64">
        <v>4.9000000000000002E-2</v>
      </c>
      <c r="BK14" s="64">
        <v>4.9000000000000002E-2</v>
      </c>
      <c r="BL14" s="64">
        <v>7.1999999999999995E-2</v>
      </c>
      <c r="BM14" s="64">
        <v>0.06</v>
      </c>
      <c r="BN14" s="65" t="str">
        <f t="shared" si="23"/>
        <v>ME</v>
      </c>
      <c r="BO14" s="56">
        <v>7</v>
      </c>
      <c r="BP14" s="64">
        <v>6.9000000000000006E-2</v>
      </c>
      <c r="BQ14" s="62">
        <v>0</v>
      </c>
      <c r="BR14" s="61">
        <v>7.3</v>
      </c>
      <c r="BS14" s="61">
        <v>7.2</v>
      </c>
      <c r="BT14" s="61">
        <v>18.5</v>
      </c>
      <c r="BU14" s="64">
        <v>1.2E-2</v>
      </c>
      <c r="BV14" s="63">
        <v>1.1200000000000001</v>
      </c>
      <c r="BW14" s="63">
        <v>0.78</v>
      </c>
      <c r="BX14" s="66" t="s">
        <v>253</v>
      </c>
      <c r="BY14" s="172" t="s">
        <v>246</v>
      </c>
      <c r="BZ14" s="67" t="str">
        <f t="shared" si="24"/>
        <v>ME</v>
      </c>
      <c r="CA14" s="56">
        <v>7</v>
      </c>
      <c r="CB14" s="61">
        <v>82.3</v>
      </c>
      <c r="CC14" s="61">
        <v>90.2</v>
      </c>
      <c r="CD14" s="69">
        <f t="shared" si="25"/>
        <v>1.2999999999999972</v>
      </c>
      <c r="CE14" s="69">
        <f t="shared" si="26"/>
        <v>6.0505444999999876</v>
      </c>
      <c r="CF14" s="69">
        <f t="shared" si="27"/>
        <v>3.7234119999999917</v>
      </c>
      <c r="CG14" s="62">
        <v>52</v>
      </c>
      <c r="CH14" s="62">
        <v>100</v>
      </c>
      <c r="CI14" s="65" t="str">
        <f t="shared" si="28"/>
        <v>ME</v>
      </c>
      <c r="CJ14" s="56">
        <v>7</v>
      </c>
      <c r="CK14" s="61">
        <v>78.599999999999994</v>
      </c>
      <c r="CL14" s="61">
        <v>97.1</v>
      </c>
      <c r="CM14" s="68">
        <f t="shared" si="29"/>
        <v>2.7999999999999972</v>
      </c>
      <c r="CN14" s="68">
        <f t="shared" si="30"/>
        <v>13.031941999999988</v>
      </c>
      <c r="CO14" s="68">
        <f t="shared" si="31"/>
        <v>23.771338239908243</v>
      </c>
      <c r="CP14" s="62">
        <v>53</v>
      </c>
      <c r="CQ14" s="62">
        <v>83</v>
      </c>
      <c r="CR14" s="65" t="str">
        <f t="shared" si="32"/>
        <v>ME</v>
      </c>
      <c r="CS14" s="56">
        <v>7</v>
      </c>
      <c r="CT14" s="61">
        <v>108</v>
      </c>
      <c r="CU14" s="61"/>
      <c r="CV14" s="68">
        <f t="shared" si="33"/>
        <v>2.2000000000000028</v>
      </c>
      <c r="CW14" s="68">
        <f t="shared" si="34"/>
        <v>14.617328000000018</v>
      </c>
      <c r="CX14" s="69">
        <f t="shared" si="35"/>
        <v>6.7051963302752371E-2</v>
      </c>
      <c r="CY14" s="66" t="s">
        <v>251</v>
      </c>
      <c r="CZ14" s="66" t="s">
        <v>241</v>
      </c>
      <c r="DA14" s="66"/>
      <c r="DB14" s="65" t="str">
        <f t="shared" si="36"/>
        <v>ME</v>
      </c>
      <c r="DC14" s="56">
        <v>7</v>
      </c>
      <c r="DD14" s="61">
        <v>89.9</v>
      </c>
      <c r="DE14" s="61">
        <v>103.3</v>
      </c>
      <c r="DF14" s="68">
        <f t="shared" si="37"/>
        <v>20.399999999999991</v>
      </c>
      <c r="DG14" s="69">
        <f t="shared" si="38"/>
        <v>1.1006050675199994</v>
      </c>
      <c r="DH14" s="68">
        <f t="shared" si="39"/>
        <v>5.0486470987155938</v>
      </c>
      <c r="DI14" s="62">
        <v>94</v>
      </c>
      <c r="DJ14" s="62">
        <v>54</v>
      </c>
      <c r="DK14" s="65" t="str">
        <f t="shared" si="40"/>
        <v>ME</v>
      </c>
      <c r="DL14" s="56">
        <v>7</v>
      </c>
      <c r="DM14" s="63">
        <v>8.57</v>
      </c>
      <c r="DN14" s="64">
        <v>0.02</v>
      </c>
      <c r="DO14" s="64">
        <v>0.33</v>
      </c>
      <c r="DP14" s="64">
        <v>4.3999999999999997E-2</v>
      </c>
      <c r="DQ14" s="63">
        <v>6.65</v>
      </c>
      <c r="DR14" s="61">
        <v>7.4</v>
      </c>
      <c r="DS14" s="64">
        <v>1.06</v>
      </c>
      <c r="DT14" s="61">
        <v>84.5</v>
      </c>
      <c r="DU14" s="63">
        <v>4.08</v>
      </c>
      <c r="DV14" s="64">
        <v>0.68700000000000006</v>
      </c>
      <c r="DW14" s="64">
        <v>0.79</v>
      </c>
      <c r="DX14" s="66" t="s">
        <v>247</v>
      </c>
      <c r="DY14" s="65" t="str">
        <f t="shared" si="41"/>
        <v>ME</v>
      </c>
      <c r="DZ14" s="128">
        <v>7</v>
      </c>
      <c r="EA14" s="173">
        <f t="shared" si="42"/>
        <v>0.14572192513368984</v>
      </c>
      <c r="EB14" s="173">
        <f t="shared" si="43"/>
        <v>0.15661764705882353</v>
      </c>
      <c r="EC14" s="173">
        <f t="shared" si="44"/>
        <v>0.89449541284403666</v>
      </c>
      <c r="ED14" s="63">
        <v>0.96</v>
      </c>
      <c r="EE14" s="63">
        <v>1.08</v>
      </c>
      <c r="EF14" s="63">
        <v>0.04</v>
      </c>
      <c r="EG14" s="63">
        <v>0.06</v>
      </c>
      <c r="EH14" s="127" t="str">
        <f t="shared" si="5"/>
        <v>ME</v>
      </c>
      <c r="EI14" s="56">
        <v>7</v>
      </c>
      <c r="EJ14" s="334"/>
      <c r="EK14" s="334"/>
      <c r="EL14" s="334"/>
      <c r="EM14" s="334"/>
      <c r="EN14" s="334"/>
      <c r="EO14" s="334"/>
      <c r="EP14" s="334"/>
      <c r="EQ14" s="65" t="str">
        <f t="shared" si="45"/>
        <v>ME</v>
      </c>
      <c r="ER14" s="20"/>
      <c r="ES14" s="20"/>
      <c r="ET14" s="20"/>
      <c r="EU14" s="20"/>
      <c r="EV14" s="20"/>
      <c r="EW14" s="20"/>
      <c r="EX14" s="20"/>
    </row>
    <row r="15" spans="1:154" s="3" customFormat="1" ht="17.149999999999999" customHeight="1" x14ac:dyDescent="0.25">
      <c r="A15" s="56">
        <v>8</v>
      </c>
      <c r="B15" s="57">
        <v>873541</v>
      </c>
      <c r="C15" s="58">
        <f t="shared" si="6"/>
        <v>248</v>
      </c>
      <c r="D15" s="167">
        <v>9.68</v>
      </c>
      <c r="E15" s="57">
        <v>777736</v>
      </c>
      <c r="F15" s="58">
        <f t="shared" si="7"/>
        <v>185</v>
      </c>
      <c r="G15" s="168">
        <v>2.75</v>
      </c>
      <c r="H15" s="57">
        <v>739224</v>
      </c>
      <c r="I15" s="58">
        <f t="shared" si="0"/>
        <v>178</v>
      </c>
      <c r="J15" s="60" t="s">
        <v>194</v>
      </c>
      <c r="K15" s="56">
        <v>8</v>
      </c>
      <c r="L15" s="57">
        <v>68401</v>
      </c>
      <c r="M15" s="58">
        <f t="shared" si="8"/>
        <v>48</v>
      </c>
      <c r="N15" s="57">
        <v>172903</v>
      </c>
      <c r="O15" s="58">
        <f t="shared" si="9"/>
        <v>63</v>
      </c>
      <c r="P15" s="57">
        <v>194713</v>
      </c>
      <c r="Q15" s="169" t="str">
        <f t="shared" si="1"/>
        <v/>
      </c>
      <c r="R15" s="57">
        <v>663</v>
      </c>
      <c r="S15" s="57">
        <v>671</v>
      </c>
      <c r="T15" s="57">
        <v>138</v>
      </c>
      <c r="U15" s="57">
        <v>135</v>
      </c>
      <c r="V15" s="58" t="str">
        <f t="shared" si="10"/>
        <v>ME</v>
      </c>
      <c r="W15" s="56">
        <v>8</v>
      </c>
      <c r="X15" s="63">
        <v>11506.82</v>
      </c>
      <c r="Y15" s="130">
        <f t="shared" si="11"/>
        <v>2.3999999999996362</v>
      </c>
      <c r="Z15" s="63">
        <v>12279.28</v>
      </c>
      <c r="AA15" s="130">
        <f t="shared" si="12"/>
        <v>5.0499999999992724</v>
      </c>
      <c r="AB15" s="63">
        <v>9710.92</v>
      </c>
      <c r="AC15" s="130">
        <f t="shared" si="13"/>
        <v>2.8500000000003638</v>
      </c>
      <c r="AD15" s="63">
        <v>9797.5</v>
      </c>
      <c r="AE15" s="130">
        <f t="shared" si="2"/>
        <v>1.8899999999994179</v>
      </c>
      <c r="AF15" s="125" t="str">
        <f t="shared" si="14"/>
        <v>ME</v>
      </c>
      <c r="AG15" s="56">
        <v>8</v>
      </c>
      <c r="AH15" s="63">
        <v>45841.74</v>
      </c>
      <c r="AI15" s="130">
        <f t="shared" si="15"/>
        <v>12.970000000001164</v>
      </c>
      <c r="AJ15" s="63">
        <v>47978.27</v>
      </c>
      <c r="AK15" s="130">
        <f t="shared" si="16"/>
        <v>7.8700000000026193</v>
      </c>
      <c r="AL15" s="63">
        <v>585.75</v>
      </c>
      <c r="AM15" s="130" t="str">
        <f t="shared" si="17"/>
        <v/>
      </c>
      <c r="AN15" s="63">
        <v>547.01</v>
      </c>
      <c r="AO15" s="130" t="str">
        <f t="shared" si="3"/>
        <v/>
      </c>
      <c r="AP15" s="125" t="str">
        <f t="shared" si="18"/>
        <v>ME</v>
      </c>
      <c r="AQ15" s="56">
        <v>8</v>
      </c>
      <c r="AR15" s="63">
        <v>6604.68</v>
      </c>
      <c r="AS15" s="130">
        <f t="shared" si="19"/>
        <v>2.5199999999995271</v>
      </c>
      <c r="AT15" s="63">
        <v>7315.89</v>
      </c>
      <c r="AU15" s="130">
        <f t="shared" si="20"/>
        <v>2.7899999999999636</v>
      </c>
      <c r="AV15" s="63">
        <v>251.13</v>
      </c>
      <c r="AW15" s="277" t="str">
        <f t="shared" si="21"/>
        <v/>
      </c>
      <c r="AX15" s="63">
        <v>238.81</v>
      </c>
      <c r="AY15" s="130">
        <f t="shared" si="4"/>
        <v>0.34000000000000341</v>
      </c>
      <c r="AZ15" s="125" t="str">
        <f t="shared" si="22"/>
        <v>ME</v>
      </c>
      <c r="BA15" s="56">
        <v>8</v>
      </c>
      <c r="BB15" s="64">
        <v>0.52900000000000003</v>
      </c>
      <c r="BC15" s="62">
        <v>33</v>
      </c>
      <c r="BD15" s="61">
        <v>6.8</v>
      </c>
      <c r="BE15" s="61">
        <v>3</v>
      </c>
      <c r="BF15" s="61">
        <v>15.1</v>
      </c>
      <c r="BG15" s="61">
        <v>6.8</v>
      </c>
      <c r="BH15" s="64">
        <v>0.215</v>
      </c>
      <c r="BI15" s="64">
        <v>0.24299999999999999</v>
      </c>
      <c r="BJ15" s="64">
        <v>5.8000000000000003E-2</v>
      </c>
      <c r="BK15" s="64">
        <v>4.9000000000000002E-2</v>
      </c>
      <c r="BL15" s="64">
        <v>4.8000000000000001E-2</v>
      </c>
      <c r="BM15" s="64">
        <v>5.2999999999999999E-2</v>
      </c>
      <c r="BN15" s="65" t="str">
        <f t="shared" si="23"/>
        <v>ME</v>
      </c>
      <c r="BO15" s="56">
        <v>8</v>
      </c>
      <c r="BP15" s="64">
        <v>6.9000000000000006E-2</v>
      </c>
      <c r="BQ15" s="62">
        <v>0</v>
      </c>
      <c r="BR15" s="61">
        <v>7</v>
      </c>
      <c r="BS15" s="61">
        <v>7.3</v>
      </c>
      <c r="BT15" s="61">
        <v>18.399999999999999</v>
      </c>
      <c r="BU15" s="64">
        <v>1.0999999999999999E-2</v>
      </c>
      <c r="BV15" s="63">
        <v>1.1399999999999999</v>
      </c>
      <c r="BW15" s="63">
        <v>1.02</v>
      </c>
      <c r="BX15" s="66" t="s">
        <v>245</v>
      </c>
      <c r="BY15" s="172" t="s">
        <v>246</v>
      </c>
      <c r="BZ15" s="67" t="str">
        <f t="shared" si="24"/>
        <v>ME</v>
      </c>
      <c r="CA15" s="56">
        <v>8</v>
      </c>
      <c r="CB15" s="61">
        <v>88.9</v>
      </c>
      <c r="CC15" s="61"/>
      <c r="CD15" s="69">
        <f t="shared" si="25"/>
        <v>1.3000000000000114</v>
      </c>
      <c r="CE15" s="69">
        <f t="shared" si="26"/>
        <v>6.0505445000000533</v>
      </c>
      <c r="CF15" s="69">
        <f t="shared" si="27"/>
        <v>4.0790187640449798</v>
      </c>
      <c r="CG15" s="62">
        <v>47</v>
      </c>
      <c r="CH15" s="62">
        <v>100</v>
      </c>
      <c r="CI15" s="65" t="str">
        <f t="shared" si="28"/>
        <v>ME</v>
      </c>
      <c r="CJ15" s="56">
        <v>8</v>
      </c>
      <c r="CK15" s="61">
        <v>94.3</v>
      </c>
      <c r="CL15" s="61"/>
      <c r="CM15" s="68">
        <f t="shared" si="29"/>
        <v>2.8999999999999915</v>
      </c>
      <c r="CN15" s="68">
        <f t="shared" si="30"/>
        <v>13.497368499999961</v>
      </c>
      <c r="CO15" s="68">
        <f t="shared" si="31"/>
        <v>21.642050742036229</v>
      </c>
      <c r="CP15" s="62">
        <v>54</v>
      </c>
      <c r="CQ15" s="62">
        <v>83</v>
      </c>
      <c r="CR15" s="65" t="str">
        <f t="shared" si="32"/>
        <v>ME</v>
      </c>
      <c r="CS15" s="56">
        <v>8</v>
      </c>
      <c r="CT15" s="61">
        <v>105.8</v>
      </c>
      <c r="CU15" s="61"/>
      <c r="CV15" s="68">
        <f t="shared" si="33"/>
        <v>2.7000000000000028</v>
      </c>
      <c r="CW15" s="68">
        <f t="shared" si="34"/>
        <v>17.93944800000002</v>
      </c>
      <c r="CX15" s="69">
        <f t="shared" si="35"/>
        <v>7.2336483870967819E-2</v>
      </c>
      <c r="CY15" s="66" t="s">
        <v>240</v>
      </c>
      <c r="CZ15" s="66" t="s">
        <v>241</v>
      </c>
      <c r="DA15" s="66"/>
      <c r="DB15" s="65" t="str">
        <f t="shared" si="36"/>
        <v>ME</v>
      </c>
      <c r="DC15" s="56">
        <v>8</v>
      </c>
      <c r="DD15" s="61">
        <v>82.9</v>
      </c>
      <c r="DE15" s="61">
        <v>101.9</v>
      </c>
      <c r="DF15" s="68">
        <f t="shared" si="37"/>
        <v>23.300000000000011</v>
      </c>
      <c r="DG15" s="69">
        <f t="shared" si="38"/>
        <v>1.2570636310400007</v>
      </c>
      <c r="DH15" s="68">
        <f t="shared" si="39"/>
        <v>5.0688049638709707</v>
      </c>
      <c r="DI15" s="62">
        <v>90</v>
      </c>
      <c r="DJ15" s="62">
        <v>54</v>
      </c>
      <c r="DK15" s="65" t="str">
        <f t="shared" si="40"/>
        <v>ME</v>
      </c>
      <c r="DL15" s="56">
        <v>8</v>
      </c>
      <c r="DM15" s="63">
        <v>8.6999999999999993</v>
      </c>
      <c r="DN15" s="64">
        <v>0.02</v>
      </c>
      <c r="DO15" s="64">
        <v>3.2000000000000001E-2</v>
      </c>
      <c r="DP15" s="64">
        <v>4.2999999999999997E-2</v>
      </c>
      <c r="DQ15" s="63">
        <v>6.66</v>
      </c>
      <c r="DR15" s="61">
        <v>7.3</v>
      </c>
      <c r="DS15" s="64">
        <v>1.1579999999999999</v>
      </c>
      <c r="DT15" s="61">
        <v>85.5</v>
      </c>
      <c r="DU15" s="63">
        <v>4.1399999999999997</v>
      </c>
      <c r="DV15" s="64">
        <v>0.70599999999999996</v>
      </c>
      <c r="DW15" s="64">
        <v>0.49</v>
      </c>
      <c r="DX15" s="66" t="s">
        <v>247</v>
      </c>
      <c r="DY15" s="65" t="str">
        <f t="shared" si="41"/>
        <v>ME</v>
      </c>
      <c r="DZ15" s="128">
        <v>8</v>
      </c>
      <c r="EA15" s="173">
        <f t="shared" si="42"/>
        <v>0.16577540106951871</v>
      </c>
      <c r="EB15" s="173">
        <f t="shared" si="43"/>
        <v>0.13602941176470587</v>
      </c>
      <c r="EC15" s="173">
        <f t="shared" si="44"/>
        <v>0.717741935483871</v>
      </c>
      <c r="ED15" s="63">
        <v>1.03</v>
      </c>
      <c r="EE15" s="63">
        <v>1.1599999999999999</v>
      </c>
      <c r="EF15" s="63">
        <v>0.04</v>
      </c>
      <c r="EG15" s="63">
        <v>0.06</v>
      </c>
      <c r="EH15" s="127" t="str">
        <f t="shared" si="5"/>
        <v>ME</v>
      </c>
      <c r="EI15" s="56">
        <v>8</v>
      </c>
      <c r="EJ15" s="334" t="s">
        <v>309</v>
      </c>
      <c r="EK15" s="334"/>
      <c r="EL15" s="334"/>
      <c r="EM15" s="334"/>
      <c r="EN15" s="334"/>
      <c r="EO15" s="334"/>
      <c r="EP15" s="334"/>
      <c r="EQ15" s="65" t="str">
        <f t="shared" si="45"/>
        <v>ME</v>
      </c>
      <c r="ER15" s="20"/>
      <c r="ES15" s="20"/>
      <c r="ET15" s="20"/>
      <c r="EU15" s="20"/>
      <c r="EV15" s="20"/>
      <c r="EW15" s="20"/>
      <c r="EX15" s="20"/>
    </row>
    <row r="16" spans="1:154" s="3" customFormat="1" ht="17.149999999999999" customHeight="1" x14ac:dyDescent="0.25">
      <c r="A16" s="56">
        <v>9</v>
      </c>
      <c r="B16" s="57">
        <v>873789</v>
      </c>
      <c r="C16" s="58">
        <f t="shared" si="6"/>
        <v>224</v>
      </c>
      <c r="D16" s="167">
        <v>8.84</v>
      </c>
      <c r="E16" s="57">
        <v>777921</v>
      </c>
      <c r="F16" s="58">
        <f t="shared" si="7"/>
        <v>259</v>
      </c>
      <c r="G16" s="168">
        <v>3.43</v>
      </c>
      <c r="H16" s="57">
        <v>739402</v>
      </c>
      <c r="I16" s="58">
        <f t="shared" si="0"/>
        <v>188</v>
      </c>
      <c r="J16" s="60" t="s">
        <v>194</v>
      </c>
      <c r="K16" s="56">
        <v>9</v>
      </c>
      <c r="L16" s="57">
        <v>68449</v>
      </c>
      <c r="M16" s="58">
        <f t="shared" si="8"/>
        <v>8</v>
      </c>
      <c r="N16" s="57">
        <v>172966</v>
      </c>
      <c r="O16" s="58">
        <f t="shared" si="9"/>
        <v>54</v>
      </c>
      <c r="P16" s="57">
        <v>194713</v>
      </c>
      <c r="Q16" s="169" t="str">
        <f t="shared" si="1"/>
        <v/>
      </c>
      <c r="R16" s="57">
        <v>664</v>
      </c>
      <c r="S16" s="57">
        <v>671</v>
      </c>
      <c r="T16" s="57">
        <v>138</v>
      </c>
      <c r="U16" s="57">
        <v>135</v>
      </c>
      <c r="V16" s="58" t="str">
        <f t="shared" si="10"/>
        <v>ME</v>
      </c>
      <c r="W16" s="56">
        <v>9</v>
      </c>
      <c r="X16" s="63">
        <v>11509.22</v>
      </c>
      <c r="Y16" s="130">
        <f t="shared" si="11"/>
        <v>1.9500000000007276</v>
      </c>
      <c r="Z16" s="63">
        <v>12284.33</v>
      </c>
      <c r="AA16" s="130">
        <f t="shared" si="12"/>
        <v>4.569999999999709</v>
      </c>
      <c r="AB16" s="63">
        <v>9713.77</v>
      </c>
      <c r="AC16" s="130">
        <f t="shared" si="13"/>
        <v>1.3500000000003638</v>
      </c>
      <c r="AD16" s="63">
        <v>9799.39</v>
      </c>
      <c r="AE16" s="130">
        <f t="shared" si="2"/>
        <v>3.6500000000014552</v>
      </c>
      <c r="AF16" s="125" t="str">
        <f t="shared" si="14"/>
        <v>ME</v>
      </c>
      <c r="AG16" s="56">
        <v>9</v>
      </c>
      <c r="AH16" s="63">
        <v>45854.71</v>
      </c>
      <c r="AI16" s="130">
        <f t="shared" si="15"/>
        <v>11.360000000000582</v>
      </c>
      <c r="AJ16" s="63">
        <v>47986.14</v>
      </c>
      <c r="AK16" s="130">
        <f t="shared" si="16"/>
        <v>16.129999999997381</v>
      </c>
      <c r="AL16" s="63">
        <v>585.75</v>
      </c>
      <c r="AM16" s="130" t="str">
        <f t="shared" si="17"/>
        <v/>
      </c>
      <c r="AN16" s="63">
        <v>547.01</v>
      </c>
      <c r="AO16" s="130" t="str">
        <f t="shared" si="3"/>
        <v/>
      </c>
      <c r="AP16" s="125" t="str">
        <f t="shared" si="18"/>
        <v>ME</v>
      </c>
      <c r="AQ16" s="56">
        <v>9</v>
      </c>
      <c r="AR16" s="63">
        <v>6607.2</v>
      </c>
      <c r="AS16" s="130">
        <f t="shared" si="19"/>
        <v>3.1400000000003274</v>
      </c>
      <c r="AT16" s="63">
        <v>7318.68</v>
      </c>
      <c r="AU16" s="130">
        <f t="shared" si="20"/>
        <v>2.9799999999995634</v>
      </c>
      <c r="AV16" s="63">
        <v>251.13</v>
      </c>
      <c r="AW16" s="277">
        <f t="shared" si="21"/>
        <v>9.0000000000003411E-2</v>
      </c>
      <c r="AX16" s="63">
        <v>239.15</v>
      </c>
      <c r="AY16" s="130" t="str">
        <f t="shared" si="4"/>
        <v/>
      </c>
      <c r="AZ16" s="125" t="str">
        <f t="shared" si="22"/>
        <v>ME</v>
      </c>
      <c r="BA16" s="56">
        <v>9</v>
      </c>
      <c r="BB16" s="64">
        <v>0.52500000000000002</v>
      </c>
      <c r="BC16" s="62">
        <v>8</v>
      </c>
      <c r="BD16" s="61">
        <v>7.1</v>
      </c>
      <c r="BE16" s="61">
        <v>3</v>
      </c>
      <c r="BF16" s="61">
        <v>15.5</v>
      </c>
      <c r="BG16" s="61">
        <v>7.1</v>
      </c>
      <c r="BH16" s="64">
        <v>0.27600000000000002</v>
      </c>
      <c r="BI16" s="64">
        <v>0.27200000000000002</v>
      </c>
      <c r="BJ16" s="64">
        <v>0.05</v>
      </c>
      <c r="BK16" s="64">
        <v>5.1999999999999998E-2</v>
      </c>
      <c r="BL16" s="64">
        <v>0.05</v>
      </c>
      <c r="BM16" s="64">
        <v>5.3999999999999999E-2</v>
      </c>
      <c r="BN16" s="65" t="str">
        <f t="shared" si="23"/>
        <v>ME</v>
      </c>
      <c r="BO16" s="56">
        <v>9</v>
      </c>
      <c r="BP16" s="64">
        <v>6.8000000000000005E-2</v>
      </c>
      <c r="BQ16" s="62">
        <v>0</v>
      </c>
      <c r="BR16" s="61">
        <v>7</v>
      </c>
      <c r="BS16" s="61">
        <v>7.4</v>
      </c>
      <c r="BT16" s="61">
        <v>18.399999999999999</v>
      </c>
      <c r="BU16" s="64">
        <v>1.4999999999999999E-2</v>
      </c>
      <c r="BV16" s="63">
        <v>1.0900000000000001</v>
      </c>
      <c r="BW16" s="63">
        <v>0.98</v>
      </c>
      <c r="BX16" s="66" t="s">
        <v>310</v>
      </c>
      <c r="BY16" s="172" t="s">
        <v>246</v>
      </c>
      <c r="BZ16" s="67" t="str">
        <f t="shared" si="24"/>
        <v>ME</v>
      </c>
      <c r="CA16" s="56">
        <v>9</v>
      </c>
      <c r="CB16" s="61">
        <v>87.6</v>
      </c>
      <c r="CC16" s="61"/>
      <c r="CD16" s="69">
        <f t="shared" si="25"/>
        <v>1.1999999999999886</v>
      </c>
      <c r="CE16" s="69">
        <f t="shared" si="26"/>
        <v>5.5851179999999481</v>
      </c>
      <c r="CF16" s="69">
        <f t="shared" si="27"/>
        <v>3.5649689361701795</v>
      </c>
      <c r="CG16" s="62">
        <v>48</v>
      </c>
      <c r="CH16" s="62">
        <v>100</v>
      </c>
      <c r="CI16" s="65" t="str">
        <f t="shared" si="28"/>
        <v>ME</v>
      </c>
      <c r="CJ16" s="56">
        <v>9</v>
      </c>
      <c r="CK16" s="61">
        <v>91.4</v>
      </c>
      <c r="CL16" s="61"/>
      <c r="CM16" s="68">
        <f t="shared" si="29"/>
        <v>2.9000000000000057</v>
      </c>
      <c r="CN16" s="68">
        <f t="shared" si="30"/>
        <v>13.497368500000027</v>
      </c>
      <c r="CO16" s="68">
        <f t="shared" si="31"/>
        <v>23.960841892968801</v>
      </c>
      <c r="CP16" s="62">
        <v>51</v>
      </c>
      <c r="CQ16" s="62">
        <v>83</v>
      </c>
      <c r="CR16" s="65" t="str">
        <f t="shared" si="32"/>
        <v>ME</v>
      </c>
      <c r="CS16" s="56">
        <v>9</v>
      </c>
      <c r="CT16" s="61">
        <v>103.1</v>
      </c>
      <c r="CU16" s="61"/>
      <c r="CV16" s="68">
        <f t="shared" si="33"/>
        <v>2.1999999999999886</v>
      </c>
      <c r="CW16" s="68">
        <f t="shared" si="34"/>
        <v>14.617327999999922</v>
      </c>
      <c r="CX16" s="69">
        <f t="shared" si="35"/>
        <v>6.5255928571428229E-2</v>
      </c>
      <c r="CY16" s="66" t="s">
        <v>256</v>
      </c>
      <c r="CZ16" s="66" t="s">
        <v>241</v>
      </c>
      <c r="DA16" s="66"/>
      <c r="DB16" s="65" t="str">
        <f t="shared" si="36"/>
        <v>ME</v>
      </c>
      <c r="DC16" s="56">
        <v>9</v>
      </c>
      <c r="DD16" s="61">
        <v>78.599999999999994</v>
      </c>
      <c r="DE16" s="61">
        <v>103.7</v>
      </c>
      <c r="DF16" s="68">
        <f t="shared" si="37"/>
        <v>20.600000000000009</v>
      </c>
      <c r="DG16" s="69">
        <f t="shared" si="38"/>
        <v>1.1113953132800005</v>
      </c>
      <c r="DH16" s="68">
        <f t="shared" si="39"/>
        <v>4.9615862200000018</v>
      </c>
      <c r="DI16" s="62">
        <v>88</v>
      </c>
      <c r="DJ16" s="62">
        <v>54</v>
      </c>
      <c r="DK16" s="65" t="str">
        <f t="shared" si="40"/>
        <v>ME</v>
      </c>
      <c r="DL16" s="56">
        <v>9</v>
      </c>
      <c r="DM16" s="63">
        <v>9.01</v>
      </c>
      <c r="DN16" s="64">
        <v>2.1000000000000001E-2</v>
      </c>
      <c r="DO16" s="64">
        <v>3.1E-2</v>
      </c>
      <c r="DP16" s="64">
        <v>4.2000000000000003E-2</v>
      </c>
      <c r="DQ16" s="63">
        <v>6.67</v>
      </c>
      <c r="DR16" s="61">
        <v>7.4</v>
      </c>
      <c r="DS16" s="64">
        <v>1.143</v>
      </c>
      <c r="DT16" s="61">
        <v>83.2</v>
      </c>
      <c r="DU16" s="63">
        <v>4.22</v>
      </c>
      <c r="DV16" s="64">
        <v>1.0960000000000001</v>
      </c>
      <c r="DW16" s="64">
        <v>1.7</v>
      </c>
      <c r="DX16" s="66" t="s">
        <v>242</v>
      </c>
      <c r="DY16" s="65" t="str">
        <f t="shared" si="41"/>
        <v>ME</v>
      </c>
      <c r="DZ16" s="128">
        <v>9</v>
      </c>
      <c r="EA16" s="173">
        <f t="shared" si="42"/>
        <v>0.1497326203208556</v>
      </c>
      <c r="EB16" s="173">
        <f t="shared" si="43"/>
        <v>0.19044117647058822</v>
      </c>
      <c r="EC16" s="173">
        <f t="shared" si="44"/>
        <v>0.8392857142857143</v>
      </c>
      <c r="ED16" s="63">
        <v>1.1100000000000001</v>
      </c>
      <c r="EE16" s="63">
        <v>1.1599999999999999</v>
      </c>
      <c r="EF16" s="63">
        <v>0.04</v>
      </c>
      <c r="EG16" s="63">
        <v>0.05</v>
      </c>
      <c r="EH16" s="127" t="str">
        <f t="shared" si="5"/>
        <v>ME</v>
      </c>
      <c r="EI16" s="56">
        <v>9</v>
      </c>
      <c r="EJ16" s="334"/>
      <c r="EK16" s="334"/>
      <c r="EL16" s="334"/>
      <c r="EM16" s="334"/>
      <c r="EN16" s="334"/>
      <c r="EO16" s="334"/>
      <c r="EP16" s="334"/>
      <c r="EQ16" s="65" t="str">
        <f t="shared" si="45"/>
        <v>ME</v>
      </c>
      <c r="ER16" s="20"/>
      <c r="ES16" s="20"/>
      <c r="ET16" s="20"/>
      <c r="EU16" s="20"/>
      <c r="EV16" s="20"/>
      <c r="EW16" s="20"/>
      <c r="EX16" s="20"/>
    </row>
    <row r="17" spans="1:154" s="3" customFormat="1" ht="17.149999999999999" customHeight="1" x14ac:dyDescent="0.25">
      <c r="A17" s="56">
        <v>10</v>
      </c>
      <c r="B17" s="57">
        <v>874013</v>
      </c>
      <c r="C17" s="58">
        <f t="shared" si="6"/>
        <v>228</v>
      </c>
      <c r="D17" s="167">
        <v>9.31</v>
      </c>
      <c r="E17" s="57">
        <v>778180</v>
      </c>
      <c r="F17" s="58">
        <f t="shared" si="7"/>
        <v>153</v>
      </c>
      <c r="G17" s="168">
        <v>3.26</v>
      </c>
      <c r="H17" s="57">
        <v>739590</v>
      </c>
      <c r="I17" s="58">
        <f t="shared" si="0"/>
        <v>160</v>
      </c>
      <c r="J17" s="60" t="s">
        <v>194</v>
      </c>
      <c r="K17" s="56">
        <v>10</v>
      </c>
      <c r="L17" s="57">
        <v>68457</v>
      </c>
      <c r="M17" s="58">
        <f t="shared" si="8"/>
        <v>49</v>
      </c>
      <c r="N17" s="57">
        <v>173020</v>
      </c>
      <c r="O17" s="58">
        <f t="shared" si="9"/>
        <v>42</v>
      </c>
      <c r="P17" s="57">
        <v>194713</v>
      </c>
      <c r="Q17" s="169" t="str">
        <f t="shared" si="1"/>
        <v/>
      </c>
      <c r="R17" s="57">
        <v>664</v>
      </c>
      <c r="S17" s="57">
        <v>671</v>
      </c>
      <c r="T17" s="57">
        <v>138</v>
      </c>
      <c r="U17" s="57">
        <v>136</v>
      </c>
      <c r="V17" s="58" t="str">
        <f t="shared" si="10"/>
        <v>ME</v>
      </c>
      <c r="W17" s="56">
        <v>10</v>
      </c>
      <c r="X17" s="63">
        <v>11511.17</v>
      </c>
      <c r="Y17" s="130">
        <f t="shared" si="11"/>
        <v>3.1599999999998545</v>
      </c>
      <c r="Z17" s="63">
        <v>12288.9</v>
      </c>
      <c r="AA17" s="130">
        <f t="shared" si="12"/>
        <v>3.7200000000011642</v>
      </c>
      <c r="AB17" s="63">
        <v>9715.1200000000008</v>
      </c>
      <c r="AC17" s="130">
        <f t="shared" si="13"/>
        <v>2.5599999999994907</v>
      </c>
      <c r="AD17" s="63">
        <v>9803.0400000000009</v>
      </c>
      <c r="AE17" s="130">
        <f t="shared" si="2"/>
        <v>1.6899999999986903</v>
      </c>
      <c r="AF17" s="125" t="str">
        <f t="shared" si="14"/>
        <v>ME</v>
      </c>
      <c r="AG17" s="56">
        <v>10</v>
      </c>
      <c r="AH17" s="63">
        <v>45866.07</v>
      </c>
      <c r="AI17" s="130">
        <f t="shared" si="15"/>
        <v>12.639999999999418</v>
      </c>
      <c r="AJ17" s="63">
        <v>48002.27</v>
      </c>
      <c r="AK17" s="130">
        <f t="shared" si="16"/>
        <v>9.5900000000037835</v>
      </c>
      <c r="AL17" s="63">
        <v>585.75</v>
      </c>
      <c r="AM17" s="130" t="str">
        <f t="shared" si="17"/>
        <v/>
      </c>
      <c r="AN17" s="63">
        <v>547.01</v>
      </c>
      <c r="AO17" s="130" t="str">
        <f t="shared" si="3"/>
        <v/>
      </c>
      <c r="AP17" s="125" t="str">
        <f t="shared" si="18"/>
        <v>ME</v>
      </c>
      <c r="AQ17" s="56">
        <v>10</v>
      </c>
      <c r="AR17" s="63">
        <v>6610.34</v>
      </c>
      <c r="AS17" s="130">
        <f t="shared" si="19"/>
        <v>1.6999999999998181</v>
      </c>
      <c r="AT17" s="63">
        <v>7321.66</v>
      </c>
      <c r="AU17" s="130">
        <f t="shared" si="20"/>
        <v>1.9700000000002547</v>
      </c>
      <c r="AV17" s="63">
        <v>251.22</v>
      </c>
      <c r="AW17" s="277" t="str">
        <f t="shared" si="21"/>
        <v/>
      </c>
      <c r="AX17" s="63">
        <v>239.15</v>
      </c>
      <c r="AY17" s="130">
        <f t="shared" si="4"/>
        <v>0.25</v>
      </c>
      <c r="AZ17" s="125" t="str">
        <f t="shared" si="22"/>
        <v>ME</v>
      </c>
      <c r="BA17" s="56">
        <v>10</v>
      </c>
      <c r="BB17" s="64">
        <v>0.51400000000000001</v>
      </c>
      <c r="BC17" s="62">
        <v>20</v>
      </c>
      <c r="BD17" s="61">
        <v>7</v>
      </c>
      <c r="BE17" s="61">
        <v>3</v>
      </c>
      <c r="BF17" s="61">
        <v>14.7</v>
      </c>
      <c r="BG17" s="61">
        <v>7</v>
      </c>
      <c r="BH17" s="64">
        <v>0.20300000000000001</v>
      </c>
      <c r="BI17" s="64">
        <v>0.222</v>
      </c>
      <c r="BJ17" s="64">
        <v>5.3999999999999999E-2</v>
      </c>
      <c r="BK17" s="64">
        <v>5.8999999999999997E-2</v>
      </c>
      <c r="BL17" s="64">
        <v>4.8000000000000001E-2</v>
      </c>
      <c r="BM17" s="64">
        <v>5.8999999999999997E-2</v>
      </c>
      <c r="BN17" s="65" t="str">
        <f t="shared" si="23"/>
        <v>ME</v>
      </c>
      <c r="BO17" s="56">
        <v>10</v>
      </c>
      <c r="BP17" s="64">
        <v>7.5999999999999998E-2</v>
      </c>
      <c r="BQ17" s="62">
        <v>0</v>
      </c>
      <c r="BR17" s="61">
        <v>7.2</v>
      </c>
      <c r="BS17" s="61">
        <v>7.4</v>
      </c>
      <c r="BT17" s="61">
        <v>18.2</v>
      </c>
      <c r="BU17" s="64">
        <v>1.2E-2</v>
      </c>
      <c r="BV17" s="63">
        <v>1.03</v>
      </c>
      <c r="BW17" s="63">
        <v>0.88</v>
      </c>
      <c r="BX17" s="66" t="s">
        <v>245</v>
      </c>
      <c r="BY17" s="172" t="s">
        <v>246</v>
      </c>
      <c r="BZ17" s="67" t="str">
        <f t="shared" si="24"/>
        <v>ME</v>
      </c>
      <c r="CA17" s="56">
        <v>10</v>
      </c>
      <c r="CB17" s="61">
        <v>86.4</v>
      </c>
      <c r="CC17" s="61"/>
      <c r="CD17" s="69">
        <f t="shared" si="25"/>
        <v>1.2000000000000028</v>
      </c>
      <c r="CE17" s="69">
        <f t="shared" si="26"/>
        <v>5.5851180000000138</v>
      </c>
      <c r="CF17" s="69">
        <f t="shared" si="27"/>
        <v>4.1888385000000108</v>
      </c>
      <c r="CG17" s="62">
        <v>56</v>
      </c>
      <c r="CH17" s="62">
        <v>100</v>
      </c>
      <c r="CI17" s="65" t="str">
        <f t="shared" si="28"/>
        <v>ME</v>
      </c>
      <c r="CJ17" s="56">
        <v>10</v>
      </c>
      <c r="CK17" s="61">
        <v>88.5</v>
      </c>
      <c r="CL17" s="61"/>
      <c r="CM17" s="68">
        <f t="shared" si="29"/>
        <v>2.9000000000000057</v>
      </c>
      <c r="CN17" s="68">
        <f t="shared" si="30"/>
        <v>13.497368500000027</v>
      </c>
      <c r="CO17" s="68">
        <f t="shared" si="31"/>
        <v>23.540476245723735</v>
      </c>
      <c r="CP17" s="62">
        <v>54</v>
      </c>
      <c r="CQ17" s="62">
        <v>83</v>
      </c>
      <c r="CR17" s="65" t="str">
        <f t="shared" si="32"/>
        <v>ME</v>
      </c>
      <c r="CS17" s="56">
        <v>10</v>
      </c>
      <c r="CT17" s="61">
        <v>100.9</v>
      </c>
      <c r="CU17" s="61"/>
      <c r="CV17" s="68">
        <f t="shared" si="33"/>
        <v>2.5</v>
      </c>
      <c r="CW17" s="68">
        <f t="shared" si="34"/>
        <v>16.610599999999998</v>
      </c>
      <c r="CX17" s="69">
        <f t="shared" si="35"/>
        <v>7.2853508771929809E-2</v>
      </c>
      <c r="CY17" s="66" t="s">
        <v>240</v>
      </c>
      <c r="CZ17" s="66" t="s">
        <v>241</v>
      </c>
      <c r="DA17" s="66"/>
      <c r="DB17" s="65" t="str">
        <f t="shared" si="36"/>
        <v>ME</v>
      </c>
      <c r="DC17" s="56">
        <v>10</v>
      </c>
      <c r="DD17" s="61">
        <v>83.1</v>
      </c>
      <c r="DE17" s="61">
        <v>103.8</v>
      </c>
      <c r="DF17" s="68">
        <f t="shared" si="37"/>
        <v>21.299999999999997</v>
      </c>
      <c r="DG17" s="69">
        <f t="shared" si="38"/>
        <v>1.1491611734399998</v>
      </c>
      <c r="DH17" s="68">
        <f t="shared" si="39"/>
        <v>5.0401805852631574</v>
      </c>
      <c r="DI17" s="62">
        <v>90</v>
      </c>
      <c r="DJ17" s="62">
        <v>54</v>
      </c>
      <c r="DK17" s="65" t="str">
        <f t="shared" si="40"/>
        <v>ME</v>
      </c>
      <c r="DL17" s="56">
        <v>10</v>
      </c>
      <c r="DM17" s="63">
        <v>8.59</v>
      </c>
      <c r="DN17" s="64">
        <v>2.1000000000000001E-2</v>
      </c>
      <c r="DO17" s="64">
        <v>3.2000000000000001E-2</v>
      </c>
      <c r="DP17" s="64">
        <v>4.2999999999999997E-2</v>
      </c>
      <c r="DQ17" s="63">
        <v>6.67</v>
      </c>
      <c r="DR17" s="61">
        <v>7.4</v>
      </c>
      <c r="DS17" s="64">
        <v>1.095</v>
      </c>
      <c r="DT17" s="61">
        <v>83.6</v>
      </c>
      <c r="DU17" s="63">
        <v>4.1399999999999997</v>
      </c>
      <c r="DV17" s="64">
        <v>0.69399999999999995</v>
      </c>
      <c r="DW17" s="64">
        <v>3.34</v>
      </c>
      <c r="DX17" s="66" t="s">
        <v>247</v>
      </c>
      <c r="DY17" s="65" t="str">
        <f t="shared" si="41"/>
        <v>ME</v>
      </c>
      <c r="DZ17" s="128">
        <v>10</v>
      </c>
      <c r="EA17" s="173">
        <f t="shared" si="42"/>
        <v>0.15240641711229946</v>
      </c>
      <c r="EB17" s="173">
        <f t="shared" si="43"/>
        <v>0.1125</v>
      </c>
      <c r="EC17" s="173">
        <f t="shared" si="44"/>
        <v>0.70175438596491224</v>
      </c>
      <c r="ED17" s="63">
        <v>1.07</v>
      </c>
      <c r="EE17" s="63">
        <v>1.1200000000000001</v>
      </c>
      <c r="EF17" s="63">
        <v>0.04</v>
      </c>
      <c r="EG17" s="63">
        <v>0.06</v>
      </c>
      <c r="EH17" s="127" t="str">
        <f t="shared" si="5"/>
        <v>ME</v>
      </c>
      <c r="EI17" s="56">
        <v>10</v>
      </c>
      <c r="EJ17" s="334"/>
      <c r="EK17" s="334"/>
      <c r="EL17" s="334"/>
      <c r="EM17" s="334"/>
      <c r="EN17" s="334"/>
      <c r="EO17" s="334"/>
      <c r="EP17" s="334"/>
      <c r="EQ17" s="65" t="str">
        <f t="shared" si="45"/>
        <v>ME</v>
      </c>
      <c r="ER17" s="20"/>
      <c r="ES17" s="20"/>
      <c r="ET17" s="20"/>
      <c r="EU17" s="20"/>
      <c r="EV17" s="20"/>
      <c r="EW17" s="20"/>
      <c r="EX17" s="20"/>
    </row>
    <row r="18" spans="1:154" s="3" customFormat="1" ht="17.149999999999999" customHeight="1" x14ac:dyDescent="0.25">
      <c r="A18" s="56">
        <v>11</v>
      </c>
      <c r="B18" s="57">
        <v>874241</v>
      </c>
      <c r="C18" s="58">
        <f t="shared" si="6"/>
        <v>232</v>
      </c>
      <c r="D18" s="167">
        <v>9.64</v>
      </c>
      <c r="E18" s="57">
        <v>778333</v>
      </c>
      <c r="F18" s="58">
        <f t="shared" si="7"/>
        <v>225</v>
      </c>
      <c r="G18" s="168">
        <v>0.95</v>
      </c>
      <c r="H18" s="57">
        <v>739750</v>
      </c>
      <c r="I18" s="58">
        <f t="shared" si="0"/>
        <v>199</v>
      </c>
      <c r="J18" s="60" t="s">
        <v>237</v>
      </c>
      <c r="K18" s="56">
        <v>11</v>
      </c>
      <c r="L18" s="57">
        <v>68506</v>
      </c>
      <c r="M18" s="58" t="str">
        <f t="shared" si="8"/>
        <v/>
      </c>
      <c r="N18" s="57">
        <v>173062</v>
      </c>
      <c r="O18" s="58">
        <f t="shared" si="9"/>
        <v>66</v>
      </c>
      <c r="P18" s="57">
        <v>194713</v>
      </c>
      <c r="Q18" s="169" t="str">
        <f t="shared" si="1"/>
        <v/>
      </c>
      <c r="R18" s="57">
        <v>664</v>
      </c>
      <c r="S18" s="57">
        <v>672</v>
      </c>
      <c r="T18" s="57">
        <v>138</v>
      </c>
      <c r="U18" s="57">
        <v>136</v>
      </c>
      <c r="V18" s="58" t="str">
        <f t="shared" si="10"/>
        <v>SA/ME</v>
      </c>
      <c r="W18" s="56">
        <v>11</v>
      </c>
      <c r="X18" s="63">
        <v>11514.33</v>
      </c>
      <c r="Y18" s="130">
        <f t="shared" si="11"/>
        <v>4.6200000000008004</v>
      </c>
      <c r="Z18" s="63">
        <v>12292.62</v>
      </c>
      <c r="AA18" s="130">
        <f t="shared" si="12"/>
        <v>2.2199999999993452</v>
      </c>
      <c r="AB18" s="63">
        <v>9717.68</v>
      </c>
      <c r="AC18" s="130">
        <f t="shared" si="13"/>
        <v>3.5799999999999272</v>
      </c>
      <c r="AD18" s="63">
        <v>9804.73</v>
      </c>
      <c r="AE18" s="130">
        <f t="shared" si="2"/>
        <v>1.7399999999997817</v>
      </c>
      <c r="AF18" s="125" t="str">
        <f t="shared" si="14"/>
        <v>SA/ME</v>
      </c>
      <c r="AG18" s="56">
        <v>11</v>
      </c>
      <c r="AH18" s="63">
        <v>45878.71</v>
      </c>
      <c r="AI18" s="130">
        <f t="shared" si="15"/>
        <v>15.590000000003783</v>
      </c>
      <c r="AJ18" s="63">
        <v>48011.86</v>
      </c>
      <c r="AK18" s="130">
        <f t="shared" si="16"/>
        <v>14.419999999998254</v>
      </c>
      <c r="AL18" s="63">
        <v>585.75</v>
      </c>
      <c r="AM18" s="130" t="str">
        <f t="shared" si="17"/>
        <v/>
      </c>
      <c r="AN18" s="63">
        <v>547.01</v>
      </c>
      <c r="AO18" s="130" t="str">
        <f t="shared" si="3"/>
        <v/>
      </c>
      <c r="AP18" s="125" t="str">
        <f t="shared" si="18"/>
        <v>SA/ME</v>
      </c>
      <c r="AQ18" s="56">
        <v>11</v>
      </c>
      <c r="AR18" s="63">
        <v>6612.04</v>
      </c>
      <c r="AS18" s="130">
        <f t="shared" si="19"/>
        <v>3.3400000000001455</v>
      </c>
      <c r="AT18" s="63">
        <v>7323.63</v>
      </c>
      <c r="AU18" s="130">
        <f t="shared" si="20"/>
        <v>3.25</v>
      </c>
      <c r="AV18" s="63">
        <v>251.22</v>
      </c>
      <c r="AW18" s="277" t="str">
        <f t="shared" si="21"/>
        <v/>
      </c>
      <c r="AX18" s="63">
        <v>239.4</v>
      </c>
      <c r="AY18" s="130" t="str">
        <f t="shared" si="4"/>
        <v/>
      </c>
      <c r="AZ18" s="125" t="str">
        <f t="shared" si="22"/>
        <v>SA/ME</v>
      </c>
      <c r="BA18" s="56">
        <v>11</v>
      </c>
      <c r="BB18" s="64">
        <v>0.52</v>
      </c>
      <c r="BC18" s="62">
        <v>18</v>
      </c>
      <c r="BD18" s="61">
        <v>7.3</v>
      </c>
      <c r="BE18" s="61">
        <v>3</v>
      </c>
      <c r="BF18" s="61">
        <v>15.6</v>
      </c>
      <c r="BG18" s="61">
        <v>7.3</v>
      </c>
      <c r="BH18" s="64">
        <v>0.218</v>
      </c>
      <c r="BI18" s="64">
        <v>0.23300000000000001</v>
      </c>
      <c r="BJ18" s="64">
        <v>0.05</v>
      </c>
      <c r="BK18" s="64">
        <v>0.06</v>
      </c>
      <c r="BL18" s="64">
        <v>6.3E-2</v>
      </c>
      <c r="BM18" s="64">
        <v>0.06</v>
      </c>
      <c r="BN18" s="65" t="str">
        <f t="shared" si="23"/>
        <v>SA/ME</v>
      </c>
      <c r="BO18" s="56">
        <v>11</v>
      </c>
      <c r="BP18" s="64">
        <v>8.2000000000000003E-2</v>
      </c>
      <c r="BQ18" s="62">
        <v>0</v>
      </c>
      <c r="BR18" s="61">
        <v>7.2</v>
      </c>
      <c r="BS18" s="61">
        <v>7.4</v>
      </c>
      <c r="BT18" s="61">
        <v>18.399999999999999</v>
      </c>
      <c r="BU18" s="64">
        <v>1.7999999999999999E-2</v>
      </c>
      <c r="BV18" s="63">
        <v>1.04</v>
      </c>
      <c r="BW18" s="63">
        <v>0.87</v>
      </c>
      <c r="BX18" s="66" t="s">
        <v>311</v>
      </c>
      <c r="BY18" s="172" t="s">
        <v>239</v>
      </c>
      <c r="BZ18" s="67" t="str">
        <f t="shared" si="24"/>
        <v>SA/ME</v>
      </c>
      <c r="CA18" s="56">
        <v>11</v>
      </c>
      <c r="CB18" s="61">
        <v>85.2</v>
      </c>
      <c r="CC18" s="61"/>
      <c r="CD18" s="69">
        <f t="shared" si="25"/>
        <v>1.7999999999999972</v>
      </c>
      <c r="CE18" s="69">
        <f t="shared" si="26"/>
        <v>8.3776769999999878</v>
      </c>
      <c r="CF18" s="69">
        <f t="shared" si="27"/>
        <v>5.0518655276381832</v>
      </c>
      <c r="CG18" s="62">
        <v>56</v>
      </c>
      <c r="CH18" s="62">
        <v>100</v>
      </c>
      <c r="CI18" s="65" t="str">
        <f t="shared" si="28"/>
        <v>SA/ME</v>
      </c>
      <c r="CJ18" s="56">
        <v>11</v>
      </c>
      <c r="CK18" s="61">
        <v>85.6</v>
      </c>
      <c r="CL18" s="61"/>
      <c r="CM18" s="68">
        <f t="shared" si="29"/>
        <v>2.8999999999999915</v>
      </c>
      <c r="CN18" s="68">
        <f t="shared" si="30"/>
        <v>13.497368499999961</v>
      </c>
      <c r="CO18" s="68">
        <f t="shared" si="31"/>
        <v>23.134605965624935</v>
      </c>
      <c r="CP18" s="62">
        <v>54</v>
      </c>
      <c r="CQ18" s="62">
        <v>83</v>
      </c>
      <c r="CR18" s="65" t="str">
        <f t="shared" si="32"/>
        <v>SA/ME</v>
      </c>
      <c r="CS18" s="56">
        <v>11</v>
      </c>
      <c r="CT18" s="61">
        <v>98.4</v>
      </c>
      <c r="CU18" s="61">
        <v>94.6</v>
      </c>
      <c r="CV18" s="68">
        <f t="shared" si="33"/>
        <v>2.5</v>
      </c>
      <c r="CW18" s="68">
        <f t="shared" si="34"/>
        <v>16.610599999999998</v>
      </c>
      <c r="CX18" s="69">
        <f t="shared" si="35"/>
        <v>7.1597413793103443E-2</v>
      </c>
      <c r="CY18" s="66" t="s">
        <v>240</v>
      </c>
      <c r="CZ18" s="66" t="s">
        <v>241</v>
      </c>
      <c r="DA18" s="66" t="s">
        <v>242</v>
      </c>
      <c r="DB18" s="65" t="str">
        <f t="shared" si="36"/>
        <v>SA/ME</v>
      </c>
      <c r="DC18" s="56">
        <v>11</v>
      </c>
      <c r="DD18" s="61">
        <v>82.5</v>
      </c>
      <c r="DE18" s="61">
        <v>103.8</v>
      </c>
      <c r="DF18" s="68">
        <f t="shared" si="37"/>
        <v>20.700000000000003</v>
      </c>
      <c r="DG18" s="69">
        <f t="shared" si="38"/>
        <v>1.1167904361600001</v>
      </c>
      <c r="DH18" s="68">
        <f t="shared" si="39"/>
        <v>4.8137518800000008</v>
      </c>
      <c r="DI18" s="62">
        <v>90</v>
      </c>
      <c r="DJ18" s="62">
        <v>54</v>
      </c>
      <c r="DK18" s="65" t="str">
        <f t="shared" si="40"/>
        <v>SA/ME</v>
      </c>
      <c r="DL18" s="56">
        <v>11</v>
      </c>
      <c r="DM18" s="63">
        <v>8.7799999999999994</v>
      </c>
      <c r="DN18" s="64">
        <v>0.02</v>
      </c>
      <c r="DO18" s="64">
        <v>3.3000000000000002E-2</v>
      </c>
      <c r="DP18" s="64">
        <v>4.4999999999999998E-2</v>
      </c>
      <c r="DQ18" s="63">
        <v>6.69</v>
      </c>
      <c r="DR18" s="61">
        <v>7.4</v>
      </c>
      <c r="DS18" s="64">
        <v>1.085</v>
      </c>
      <c r="DT18" s="61">
        <v>85.9</v>
      </c>
      <c r="DU18" s="63">
        <v>4.2699999999999996</v>
      </c>
      <c r="DV18" s="64">
        <v>1.7949999999999999</v>
      </c>
      <c r="DW18" s="64">
        <v>1.1000000000000001</v>
      </c>
      <c r="DX18" s="66" t="s">
        <v>242</v>
      </c>
      <c r="DY18" s="65" t="str">
        <f t="shared" si="41"/>
        <v>SA/ME</v>
      </c>
      <c r="DZ18" s="128">
        <v>11</v>
      </c>
      <c r="EA18" s="173">
        <f t="shared" si="42"/>
        <v>0.15508021390374332</v>
      </c>
      <c r="EB18" s="173">
        <f t="shared" si="43"/>
        <v>0.16544117647058823</v>
      </c>
      <c r="EC18" s="173">
        <f t="shared" si="44"/>
        <v>0.85775862068965514</v>
      </c>
      <c r="ED18" s="63">
        <v>1.04</v>
      </c>
      <c r="EE18" s="63">
        <v>1.0900000000000001</v>
      </c>
      <c r="EF18" s="63">
        <v>0.04</v>
      </c>
      <c r="EG18" s="63">
        <v>0.05</v>
      </c>
      <c r="EH18" s="127" t="str">
        <f t="shared" si="5"/>
        <v>SA/ME</v>
      </c>
      <c r="EI18" s="56">
        <v>11</v>
      </c>
      <c r="EJ18" s="378" t="s">
        <v>318</v>
      </c>
      <c r="EK18" s="379"/>
      <c r="EL18" s="379"/>
      <c r="EM18" s="379"/>
      <c r="EN18" s="379"/>
      <c r="EO18" s="379"/>
      <c r="EP18" s="379"/>
      <c r="EQ18" s="65" t="str">
        <f t="shared" si="45"/>
        <v>SA/ME</v>
      </c>
      <c r="ER18" s="20"/>
      <c r="ES18" s="20"/>
      <c r="ET18" s="20"/>
      <c r="EU18" s="20"/>
      <c r="EV18" s="20"/>
      <c r="EW18" s="20"/>
      <c r="EX18" s="20"/>
    </row>
    <row r="19" spans="1:154" s="3" customFormat="1" ht="17.149999999999999" customHeight="1" x14ac:dyDescent="0.35">
      <c r="A19" s="56">
        <v>12</v>
      </c>
      <c r="B19" s="57">
        <v>874473</v>
      </c>
      <c r="C19" s="58">
        <f t="shared" si="6"/>
        <v>73</v>
      </c>
      <c r="D19" s="167">
        <v>9.5</v>
      </c>
      <c r="E19" s="57">
        <v>778558</v>
      </c>
      <c r="F19" s="58">
        <f t="shared" si="7"/>
        <v>110</v>
      </c>
      <c r="G19" s="168">
        <v>1.42</v>
      </c>
      <c r="H19" s="57">
        <v>739949</v>
      </c>
      <c r="I19" s="58">
        <f t="shared" si="0"/>
        <v>62</v>
      </c>
      <c r="J19" s="60" t="s">
        <v>237</v>
      </c>
      <c r="K19" s="56">
        <v>12</v>
      </c>
      <c r="L19" s="57">
        <v>68506</v>
      </c>
      <c r="M19" s="58" t="str">
        <f t="shared" si="8"/>
        <v/>
      </c>
      <c r="N19" s="57">
        <v>173128</v>
      </c>
      <c r="O19" s="58">
        <f t="shared" si="9"/>
        <v>21</v>
      </c>
      <c r="P19" s="57">
        <v>194713</v>
      </c>
      <c r="Q19" s="169" t="str">
        <f t="shared" si="1"/>
        <v/>
      </c>
      <c r="R19" s="57">
        <v>664</v>
      </c>
      <c r="S19" s="57">
        <v>672</v>
      </c>
      <c r="T19" s="57">
        <v>138</v>
      </c>
      <c r="U19" s="57">
        <v>136</v>
      </c>
      <c r="V19" s="58" t="str">
        <f t="shared" si="10"/>
        <v>SA/ME</v>
      </c>
      <c r="W19" s="56">
        <v>12</v>
      </c>
      <c r="X19" s="63">
        <v>11518.95</v>
      </c>
      <c r="Y19" s="130" t="str">
        <f t="shared" si="11"/>
        <v/>
      </c>
      <c r="Z19" s="63">
        <v>12294.84</v>
      </c>
      <c r="AA19" s="130">
        <f t="shared" si="12"/>
        <v>2.1299999999991996</v>
      </c>
      <c r="AB19" s="63">
        <v>9721.26</v>
      </c>
      <c r="AC19" s="130" t="str">
        <f t="shared" si="13"/>
        <v/>
      </c>
      <c r="AD19" s="63">
        <v>9806.4699999999993</v>
      </c>
      <c r="AE19" s="130">
        <f t="shared" si="2"/>
        <v>1.5400000000008731</v>
      </c>
      <c r="AF19" s="125" t="str">
        <f t="shared" si="14"/>
        <v>SA/ME</v>
      </c>
      <c r="AG19" s="56">
        <v>12</v>
      </c>
      <c r="AH19" s="63">
        <v>45894.3</v>
      </c>
      <c r="AI19" s="130">
        <f t="shared" si="15"/>
        <v>8.4199999999982538</v>
      </c>
      <c r="AJ19" s="63">
        <v>48026.28</v>
      </c>
      <c r="AK19" s="130">
        <f t="shared" si="16"/>
        <v>10.059999999997672</v>
      </c>
      <c r="AL19" s="63">
        <v>585.75</v>
      </c>
      <c r="AM19" s="130" t="str">
        <f t="shared" si="17"/>
        <v/>
      </c>
      <c r="AN19" s="63">
        <v>547.01</v>
      </c>
      <c r="AO19" s="130" t="str">
        <f t="shared" si="3"/>
        <v/>
      </c>
      <c r="AP19" s="125" t="str">
        <f t="shared" si="18"/>
        <v>SA/ME</v>
      </c>
      <c r="AQ19" s="56">
        <v>12</v>
      </c>
      <c r="AR19" s="63">
        <v>6615.38</v>
      </c>
      <c r="AS19" s="130">
        <f t="shared" si="19"/>
        <v>1.1999999999998181</v>
      </c>
      <c r="AT19" s="63">
        <v>7326.88</v>
      </c>
      <c r="AU19" s="130">
        <f t="shared" si="20"/>
        <v>1.0999999999994543</v>
      </c>
      <c r="AV19" s="63">
        <v>251.22</v>
      </c>
      <c r="AW19" s="277" t="str">
        <f t="shared" si="21"/>
        <v/>
      </c>
      <c r="AX19" s="63">
        <v>239.4</v>
      </c>
      <c r="AY19" s="130">
        <f t="shared" si="4"/>
        <v>7.9999999999984084E-2</v>
      </c>
      <c r="AZ19" s="125" t="str">
        <f t="shared" si="22"/>
        <v>SA/ME</v>
      </c>
      <c r="BA19" s="56">
        <v>12</v>
      </c>
      <c r="BB19" s="64"/>
      <c r="BC19" s="62"/>
      <c r="BD19" s="61"/>
      <c r="BE19" s="61"/>
      <c r="BF19" s="61"/>
      <c r="BG19" s="61"/>
      <c r="BH19" s="64"/>
      <c r="BI19" s="64"/>
      <c r="BJ19" s="64"/>
      <c r="BK19" s="64"/>
      <c r="BL19" s="64"/>
      <c r="BM19" s="64"/>
      <c r="BN19" s="65" t="str">
        <f t="shared" si="23"/>
        <v>SA/ME</v>
      </c>
      <c r="BO19" s="56">
        <v>12</v>
      </c>
      <c r="BP19" s="64">
        <v>7.0000000000000007E-2</v>
      </c>
      <c r="BQ19" s="62">
        <v>0</v>
      </c>
      <c r="BR19" s="61">
        <v>7.3</v>
      </c>
      <c r="BS19" s="61">
        <v>7.5</v>
      </c>
      <c r="BT19" s="61">
        <v>16.399999999999999</v>
      </c>
      <c r="BU19" s="64">
        <v>2.1999999999999999E-2</v>
      </c>
      <c r="BV19" s="63">
        <v>1.04</v>
      </c>
      <c r="BW19" s="63">
        <v>0.85</v>
      </c>
      <c r="BX19" s="66" t="s">
        <v>238</v>
      </c>
      <c r="BY19" s="172" t="s">
        <v>239</v>
      </c>
      <c r="BZ19" s="67" t="str">
        <f t="shared" si="24"/>
        <v>SA/ME</v>
      </c>
      <c r="CA19" s="56">
        <v>12</v>
      </c>
      <c r="CB19" s="61">
        <v>83.4</v>
      </c>
      <c r="CC19" s="61"/>
      <c r="CD19" s="69">
        <f t="shared" si="25"/>
        <v>0.30000000000001137</v>
      </c>
      <c r="CE19" s="69">
        <f t="shared" si="26"/>
        <v>1.3962795000000532</v>
      </c>
      <c r="CF19" s="69">
        <f t="shared" si="27"/>
        <v>2.7024764516130064</v>
      </c>
      <c r="CG19" s="62">
        <v>56</v>
      </c>
      <c r="CH19" s="62">
        <v>100</v>
      </c>
      <c r="CI19" s="65" t="s">
        <v>237</v>
      </c>
      <c r="CJ19" s="56">
        <v>12</v>
      </c>
      <c r="CK19" s="61">
        <v>82.7</v>
      </c>
      <c r="CL19" s="61"/>
      <c r="CM19" s="68">
        <f t="shared" si="29"/>
        <v>1</v>
      </c>
      <c r="CN19" s="68">
        <f t="shared" si="30"/>
        <v>4.6542650000000005</v>
      </c>
      <c r="CO19" s="68">
        <f t="shared" si="31"/>
        <v>25.3529928390411</v>
      </c>
      <c r="CP19" s="62">
        <v>54</v>
      </c>
      <c r="CQ19" s="62">
        <v>83</v>
      </c>
      <c r="CR19" s="65" t="str">
        <f t="shared" si="32"/>
        <v>SA/ME</v>
      </c>
      <c r="CS19" s="56">
        <v>12</v>
      </c>
      <c r="CT19" s="61">
        <v>92.1</v>
      </c>
      <c r="CU19" s="61"/>
      <c r="CV19" s="68">
        <f t="shared" si="33"/>
        <v>0.79999999999999716</v>
      </c>
      <c r="CW19" s="68">
        <f t="shared" si="34"/>
        <v>5.3153919999999806</v>
      </c>
      <c r="CX19" s="69">
        <f t="shared" si="35"/>
        <v>7.2813589041095625E-2</v>
      </c>
      <c r="CY19" s="66" t="s">
        <v>240</v>
      </c>
      <c r="CZ19" s="66" t="s">
        <v>241</v>
      </c>
      <c r="DA19" s="66"/>
      <c r="DB19" s="65" t="str">
        <f t="shared" si="36"/>
        <v>SA/ME</v>
      </c>
      <c r="DC19" s="56">
        <v>12</v>
      </c>
      <c r="DD19" s="61">
        <v>83.1</v>
      </c>
      <c r="DE19" s="61">
        <v>106.6</v>
      </c>
      <c r="DF19" s="68">
        <f t="shared" si="37"/>
        <v>7.2999999999999972</v>
      </c>
      <c r="DG19" s="69">
        <f t="shared" si="38"/>
        <v>0.39384397023999984</v>
      </c>
      <c r="DH19" s="68">
        <f t="shared" si="39"/>
        <v>5.395122879999998</v>
      </c>
      <c r="DI19" s="62">
        <v>90</v>
      </c>
      <c r="DJ19" s="62">
        <v>54</v>
      </c>
      <c r="DK19" s="65" t="str">
        <f t="shared" si="40"/>
        <v>SA/ME</v>
      </c>
      <c r="DL19" s="56">
        <v>12</v>
      </c>
      <c r="DM19" s="63">
        <v>8.6199999999999992</v>
      </c>
      <c r="DN19" s="64">
        <v>1.2999999999999999E-2</v>
      </c>
      <c r="DO19" s="64">
        <v>3.3000000000000002E-2</v>
      </c>
      <c r="DP19" s="64">
        <v>4.5999999999999999E-2</v>
      </c>
      <c r="DQ19" s="63">
        <v>6.7</v>
      </c>
      <c r="DR19" s="61">
        <v>7.5</v>
      </c>
      <c r="DS19" s="64">
        <v>1.0589999999999999</v>
      </c>
      <c r="DT19" s="61">
        <v>84.3</v>
      </c>
      <c r="DU19" s="63">
        <v>4.3600000000000003</v>
      </c>
      <c r="DV19" s="64">
        <v>0.71099999999999997</v>
      </c>
      <c r="DW19" s="64">
        <v>0.35199999999999998</v>
      </c>
      <c r="DX19" s="66" t="s">
        <v>247</v>
      </c>
      <c r="DY19" s="65" t="str">
        <f t="shared" si="41"/>
        <v>SA/ME</v>
      </c>
      <c r="DZ19" s="128">
        <v>12</v>
      </c>
      <c r="EA19" s="173">
        <f t="shared" si="42"/>
        <v>4.8796791443850268E-2</v>
      </c>
      <c r="EB19" s="173">
        <f t="shared" si="43"/>
        <v>8.0882352941176475E-2</v>
      </c>
      <c r="EC19" s="173">
        <f t="shared" si="44"/>
        <v>0.84931506849315064</v>
      </c>
      <c r="ED19" s="63">
        <v>0.98</v>
      </c>
      <c r="EE19" s="63">
        <v>1.08</v>
      </c>
      <c r="EF19" s="63">
        <v>0.04</v>
      </c>
      <c r="EG19" s="63">
        <v>0.04</v>
      </c>
      <c r="EH19" s="127" t="str">
        <f t="shared" si="5"/>
        <v>SA/ME</v>
      </c>
      <c r="EI19" s="56">
        <v>12</v>
      </c>
      <c r="EJ19" s="379" t="s">
        <v>319</v>
      </c>
      <c r="EK19" s="379"/>
      <c r="EL19" s="379"/>
      <c r="EM19" s="379"/>
      <c r="EN19" s="379"/>
      <c r="EO19" s="379"/>
      <c r="EP19" s="379"/>
      <c r="EQ19" s="65" t="str">
        <f t="shared" si="45"/>
        <v>SA/ME</v>
      </c>
      <c r="ER19" s="20"/>
      <c r="ES19" s="20"/>
      <c r="ET19" s="20"/>
      <c r="EU19" s="20"/>
      <c r="EV19" s="20"/>
      <c r="EW19" s="20"/>
      <c r="EX19" s="20"/>
    </row>
    <row r="20" spans="1:154" s="3" customFormat="1" ht="17.149999999999999" customHeight="1" x14ac:dyDescent="0.25">
      <c r="A20" s="56">
        <v>13</v>
      </c>
      <c r="B20" s="57">
        <v>874546</v>
      </c>
      <c r="C20" s="58">
        <f t="shared" si="6"/>
        <v>154</v>
      </c>
      <c r="D20" s="167">
        <v>9.74</v>
      </c>
      <c r="E20" s="59">
        <v>778668</v>
      </c>
      <c r="F20" s="58">
        <f t="shared" si="7"/>
        <v>184</v>
      </c>
      <c r="G20" s="168">
        <v>1.74</v>
      </c>
      <c r="H20" s="57">
        <v>740011</v>
      </c>
      <c r="I20" s="58">
        <f t="shared" si="0"/>
        <v>132</v>
      </c>
      <c r="J20" s="60" t="s">
        <v>237</v>
      </c>
      <c r="K20" s="56">
        <v>13</v>
      </c>
      <c r="L20" s="57">
        <v>68506</v>
      </c>
      <c r="M20" s="58">
        <f t="shared" si="8"/>
        <v>2</v>
      </c>
      <c r="N20" s="59">
        <v>173149</v>
      </c>
      <c r="O20" s="58">
        <f t="shared" si="9"/>
        <v>31</v>
      </c>
      <c r="P20" s="57">
        <v>194713</v>
      </c>
      <c r="Q20" s="169" t="str">
        <f t="shared" si="1"/>
        <v/>
      </c>
      <c r="R20" s="57">
        <v>664</v>
      </c>
      <c r="S20" s="57">
        <v>672</v>
      </c>
      <c r="T20" s="57">
        <v>138</v>
      </c>
      <c r="U20" s="57">
        <v>136</v>
      </c>
      <c r="V20" s="58" t="str">
        <f t="shared" si="10"/>
        <v>SA/ME</v>
      </c>
      <c r="W20" s="56">
        <v>13</v>
      </c>
      <c r="X20" s="63">
        <v>11518.95</v>
      </c>
      <c r="Y20" s="130">
        <f t="shared" si="11"/>
        <v>2.3999999999996362</v>
      </c>
      <c r="Z20" s="63">
        <v>12296.97</v>
      </c>
      <c r="AA20" s="130">
        <f t="shared" si="12"/>
        <v>2.1200000000008004</v>
      </c>
      <c r="AB20" s="63">
        <v>9721.26</v>
      </c>
      <c r="AC20" s="130">
        <f t="shared" si="13"/>
        <v>1.8899999999994179</v>
      </c>
      <c r="AD20" s="63">
        <v>9808.01</v>
      </c>
      <c r="AE20" s="130">
        <f t="shared" si="2"/>
        <v>1.6299999999991996</v>
      </c>
      <c r="AF20" s="125" t="str">
        <f t="shared" si="14"/>
        <v>SA/ME</v>
      </c>
      <c r="AG20" s="56">
        <v>13</v>
      </c>
      <c r="AH20" s="63">
        <v>45902.720000000001</v>
      </c>
      <c r="AI20" s="130">
        <f t="shared" si="15"/>
        <v>12.489999999997963</v>
      </c>
      <c r="AJ20" s="63">
        <v>48036.34</v>
      </c>
      <c r="AK20" s="130">
        <f t="shared" si="16"/>
        <v>13.950000000004366</v>
      </c>
      <c r="AL20" s="63">
        <v>585.75</v>
      </c>
      <c r="AM20" s="130" t="str">
        <f t="shared" si="17"/>
        <v/>
      </c>
      <c r="AN20" s="63">
        <v>547.01</v>
      </c>
      <c r="AO20" s="130" t="str">
        <f t="shared" si="3"/>
        <v/>
      </c>
      <c r="AP20" s="125" t="str">
        <f t="shared" si="18"/>
        <v>SA/ME</v>
      </c>
      <c r="AQ20" s="56">
        <v>13</v>
      </c>
      <c r="AR20" s="63">
        <v>6616.58</v>
      </c>
      <c r="AS20" s="130">
        <f t="shared" si="19"/>
        <v>1.6599999999998545</v>
      </c>
      <c r="AT20" s="63">
        <v>7327.98</v>
      </c>
      <c r="AU20" s="130">
        <f t="shared" si="20"/>
        <v>1.5500000000001819</v>
      </c>
      <c r="AV20" s="63">
        <v>251.22</v>
      </c>
      <c r="AW20" s="277"/>
      <c r="AX20" s="63">
        <v>239.48</v>
      </c>
      <c r="AY20" s="130" t="str">
        <f t="shared" si="4"/>
        <v/>
      </c>
      <c r="AZ20" s="125" t="str">
        <f t="shared" si="22"/>
        <v>SA/ME</v>
      </c>
      <c r="BA20" s="56">
        <v>13</v>
      </c>
      <c r="BB20" s="64"/>
      <c r="BC20" s="62"/>
      <c r="BD20" s="61"/>
      <c r="BE20" s="61"/>
      <c r="BF20" s="61"/>
      <c r="BG20" s="61"/>
      <c r="BH20" s="64"/>
      <c r="BI20" s="64"/>
      <c r="BJ20" s="64"/>
      <c r="BK20" s="64"/>
      <c r="BL20" s="64"/>
      <c r="BM20" s="64"/>
      <c r="BN20" s="65" t="str">
        <f t="shared" si="23"/>
        <v>SA/ME</v>
      </c>
      <c r="BO20" s="56">
        <v>13</v>
      </c>
      <c r="BP20" s="64">
        <v>8.1000000000000003E-2</v>
      </c>
      <c r="BQ20" s="62">
        <v>0</v>
      </c>
      <c r="BR20" s="61">
        <v>7.2</v>
      </c>
      <c r="BS20" s="61">
        <v>7.6</v>
      </c>
      <c r="BT20" s="61">
        <v>18.100000000000001</v>
      </c>
      <c r="BU20" s="64">
        <v>1.0999999999999999E-2</v>
      </c>
      <c r="BV20" s="63">
        <v>1.01</v>
      </c>
      <c r="BW20" s="63">
        <v>0.87</v>
      </c>
      <c r="BX20" s="66" t="s">
        <v>312</v>
      </c>
      <c r="BY20" s="172" t="s">
        <v>239</v>
      </c>
      <c r="BZ20" s="67" t="str">
        <f t="shared" si="24"/>
        <v>SA/ME</v>
      </c>
      <c r="CA20" s="56">
        <v>13</v>
      </c>
      <c r="CB20" s="61">
        <v>83.1</v>
      </c>
      <c r="CC20" s="61"/>
      <c r="CD20" s="69">
        <f t="shared" si="25"/>
        <v>1.2999999999999972</v>
      </c>
      <c r="CE20" s="69">
        <f t="shared" si="26"/>
        <v>6.0505444999999876</v>
      </c>
      <c r="CF20" s="69">
        <f t="shared" si="27"/>
        <v>5.5004949999999875</v>
      </c>
      <c r="CG20" s="62">
        <v>56</v>
      </c>
      <c r="CH20" s="62">
        <v>100</v>
      </c>
      <c r="CI20" s="65" t="str">
        <f t="shared" si="28"/>
        <v>SA/ME</v>
      </c>
      <c r="CJ20" s="56">
        <v>13</v>
      </c>
      <c r="CK20" s="61">
        <v>81.7</v>
      </c>
      <c r="CL20" s="61"/>
      <c r="CM20" s="68">
        <f t="shared" si="29"/>
        <v>2.1000000000000085</v>
      </c>
      <c r="CN20" s="68">
        <f t="shared" si="30"/>
        <v>9.7739565000000397</v>
      </c>
      <c r="CO20" s="68">
        <f t="shared" si="31"/>
        <v>25.237751962500106</v>
      </c>
      <c r="CP20" s="62">
        <v>54</v>
      </c>
      <c r="CQ20" s="62">
        <v>83</v>
      </c>
      <c r="CR20" s="65" t="str">
        <f t="shared" si="32"/>
        <v>SA/ME</v>
      </c>
      <c r="CS20" s="56">
        <v>13</v>
      </c>
      <c r="CT20" s="61">
        <v>91.3</v>
      </c>
      <c r="CU20" s="61"/>
      <c r="CV20" s="68">
        <f t="shared" si="33"/>
        <v>1.5999999999999943</v>
      </c>
      <c r="CW20" s="68">
        <f t="shared" si="34"/>
        <v>10.630783999999961</v>
      </c>
      <c r="CX20" s="69">
        <f t="shared" si="35"/>
        <v>6.9031064935064682E-2</v>
      </c>
      <c r="CY20" s="66" t="s">
        <v>240</v>
      </c>
      <c r="CZ20" s="66" t="s">
        <v>241</v>
      </c>
      <c r="DA20" s="66"/>
      <c r="DB20" s="65" t="str">
        <f t="shared" si="36"/>
        <v>SA/ME</v>
      </c>
      <c r="DC20" s="56">
        <v>13</v>
      </c>
      <c r="DD20" s="61">
        <v>99.3</v>
      </c>
      <c r="DE20" s="61">
        <v>105</v>
      </c>
      <c r="DF20" s="68">
        <f t="shared" si="37"/>
        <v>13.599999999999994</v>
      </c>
      <c r="DG20" s="69">
        <f t="shared" si="38"/>
        <v>0.73373671167999976</v>
      </c>
      <c r="DH20" s="68">
        <f t="shared" si="39"/>
        <v>4.7645241018181803</v>
      </c>
      <c r="DI20" s="62">
        <v>90</v>
      </c>
      <c r="DJ20" s="62">
        <v>54</v>
      </c>
      <c r="DK20" s="65" t="str">
        <f t="shared" si="40"/>
        <v>SA/ME</v>
      </c>
      <c r="DL20" s="56">
        <v>13</v>
      </c>
      <c r="DM20" s="63">
        <v>8.74</v>
      </c>
      <c r="DN20" s="64">
        <v>1.9E-2</v>
      </c>
      <c r="DO20" s="64">
        <v>3.3000000000000002E-2</v>
      </c>
      <c r="DP20" s="64">
        <v>4.8000000000000001E-2</v>
      </c>
      <c r="DQ20" s="63">
        <v>6.72</v>
      </c>
      <c r="DR20" s="61">
        <v>7.6</v>
      </c>
      <c r="DS20" s="64">
        <v>1.036</v>
      </c>
      <c r="DT20" s="61">
        <v>85.5</v>
      </c>
      <c r="DU20" s="63">
        <v>4.28</v>
      </c>
      <c r="DV20" s="64">
        <v>0.70399999999999996</v>
      </c>
      <c r="DW20" s="64">
        <v>2.69</v>
      </c>
      <c r="DX20" s="66" t="s">
        <v>247</v>
      </c>
      <c r="DY20" s="65" t="str">
        <f t="shared" si="41"/>
        <v>SA/ME</v>
      </c>
      <c r="DZ20" s="128">
        <v>13</v>
      </c>
      <c r="EA20" s="173">
        <f t="shared" si="42"/>
        <v>0.10294117647058823</v>
      </c>
      <c r="EB20" s="173">
        <f t="shared" si="43"/>
        <v>0.13529411764705881</v>
      </c>
      <c r="EC20" s="173">
        <f t="shared" si="44"/>
        <v>0.8571428571428571</v>
      </c>
      <c r="ED20" s="63">
        <v>1.03</v>
      </c>
      <c r="EE20" s="63">
        <v>1.05</v>
      </c>
      <c r="EF20" s="63">
        <v>0.04</v>
      </c>
      <c r="EG20" s="63">
        <v>0.05</v>
      </c>
      <c r="EH20" s="127" t="str">
        <f t="shared" si="5"/>
        <v>SA/ME</v>
      </c>
      <c r="EI20" s="56">
        <v>13</v>
      </c>
      <c r="EJ20" s="334"/>
      <c r="EK20" s="334"/>
      <c r="EL20" s="334"/>
      <c r="EM20" s="334"/>
      <c r="EN20" s="334"/>
      <c r="EO20" s="334"/>
      <c r="EP20" s="334"/>
      <c r="EQ20" s="65" t="str">
        <f t="shared" si="45"/>
        <v>SA/ME</v>
      </c>
      <c r="ER20" s="20"/>
      <c r="ES20" s="20"/>
      <c r="ET20" s="20"/>
      <c r="EU20" s="20"/>
      <c r="EV20" s="20"/>
      <c r="EW20" s="20"/>
      <c r="EX20" s="20"/>
    </row>
    <row r="21" spans="1:154" s="3" customFormat="1" ht="17.149999999999999" customHeight="1" x14ac:dyDescent="0.25">
      <c r="A21" s="56">
        <v>14</v>
      </c>
      <c r="B21" s="57">
        <v>874700</v>
      </c>
      <c r="C21" s="58">
        <f t="shared" si="6"/>
        <v>165</v>
      </c>
      <c r="D21" s="167">
        <v>9.18</v>
      </c>
      <c r="E21" s="59">
        <v>778852</v>
      </c>
      <c r="F21" s="58">
        <f t="shared" si="7"/>
        <v>172</v>
      </c>
      <c r="G21" s="168">
        <v>1.07</v>
      </c>
      <c r="H21" s="57">
        <v>740143</v>
      </c>
      <c r="I21" s="58">
        <f t="shared" si="0"/>
        <v>127</v>
      </c>
      <c r="J21" s="60" t="s">
        <v>194</v>
      </c>
      <c r="K21" s="56">
        <v>14</v>
      </c>
      <c r="L21" s="57">
        <v>68508</v>
      </c>
      <c r="M21" s="58">
        <f t="shared" si="8"/>
        <v>2</v>
      </c>
      <c r="N21" s="59">
        <v>173180</v>
      </c>
      <c r="O21" s="58">
        <f t="shared" si="9"/>
        <v>34</v>
      </c>
      <c r="P21" s="57">
        <v>194713</v>
      </c>
      <c r="Q21" s="169" t="str">
        <f t="shared" si="1"/>
        <v/>
      </c>
      <c r="R21" s="57">
        <v>664</v>
      </c>
      <c r="S21" s="57">
        <v>672</v>
      </c>
      <c r="T21" s="57">
        <v>138</v>
      </c>
      <c r="U21" s="57">
        <v>136</v>
      </c>
      <c r="V21" s="58" t="str">
        <f t="shared" si="10"/>
        <v>ME</v>
      </c>
      <c r="W21" s="56">
        <v>14</v>
      </c>
      <c r="X21" s="63">
        <v>11521.35</v>
      </c>
      <c r="Y21" s="130">
        <f t="shared" si="11"/>
        <v>4.0100000000002183</v>
      </c>
      <c r="Z21" s="63">
        <v>12299.09</v>
      </c>
      <c r="AA21" s="130" t="str">
        <f t="shared" si="12"/>
        <v/>
      </c>
      <c r="AB21" s="63">
        <v>9723.15</v>
      </c>
      <c r="AC21" s="130">
        <f t="shared" si="13"/>
        <v>1.7800000000006548</v>
      </c>
      <c r="AD21" s="63">
        <v>9809.64</v>
      </c>
      <c r="AE21" s="130">
        <f t="shared" si="2"/>
        <v>1.6200000000008004</v>
      </c>
      <c r="AF21" s="125" t="str">
        <f t="shared" si="14"/>
        <v>ME</v>
      </c>
      <c r="AG21" s="56">
        <v>14</v>
      </c>
      <c r="AH21" s="63">
        <v>45915.21</v>
      </c>
      <c r="AI21" s="130">
        <f t="shared" si="15"/>
        <v>11.510000000002037</v>
      </c>
      <c r="AJ21" s="63">
        <v>48050.29</v>
      </c>
      <c r="AK21" s="130">
        <f t="shared" si="16"/>
        <v>15.279999999998836</v>
      </c>
      <c r="AL21" s="63">
        <v>585.75</v>
      </c>
      <c r="AM21" s="130" t="str">
        <f t="shared" si="17"/>
        <v/>
      </c>
      <c r="AN21" s="63">
        <v>547.01</v>
      </c>
      <c r="AO21" s="130" t="str">
        <f t="shared" si="3"/>
        <v/>
      </c>
      <c r="AP21" s="125" t="str">
        <f t="shared" si="18"/>
        <v>ME</v>
      </c>
      <c r="AQ21" s="56">
        <v>14</v>
      </c>
      <c r="AR21" s="63">
        <v>6618.24</v>
      </c>
      <c r="AS21" s="130">
        <f t="shared" si="19"/>
        <v>1.930000000000291</v>
      </c>
      <c r="AT21" s="63">
        <v>7329.53</v>
      </c>
      <c r="AU21" s="130">
        <f t="shared" si="20"/>
        <v>1.8699999999998909</v>
      </c>
      <c r="AV21" s="63">
        <v>251.22</v>
      </c>
      <c r="AW21" s="277" t="str">
        <f t="shared" si="21"/>
        <v/>
      </c>
      <c r="AX21" s="63">
        <v>239.48</v>
      </c>
      <c r="AY21" s="130" t="str">
        <f t="shared" si="4"/>
        <v/>
      </c>
      <c r="AZ21" s="125" t="str">
        <f t="shared" si="22"/>
        <v>ME</v>
      </c>
      <c r="BA21" s="56">
        <v>14</v>
      </c>
      <c r="BB21" s="64">
        <v>0.53400000000000003</v>
      </c>
      <c r="BC21" s="62">
        <v>7</v>
      </c>
      <c r="BD21" s="61">
        <v>7.1</v>
      </c>
      <c r="BE21" s="61">
        <v>3</v>
      </c>
      <c r="BF21" s="61">
        <v>14.1</v>
      </c>
      <c r="BG21" s="61">
        <v>7.1</v>
      </c>
      <c r="BH21" s="64">
        <v>0.215</v>
      </c>
      <c r="BI21" s="64">
        <v>0.22</v>
      </c>
      <c r="BJ21" s="64">
        <v>4.9000000000000002E-2</v>
      </c>
      <c r="BK21" s="64">
        <v>4.9000000000000002E-2</v>
      </c>
      <c r="BL21" s="64">
        <v>5.0999999999999997E-2</v>
      </c>
      <c r="BM21" s="64">
        <v>6.4000000000000001E-2</v>
      </c>
      <c r="BN21" s="65" t="str">
        <f t="shared" si="23"/>
        <v>ME</v>
      </c>
      <c r="BO21" s="56">
        <v>14</v>
      </c>
      <c r="BP21" s="64">
        <v>7.1999999999999995E-2</v>
      </c>
      <c r="BQ21" s="62">
        <v>0</v>
      </c>
      <c r="BR21" s="61">
        <v>7.2</v>
      </c>
      <c r="BS21" s="61">
        <v>7.7</v>
      </c>
      <c r="BT21" s="61">
        <v>17.7</v>
      </c>
      <c r="BU21" s="64">
        <v>1.4999999999999999E-2</v>
      </c>
      <c r="BV21" s="63">
        <v>0.98</v>
      </c>
      <c r="BW21" s="63">
        <v>0.8</v>
      </c>
      <c r="BX21" s="66" t="s">
        <v>286</v>
      </c>
      <c r="BY21" s="172" t="s">
        <v>246</v>
      </c>
      <c r="BZ21" s="67" t="str">
        <f t="shared" si="24"/>
        <v>ME</v>
      </c>
      <c r="CA21" s="56">
        <v>14</v>
      </c>
      <c r="CB21" s="61">
        <v>81.8</v>
      </c>
      <c r="CC21" s="61">
        <v>97.1</v>
      </c>
      <c r="CD21" s="69">
        <f t="shared" si="25"/>
        <v>1.0999999999999943</v>
      </c>
      <c r="CE21" s="69">
        <f t="shared" si="26"/>
        <v>5.1196914999999734</v>
      </c>
      <c r="CF21" s="69">
        <f t="shared" si="27"/>
        <v>4.837503779527534</v>
      </c>
      <c r="CG21" s="62">
        <v>61</v>
      </c>
      <c r="CH21" s="62">
        <v>100</v>
      </c>
      <c r="CI21" s="65" t="str">
        <f t="shared" si="28"/>
        <v>ME</v>
      </c>
      <c r="CJ21" s="56">
        <v>14</v>
      </c>
      <c r="CK21" s="61">
        <v>79.599999999999994</v>
      </c>
      <c r="CL21" s="61">
        <v>99.3</v>
      </c>
      <c r="CM21" s="68">
        <f t="shared" si="29"/>
        <v>1.7000000000000028</v>
      </c>
      <c r="CN21" s="68">
        <f t="shared" si="30"/>
        <v>7.9122505000000141</v>
      </c>
      <c r="CO21" s="68">
        <f t="shared" si="31"/>
        <v>19.068523705000036</v>
      </c>
      <c r="CP21" s="62">
        <v>53</v>
      </c>
      <c r="CQ21" s="62">
        <v>83</v>
      </c>
      <c r="CR21" s="65" t="str">
        <f t="shared" si="32"/>
        <v>ME</v>
      </c>
      <c r="CS21" s="56">
        <v>14</v>
      </c>
      <c r="CT21" s="61">
        <v>89.7</v>
      </c>
      <c r="CU21" s="61">
        <v>113.5</v>
      </c>
      <c r="CV21" s="68">
        <f t="shared" si="33"/>
        <v>0.29999999999999716</v>
      </c>
      <c r="CW21" s="68">
        <f t="shared" si="34"/>
        <v>1.9932719999999811</v>
      </c>
      <c r="CX21" s="69">
        <f t="shared" si="35"/>
        <v>1.208043636363625E-2</v>
      </c>
      <c r="CY21" s="66" t="s">
        <v>240</v>
      </c>
      <c r="CZ21" s="66" t="s">
        <v>241</v>
      </c>
      <c r="DA21" s="66"/>
      <c r="DB21" s="65" t="str">
        <f t="shared" si="36"/>
        <v>ME</v>
      </c>
      <c r="DC21" s="56">
        <v>14</v>
      </c>
      <c r="DD21" s="61">
        <v>91.4</v>
      </c>
      <c r="DE21" s="61">
        <v>103.7</v>
      </c>
      <c r="DF21" s="68">
        <f t="shared" si="37"/>
        <v>12.400000000000006</v>
      </c>
      <c r="DG21" s="69">
        <f t="shared" si="38"/>
        <v>0.66899523712000031</v>
      </c>
      <c r="DH21" s="68">
        <f t="shared" si="39"/>
        <v>4.0545165886060621</v>
      </c>
      <c r="DI21" s="62">
        <v>90</v>
      </c>
      <c r="DJ21" s="62">
        <v>54</v>
      </c>
      <c r="DK21" s="65" t="str">
        <f t="shared" si="40"/>
        <v>ME</v>
      </c>
      <c r="DL21" s="56">
        <v>14</v>
      </c>
      <c r="DM21" s="63">
        <v>8.68</v>
      </c>
      <c r="DN21" s="64">
        <v>0.02</v>
      </c>
      <c r="DO21" s="64">
        <v>3.2000000000000001E-2</v>
      </c>
      <c r="DP21" s="64">
        <v>0.05</v>
      </c>
      <c r="DQ21" s="63">
        <v>6.72</v>
      </c>
      <c r="DR21" s="61">
        <v>7.7</v>
      </c>
      <c r="DS21" s="64">
        <v>1.028</v>
      </c>
      <c r="DT21" s="61">
        <v>85.7</v>
      </c>
      <c r="DU21" s="63">
        <v>4.25</v>
      </c>
      <c r="DV21" s="64">
        <v>0.66900000000000004</v>
      </c>
      <c r="DW21" s="64">
        <v>0.498</v>
      </c>
      <c r="DX21" s="66" t="s">
        <v>242</v>
      </c>
      <c r="DY21" s="65" t="str">
        <f t="shared" si="41"/>
        <v>ME</v>
      </c>
      <c r="DZ21" s="128">
        <v>14</v>
      </c>
      <c r="EA21" s="173">
        <f t="shared" si="42"/>
        <v>0.11029411764705882</v>
      </c>
      <c r="EB21" s="173">
        <f t="shared" si="43"/>
        <v>0.12647058823529411</v>
      </c>
      <c r="EC21" s="173">
        <f t="shared" si="44"/>
        <v>0.76969696969696966</v>
      </c>
      <c r="ED21" s="63">
        <v>1</v>
      </c>
      <c r="EE21" s="63">
        <v>1.04</v>
      </c>
      <c r="EF21" s="63">
        <v>0.05</v>
      </c>
      <c r="EG21" s="63">
        <v>7.0000000000000007E-2</v>
      </c>
      <c r="EH21" s="127" t="str">
        <f t="shared" si="5"/>
        <v>ME</v>
      </c>
      <c r="EI21" s="56">
        <v>14</v>
      </c>
      <c r="EJ21" s="334" t="s">
        <v>315</v>
      </c>
      <c r="EK21" s="334"/>
      <c r="EL21" s="334"/>
      <c r="EM21" s="334"/>
      <c r="EN21" s="334"/>
      <c r="EO21" s="334"/>
      <c r="EP21" s="334"/>
      <c r="EQ21" s="65" t="str">
        <f t="shared" si="45"/>
        <v>ME</v>
      </c>
      <c r="ER21" s="20"/>
      <c r="ES21" s="20"/>
      <c r="ET21" s="20"/>
      <c r="EU21" s="20"/>
      <c r="EV21" s="20"/>
      <c r="EW21" s="20"/>
      <c r="EX21" s="20"/>
    </row>
    <row r="22" spans="1:154" s="3" customFormat="1" ht="17.149999999999999" customHeight="1" x14ac:dyDescent="0.25">
      <c r="A22" s="56">
        <v>15</v>
      </c>
      <c r="B22" s="57">
        <v>874865</v>
      </c>
      <c r="C22" s="58">
        <f t="shared" si="6"/>
        <v>170</v>
      </c>
      <c r="D22" s="167">
        <v>9.07</v>
      </c>
      <c r="E22" s="59">
        <v>779024</v>
      </c>
      <c r="F22" s="58">
        <f t="shared" si="7"/>
        <v>119</v>
      </c>
      <c r="G22" s="168">
        <v>1.7</v>
      </c>
      <c r="H22" s="57">
        <v>740270</v>
      </c>
      <c r="I22" s="58">
        <f t="shared" si="0"/>
        <v>104</v>
      </c>
      <c r="J22" s="60" t="s">
        <v>194</v>
      </c>
      <c r="K22" s="56">
        <v>15</v>
      </c>
      <c r="L22" s="57">
        <v>68510</v>
      </c>
      <c r="M22" s="58">
        <f t="shared" si="8"/>
        <v>50</v>
      </c>
      <c r="N22" s="59">
        <v>173214</v>
      </c>
      <c r="O22" s="58">
        <f t="shared" si="9"/>
        <v>37</v>
      </c>
      <c r="P22" s="57">
        <v>194713</v>
      </c>
      <c r="Q22" s="169" t="str">
        <f t="shared" si="1"/>
        <v/>
      </c>
      <c r="R22" s="57">
        <v>664</v>
      </c>
      <c r="S22" s="57">
        <v>672</v>
      </c>
      <c r="T22" s="57">
        <v>138</v>
      </c>
      <c r="U22" s="57">
        <v>136</v>
      </c>
      <c r="V22" s="58" t="str">
        <f t="shared" si="10"/>
        <v>ME</v>
      </c>
      <c r="W22" s="56">
        <v>15</v>
      </c>
      <c r="X22" s="63">
        <v>11525.36</v>
      </c>
      <c r="Y22" s="130">
        <f t="shared" si="11"/>
        <v>1.6399999999994179</v>
      </c>
      <c r="Z22" s="63">
        <v>12299.09</v>
      </c>
      <c r="AA22" s="130">
        <f t="shared" si="12"/>
        <v>4.6499999999996362</v>
      </c>
      <c r="AB22" s="63">
        <v>9724.93</v>
      </c>
      <c r="AC22" s="130">
        <f t="shared" si="13"/>
        <v>1.5100000000002183</v>
      </c>
      <c r="AD22" s="63">
        <v>9811.26</v>
      </c>
      <c r="AE22" s="130">
        <f t="shared" si="2"/>
        <v>1.2600000000002183</v>
      </c>
      <c r="AF22" s="125" t="str">
        <f t="shared" si="14"/>
        <v>ME</v>
      </c>
      <c r="AG22" s="56">
        <v>15</v>
      </c>
      <c r="AH22" s="63">
        <v>45926.720000000001</v>
      </c>
      <c r="AI22" s="130">
        <f t="shared" si="15"/>
        <v>11.129999999997381</v>
      </c>
      <c r="AJ22" s="63">
        <v>48065.57</v>
      </c>
      <c r="AK22" s="130">
        <f t="shared" si="16"/>
        <v>8.7200000000011642</v>
      </c>
      <c r="AL22" s="63">
        <v>585.75</v>
      </c>
      <c r="AM22" s="130" t="str">
        <f t="shared" si="17"/>
        <v/>
      </c>
      <c r="AN22" s="63">
        <v>547.01</v>
      </c>
      <c r="AO22" s="130" t="str">
        <f t="shared" si="3"/>
        <v/>
      </c>
      <c r="AP22" s="125" t="str">
        <f t="shared" si="18"/>
        <v>ME</v>
      </c>
      <c r="AQ22" s="56">
        <v>15</v>
      </c>
      <c r="AR22" s="63">
        <v>6620.17</v>
      </c>
      <c r="AS22" s="130">
        <f t="shared" si="19"/>
        <v>1.8299999999999272</v>
      </c>
      <c r="AT22" s="63">
        <v>7331.4</v>
      </c>
      <c r="AU22" s="130">
        <f t="shared" si="20"/>
        <v>1.7200000000002547</v>
      </c>
      <c r="AV22" s="63">
        <v>251.22</v>
      </c>
      <c r="AW22" s="277">
        <f t="shared" si="21"/>
        <v>0.34000000000000341</v>
      </c>
      <c r="AX22" s="63">
        <v>239.48</v>
      </c>
      <c r="AY22" s="130" t="str">
        <f t="shared" si="4"/>
        <v/>
      </c>
      <c r="AZ22" s="125" t="str">
        <f t="shared" si="22"/>
        <v>ME</v>
      </c>
      <c r="BA22" s="56">
        <v>15</v>
      </c>
      <c r="BB22" s="64">
        <v>0.52700000000000002</v>
      </c>
      <c r="BC22" s="70">
        <v>18</v>
      </c>
      <c r="BD22" s="71">
        <v>7.1</v>
      </c>
      <c r="BE22" s="71">
        <v>2.9</v>
      </c>
      <c r="BF22" s="71">
        <v>13.2</v>
      </c>
      <c r="BG22" s="71">
        <v>7.1</v>
      </c>
      <c r="BH22" s="72">
        <v>0.217</v>
      </c>
      <c r="BI22" s="72">
        <v>0.24199999999999999</v>
      </c>
      <c r="BJ22" s="72">
        <v>0.05</v>
      </c>
      <c r="BK22" s="72">
        <v>0.05</v>
      </c>
      <c r="BL22" s="64">
        <v>4.7E-2</v>
      </c>
      <c r="BM22" s="64">
        <v>5.5E-2</v>
      </c>
      <c r="BN22" s="65" t="str">
        <f t="shared" si="23"/>
        <v>ME</v>
      </c>
      <c r="BO22" s="56">
        <v>15</v>
      </c>
      <c r="BP22" s="64">
        <v>7.1999999999999995E-2</v>
      </c>
      <c r="BQ22" s="62">
        <v>0</v>
      </c>
      <c r="BR22" s="61">
        <v>7.2</v>
      </c>
      <c r="BS22" s="61">
        <v>7.8</v>
      </c>
      <c r="BT22" s="61">
        <v>17.100000000000001</v>
      </c>
      <c r="BU22" s="64">
        <v>1.4E-2</v>
      </c>
      <c r="BV22" s="63">
        <v>1.02</v>
      </c>
      <c r="BW22" s="63">
        <v>0.87</v>
      </c>
      <c r="BX22" s="66" t="s">
        <v>273</v>
      </c>
      <c r="BY22" s="172" t="s">
        <v>246</v>
      </c>
      <c r="BZ22" s="67" t="str">
        <f t="shared" si="24"/>
        <v>ME</v>
      </c>
      <c r="CA22" s="56">
        <v>15</v>
      </c>
      <c r="CB22" s="61">
        <v>96</v>
      </c>
      <c r="CC22" s="61"/>
      <c r="CD22" s="69">
        <f t="shared" si="25"/>
        <v>1.0999999999999943</v>
      </c>
      <c r="CE22" s="69">
        <f t="shared" si="26"/>
        <v>5.1196914999999734</v>
      </c>
      <c r="CF22" s="69">
        <f t="shared" si="27"/>
        <v>5.9073363461538158</v>
      </c>
      <c r="CG22" s="62">
        <v>63</v>
      </c>
      <c r="CH22" s="62">
        <v>100</v>
      </c>
      <c r="CI22" s="65" t="str">
        <f t="shared" si="28"/>
        <v>ME</v>
      </c>
      <c r="CJ22" s="56">
        <v>15</v>
      </c>
      <c r="CK22" s="61">
        <v>97.6</v>
      </c>
      <c r="CL22" s="61"/>
      <c r="CM22" s="68">
        <f t="shared" si="29"/>
        <v>2.5999999999999943</v>
      </c>
      <c r="CN22" s="68">
        <f t="shared" si="30"/>
        <v>12.101088999999975</v>
      </c>
      <c r="CO22" s="68">
        <f t="shared" si="31"/>
        <v>28.305870828529358</v>
      </c>
      <c r="CP22" s="62">
        <v>52</v>
      </c>
      <c r="CQ22" s="62">
        <v>83</v>
      </c>
      <c r="CR22" s="65" t="str">
        <f t="shared" si="32"/>
        <v>ME</v>
      </c>
      <c r="CS22" s="56">
        <v>15</v>
      </c>
      <c r="CT22" s="61">
        <v>113.2</v>
      </c>
      <c r="CU22" s="61"/>
      <c r="CV22" s="68">
        <f t="shared" si="33"/>
        <v>1.9000000000000057</v>
      </c>
      <c r="CW22" s="68">
        <f t="shared" si="34"/>
        <v>12.624056000000037</v>
      </c>
      <c r="CX22" s="69">
        <f t="shared" si="35"/>
        <v>7.4259152941176687E-2</v>
      </c>
      <c r="CY22" s="66" t="s">
        <v>240</v>
      </c>
      <c r="CZ22" s="66" t="s">
        <v>241</v>
      </c>
      <c r="DA22" s="66"/>
      <c r="DB22" s="65" t="str">
        <f t="shared" si="36"/>
        <v>ME</v>
      </c>
      <c r="DC22" s="56">
        <v>15</v>
      </c>
      <c r="DD22" s="61">
        <v>91.3</v>
      </c>
      <c r="DE22" s="61">
        <v>103.5</v>
      </c>
      <c r="DF22" s="68">
        <f t="shared" si="37"/>
        <v>16.900000000000006</v>
      </c>
      <c r="DG22" s="69">
        <f t="shared" si="38"/>
        <v>0.91177576672000027</v>
      </c>
      <c r="DH22" s="68">
        <f t="shared" si="39"/>
        <v>5.3633868630588255</v>
      </c>
      <c r="DI22" s="62">
        <v>89</v>
      </c>
      <c r="DJ22" s="62">
        <v>54</v>
      </c>
      <c r="DK22" s="65" t="str">
        <f t="shared" si="40"/>
        <v>ME</v>
      </c>
      <c r="DL22" s="56">
        <v>15</v>
      </c>
      <c r="DM22" s="63">
        <v>8.8699999999999992</v>
      </c>
      <c r="DN22" s="64">
        <v>2.7E-2</v>
      </c>
      <c r="DO22" s="64">
        <v>3.3000000000000002E-2</v>
      </c>
      <c r="DP22" s="64">
        <v>5.0999999999999997E-2</v>
      </c>
      <c r="DQ22" s="63">
        <v>6.73</v>
      </c>
      <c r="DR22" s="61">
        <v>7.7</v>
      </c>
      <c r="DS22" s="64">
        <v>1.03</v>
      </c>
      <c r="DT22" s="61">
        <v>85.2</v>
      </c>
      <c r="DU22" s="63">
        <v>4.24</v>
      </c>
      <c r="DV22" s="64">
        <v>0.71599999999999997</v>
      </c>
      <c r="DW22" s="64">
        <v>0.33900000000000002</v>
      </c>
      <c r="DX22" s="66" t="s">
        <v>247</v>
      </c>
      <c r="DY22" s="65" t="str">
        <f t="shared" si="41"/>
        <v>ME</v>
      </c>
      <c r="DZ22" s="128">
        <v>15</v>
      </c>
      <c r="EA22" s="173">
        <f t="shared" si="42"/>
        <v>0.11363636363636363</v>
      </c>
      <c r="EB22" s="173">
        <f t="shared" si="43"/>
        <v>8.7499999999999994E-2</v>
      </c>
      <c r="EC22" s="173">
        <f t="shared" si="44"/>
        <v>0.61176470588235299</v>
      </c>
      <c r="ED22" s="63">
        <v>1.01</v>
      </c>
      <c r="EE22" s="63">
        <v>1.05</v>
      </c>
      <c r="EF22" s="284">
        <v>0.4</v>
      </c>
      <c r="EG22" s="63">
        <v>0.14000000000000001</v>
      </c>
      <c r="EH22" s="127" t="str">
        <f t="shared" si="5"/>
        <v>ME</v>
      </c>
      <c r="EI22" s="56">
        <v>15</v>
      </c>
      <c r="EJ22" s="377" t="s">
        <v>314</v>
      </c>
      <c r="EK22" s="377"/>
      <c r="EL22" s="377"/>
      <c r="EM22" s="377"/>
      <c r="EN22" s="377"/>
      <c r="EO22" s="377"/>
      <c r="EP22" s="377"/>
      <c r="EQ22" s="65" t="str">
        <f t="shared" si="45"/>
        <v>ME</v>
      </c>
      <c r="ER22" s="20"/>
      <c r="ES22" s="20"/>
      <c r="ET22" s="20"/>
      <c r="EU22" s="20"/>
      <c r="EV22" s="20"/>
      <c r="EW22" s="20"/>
      <c r="EX22" s="20"/>
    </row>
    <row r="23" spans="1:154" s="3" customFormat="1" ht="17.149999999999999" customHeight="1" x14ac:dyDescent="0.25">
      <c r="A23" s="56">
        <v>16</v>
      </c>
      <c r="B23" s="57">
        <v>875035</v>
      </c>
      <c r="C23" s="58">
        <f t="shared" si="6"/>
        <v>139</v>
      </c>
      <c r="D23" s="167">
        <v>9.2100000000000009</v>
      </c>
      <c r="E23" s="59">
        <v>779143</v>
      </c>
      <c r="F23" s="58">
        <f t="shared" si="7"/>
        <v>130</v>
      </c>
      <c r="G23" s="168">
        <v>2.1800000000000002</v>
      </c>
      <c r="H23" s="57">
        <v>740374</v>
      </c>
      <c r="I23" s="58">
        <f t="shared" si="0"/>
        <v>117</v>
      </c>
      <c r="J23" s="60" t="s">
        <v>194</v>
      </c>
      <c r="K23" s="56">
        <v>16</v>
      </c>
      <c r="L23" s="57">
        <v>68560</v>
      </c>
      <c r="M23" s="58" t="str">
        <f t="shared" si="8"/>
        <v/>
      </c>
      <c r="N23" s="59">
        <v>173251</v>
      </c>
      <c r="O23" s="58">
        <f t="shared" si="9"/>
        <v>60</v>
      </c>
      <c r="P23" s="57">
        <v>194713</v>
      </c>
      <c r="Q23" s="169" t="str">
        <f t="shared" si="1"/>
        <v/>
      </c>
      <c r="R23" s="57">
        <v>665</v>
      </c>
      <c r="S23" s="57">
        <v>672</v>
      </c>
      <c r="T23" s="57">
        <v>138</v>
      </c>
      <c r="U23" s="57">
        <v>136</v>
      </c>
      <c r="V23" s="58" t="str">
        <f t="shared" si="10"/>
        <v>ME</v>
      </c>
      <c r="W23" s="56">
        <v>16</v>
      </c>
      <c r="X23" s="63">
        <v>11527</v>
      </c>
      <c r="Y23" s="130">
        <f t="shared" si="11"/>
        <v>2.0499999999992724</v>
      </c>
      <c r="Z23" s="63">
        <v>12303.74</v>
      </c>
      <c r="AA23" s="130">
        <f t="shared" si="12"/>
        <v>2.0300000000006548</v>
      </c>
      <c r="AB23" s="63">
        <v>9726.44</v>
      </c>
      <c r="AC23" s="130">
        <f t="shared" si="13"/>
        <v>1.5399999999990541</v>
      </c>
      <c r="AD23" s="63">
        <v>9812.52</v>
      </c>
      <c r="AE23" s="130">
        <f t="shared" si="2"/>
        <v>1.5799999999999272</v>
      </c>
      <c r="AF23" s="125" t="str">
        <f t="shared" si="14"/>
        <v>ME</v>
      </c>
      <c r="AG23" s="56">
        <v>16</v>
      </c>
      <c r="AH23" s="63">
        <v>45937.85</v>
      </c>
      <c r="AI23" s="130">
        <f t="shared" si="15"/>
        <v>12.880000000004657</v>
      </c>
      <c r="AJ23" s="63">
        <v>48074.29</v>
      </c>
      <c r="AK23" s="130">
        <f t="shared" si="16"/>
        <v>8.6500000000014552</v>
      </c>
      <c r="AL23" s="63">
        <v>585.75</v>
      </c>
      <c r="AM23" s="130" t="str">
        <f t="shared" si="17"/>
        <v/>
      </c>
      <c r="AN23" s="63">
        <v>547.01</v>
      </c>
      <c r="AO23" s="130" t="str">
        <f t="shared" si="3"/>
        <v/>
      </c>
      <c r="AP23" s="125" t="str">
        <f t="shared" si="18"/>
        <v>ME</v>
      </c>
      <c r="AQ23" s="56">
        <v>16</v>
      </c>
      <c r="AR23" s="63">
        <v>6622</v>
      </c>
      <c r="AS23" s="130">
        <f t="shared" si="19"/>
        <v>2.8800000000001091</v>
      </c>
      <c r="AT23" s="63">
        <v>7333.12</v>
      </c>
      <c r="AU23" s="130">
        <f t="shared" si="20"/>
        <v>2.819999999999709</v>
      </c>
      <c r="AV23" s="63">
        <v>251.56</v>
      </c>
      <c r="AW23" s="277" t="str">
        <f t="shared" si="21"/>
        <v/>
      </c>
      <c r="AX23" s="63">
        <v>239.48</v>
      </c>
      <c r="AY23" s="130" t="str">
        <f t="shared" si="4"/>
        <v/>
      </c>
      <c r="AZ23" s="125" t="str">
        <f t="shared" si="22"/>
        <v>ME</v>
      </c>
      <c r="BA23" s="56">
        <v>16</v>
      </c>
      <c r="BB23" s="64">
        <v>0.57799999999999996</v>
      </c>
      <c r="BC23" s="62">
        <v>25</v>
      </c>
      <c r="BD23" s="61">
        <v>7.2</v>
      </c>
      <c r="BE23" s="61">
        <v>2.9</v>
      </c>
      <c r="BF23" s="61">
        <v>14.3</v>
      </c>
      <c r="BG23" s="61">
        <v>7.2</v>
      </c>
      <c r="BH23" s="64">
        <v>0.36099999999999999</v>
      </c>
      <c r="BI23" s="64">
        <v>0.29899999999999999</v>
      </c>
      <c r="BJ23" s="64">
        <v>5.7000000000000002E-2</v>
      </c>
      <c r="BK23" s="64">
        <v>6.6000000000000003E-2</v>
      </c>
      <c r="BL23" s="64">
        <v>4.9000000000000002E-2</v>
      </c>
      <c r="BM23" s="64">
        <v>5.1999999999999998E-2</v>
      </c>
      <c r="BN23" s="65" t="str">
        <f t="shared" si="23"/>
        <v>ME</v>
      </c>
      <c r="BO23" s="56">
        <v>16</v>
      </c>
      <c r="BP23" s="64">
        <v>7.2999999999999995E-2</v>
      </c>
      <c r="BQ23" s="62">
        <v>0</v>
      </c>
      <c r="BR23" s="61">
        <v>7.2</v>
      </c>
      <c r="BS23" s="61">
        <v>7.8</v>
      </c>
      <c r="BT23" s="61">
        <v>18.100000000000001</v>
      </c>
      <c r="BU23" s="64">
        <v>1.4E-2</v>
      </c>
      <c r="BV23" s="63">
        <v>1.03</v>
      </c>
      <c r="BW23" s="63">
        <v>0.83</v>
      </c>
      <c r="BX23" s="66" t="s">
        <v>245</v>
      </c>
      <c r="BY23" s="172" t="s">
        <v>246</v>
      </c>
      <c r="BZ23" s="67" t="str">
        <f t="shared" si="24"/>
        <v>ME</v>
      </c>
      <c r="CA23" s="56">
        <v>16</v>
      </c>
      <c r="CB23" s="61">
        <v>94.9</v>
      </c>
      <c r="CC23" s="61"/>
      <c r="CD23" s="69">
        <f t="shared" si="25"/>
        <v>1.1000000000000085</v>
      </c>
      <c r="CE23" s="69">
        <f t="shared" si="26"/>
        <v>5.11969150000004</v>
      </c>
      <c r="CF23" s="69">
        <f t="shared" si="27"/>
        <v>5.2509656410256822</v>
      </c>
      <c r="CG23" s="62">
        <v>62</v>
      </c>
      <c r="CH23" s="62">
        <v>100</v>
      </c>
      <c r="CI23" s="65" t="str">
        <f t="shared" si="28"/>
        <v>ME</v>
      </c>
      <c r="CJ23" s="56">
        <v>16</v>
      </c>
      <c r="CK23" s="61">
        <v>95</v>
      </c>
      <c r="CL23" s="61"/>
      <c r="CM23" s="68">
        <f t="shared" si="29"/>
        <v>1.7999999999999972</v>
      </c>
      <c r="CN23" s="68">
        <f t="shared" si="30"/>
        <v>8.3776769999999878</v>
      </c>
      <c r="CO23" s="68">
        <f t="shared" si="31"/>
        <v>23.966786036330902</v>
      </c>
      <c r="CP23" s="62">
        <v>53</v>
      </c>
      <c r="CQ23" s="62">
        <v>83</v>
      </c>
      <c r="CR23" s="65" t="str">
        <f t="shared" si="32"/>
        <v>ME</v>
      </c>
      <c r="CS23" s="56">
        <v>16</v>
      </c>
      <c r="CT23" s="61">
        <v>111.3</v>
      </c>
      <c r="CU23" s="61"/>
      <c r="CV23" s="68">
        <f t="shared" si="33"/>
        <v>1.3999999999999915</v>
      </c>
      <c r="CW23" s="68">
        <f t="shared" si="34"/>
        <v>9.3019359999999427</v>
      </c>
      <c r="CX23" s="69">
        <f t="shared" si="35"/>
        <v>6.6920402877697432E-2</v>
      </c>
      <c r="CY23" s="66" t="s">
        <v>240</v>
      </c>
      <c r="CZ23" s="66" t="s">
        <v>241</v>
      </c>
      <c r="DA23" s="66"/>
      <c r="DB23" s="65" t="str">
        <f t="shared" si="36"/>
        <v>ME</v>
      </c>
      <c r="DC23" s="56">
        <v>16</v>
      </c>
      <c r="DD23" s="61">
        <v>86.6</v>
      </c>
      <c r="DE23" s="61">
        <v>103.5</v>
      </c>
      <c r="DF23" s="68">
        <f t="shared" si="37"/>
        <v>12.400000000000006</v>
      </c>
      <c r="DG23" s="69">
        <f t="shared" si="38"/>
        <v>0.66899523712000031</v>
      </c>
      <c r="DH23" s="68">
        <f t="shared" si="39"/>
        <v>4.8129153749640308</v>
      </c>
      <c r="DI23" s="62">
        <v>90</v>
      </c>
      <c r="DJ23" s="62">
        <v>54</v>
      </c>
      <c r="DK23" s="65" t="str">
        <f t="shared" si="40"/>
        <v>ME</v>
      </c>
      <c r="DL23" s="56">
        <v>16</v>
      </c>
      <c r="DM23" s="63">
        <v>8.75</v>
      </c>
      <c r="DN23" s="64">
        <v>1.6E-2</v>
      </c>
      <c r="DO23" s="64">
        <v>3.3000000000000002E-2</v>
      </c>
      <c r="DP23" s="64">
        <v>0.05</v>
      </c>
      <c r="DQ23" s="63">
        <v>6.74</v>
      </c>
      <c r="DR23" s="61">
        <v>7.8</v>
      </c>
      <c r="DS23" s="64">
        <v>1.05</v>
      </c>
      <c r="DT23" s="61">
        <v>85.2</v>
      </c>
      <c r="DU23" s="63">
        <v>4.29</v>
      </c>
      <c r="DV23" s="64">
        <v>1.8520000000000001</v>
      </c>
      <c r="DW23" s="64">
        <v>0.95199999999999996</v>
      </c>
      <c r="DX23" s="66" t="s">
        <v>242</v>
      </c>
      <c r="DY23" s="65" t="str">
        <f t="shared" si="41"/>
        <v>ME</v>
      </c>
      <c r="DZ23" s="128">
        <v>16</v>
      </c>
      <c r="EA23" s="173">
        <f t="shared" si="42"/>
        <v>9.2914438502673793E-2</v>
      </c>
      <c r="EB23" s="173">
        <f t="shared" si="43"/>
        <v>9.5588235294117641E-2</v>
      </c>
      <c r="EC23" s="173">
        <f t="shared" si="44"/>
        <v>0.84172661870503596</v>
      </c>
      <c r="ED23" s="63">
        <v>1.03</v>
      </c>
      <c r="EE23" s="63">
        <v>1.07</v>
      </c>
      <c r="EF23" s="63">
        <v>0.05</v>
      </c>
      <c r="EG23" s="63">
        <v>0.06</v>
      </c>
      <c r="EH23" s="127" t="str">
        <f t="shared" si="5"/>
        <v>ME</v>
      </c>
      <c r="EI23" s="56">
        <v>16</v>
      </c>
      <c r="EJ23" s="334"/>
      <c r="EK23" s="334"/>
      <c r="EL23" s="334"/>
      <c r="EM23" s="334"/>
      <c r="EN23" s="334"/>
      <c r="EO23" s="334"/>
      <c r="EP23" s="334"/>
      <c r="EQ23" s="65" t="str">
        <f t="shared" si="45"/>
        <v>ME</v>
      </c>
      <c r="ER23" s="20"/>
      <c r="ES23" s="20"/>
      <c r="ET23" s="20"/>
      <c r="EU23" s="20"/>
      <c r="EV23" s="20"/>
      <c r="EW23" s="20"/>
      <c r="EX23" s="20"/>
    </row>
    <row r="24" spans="1:154" s="3" customFormat="1" ht="17.149999999999999" customHeight="1" x14ac:dyDescent="0.25">
      <c r="A24" s="56">
        <v>17</v>
      </c>
      <c r="B24" s="57">
        <v>875174</v>
      </c>
      <c r="C24" s="58">
        <f t="shared" si="6"/>
        <v>71</v>
      </c>
      <c r="D24" s="167">
        <v>9.14</v>
      </c>
      <c r="E24" s="59">
        <v>779273</v>
      </c>
      <c r="F24" s="58">
        <f t="shared" si="7"/>
        <v>158</v>
      </c>
      <c r="G24" s="168">
        <v>1.0900000000000001</v>
      </c>
      <c r="H24" s="57">
        <v>740491</v>
      </c>
      <c r="I24" s="58">
        <f t="shared" si="0"/>
        <v>61</v>
      </c>
      <c r="J24" s="60" t="s">
        <v>194</v>
      </c>
      <c r="K24" s="56">
        <v>17</v>
      </c>
      <c r="L24" s="57">
        <v>68560</v>
      </c>
      <c r="M24" s="58" t="str">
        <f t="shared" si="8"/>
        <v/>
      </c>
      <c r="N24" s="59">
        <v>173311</v>
      </c>
      <c r="O24" s="58">
        <f t="shared" si="9"/>
        <v>24</v>
      </c>
      <c r="P24" s="57">
        <v>194713</v>
      </c>
      <c r="Q24" s="169" t="str">
        <f t="shared" si="1"/>
        <v/>
      </c>
      <c r="R24" s="57">
        <v>665</v>
      </c>
      <c r="S24" s="57">
        <v>672</v>
      </c>
      <c r="T24" s="57">
        <v>138</v>
      </c>
      <c r="U24" s="57">
        <v>136</v>
      </c>
      <c r="V24" s="58" t="str">
        <f t="shared" si="10"/>
        <v>ME</v>
      </c>
      <c r="W24" s="56">
        <v>17</v>
      </c>
      <c r="X24" s="63">
        <v>11529.05</v>
      </c>
      <c r="Y24" s="130">
        <f t="shared" si="11"/>
        <v>2.0500000000010914</v>
      </c>
      <c r="Z24" s="63">
        <v>12305.77</v>
      </c>
      <c r="AA24" s="130" t="str">
        <f t="shared" si="12"/>
        <v/>
      </c>
      <c r="AB24" s="63">
        <v>9727.98</v>
      </c>
      <c r="AC24" s="130" t="str">
        <f t="shared" si="13"/>
        <v/>
      </c>
      <c r="AD24" s="63">
        <v>9814.1</v>
      </c>
      <c r="AE24" s="130">
        <f t="shared" si="2"/>
        <v>1.6099999999987631</v>
      </c>
      <c r="AF24" s="125" t="str">
        <f t="shared" si="14"/>
        <v>ME</v>
      </c>
      <c r="AG24" s="56">
        <v>17</v>
      </c>
      <c r="AH24" s="63">
        <v>45950.73</v>
      </c>
      <c r="AI24" s="130">
        <f t="shared" si="15"/>
        <v>9.1599999999962165</v>
      </c>
      <c r="AJ24" s="63">
        <v>48082.94</v>
      </c>
      <c r="AK24" s="130">
        <f t="shared" si="16"/>
        <v>15.360000000000582</v>
      </c>
      <c r="AL24" s="63">
        <v>585.75</v>
      </c>
      <c r="AM24" s="130" t="str">
        <f t="shared" si="17"/>
        <v/>
      </c>
      <c r="AN24" s="63">
        <v>547.01</v>
      </c>
      <c r="AO24" s="130" t="str">
        <f t="shared" si="3"/>
        <v/>
      </c>
      <c r="AP24" s="125" t="str">
        <f t="shared" si="18"/>
        <v>ME</v>
      </c>
      <c r="AQ24" s="56">
        <v>17</v>
      </c>
      <c r="AR24" s="63">
        <v>6624.88</v>
      </c>
      <c r="AS24" s="130">
        <f t="shared" si="19"/>
        <v>1.25</v>
      </c>
      <c r="AT24" s="63">
        <v>7335.94</v>
      </c>
      <c r="AU24" s="130">
        <f t="shared" si="20"/>
        <v>1.2200000000002547</v>
      </c>
      <c r="AV24" s="63">
        <v>251.56</v>
      </c>
      <c r="AW24" s="277" t="str">
        <f t="shared" si="21"/>
        <v/>
      </c>
      <c r="AX24" s="63">
        <v>239.48</v>
      </c>
      <c r="AY24" s="130" t="str">
        <f t="shared" si="4"/>
        <v/>
      </c>
      <c r="AZ24" s="125" t="str">
        <f t="shared" si="22"/>
        <v>ME</v>
      </c>
      <c r="BA24" s="56">
        <v>17</v>
      </c>
      <c r="BB24" s="64">
        <v>0.621</v>
      </c>
      <c r="BC24" s="62">
        <v>53</v>
      </c>
      <c r="BD24" s="61">
        <v>7.1</v>
      </c>
      <c r="BE24" s="61">
        <v>2.8</v>
      </c>
      <c r="BF24" s="61">
        <v>14.6</v>
      </c>
      <c r="BG24" s="61">
        <v>7.1</v>
      </c>
      <c r="BH24" s="64">
        <v>0.34100000000000003</v>
      </c>
      <c r="BI24" s="64">
        <v>0.30599999999999999</v>
      </c>
      <c r="BJ24" s="64">
        <v>4.7E-2</v>
      </c>
      <c r="BK24" s="64">
        <v>4.8000000000000001E-2</v>
      </c>
      <c r="BL24" s="64">
        <v>4.9000000000000002E-2</v>
      </c>
      <c r="BM24" s="64">
        <v>0.05</v>
      </c>
      <c r="BN24" s="65" t="str">
        <f t="shared" si="23"/>
        <v>ME</v>
      </c>
      <c r="BO24" s="56">
        <v>17</v>
      </c>
      <c r="BP24" s="64">
        <v>7.0999999999999994E-2</v>
      </c>
      <c r="BQ24" s="62">
        <v>0</v>
      </c>
      <c r="BR24" s="61">
        <v>7.1</v>
      </c>
      <c r="BS24" s="61">
        <v>7.8</v>
      </c>
      <c r="BT24" s="61">
        <v>17</v>
      </c>
      <c r="BU24" s="64">
        <v>1.0999999999999999E-2</v>
      </c>
      <c r="BV24" s="63">
        <v>1.03</v>
      </c>
      <c r="BW24" s="63">
        <v>0.81</v>
      </c>
      <c r="BX24" s="66" t="s">
        <v>253</v>
      </c>
      <c r="BY24" s="172" t="s">
        <v>246</v>
      </c>
      <c r="BZ24" s="67" t="str">
        <f t="shared" si="24"/>
        <v>ME</v>
      </c>
      <c r="CA24" s="56">
        <v>17</v>
      </c>
      <c r="CB24" s="61">
        <v>93.8</v>
      </c>
      <c r="CC24" s="61"/>
      <c r="CD24" s="69">
        <f t="shared" si="25"/>
        <v>0.39999999999999147</v>
      </c>
      <c r="CE24" s="69">
        <f t="shared" si="26"/>
        <v>1.8617059999999603</v>
      </c>
      <c r="CF24" s="69">
        <f t="shared" si="27"/>
        <v>3.6623724590163151</v>
      </c>
      <c r="CG24" s="62">
        <v>61</v>
      </c>
      <c r="CH24" s="62">
        <v>100</v>
      </c>
      <c r="CI24" s="65" t="str">
        <f t="shared" si="28"/>
        <v>ME</v>
      </c>
      <c r="CJ24" s="56">
        <v>17</v>
      </c>
      <c r="CK24" s="61">
        <v>93.2</v>
      </c>
      <c r="CL24" s="61"/>
      <c r="CM24" s="68">
        <f t="shared" si="29"/>
        <v>0.90000000000000568</v>
      </c>
      <c r="CN24" s="68">
        <f t="shared" si="30"/>
        <v>4.1888385000000268</v>
      </c>
      <c r="CO24" s="68">
        <f t="shared" si="31"/>
        <v>23.460445486267758</v>
      </c>
      <c r="CP24" s="62">
        <v>53</v>
      </c>
      <c r="CQ24" s="62">
        <v>83</v>
      </c>
      <c r="CR24" s="65" t="str">
        <f t="shared" si="32"/>
        <v>ME</v>
      </c>
      <c r="CS24" s="56">
        <v>17</v>
      </c>
      <c r="CT24" s="61">
        <v>109.9</v>
      </c>
      <c r="CU24" s="61"/>
      <c r="CV24" s="68">
        <f t="shared" si="33"/>
        <v>0.70000000000000284</v>
      </c>
      <c r="CW24" s="68">
        <f t="shared" si="34"/>
        <v>4.6509680000000193</v>
      </c>
      <c r="CX24" s="69">
        <f t="shared" si="35"/>
        <v>6.5506591549296042E-2</v>
      </c>
      <c r="CY24" s="66" t="s">
        <v>240</v>
      </c>
      <c r="CZ24" s="66" t="s">
        <v>241</v>
      </c>
      <c r="DA24" s="66"/>
      <c r="DB24" s="65" t="str">
        <f t="shared" si="36"/>
        <v>ME</v>
      </c>
      <c r="DC24" s="56">
        <v>17</v>
      </c>
      <c r="DD24" s="61">
        <v>91.1</v>
      </c>
      <c r="DE24" s="61">
        <v>102.9</v>
      </c>
      <c r="DF24" s="68">
        <f t="shared" si="37"/>
        <v>7.4000000000000057</v>
      </c>
      <c r="DG24" s="69">
        <f t="shared" si="38"/>
        <v>0.39923909312000028</v>
      </c>
      <c r="DH24" s="68">
        <f t="shared" si="39"/>
        <v>5.6230858185915533</v>
      </c>
      <c r="DI24" s="62">
        <v>85</v>
      </c>
      <c r="DJ24" s="62">
        <v>54</v>
      </c>
      <c r="DK24" s="65" t="str">
        <f t="shared" si="40"/>
        <v>ME</v>
      </c>
      <c r="DL24" s="56">
        <v>17</v>
      </c>
      <c r="DM24" s="63">
        <v>8.6199999999999992</v>
      </c>
      <c r="DN24" s="64">
        <v>1.4E-2</v>
      </c>
      <c r="DO24" s="64">
        <v>3.4000000000000002E-2</v>
      </c>
      <c r="DP24" s="64">
        <v>0.05</v>
      </c>
      <c r="DQ24" s="63">
        <v>6.75</v>
      </c>
      <c r="DR24" s="61">
        <v>7.8</v>
      </c>
      <c r="DS24" s="64">
        <v>1.081</v>
      </c>
      <c r="DT24" s="61">
        <v>84.7</v>
      </c>
      <c r="DU24" s="63">
        <v>4.3499999999999996</v>
      </c>
      <c r="DV24" s="64">
        <v>0.68500000000000005</v>
      </c>
      <c r="DW24" s="64">
        <v>0.72299999999999998</v>
      </c>
      <c r="DX24" s="66" t="s">
        <v>242</v>
      </c>
      <c r="DY24" s="65" t="str">
        <f t="shared" si="41"/>
        <v>ME</v>
      </c>
      <c r="DZ24" s="128">
        <v>17</v>
      </c>
      <c r="EA24" s="173">
        <f t="shared" si="42"/>
        <v>4.7459893048128345E-2</v>
      </c>
      <c r="EB24" s="173">
        <f t="shared" si="43"/>
        <v>0.1161764705882353</v>
      </c>
      <c r="EC24" s="173">
        <f t="shared" si="44"/>
        <v>0.85915492957746475</v>
      </c>
      <c r="ED24" s="63">
        <v>1.06</v>
      </c>
      <c r="EE24" s="63">
        <v>1.1100000000000001</v>
      </c>
      <c r="EF24" s="63">
        <v>0.05</v>
      </c>
      <c r="EG24" s="63">
        <v>0.06</v>
      </c>
      <c r="EH24" s="127" t="str">
        <f t="shared" si="5"/>
        <v>ME</v>
      </c>
      <c r="EI24" s="56">
        <v>17</v>
      </c>
      <c r="EJ24" s="334"/>
      <c r="EK24" s="334"/>
      <c r="EL24" s="334"/>
      <c r="EM24" s="334"/>
      <c r="EN24" s="334"/>
      <c r="EO24" s="334"/>
      <c r="EP24" s="334"/>
      <c r="EQ24" s="65" t="str">
        <f t="shared" si="45"/>
        <v>ME</v>
      </c>
      <c r="ER24" s="20"/>
      <c r="ES24" s="20"/>
      <c r="ET24" s="20"/>
      <c r="EU24" s="20"/>
      <c r="EV24" s="20"/>
      <c r="EW24" s="20"/>
      <c r="EX24" s="20"/>
    </row>
    <row r="25" spans="1:154" s="3" customFormat="1" ht="17.149999999999999" customHeight="1" x14ac:dyDescent="0.25">
      <c r="A25" s="56">
        <v>18</v>
      </c>
      <c r="B25" s="57">
        <v>875245</v>
      </c>
      <c r="C25" s="58">
        <f t="shared" si="6"/>
        <v>178</v>
      </c>
      <c r="D25" s="167">
        <v>9.59</v>
      </c>
      <c r="E25" s="59">
        <v>779431</v>
      </c>
      <c r="F25" s="58">
        <f t="shared" si="7"/>
        <v>137</v>
      </c>
      <c r="G25" s="168">
        <v>1.28</v>
      </c>
      <c r="H25" s="57">
        <v>740552</v>
      </c>
      <c r="I25" s="58">
        <f t="shared" si="0"/>
        <v>143</v>
      </c>
      <c r="J25" s="60" t="s">
        <v>194</v>
      </c>
      <c r="K25" s="56">
        <v>18</v>
      </c>
      <c r="L25" s="57">
        <v>68560</v>
      </c>
      <c r="M25" s="58" t="str">
        <f t="shared" si="8"/>
        <v/>
      </c>
      <c r="N25" s="59">
        <v>173335</v>
      </c>
      <c r="O25" s="58">
        <f t="shared" si="9"/>
        <v>40</v>
      </c>
      <c r="P25" s="57">
        <v>194713</v>
      </c>
      <c r="Q25" s="169" t="str">
        <f t="shared" si="1"/>
        <v/>
      </c>
      <c r="R25" s="57">
        <v>665</v>
      </c>
      <c r="S25" s="57">
        <v>672</v>
      </c>
      <c r="T25" s="57">
        <v>138</v>
      </c>
      <c r="U25" s="57">
        <v>136</v>
      </c>
      <c r="V25" s="58" t="str">
        <f t="shared" si="10"/>
        <v>ME</v>
      </c>
      <c r="W25" s="56">
        <v>18</v>
      </c>
      <c r="X25" s="63">
        <v>11531.1</v>
      </c>
      <c r="Y25" s="130">
        <f t="shared" si="11"/>
        <v>2.1199999999989814</v>
      </c>
      <c r="Z25" s="63">
        <v>12305.77</v>
      </c>
      <c r="AA25" s="130">
        <f t="shared" si="12"/>
        <v>3.0900000000001455</v>
      </c>
      <c r="AB25" s="63">
        <v>9727.98</v>
      </c>
      <c r="AC25" s="130">
        <f t="shared" si="13"/>
        <v>2.25</v>
      </c>
      <c r="AD25" s="63">
        <v>9815.7099999999991</v>
      </c>
      <c r="AE25" s="130">
        <f t="shared" si="2"/>
        <v>1.5600000000013097</v>
      </c>
      <c r="AF25" s="125" t="str">
        <f t="shared" si="14"/>
        <v>ME</v>
      </c>
      <c r="AG25" s="56">
        <v>18</v>
      </c>
      <c r="AH25" s="63">
        <v>45959.89</v>
      </c>
      <c r="AI25" s="130">
        <f t="shared" si="15"/>
        <v>14.849999999998545</v>
      </c>
      <c r="AJ25" s="63">
        <v>48098.3</v>
      </c>
      <c r="AK25" s="130">
        <f t="shared" si="16"/>
        <v>7.4199999999982538</v>
      </c>
      <c r="AL25" s="63">
        <v>585.75</v>
      </c>
      <c r="AM25" s="130" t="str">
        <f t="shared" si="17"/>
        <v/>
      </c>
      <c r="AN25" s="63">
        <v>547.01</v>
      </c>
      <c r="AO25" s="130" t="str">
        <f t="shared" si="3"/>
        <v/>
      </c>
      <c r="AP25" s="125" t="str">
        <f t="shared" si="18"/>
        <v>ME</v>
      </c>
      <c r="AQ25" s="56">
        <v>18</v>
      </c>
      <c r="AR25" s="63">
        <v>6626.13</v>
      </c>
      <c r="AS25" s="130">
        <f t="shared" si="19"/>
        <v>2</v>
      </c>
      <c r="AT25" s="63">
        <v>7337.16</v>
      </c>
      <c r="AU25" s="130">
        <f t="shared" si="20"/>
        <v>2.4700000000002547</v>
      </c>
      <c r="AV25" s="63">
        <v>251.56</v>
      </c>
      <c r="AW25" s="277" t="str">
        <f t="shared" si="21"/>
        <v/>
      </c>
      <c r="AX25" s="63">
        <v>239.48</v>
      </c>
      <c r="AY25" s="130" t="str">
        <f t="shared" si="4"/>
        <v/>
      </c>
      <c r="AZ25" s="125" t="str">
        <f t="shared" si="22"/>
        <v>ME</v>
      </c>
      <c r="BA25" s="56">
        <v>18</v>
      </c>
      <c r="BB25" s="207">
        <v>0.63200000000000001</v>
      </c>
      <c r="BC25" s="62">
        <v>48</v>
      </c>
      <c r="BD25" s="61">
        <v>6.8</v>
      </c>
      <c r="BE25" s="61">
        <v>2.9</v>
      </c>
      <c r="BF25" s="61">
        <v>15.3</v>
      </c>
      <c r="BG25" s="61">
        <v>6.8</v>
      </c>
      <c r="BH25" s="64">
        <v>0.186</v>
      </c>
      <c r="BI25" s="64">
        <v>0.23100000000000001</v>
      </c>
      <c r="BJ25" s="64">
        <v>4.8000000000000001E-2</v>
      </c>
      <c r="BK25" s="64">
        <v>4.8000000000000001E-2</v>
      </c>
      <c r="BL25" s="64">
        <v>4.8000000000000001E-2</v>
      </c>
      <c r="BM25" s="64">
        <v>4.7E-2</v>
      </c>
      <c r="BN25" s="65" t="str">
        <f t="shared" si="23"/>
        <v>ME</v>
      </c>
      <c r="BO25" s="56">
        <v>18</v>
      </c>
      <c r="BP25" s="64">
        <v>7.4999999999999997E-2</v>
      </c>
      <c r="BQ25" s="62">
        <v>0</v>
      </c>
      <c r="BR25" s="61">
        <v>7.2</v>
      </c>
      <c r="BS25" s="61">
        <v>8</v>
      </c>
      <c r="BT25" s="61">
        <v>17.399999999999999</v>
      </c>
      <c r="BU25" s="64">
        <v>1.2999999999999999E-2</v>
      </c>
      <c r="BV25" s="63">
        <v>1</v>
      </c>
      <c r="BW25" s="63">
        <v>0.85</v>
      </c>
      <c r="BX25" s="66" t="s">
        <v>245</v>
      </c>
      <c r="BY25" s="172" t="s">
        <v>246</v>
      </c>
      <c r="BZ25" s="67" t="str">
        <f t="shared" si="24"/>
        <v>ME</v>
      </c>
      <c r="CA25" s="56">
        <v>18</v>
      </c>
      <c r="CB25" s="61">
        <v>93.4</v>
      </c>
      <c r="CC25" s="61"/>
      <c r="CD25" s="69">
        <f t="shared" si="25"/>
        <v>1.3000000000000114</v>
      </c>
      <c r="CE25" s="69">
        <f t="shared" si="26"/>
        <v>6.0505445000000533</v>
      </c>
      <c r="CF25" s="69">
        <f t="shared" si="27"/>
        <v>5.0773800000000442</v>
      </c>
      <c r="CG25" s="62">
        <v>61</v>
      </c>
      <c r="CH25" s="62">
        <v>100</v>
      </c>
      <c r="CI25" s="65" t="str">
        <f t="shared" si="28"/>
        <v>ME</v>
      </c>
      <c r="CJ25" s="56">
        <v>18</v>
      </c>
      <c r="CK25" s="61">
        <v>92.3</v>
      </c>
      <c r="CL25" s="61"/>
      <c r="CM25" s="68">
        <f t="shared" si="29"/>
        <v>2.0999999999999943</v>
      </c>
      <c r="CN25" s="68">
        <f t="shared" si="30"/>
        <v>9.773956499999974</v>
      </c>
      <c r="CO25" s="68">
        <f t="shared" si="31"/>
        <v>21.834909001263991</v>
      </c>
      <c r="CP25" s="62">
        <v>55</v>
      </c>
      <c r="CQ25" s="62">
        <v>83</v>
      </c>
      <c r="CR25" s="65" t="str">
        <f t="shared" si="32"/>
        <v>ME</v>
      </c>
      <c r="CS25" s="56">
        <v>18</v>
      </c>
      <c r="CT25" s="61">
        <v>109.2</v>
      </c>
      <c r="CU25" s="61"/>
      <c r="CV25" s="68">
        <f t="shared" si="33"/>
        <v>1.9000000000000057</v>
      </c>
      <c r="CW25" s="68">
        <f t="shared" si="34"/>
        <v>12.624056000000037</v>
      </c>
      <c r="CX25" s="69">
        <f t="shared" si="35"/>
        <v>7.0921662921348522E-2</v>
      </c>
      <c r="CY25" s="66" t="s">
        <v>240</v>
      </c>
      <c r="CZ25" s="66" t="s">
        <v>241</v>
      </c>
      <c r="DA25" s="66"/>
      <c r="DB25" s="65" t="str">
        <f t="shared" si="36"/>
        <v>ME</v>
      </c>
      <c r="DC25" s="56">
        <v>18</v>
      </c>
      <c r="DD25" s="61">
        <v>95.5</v>
      </c>
      <c r="DE25" s="61"/>
      <c r="DF25" s="68">
        <f t="shared" si="37"/>
        <v>15.299999999999997</v>
      </c>
      <c r="DG25" s="69">
        <f t="shared" si="38"/>
        <v>0.82545380063999985</v>
      </c>
      <c r="DH25" s="68">
        <f t="shared" si="39"/>
        <v>4.637380902471909</v>
      </c>
      <c r="DI25" s="62">
        <v>89</v>
      </c>
      <c r="DJ25" s="62">
        <v>54</v>
      </c>
      <c r="DK25" s="65" t="str">
        <f t="shared" si="40"/>
        <v>ME</v>
      </c>
      <c r="DL25" s="56">
        <v>18</v>
      </c>
      <c r="DM25" s="63">
        <v>8.76</v>
      </c>
      <c r="DN25" s="64">
        <v>2.1999999999999999E-2</v>
      </c>
      <c r="DO25" s="64">
        <v>3.2000000000000001E-2</v>
      </c>
      <c r="DP25" s="64">
        <v>5.0999999999999997E-2</v>
      </c>
      <c r="DQ25" s="63">
        <v>6.77</v>
      </c>
      <c r="DR25" s="61">
        <v>8</v>
      </c>
      <c r="DS25" s="64">
        <v>1.111</v>
      </c>
      <c r="DT25" s="61">
        <v>86.1</v>
      </c>
      <c r="DU25" s="63">
        <v>5.15</v>
      </c>
      <c r="DV25" s="64">
        <v>0.71299999999999997</v>
      </c>
      <c r="DW25" s="64">
        <v>0.60599999999999998</v>
      </c>
      <c r="DX25" s="66" t="s">
        <v>247</v>
      </c>
      <c r="DY25" s="65" t="str">
        <f t="shared" si="41"/>
        <v>ME</v>
      </c>
      <c r="DZ25" s="128">
        <v>18</v>
      </c>
      <c r="EA25" s="173">
        <f t="shared" si="42"/>
        <v>0.11898395721925134</v>
      </c>
      <c r="EB25" s="173">
        <f t="shared" si="43"/>
        <v>0.10073529411764706</v>
      </c>
      <c r="EC25" s="173">
        <f t="shared" si="44"/>
        <v>0.8033707865168539</v>
      </c>
      <c r="ED25" s="63">
        <v>1</v>
      </c>
      <c r="EE25" s="63">
        <v>1.1499999999999999</v>
      </c>
      <c r="EF25" s="63">
        <v>0.05</v>
      </c>
      <c r="EG25" s="63">
        <v>0.05</v>
      </c>
      <c r="EH25" s="127" t="str">
        <f t="shared" si="5"/>
        <v>ME</v>
      </c>
      <c r="EI25" s="56">
        <v>18</v>
      </c>
      <c r="EJ25" s="334" t="s">
        <v>317</v>
      </c>
      <c r="EK25" s="334"/>
      <c r="EL25" s="334"/>
      <c r="EM25" s="334"/>
      <c r="EN25" s="334"/>
      <c r="EO25" s="334"/>
      <c r="EP25" s="334"/>
      <c r="EQ25" s="65" t="str">
        <f t="shared" si="45"/>
        <v>ME</v>
      </c>
      <c r="ER25" s="20"/>
      <c r="ES25" s="20"/>
      <c r="ET25" s="20"/>
      <c r="EU25" s="20"/>
      <c r="EV25" s="20"/>
      <c r="EW25" s="20"/>
      <c r="EX25" s="20"/>
    </row>
    <row r="26" spans="1:154" s="3" customFormat="1" ht="17.149999999999999" customHeight="1" x14ac:dyDescent="0.25">
      <c r="A26" s="56">
        <v>19</v>
      </c>
      <c r="B26" s="57">
        <v>875423</v>
      </c>
      <c r="C26" s="58">
        <f t="shared" si="6"/>
        <v>201</v>
      </c>
      <c r="D26" s="167">
        <v>9.41</v>
      </c>
      <c r="E26" s="59">
        <v>779568</v>
      </c>
      <c r="F26" s="58">
        <f t="shared" si="7"/>
        <v>161</v>
      </c>
      <c r="G26" s="168">
        <v>1.2</v>
      </c>
      <c r="H26" s="57">
        <v>740695</v>
      </c>
      <c r="I26" s="58">
        <f t="shared" si="0"/>
        <v>121</v>
      </c>
      <c r="J26" s="60" t="s">
        <v>194</v>
      </c>
      <c r="K26" s="56">
        <v>19</v>
      </c>
      <c r="L26" s="57">
        <v>68560</v>
      </c>
      <c r="M26" s="58">
        <f t="shared" si="8"/>
        <v>55</v>
      </c>
      <c r="N26" s="59">
        <v>173375</v>
      </c>
      <c r="O26" s="58">
        <f t="shared" si="9"/>
        <v>51</v>
      </c>
      <c r="P26" s="57">
        <v>194713</v>
      </c>
      <c r="Q26" s="169" t="str">
        <f t="shared" si="1"/>
        <v/>
      </c>
      <c r="R26" s="57">
        <v>665</v>
      </c>
      <c r="S26" s="57">
        <v>672</v>
      </c>
      <c r="T26" s="57">
        <v>138</v>
      </c>
      <c r="U26" s="57">
        <v>136</v>
      </c>
      <c r="V26" s="58" t="str">
        <f t="shared" si="10"/>
        <v>ME</v>
      </c>
      <c r="W26" s="56">
        <v>19</v>
      </c>
      <c r="X26" s="63">
        <v>11533.22</v>
      </c>
      <c r="Y26" s="130">
        <f t="shared" si="11"/>
        <v>2.0900000000001455</v>
      </c>
      <c r="Z26" s="63">
        <v>12308.86</v>
      </c>
      <c r="AA26" s="130">
        <f t="shared" si="12"/>
        <v>3.9899999999997817</v>
      </c>
      <c r="AB26" s="63">
        <v>9730.23</v>
      </c>
      <c r="AC26" s="130">
        <f t="shared" si="13"/>
        <v>1.6000000000003638</v>
      </c>
      <c r="AD26" s="63">
        <v>9817.27</v>
      </c>
      <c r="AE26" s="130">
        <f t="shared" si="2"/>
        <v>1.6499999999996362</v>
      </c>
      <c r="AF26" s="125" t="str">
        <f t="shared" si="14"/>
        <v>ME</v>
      </c>
      <c r="AG26" s="56">
        <v>19</v>
      </c>
      <c r="AH26" s="63">
        <v>45974.74</v>
      </c>
      <c r="AI26" s="130">
        <f t="shared" si="15"/>
        <v>7.3600000000005821</v>
      </c>
      <c r="AJ26" s="63">
        <v>48105.72</v>
      </c>
      <c r="AK26" s="130">
        <f t="shared" si="16"/>
        <v>16.580000000001746</v>
      </c>
      <c r="AL26" s="63">
        <v>585.75</v>
      </c>
      <c r="AM26" s="130" t="str">
        <f t="shared" si="17"/>
        <v/>
      </c>
      <c r="AN26" s="63">
        <v>547.01</v>
      </c>
      <c r="AO26" s="130" t="str">
        <f t="shared" si="3"/>
        <v/>
      </c>
      <c r="AP26" s="125" t="str">
        <f t="shared" si="18"/>
        <v>ME</v>
      </c>
      <c r="AQ26" s="56">
        <v>19</v>
      </c>
      <c r="AR26" s="63">
        <v>6628.13</v>
      </c>
      <c r="AS26" s="130">
        <f t="shared" si="19"/>
        <v>2.5100000000002183</v>
      </c>
      <c r="AT26" s="63">
        <v>7339.63</v>
      </c>
      <c r="AU26" s="130">
        <f t="shared" si="20"/>
        <v>2.569999999999709</v>
      </c>
      <c r="AV26" s="63">
        <v>251.56</v>
      </c>
      <c r="AW26" s="277">
        <f t="shared" si="21"/>
        <v>0.32999999999998408</v>
      </c>
      <c r="AX26" s="63">
        <v>239.48</v>
      </c>
      <c r="AY26" s="130">
        <f t="shared" si="4"/>
        <v>9.0000000000003411E-2</v>
      </c>
      <c r="AZ26" s="125" t="str">
        <f t="shared" si="22"/>
        <v>ME</v>
      </c>
      <c r="BA26" s="56">
        <v>19</v>
      </c>
      <c r="BB26" s="64"/>
      <c r="BC26" s="62"/>
      <c r="BD26" s="61"/>
      <c r="BE26" s="61"/>
      <c r="BF26" s="61"/>
      <c r="BG26" s="61"/>
      <c r="BH26" s="64"/>
      <c r="BI26" s="64"/>
      <c r="BJ26" s="64"/>
      <c r="BK26" s="64"/>
      <c r="BL26" s="64"/>
      <c r="BM26" s="64"/>
      <c r="BN26" s="65" t="str">
        <f t="shared" si="23"/>
        <v>ME</v>
      </c>
      <c r="BO26" s="56">
        <v>19</v>
      </c>
      <c r="BP26" s="64">
        <v>7.2999999999999995E-2</v>
      </c>
      <c r="BQ26" s="62"/>
      <c r="BR26" s="61"/>
      <c r="BS26" s="61"/>
      <c r="BT26" s="61"/>
      <c r="BU26" s="64"/>
      <c r="BV26" s="63">
        <v>1.06</v>
      </c>
      <c r="BW26" s="63">
        <v>0.87</v>
      </c>
      <c r="BX26" s="66" t="s">
        <v>245</v>
      </c>
      <c r="BY26" s="172" t="s">
        <v>246</v>
      </c>
      <c r="BZ26" s="67" t="str">
        <f t="shared" si="24"/>
        <v>ME</v>
      </c>
      <c r="CA26" s="56">
        <v>19</v>
      </c>
      <c r="CB26" s="61">
        <v>92.1</v>
      </c>
      <c r="CC26" s="61"/>
      <c r="CD26" s="69">
        <f t="shared" si="25"/>
        <v>0.89999999999999147</v>
      </c>
      <c r="CE26" s="69">
        <f t="shared" si="26"/>
        <v>4.1888384999999611</v>
      </c>
      <c r="CF26" s="69">
        <f t="shared" si="27"/>
        <v>4.1542199999999614</v>
      </c>
      <c r="CG26" s="62">
        <v>61</v>
      </c>
      <c r="CH26" s="62">
        <v>100</v>
      </c>
      <c r="CI26" s="65" t="str">
        <f t="shared" si="28"/>
        <v>ME</v>
      </c>
      <c r="CJ26" s="56">
        <v>19</v>
      </c>
      <c r="CK26" s="61">
        <v>90.2</v>
      </c>
      <c r="CL26" s="61"/>
      <c r="CM26" s="68">
        <f t="shared" si="29"/>
        <v>2.6000000000000085</v>
      </c>
      <c r="CN26" s="68">
        <f t="shared" si="30"/>
        <v>12.101089000000041</v>
      </c>
      <c r="CO26" s="68">
        <f t="shared" si="31"/>
        <v>23.940288760447846</v>
      </c>
      <c r="CP26" s="62">
        <v>53</v>
      </c>
      <c r="CQ26" s="62">
        <v>83</v>
      </c>
      <c r="CR26" s="65" t="str">
        <f t="shared" si="32"/>
        <v>ME</v>
      </c>
      <c r="CS26" s="56">
        <v>19</v>
      </c>
      <c r="CT26" s="61">
        <v>107.3</v>
      </c>
      <c r="CU26" s="61">
        <v>103.1</v>
      </c>
      <c r="CV26" s="68">
        <f t="shared" si="33"/>
        <v>2.1999999999999886</v>
      </c>
      <c r="CW26" s="68">
        <f t="shared" si="34"/>
        <v>14.617327999999922</v>
      </c>
      <c r="CX26" s="69">
        <f t="shared" si="35"/>
        <v>7.2723024875621503E-2</v>
      </c>
      <c r="CY26" s="66" t="s">
        <v>240</v>
      </c>
      <c r="CZ26" s="66" t="s">
        <v>241</v>
      </c>
      <c r="DA26" s="66" t="s">
        <v>242</v>
      </c>
      <c r="DB26" s="65" t="str">
        <f t="shared" si="36"/>
        <v>ME</v>
      </c>
      <c r="DC26" s="56">
        <v>19</v>
      </c>
      <c r="DD26" s="61">
        <v>80.2</v>
      </c>
      <c r="DE26" s="61">
        <v>102.9</v>
      </c>
      <c r="DF26" s="68">
        <f t="shared" si="37"/>
        <v>16.300000000000011</v>
      </c>
      <c r="DG26" s="69">
        <f t="shared" si="38"/>
        <v>0.87940502944000054</v>
      </c>
      <c r="DH26" s="68">
        <f t="shared" si="39"/>
        <v>4.3751494001990077</v>
      </c>
      <c r="DI26" s="62">
        <v>90</v>
      </c>
      <c r="DJ26" s="62">
        <v>54</v>
      </c>
      <c r="DK26" s="65" t="str">
        <f t="shared" si="40"/>
        <v>ME</v>
      </c>
      <c r="DL26" s="56">
        <v>19</v>
      </c>
      <c r="DM26" s="63">
        <v>8.6</v>
      </c>
      <c r="DN26" s="64">
        <v>2.1999999999999999E-2</v>
      </c>
      <c r="DO26" s="64">
        <v>3.3000000000000002E-2</v>
      </c>
      <c r="DP26" s="64">
        <v>0.05</v>
      </c>
      <c r="DQ26" s="63">
        <v>6.78</v>
      </c>
      <c r="DR26" s="61">
        <v>8</v>
      </c>
      <c r="DS26" s="64">
        <v>1.1439999999999999</v>
      </c>
      <c r="DT26" s="61">
        <v>86.5</v>
      </c>
      <c r="DU26" s="63">
        <v>4.28</v>
      </c>
      <c r="DV26" s="64">
        <v>0.66900000000000004</v>
      </c>
      <c r="DW26" s="64">
        <v>0.58799999999999997</v>
      </c>
      <c r="DX26" s="66" t="s">
        <v>242</v>
      </c>
      <c r="DY26" s="65" t="str">
        <f t="shared" si="41"/>
        <v>ME</v>
      </c>
      <c r="DZ26" s="128">
        <v>19</v>
      </c>
      <c r="EA26" s="173">
        <f t="shared" si="42"/>
        <v>0.13435828877005349</v>
      </c>
      <c r="EB26" s="173">
        <f t="shared" si="43"/>
        <v>0.11838235294117647</v>
      </c>
      <c r="EC26" s="173">
        <f t="shared" si="44"/>
        <v>0.60199004975124382</v>
      </c>
      <c r="ED26" s="63">
        <v>1.1100000000000001</v>
      </c>
      <c r="EE26" s="63">
        <v>1.18</v>
      </c>
      <c r="EF26" s="63">
        <v>0.05</v>
      </c>
      <c r="EG26" s="63">
        <v>0.06</v>
      </c>
      <c r="EH26" s="127" t="str">
        <f t="shared" si="5"/>
        <v>ME</v>
      </c>
      <c r="EI26" s="56">
        <v>19</v>
      </c>
      <c r="EJ26" s="334"/>
      <c r="EK26" s="334"/>
      <c r="EL26" s="334"/>
      <c r="EM26" s="334"/>
      <c r="EN26" s="334"/>
      <c r="EO26" s="334"/>
      <c r="EP26" s="334"/>
      <c r="EQ26" s="65" t="str">
        <f t="shared" si="45"/>
        <v>ME</v>
      </c>
      <c r="ER26" s="20"/>
      <c r="ES26" s="20"/>
      <c r="ET26" s="20"/>
      <c r="EU26" s="20"/>
      <c r="EV26" s="20"/>
      <c r="EW26" s="20"/>
      <c r="EX26" s="20"/>
    </row>
    <row r="27" spans="1:154" s="3" customFormat="1" ht="17.149999999999999" customHeight="1" x14ac:dyDescent="0.25">
      <c r="A27" s="56">
        <v>20</v>
      </c>
      <c r="B27" s="57">
        <v>875624</v>
      </c>
      <c r="C27" s="58">
        <f t="shared" si="6"/>
        <v>144</v>
      </c>
      <c r="D27" s="167">
        <v>9.51</v>
      </c>
      <c r="E27" s="59">
        <v>779729</v>
      </c>
      <c r="F27" s="58">
        <f t="shared" si="7"/>
        <v>188</v>
      </c>
      <c r="G27" s="168">
        <v>1.68</v>
      </c>
      <c r="H27" s="57">
        <v>740816</v>
      </c>
      <c r="I27" s="58">
        <f t="shared" si="0"/>
        <v>123</v>
      </c>
      <c r="J27" s="60" t="s">
        <v>194</v>
      </c>
      <c r="K27" s="56">
        <v>20</v>
      </c>
      <c r="L27" s="57">
        <v>68615</v>
      </c>
      <c r="M27" s="58" t="str">
        <f t="shared" si="8"/>
        <v/>
      </c>
      <c r="N27" s="59">
        <v>173426</v>
      </c>
      <c r="O27" s="58">
        <f t="shared" si="9"/>
        <v>64</v>
      </c>
      <c r="P27" s="57">
        <v>194713</v>
      </c>
      <c r="Q27" s="169" t="str">
        <f t="shared" si="1"/>
        <v/>
      </c>
      <c r="R27" s="57">
        <v>665</v>
      </c>
      <c r="S27" s="57">
        <v>673</v>
      </c>
      <c r="T27" s="57">
        <v>139</v>
      </c>
      <c r="U27" s="57">
        <v>136</v>
      </c>
      <c r="V27" s="58" t="str">
        <f t="shared" si="10"/>
        <v>ME</v>
      </c>
      <c r="W27" s="56">
        <v>20</v>
      </c>
      <c r="X27" s="63">
        <v>11535.31</v>
      </c>
      <c r="Y27" s="130">
        <f t="shared" si="11"/>
        <v>2.2000000000007276</v>
      </c>
      <c r="Z27" s="63">
        <v>12312.85</v>
      </c>
      <c r="AA27" s="130">
        <f t="shared" si="12"/>
        <v>2.0599999999994907</v>
      </c>
      <c r="AB27" s="63">
        <v>9731.83</v>
      </c>
      <c r="AC27" s="130">
        <f t="shared" si="13"/>
        <v>1.569999999999709</v>
      </c>
      <c r="AD27" s="63">
        <v>9818.92</v>
      </c>
      <c r="AE27" s="130">
        <f t="shared" si="2"/>
        <v>1.7000000000007276</v>
      </c>
      <c r="AF27" s="125" t="str">
        <f t="shared" si="14"/>
        <v>ME</v>
      </c>
      <c r="AG27" s="56">
        <v>20</v>
      </c>
      <c r="AH27" s="63">
        <v>45982.1</v>
      </c>
      <c r="AI27" s="130">
        <f t="shared" si="15"/>
        <v>16.599999999998545</v>
      </c>
      <c r="AJ27" s="63">
        <v>48122.3</v>
      </c>
      <c r="AK27" s="130">
        <f t="shared" si="16"/>
        <v>14.089999999996508</v>
      </c>
      <c r="AL27" s="63">
        <v>585.75</v>
      </c>
      <c r="AM27" s="130" t="str">
        <f t="shared" si="17"/>
        <v/>
      </c>
      <c r="AN27" s="63">
        <v>547.01</v>
      </c>
      <c r="AO27" s="130" t="str">
        <f t="shared" si="3"/>
        <v/>
      </c>
      <c r="AP27" s="125" t="str">
        <f t="shared" si="18"/>
        <v>ME</v>
      </c>
      <c r="AQ27" s="56">
        <v>20</v>
      </c>
      <c r="AR27" s="63">
        <v>6630.64</v>
      </c>
      <c r="AS27" s="130">
        <f t="shared" si="19"/>
        <v>3.2799999999997453</v>
      </c>
      <c r="AT27" s="63">
        <v>7342.2</v>
      </c>
      <c r="AU27" s="130">
        <f t="shared" si="20"/>
        <v>3.1100000000005821</v>
      </c>
      <c r="AV27" s="63">
        <v>251.89</v>
      </c>
      <c r="AW27" s="277" t="str">
        <f t="shared" si="21"/>
        <v/>
      </c>
      <c r="AX27" s="63">
        <v>239.57</v>
      </c>
      <c r="AY27" s="130" t="str">
        <f t="shared" si="4"/>
        <v/>
      </c>
      <c r="AZ27" s="125" t="str">
        <f t="shared" si="22"/>
        <v>ME</v>
      </c>
      <c r="BA27" s="56">
        <v>20</v>
      </c>
      <c r="BB27" s="64"/>
      <c r="BC27" s="62"/>
      <c r="BD27" s="61"/>
      <c r="BE27" s="61"/>
      <c r="BF27" s="61"/>
      <c r="BG27" s="61"/>
      <c r="BH27" s="64"/>
      <c r="BI27" s="64"/>
      <c r="BJ27" s="64"/>
      <c r="BK27" s="64"/>
      <c r="BL27" s="64"/>
      <c r="BM27" s="64"/>
      <c r="BN27" s="65" t="str">
        <f t="shared" si="23"/>
        <v>ME</v>
      </c>
      <c r="BO27" s="56">
        <v>20</v>
      </c>
      <c r="BP27" s="64">
        <v>7.6999999999999999E-2</v>
      </c>
      <c r="BQ27" s="62"/>
      <c r="BR27" s="61"/>
      <c r="BS27" s="61"/>
      <c r="BT27" s="61"/>
      <c r="BU27" s="64"/>
      <c r="BV27" s="63">
        <v>1.1200000000000001</v>
      </c>
      <c r="BW27" s="63">
        <v>0.87</v>
      </c>
      <c r="BX27" s="66" t="s">
        <v>245</v>
      </c>
      <c r="BY27" s="172" t="s">
        <v>246</v>
      </c>
      <c r="BZ27" s="67" t="str">
        <f t="shared" si="24"/>
        <v>ME</v>
      </c>
      <c r="CA27" s="56">
        <v>20</v>
      </c>
      <c r="CB27" s="61">
        <v>91.2</v>
      </c>
      <c r="CC27" s="61"/>
      <c r="CD27" s="69">
        <f t="shared" si="25"/>
        <v>1.2000000000000028</v>
      </c>
      <c r="CE27" s="69">
        <f t="shared" si="26"/>
        <v>5.5851180000000138</v>
      </c>
      <c r="CF27" s="69">
        <f t="shared" si="27"/>
        <v>5.4488956097561116</v>
      </c>
      <c r="CG27" s="62">
        <v>61</v>
      </c>
      <c r="CH27" s="62">
        <v>100</v>
      </c>
      <c r="CI27" s="65" t="str">
        <f t="shared" si="28"/>
        <v>ME</v>
      </c>
      <c r="CJ27" s="56">
        <v>20</v>
      </c>
      <c r="CK27" s="61">
        <v>87.6</v>
      </c>
      <c r="CL27" s="61"/>
      <c r="CM27" s="68">
        <f t="shared" si="29"/>
        <v>1.8999999999999915</v>
      </c>
      <c r="CN27" s="68">
        <f t="shared" si="30"/>
        <v>8.8431034999999607</v>
      </c>
      <c r="CO27" s="68">
        <f t="shared" si="31"/>
        <v>24.419861852604058</v>
      </c>
      <c r="CP27" s="62">
        <v>53</v>
      </c>
      <c r="CQ27" s="62">
        <v>83</v>
      </c>
      <c r="CR27" s="65" t="str">
        <f t="shared" si="32"/>
        <v>ME</v>
      </c>
      <c r="CS27" s="56">
        <v>20</v>
      </c>
      <c r="CT27" s="61">
        <v>100.9</v>
      </c>
      <c r="CU27" s="61"/>
      <c r="CV27" s="68">
        <f t="shared" si="33"/>
        <v>1.6000000000000085</v>
      </c>
      <c r="CW27" s="68">
        <f t="shared" si="34"/>
        <v>10.630784000000055</v>
      </c>
      <c r="CX27" s="69">
        <f t="shared" si="35"/>
        <v>7.3824888888889273E-2</v>
      </c>
      <c r="CY27" s="66" t="s">
        <v>240</v>
      </c>
      <c r="CZ27" s="66" t="s">
        <v>241</v>
      </c>
      <c r="DA27" s="66"/>
      <c r="DB27" s="65" t="str">
        <f t="shared" si="36"/>
        <v>ME</v>
      </c>
      <c r="DC27" s="56">
        <v>20</v>
      </c>
      <c r="DD27" s="61">
        <v>86.6</v>
      </c>
      <c r="DE27" s="61">
        <v>105.6</v>
      </c>
      <c r="DF27" s="68">
        <f t="shared" si="37"/>
        <v>13</v>
      </c>
      <c r="DG27" s="69">
        <f t="shared" si="38"/>
        <v>0.70136597440000004</v>
      </c>
      <c r="DH27" s="68">
        <f t="shared" si="39"/>
        <v>4.8705970444444446</v>
      </c>
      <c r="DI27" s="62">
        <v>90</v>
      </c>
      <c r="DJ27" s="62">
        <v>54</v>
      </c>
      <c r="DK27" s="65" t="str">
        <f t="shared" si="40"/>
        <v>ME</v>
      </c>
      <c r="DL27" s="56">
        <v>20</v>
      </c>
      <c r="DM27" s="63">
        <v>8.65</v>
      </c>
      <c r="DN27" s="64">
        <v>2.4E-2</v>
      </c>
      <c r="DO27" s="64">
        <v>3.4000000000000002E-2</v>
      </c>
      <c r="DP27" s="64">
        <v>5.1999999999999998E-2</v>
      </c>
      <c r="DQ27" s="63">
        <v>6.78</v>
      </c>
      <c r="DR27" s="61">
        <v>8</v>
      </c>
      <c r="DS27" s="64">
        <v>1.1839999999999999</v>
      </c>
      <c r="DT27" s="61">
        <v>85.5</v>
      </c>
      <c r="DU27" s="63">
        <v>4.26</v>
      </c>
      <c r="DV27" s="64">
        <v>1.841</v>
      </c>
      <c r="DW27" s="64">
        <v>1.2</v>
      </c>
      <c r="DX27" s="66" t="s">
        <v>242</v>
      </c>
      <c r="DY27" s="65" t="str">
        <f t="shared" si="41"/>
        <v>ME</v>
      </c>
      <c r="DZ27" s="128">
        <v>20</v>
      </c>
      <c r="EA27" s="173">
        <f t="shared" si="42"/>
        <v>9.6256684491978606E-2</v>
      </c>
      <c r="EB27" s="173">
        <f t="shared" si="43"/>
        <v>0.13823529411764707</v>
      </c>
      <c r="EC27" s="173">
        <f t="shared" si="44"/>
        <v>0.85416666666666663</v>
      </c>
      <c r="ED27" s="63">
        <v>1.1399999999999999</v>
      </c>
      <c r="EE27" s="63">
        <v>1.23</v>
      </c>
      <c r="EF27" s="63">
        <v>0.05</v>
      </c>
      <c r="EG27" s="63">
        <v>0.06</v>
      </c>
      <c r="EH27" s="127" t="str">
        <f t="shared" si="5"/>
        <v>ME</v>
      </c>
      <c r="EI27" s="56">
        <v>20</v>
      </c>
      <c r="EJ27" s="334"/>
      <c r="EK27" s="334"/>
      <c r="EL27" s="334"/>
      <c r="EM27" s="334"/>
      <c r="EN27" s="334"/>
      <c r="EO27" s="334"/>
      <c r="EP27" s="334"/>
      <c r="EQ27" s="65" t="str">
        <f t="shared" si="45"/>
        <v>ME</v>
      </c>
      <c r="ER27" s="20"/>
      <c r="ES27" s="20"/>
      <c r="ET27" s="20"/>
      <c r="EU27" s="20"/>
      <c r="EV27" s="20"/>
      <c r="EW27" s="20"/>
      <c r="EX27" s="20"/>
    </row>
    <row r="28" spans="1:154" s="3" customFormat="1" ht="17.149999999999999" customHeight="1" x14ac:dyDescent="0.25">
      <c r="A28" s="56">
        <v>21</v>
      </c>
      <c r="B28" s="57">
        <v>875768</v>
      </c>
      <c r="C28" s="58">
        <f t="shared" si="6"/>
        <v>144</v>
      </c>
      <c r="D28" s="167">
        <v>9.48</v>
      </c>
      <c r="E28" s="59">
        <v>779917</v>
      </c>
      <c r="F28" s="58">
        <f t="shared" si="7"/>
        <v>162</v>
      </c>
      <c r="G28" s="168">
        <v>0.56999999999999995</v>
      </c>
      <c r="H28" s="57">
        <v>740939</v>
      </c>
      <c r="I28" s="58">
        <f t="shared" si="0"/>
        <v>121</v>
      </c>
      <c r="J28" s="60" t="s">
        <v>194</v>
      </c>
      <c r="K28" s="56">
        <v>21</v>
      </c>
      <c r="L28" s="57">
        <v>68615</v>
      </c>
      <c r="M28" s="58" t="str">
        <f t="shared" si="8"/>
        <v/>
      </c>
      <c r="N28" s="59">
        <v>173490</v>
      </c>
      <c r="O28" s="58">
        <f t="shared" si="9"/>
        <v>29</v>
      </c>
      <c r="P28" s="57">
        <v>194713</v>
      </c>
      <c r="Q28" s="169" t="str">
        <f t="shared" si="1"/>
        <v/>
      </c>
      <c r="R28" s="57">
        <v>665</v>
      </c>
      <c r="S28" s="57">
        <v>673</v>
      </c>
      <c r="T28" s="57">
        <v>139</v>
      </c>
      <c r="U28" s="57">
        <v>136</v>
      </c>
      <c r="V28" s="58" t="str">
        <f t="shared" si="10"/>
        <v>ME</v>
      </c>
      <c r="W28" s="56">
        <v>21</v>
      </c>
      <c r="X28" s="63">
        <v>11537.51</v>
      </c>
      <c r="Y28" s="130">
        <f t="shared" si="11"/>
        <v>2.2600000000002183</v>
      </c>
      <c r="Z28" s="63">
        <v>12314.91</v>
      </c>
      <c r="AA28" s="130">
        <f t="shared" si="12"/>
        <v>1.9500000000007276</v>
      </c>
      <c r="AB28" s="63">
        <v>9733.4</v>
      </c>
      <c r="AC28" s="130">
        <f t="shared" si="13"/>
        <v>1.5</v>
      </c>
      <c r="AD28" s="63">
        <v>9820.6200000000008</v>
      </c>
      <c r="AE28" s="130">
        <f t="shared" si="2"/>
        <v>1.7199999999993452</v>
      </c>
      <c r="AF28" s="125" t="str">
        <f t="shared" si="14"/>
        <v>ME</v>
      </c>
      <c r="AG28" s="56">
        <v>21</v>
      </c>
      <c r="AH28" s="63">
        <v>45998.7</v>
      </c>
      <c r="AI28" s="130">
        <f t="shared" si="15"/>
        <v>13.240000000005239</v>
      </c>
      <c r="AJ28" s="63">
        <v>48136.39</v>
      </c>
      <c r="AK28" s="130">
        <f t="shared" si="16"/>
        <v>9.9199999999982538</v>
      </c>
      <c r="AL28" s="63">
        <v>585.75</v>
      </c>
      <c r="AM28" s="130" t="str">
        <f t="shared" si="17"/>
        <v/>
      </c>
      <c r="AN28" s="63">
        <v>547.01</v>
      </c>
      <c r="AO28" s="130" t="str">
        <f t="shared" si="3"/>
        <v/>
      </c>
      <c r="AP28" s="125" t="str">
        <f t="shared" si="18"/>
        <v>ME</v>
      </c>
      <c r="AQ28" s="56">
        <v>21</v>
      </c>
      <c r="AR28" s="63">
        <v>6633.92</v>
      </c>
      <c r="AS28" s="130">
        <f t="shared" si="19"/>
        <v>1.430000000000291</v>
      </c>
      <c r="AT28" s="63">
        <v>7345.31</v>
      </c>
      <c r="AU28" s="130">
        <f t="shared" si="20"/>
        <v>1.3699999999998909</v>
      </c>
      <c r="AV28" s="63">
        <v>251.89</v>
      </c>
      <c r="AW28" s="277" t="str">
        <f t="shared" si="21"/>
        <v/>
      </c>
      <c r="AX28" s="63">
        <v>239.57</v>
      </c>
      <c r="AY28" s="130" t="str">
        <f t="shared" si="4"/>
        <v/>
      </c>
      <c r="AZ28" s="125" t="str">
        <f t="shared" si="22"/>
        <v>ME</v>
      </c>
      <c r="BA28" s="56">
        <v>21</v>
      </c>
      <c r="BB28" s="64">
        <v>0.92400000000000004</v>
      </c>
      <c r="BC28" s="62">
        <v>18</v>
      </c>
      <c r="BD28" s="61">
        <v>7.2</v>
      </c>
      <c r="BE28" s="61">
        <v>2.9</v>
      </c>
      <c r="BF28" s="61">
        <v>15.7</v>
      </c>
      <c r="BG28" s="61">
        <v>7.2</v>
      </c>
      <c r="BH28" s="64">
        <v>0.182</v>
      </c>
      <c r="BI28" s="64">
        <v>0.19800000000000001</v>
      </c>
      <c r="BJ28" s="64">
        <v>4.7E-2</v>
      </c>
      <c r="BK28" s="64">
        <v>5.7000000000000002E-2</v>
      </c>
      <c r="BL28" s="64">
        <v>5.3999999999999999E-2</v>
      </c>
      <c r="BM28" s="64">
        <v>4.9000000000000002E-2</v>
      </c>
      <c r="BN28" s="65" t="str">
        <f t="shared" si="23"/>
        <v>ME</v>
      </c>
      <c r="BO28" s="56">
        <v>21</v>
      </c>
      <c r="BP28" s="64">
        <v>7.4999999999999997E-2</v>
      </c>
      <c r="BQ28" s="62">
        <v>0</v>
      </c>
      <c r="BR28" s="61">
        <v>7.2</v>
      </c>
      <c r="BS28" s="61">
        <v>8.1</v>
      </c>
      <c r="BT28" s="61">
        <v>17.3</v>
      </c>
      <c r="BU28" s="64">
        <v>1.2999999999999999E-2</v>
      </c>
      <c r="BV28" s="63">
        <v>1.1399999999999999</v>
      </c>
      <c r="BW28" s="63">
        <v>0.92</v>
      </c>
      <c r="BX28" s="66" t="s">
        <v>286</v>
      </c>
      <c r="BY28" s="172" t="s">
        <v>246</v>
      </c>
      <c r="BZ28" s="67" t="str">
        <f t="shared" si="24"/>
        <v>ME</v>
      </c>
      <c r="CA28" s="56">
        <v>21</v>
      </c>
      <c r="CB28" s="61">
        <v>90</v>
      </c>
      <c r="CC28" s="61"/>
      <c r="CD28" s="69">
        <f t="shared" si="25"/>
        <v>1</v>
      </c>
      <c r="CE28" s="69">
        <f t="shared" si="26"/>
        <v>4.6542650000000005</v>
      </c>
      <c r="CF28" s="69">
        <f t="shared" si="27"/>
        <v>4.6158000000000001</v>
      </c>
      <c r="CG28" s="62">
        <v>59</v>
      </c>
      <c r="CH28" s="62">
        <v>100</v>
      </c>
      <c r="CI28" s="65" t="str">
        <f t="shared" si="28"/>
        <v>ME</v>
      </c>
      <c r="CJ28" s="56">
        <v>21</v>
      </c>
      <c r="CK28" s="61">
        <v>85.7</v>
      </c>
      <c r="CL28" s="61"/>
      <c r="CM28" s="68">
        <f t="shared" si="29"/>
        <v>1.9000000000000057</v>
      </c>
      <c r="CN28" s="68">
        <f t="shared" si="30"/>
        <v>8.8431035000000264</v>
      </c>
      <c r="CO28" s="68">
        <f t="shared" si="31"/>
        <v>24.419861852604242</v>
      </c>
      <c r="CP28" s="62">
        <v>55</v>
      </c>
      <c r="CQ28" s="62">
        <v>83</v>
      </c>
      <c r="CR28" s="65" t="str">
        <f t="shared" si="32"/>
        <v>ME</v>
      </c>
      <c r="CS28" s="56">
        <v>21</v>
      </c>
      <c r="CT28" s="61">
        <v>99.3</v>
      </c>
      <c r="CU28" s="61"/>
      <c r="CV28" s="68">
        <f t="shared" si="33"/>
        <v>1.5999999999999943</v>
      </c>
      <c r="CW28" s="68">
        <f t="shared" si="34"/>
        <v>10.630783999999961</v>
      </c>
      <c r="CX28" s="69">
        <f t="shared" si="35"/>
        <v>7.3824888888888621E-2</v>
      </c>
      <c r="CY28" s="66" t="s">
        <v>240</v>
      </c>
      <c r="CZ28" s="66" t="s">
        <v>241</v>
      </c>
      <c r="DA28" s="66"/>
      <c r="DB28" s="65" t="str">
        <f t="shared" si="36"/>
        <v>ME</v>
      </c>
      <c r="DC28" s="56">
        <v>21</v>
      </c>
      <c r="DD28" s="61">
        <v>92.6</v>
      </c>
      <c r="DE28" s="61"/>
      <c r="DF28" s="68">
        <f t="shared" si="37"/>
        <v>14.5</v>
      </c>
      <c r="DG28" s="69">
        <f t="shared" si="38"/>
        <v>0.78229281760000002</v>
      </c>
      <c r="DH28" s="68">
        <f t="shared" si="39"/>
        <v>5.4325890111111113</v>
      </c>
      <c r="DI28" s="62">
        <v>90</v>
      </c>
      <c r="DJ28" s="62">
        <v>54</v>
      </c>
      <c r="DK28" s="65" t="str">
        <f t="shared" si="40"/>
        <v>ME</v>
      </c>
      <c r="DL28" s="56">
        <v>21</v>
      </c>
      <c r="DM28" s="63">
        <v>8.1300000000000008</v>
      </c>
      <c r="DN28" s="64">
        <v>1.7999999999999999E-2</v>
      </c>
      <c r="DO28" s="64">
        <v>3.3000000000000002E-2</v>
      </c>
      <c r="DP28" s="64">
        <v>5.0999999999999997E-2</v>
      </c>
      <c r="DQ28" s="63">
        <v>6.79</v>
      </c>
      <c r="DR28" s="61">
        <v>8.1</v>
      </c>
      <c r="DS28" s="64">
        <v>1.1539999999999999</v>
      </c>
      <c r="DT28" s="61">
        <v>85.6</v>
      </c>
      <c r="DU28" s="63">
        <v>4.18</v>
      </c>
      <c r="DV28" s="64">
        <v>0.66900000000000004</v>
      </c>
      <c r="DW28" s="64">
        <v>0.71499999999999997</v>
      </c>
      <c r="DX28" s="66" t="s">
        <v>242</v>
      </c>
      <c r="DY28" s="65" t="str">
        <f t="shared" si="41"/>
        <v>ME</v>
      </c>
      <c r="DZ28" s="128">
        <v>21</v>
      </c>
      <c r="EA28" s="173">
        <f t="shared" si="42"/>
        <v>9.6256684491978606E-2</v>
      </c>
      <c r="EB28" s="173">
        <f t="shared" si="43"/>
        <v>0.11911764705882352</v>
      </c>
      <c r="EC28" s="173">
        <f t="shared" si="44"/>
        <v>0.84027777777777779</v>
      </c>
      <c r="ED28" s="63">
        <v>1.1399999999999999</v>
      </c>
      <c r="EE28" s="63">
        <v>1.23</v>
      </c>
      <c r="EF28" s="63">
        <v>0.05</v>
      </c>
      <c r="EG28" s="63">
        <v>0.06</v>
      </c>
      <c r="EH28" s="127" t="str">
        <f t="shared" si="5"/>
        <v>ME</v>
      </c>
      <c r="EI28" s="56">
        <v>21</v>
      </c>
      <c r="EJ28" s="334"/>
      <c r="EK28" s="334"/>
      <c r="EL28" s="334"/>
      <c r="EM28" s="334"/>
      <c r="EN28" s="334"/>
      <c r="EO28" s="334"/>
      <c r="EP28" s="334"/>
      <c r="EQ28" s="65" t="str">
        <f t="shared" si="45"/>
        <v>ME</v>
      </c>
      <c r="ER28" s="20"/>
      <c r="ES28" s="20"/>
      <c r="ET28" s="20"/>
      <c r="EU28" s="20"/>
      <c r="EV28" s="20"/>
      <c r="EW28" s="20"/>
      <c r="EX28" s="20"/>
    </row>
    <row r="29" spans="1:154" s="3" customFormat="1" ht="17.149999999999999" customHeight="1" x14ac:dyDescent="0.25">
      <c r="A29" s="56">
        <v>22</v>
      </c>
      <c r="B29" s="57">
        <v>875912</v>
      </c>
      <c r="C29" s="58">
        <f t="shared" si="6"/>
        <v>140</v>
      </c>
      <c r="D29" s="167">
        <v>9.2100000000000009</v>
      </c>
      <c r="E29" s="59">
        <v>780079</v>
      </c>
      <c r="F29" s="58">
        <f t="shared" si="7"/>
        <v>134</v>
      </c>
      <c r="G29" s="168">
        <v>1.61</v>
      </c>
      <c r="H29" s="57">
        <v>741060</v>
      </c>
      <c r="I29" s="58">
        <f t="shared" si="0"/>
        <v>118</v>
      </c>
      <c r="J29" s="60" t="s">
        <v>194</v>
      </c>
      <c r="K29" s="56">
        <v>22</v>
      </c>
      <c r="L29" s="57">
        <v>68615</v>
      </c>
      <c r="M29" s="58">
        <f t="shared" si="8"/>
        <v>6</v>
      </c>
      <c r="N29" s="59">
        <v>173519</v>
      </c>
      <c r="O29" s="58">
        <f t="shared" si="9"/>
        <v>26</v>
      </c>
      <c r="P29" s="57">
        <v>194713</v>
      </c>
      <c r="Q29" s="169" t="str">
        <f t="shared" si="1"/>
        <v/>
      </c>
      <c r="R29" s="57">
        <v>665</v>
      </c>
      <c r="S29" s="57">
        <v>673</v>
      </c>
      <c r="T29" s="57">
        <v>139</v>
      </c>
      <c r="U29" s="57">
        <v>136</v>
      </c>
      <c r="V29" s="58" t="str">
        <f t="shared" si="10"/>
        <v>ME</v>
      </c>
      <c r="W29" s="56">
        <v>22</v>
      </c>
      <c r="X29" s="63">
        <v>11539.77</v>
      </c>
      <c r="Y29" s="130">
        <f t="shared" si="11"/>
        <v>2.2099999999991269</v>
      </c>
      <c r="Z29" s="63">
        <v>12316.86</v>
      </c>
      <c r="AA29" s="130">
        <f t="shared" si="12"/>
        <v>1.930000000000291</v>
      </c>
      <c r="AB29" s="63">
        <v>9734.9</v>
      </c>
      <c r="AC29" s="130">
        <f t="shared" si="13"/>
        <v>1.4500000000007276</v>
      </c>
      <c r="AD29" s="63">
        <v>9822.34</v>
      </c>
      <c r="AE29" s="130">
        <f t="shared" si="2"/>
        <v>1.7000000000007276</v>
      </c>
      <c r="AF29" s="125" t="str">
        <f t="shared" si="14"/>
        <v>ME</v>
      </c>
      <c r="AG29" s="56">
        <v>22</v>
      </c>
      <c r="AH29" s="63">
        <v>46011.94</v>
      </c>
      <c r="AI29" s="130">
        <f t="shared" si="15"/>
        <v>10.809999999997672</v>
      </c>
      <c r="AJ29" s="63">
        <v>48146.31</v>
      </c>
      <c r="AK29" s="130">
        <f t="shared" si="16"/>
        <v>11.200000000004366</v>
      </c>
      <c r="AL29" s="63">
        <v>585.75</v>
      </c>
      <c r="AM29" s="130" t="str">
        <f t="shared" si="17"/>
        <v/>
      </c>
      <c r="AN29" s="63">
        <v>547.01</v>
      </c>
      <c r="AO29" s="130" t="str">
        <f t="shared" si="3"/>
        <v/>
      </c>
      <c r="AP29" s="125" t="str">
        <f t="shared" si="18"/>
        <v>ME</v>
      </c>
      <c r="AQ29" s="56">
        <v>22</v>
      </c>
      <c r="AR29" s="63">
        <v>6635.35</v>
      </c>
      <c r="AS29" s="130">
        <f t="shared" si="19"/>
        <v>1.2299999999995634</v>
      </c>
      <c r="AT29" s="63">
        <v>7346.68</v>
      </c>
      <c r="AU29" s="130">
        <f t="shared" si="20"/>
        <v>1.6499999999996362</v>
      </c>
      <c r="AV29" s="63">
        <v>251.89</v>
      </c>
      <c r="AW29" s="277" t="str">
        <f t="shared" si="21"/>
        <v/>
      </c>
      <c r="AX29" s="63">
        <v>239.57</v>
      </c>
      <c r="AY29" s="130" t="str">
        <f t="shared" si="4"/>
        <v/>
      </c>
      <c r="AZ29" s="125" t="str">
        <f t="shared" si="22"/>
        <v>ME</v>
      </c>
      <c r="BA29" s="56">
        <v>22</v>
      </c>
      <c r="BB29" s="64">
        <v>0.64</v>
      </c>
      <c r="BC29" s="62">
        <v>17</v>
      </c>
      <c r="BD29" s="61">
        <v>7.2</v>
      </c>
      <c r="BE29" s="61">
        <v>3</v>
      </c>
      <c r="BF29" s="61">
        <v>14.2</v>
      </c>
      <c r="BG29" s="61">
        <v>7.2</v>
      </c>
      <c r="BH29" s="64">
        <v>0.215</v>
      </c>
      <c r="BI29" s="64">
        <v>0.23300000000000001</v>
      </c>
      <c r="BJ29" s="64">
        <v>0.05</v>
      </c>
      <c r="BK29" s="64">
        <v>4.9000000000000002E-2</v>
      </c>
      <c r="BL29" s="64">
        <v>5.2999999999999999E-2</v>
      </c>
      <c r="BM29" s="64">
        <v>5.1999999999999998E-2</v>
      </c>
      <c r="BN29" s="65" t="str">
        <f t="shared" si="23"/>
        <v>ME</v>
      </c>
      <c r="BO29" s="56">
        <v>22</v>
      </c>
      <c r="BP29" s="64">
        <v>7.3999999999999996E-2</v>
      </c>
      <c r="BQ29" s="62">
        <v>0</v>
      </c>
      <c r="BR29" s="61">
        <v>7</v>
      </c>
      <c r="BS29" s="61">
        <v>8.1</v>
      </c>
      <c r="BT29" s="61">
        <v>17.399999999999999</v>
      </c>
      <c r="BU29" s="64">
        <v>1.4999999999999999E-2</v>
      </c>
      <c r="BV29" s="63">
        <v>1.1599999999999999</v>
      </c>
      <c r="BW29" s="63">
        <v>0.94</v>
      </c>
      <c r="BX29" s="66" t="s">
        <v>286</v>
      </c>
      <c r="BY29" s="172" t="s">
        <v>246</v>
      </c>
      <c r="BZ29" s="67" t="str">
        <f t="shared" si="24"/>
        <v>ME</v>
      </c>
      <c r="CA29" s="56">
        <v>22</v>
      </c>
      <c r="CB29" s="61">
        <v>89</v>
      </c>
      <c r="CC29" s="61"/>
      <c r="CD29" s="69">
        <f t="shared" si="25"/>
        <v>0.70000000000000284</v>
      </c>
      <c r="CE29" s="69">
        <f t="shared" si="26"/>
        <v>3.2579855000000135</v>
      </c>
      <c r="CF29" s="69">
        <f t="shared" si="27"/>
        <v>3.3132055932203524</v>
      </c>
      <c r="CG29" s="62">
        <v>59</v>
      </c>
      <c r="CH29" s="62">
        <v>100</v>
      </c>
      <c r="CI29" s="65" t="str">
        <f t="shared" si="28"/>
        <v>ME</v>
      </c>
      <c r="CJ29" s="56">
        <v>22</v>
      </c>
      <c r="CK29" s="61">
        <v>83.8</v>
      </c>
      <c r="CL29" s="61">
        <v>97.8</v>
      </c>
      <c r="CM29" s="68">
        <f t="shared" si="29"/>
        <v>1.7000000000000028</v>
      </c>
      <c r="CN29" s="68">
        <f t="shared" si="30"/>
        <v>7.9122505000000141</v>
      </c>
      <c r="CO29" s="68">
        <f t="shared" si="31"/>
        <v>22.47361722375004</v>
      </c>
      <c r="CP29" s="62">
        <v>53</v>
      </c>
      <c r="CQ29" s="62">
        <v>83</v>
      </c>
      <c r="CR29" s="65" t="str">
        <f t="shared" si="32"/>
        <v>ME</v>
      </c>
      <c r="CS29" s="56">
        <v>22</v>
      </c>
      <c r="CT29" s="61">
        <v>97.7</v>
      </c>
      <c r="CU29" s="61"/>
      <c r="CV29" s="68">
        <f t="shared" si="33"/>
        <v>1.5</v>
      </c>
      <c r="CW29" s="68">
        <f t="shared" si="34"/>
        <v>9.9663599999999999</v>
      </c>
      <c r="CX29" s="69">
        <f t="shared" si="35"/>
        <v>7.1188285714285718E-2</v>
      </c>
      <c r="CY29" s="66" t="s">
        <v>240</v>
      </c>
      <c r="CZ29" s="66" t="s">
        <v>241</v>
      </c>
      <c r="DA29" s="66"/>
      <c r="DB29" s="65" t="str">
        <f t="shared" si="36"/>
        <v>ME</v>
      </c>
      <c r="DC29" s="56">
        <v>22</v>
      </c>
      <c r="DD29" s="61">
        <v>78.099999999999994</v>
      </c>
      <c r="DE29" s="61">
        <v>105</v>
      </c>
      <c r="DF29" s="68">
        <f t="shared" si="37"/>
        <v>12.700000000000003</v>
      </c>
      <c r="DG29" s="69">
        <f t="shared" si="38"/>
        <v>0.68518060576000017</v>
      </c>
      <c r="DH29" s="68">
        <f t="shared" si="39"/>
        <v>4.8941471840000013</v>
      </c>
      <c r="DI29" s="62">
        <v>90</v>
      </c>
      <c r="DJ29" s="62">
        <v>54</v>
      </c>
      <c r="DK29" s="65" t="str">
        <f t="shared" si="40"/>
        <v>ME</v>
      </c>
      <c r="DL29" s="56">
        <v>22</v>
      </c>
      <c r="DM29" s="63">
        <v>8.93</v>
      </c>
      <c r="DN29" s="64">
        <v>2.1999999999999999E-2</v>
      </c>
      <c r="DO29" s="64">
        <v>3.3000000000000002E-2</v>
      </c>
      <c r="DP29" s="64">
        <v>5.1999999999999998E-2</v>
      </c>
      <c r="DQ29" s="63">
        <v>6.79</v>
      </c>
      <c r="DR29" s="61">
        <v>8.1</v>
      </c>
      <c r="DS29" s="64">
        <v>1.1910000000000001</v>
      </c>
      <c r="DT29" s="61">
        <v>86</v>
      </c>
      <c r="DU29" s="63">
        <v>4.1900000000000004</v>
      </c>
      <c r="DV29" s="64">
        <v>0.67200000000000004</v>
      </c>
      <c r="DW29" s="64">
        <v>0.76500000000000001</v>
      </c>
      <c r="DX29" s="66" t="s">
        <v>242</v>
      </c>
      <c r="DY29" s="65" t="str">
        <f t="shared" si="41"/>
        <v>ME</v>
      </c>
      <c r="DZ29" s="128">
        <v>22</v>
      </c>
      <c r="EA29" s="173">
        <f t="shared" si="42"/>
        <v>9.3582887700534759E-2</v>
      </c>
      <c r="EB29" s="173">
        <f t="shared" si="43"/>
        <v>9.8529411764705879E-2</v>
      </c>
      <c r="EC29" s="173">
        <f t="shared" si="44"/>
        <v>0.84285714285714286</v>
      </c>
      <c r="ED29" s="63">
        <v>1.1399999999999999</v>
      </c>
      <c r="EE29" s="63">
        <v>1.2</v>
      </c>
      <c r="EF29" s="63">
        <v>0.04</v>
      </c>
      <c r="EG29" s="63">
        <v>0.24</v>
      </c>
      <c r="EH29" s="127" t="str">
        <f t="shared" si="5"/>
        <v>ME</v>
      </c>
      <c r="EI29" s="56">
        <v>22</v>
      </c>
      <c r="EJ29" s="334"/>
      <c r="EK29" s="334"/>
      <c r="EL29" s="334"/>
      <c r="EM29" s="334"/>
      <c r="EN29" s="334"/>
      <c r="EO29" s="334"/>
      <c r="EP29" s="334"/>
      <c r="EQ29" s="65" t="str">
        <f t="shared" si="45"/>
        <v>ME</v>
      </c>
      <c r="ER29" s="20"/>
      <c r="ES29" s="20"/>
      <c r="ET29" s="20"/>
      <c r="EU29" s="20"/>
      <c r="EV29" s="20"/>
      <c r="EW29" s="20"/>
      <c r="EX29" s="20"/>
    </row>
    <row r="30" spans="1:154" s="3" customFormat="1" ht="17.149999999999999" customHeight="1" x14ac:dyDescent="0.25">
      <c r="A30" s="56">
        <v>23</v>
      </c>
      <c r="B30" s="57">
        <v>876052</v>
      </c>
      <c r="C30" s="58">
        <f t="shared" si="6"/>
        <v>135</v>
      </c>
      <c r="D30" s="167">
        <v>9.2100000000000009</v>
      </c>
      <c r="E30" s="59">
        <v>780213</v>
      </c>
      <c r="F30" s="58">
        <f t="shared" si="7"/>
        <v>141</v>
      </c>
      <c r="G30" s="168">
        <v>1.9</v>
      </c>
      <c r="H30" s="57">
        <v>741178</v>
      </c>
      <c r="I30" s="58">
        <f t="shared" si="0"/>
        <v>114</v>
      </c>
      <c r="J30" s="60" t="s">
        <v>194</v>
      </c>
      <c r="K30" s="56">
        <v>23</v>
      </c>
      <c r="L30" s="57">
        <v>68621</v>
      </c>
      <c r="M30" s="58">
        <f t="shared" si="8"/>
        <v>1</v>
      </c>
      <c r="N30" s="59">
        <v>173545</v>
      </c>
      <c r="O30" s="58">
        <f t="shared" si="9"/>
        <v>28</v>
      </c>
      <c r="P30" s="57">
        <v>194713</v>
      </c>
      <c r="Q30" s="169" t="str">
        <f t="shared" si="1"/>
        <v/>
      </c>
      <c r="R30" s="57">
        <v>665</v>
      </c>
      <c r="S30" s="57">
        <v>673</v>
      </c>
      <c r="T30" s="57">
        <v>139</v>
      </c>
      <c r="U30" s="57">
        <v>136</v>
      </c>
      <c r="V30" s="58" t="str">
        <f t="shared" si="10"/>
        <v>ME</v>
      </c>
      <c r="W30" s="56">
        <v>23</v>
      </c>
      <c r="X30" s="63">
        <v>11541.98</v>
      </c>
      <c r="Y30" s="130">
        <f t="shared" si="11"/>
        <v>1.7700000000004366</v>
      </c>
      <c r="Z30" s="63">
        <v>12318.79</v>
      </c>
      <c r="AA30" s="130">
        <f t="shared" si="12"/>
        <v>2.179999999998472</v>
      </c>
      <c r="AB30" s="63">
        <v>9736.35</v>
      </c>
      <c r="AC30" s="130">
        <f t="shared" si="13"/>
        <v>1.680000000000291</v>
      </c>
      <c r="AD30" s="63">
        <v>9824.0400000000009</v>
      </c>
      <c r="AE30" s="130">
        <f t="shared" si="2"/>
        <v>1.3599999999987631</v>
      </c>
      <c r="AF30" s="125" t="str">
        <f t="shared" si="14"/>
        <v>ME</v>
      </c>
      <c r="AG30" s="56">
        <v>23</v>
      </c>
      <c r="AH30" s="63">
        <v>46022.75</v>
      </c>
      <c r="AI30" s="130">
        <f t="shared" si="15"/>
        <v>9.9000000000014552</v>
      </c>
      <c r="AJ30" s="63">
        <v>48157.51</v>
      </c>
      <c r="AK30" s="130">
        <f t="shared" si="16"/>
        <v>12.809999999997672</v>
      </c>
      <c r="AL30" s="63">
        <v>585.75</v>
      </c>
      <c r="AM30" s="130" t="str">
        <f t="shared" si="17"/>
        <v/>
      </c>
      <c r="AN30" s="63">
        <v>547.01</v>
      </c>
      <c r="AO30" s="130" t="str">
        <f t="shared" si="3"/>
        <v/>
      </c>
      <c r="AP30" s="125" t="str">
        <f t="shared" si="18"/>
        <v>ME</v>
      </c>
      <c r="AQ30" s="56">
        <v>23</v>
      </c>
      <c r="AR30" s="63">
        <v>6636.58</v>
      </c>
      <c r="AS30" s="130">
        <f t="shared" si="19"/>
        <v>1.5799999999999272</v>
      </c>
      <c r="AT30" s="63">
        <v>7348.33</v>
      </c>
      <c r="AU30" s="130">
        <f t="shared" si="20"/>
        <v>1.4099999999998545</v>
      </c>
      <c r="AV30" s="63">
        <v>251.89</v>
      </c>
      <c r="AW30" s="277" t="str">
        <f t="shared" si="21"/>
        <v/>
      </c>
      <c r="AX30" s="63">
        <v>239.57</v>
      </c>
      <c r="AY30" s="130" t="str">
        <f t="shared" si="4"/>
        <v/>
      </c>
      <c r="AZ30" s="125" t="str">
        <f t="shared" si="22"/>
        <v>ME</v>
      </c>
      <c r="BA30" s="56">
        <v>23</v>
      </c>
      <c r="BB30" s="64">
        <v>0.70099999999999996</v>
      </c>
      <c r="BC30" s="62">
        <v>10</v>
      </c>
      <c r="BD30" s="61">
        <v>7.1</v>
      </c>
      <c r="BE30" s="61">
        <v>3</v>
      </c>
      <c r="BF30" s="61">
        <v>14.5</v>
      </c>
      <c r="BG30" s="61">
        <v>7.1</v>
      </c>
      <c r="BH30" s="64">
        <v>0.23200000000000001</v>
      </c>
      <c r="BI30" s="64">
        <v>0.246</v>
      </c>
      <c r="BJ30" s="64">
        <v>4.8000000000000001E-2</v>
      </c>
      <c r="BK30" s="64">
        <v>4.9000000000000002E-2</v>
      </c>
      <c r="BL30" s="64">
        <v>5.0999999999999997E-2</v>
      </c>
      <c r="BM30" s="64">
        <v>0.06</v>
      </c>
      <c r="BN30" s="65" t="str">
        <f t="shared" si="23"/>
        <v>ME</v>
      </c>
      <c r="BO30" s="56">
        <v>23</v>
      </c>
      <c r="BP30" s="64">
        <v>7.2999999999999995E-2</v>
      </c>
      <c r="BQ30" s="62">
        <v>0</v>
      </c>
      <c r="BR30" s="61">
        <v>7.1</v>
      </c>
      <c r="BS30" s="61">
        <v>8.1</v>
      </c>
      <c r="BT30" s="61">
        <v>17.2</v>
      </c>
      <c r="BU30" s="64">
        <v>1.2E-2</v>
      </c>
      <c r="BV30" s="63">
        <v>1.1299999999999999</v>
      </c>
      <c r="BW30" s="63">
        <v>0.96</v>
      </c>
      <c r="BX30" s="66" t="s">
        <v>245</v>
      </c>
      <c r="BY30" s="172" t="s">
        <v>246</v>
      </c>
      <c r="BZ30" s="67" t="str">
        <f t="shared" si="24"/>
        <v>ME</v>
      </c>
      <c r="CA30" s="56">
        <v>23</v>
      </c>
      <c r="CB30" s="61">
        <v>88.3</v>
      </c>
      <c r="CC30" s="61"/>
      <c r="CD30" s="69">
        <f t="shared" si="25"/>
        <v>1.2000000000000028</v>
      </c>
      <c r="CE30" s="69">
        <f t="shared" si="26"/>
        <v>5.5851180000000138</v>
      </c>
      <c r="CF30" s="69">
        <f t="shared" si="27"/>
        <v>5.8790715789473831</v>
      </c>
      <c r="CG30" s="62">
        <v>61</v>
      </c>
      <c r="CH30" s="62">
        <v>100</v>
      </c>
      <c r="CI30" s="65" t="str">
        <f t="shared" si="28"/>
        <v>ME</v>
      </c>
      <c r="CJ30" s="56">
        <v>23</v>
      </c>
      <c r="CK30" s="61">
        <v>96.1</v>
      </c>
      <c r="CL30" s="61"/>
      <c r="CM30" s="68">
        <f t="shared" si="29"/>
        <v>1.7999999999999972</v>
      </c>
      <c r="CN30" s="68">
        <f t="shared" si="30"/>
        <v>8.3776769999999878</v>
      </c>
      <c r="CO30" s="68">
        <f t="shared" si="31"/>
        <v>24.676913029999966</v>
      </c>
      <c r="CP30" s="62">
        <v>57</v>
      </c>
      <c r="CQ30" s="62">
        <v>83</v>
      </c>
      <c r="CR30" s="65" t="str">
        <f t="shared" si="32"/>
        <v>ME</v>
      </c>
      <c r="CS30" s="56">
        <v>23</v>
      </c>
      <c r="CT30" s="61">
        <v>96.2</v>
      </c>
      <c r="CU30" s="61"/>
      <c r="CV30" s="68">
        <f t="shared" si="33"/>
        <v>1.1000000000000085</v>
      </c>
      <c r="CW30" s="68">
        <f t="shared" si="34"/>
        <v>7.3086640000000562</v>
      </c>
      <c r="CX30" s="69">
        <f t="shared" si="35"/>
        <v>5.4138251851852268E-2</v>
      </c>
      <c r="CY30" s="66" t="s">
        <v>240</v>
      </c>
      <c r="CZ30" s="66" t="s">
        <v>241</v>
      </c>
      <c r="DA30" s="66"/>
      <c r="DB30" s="65" t="str">
        <f t="shared" si="36"/>
        <v>ME</v>
      </c>
      <c r="DC30" s="56">
        <v>23</v>
      </c>
      <c r="DD30" s="61">
        <v>92.3</v>
      </c>
      <c r="DE30" s="61">
        <v>101.2</v>
      </c>
      <c r="DF30" s="68">
        <f t="shared" si="37"/>
        <v>12.600000000000009</v>
      </c>
      <c r="DG30" s="69">
        <f t="shared" si="38"/>
        <v>0.67978548288000051</v>
      </c>
      <c r="DH30" s="68">
        <f t="shared" si="39"/>
        <v>5.0354480213333366</v>
      </c>
      <c r="DI30" s="62">
        <v>91</v>
      </c>
      <c r="DJ30" s="62">
        <v>54</v>
      </c>
      <c r="DK30" s="65" t="str">
        <f t="shared" si="40"/>
        <v>ME</v>
      </c>
      <c r="DL30" s="56">
        <v>23</v>
      </c>
      <c r="DM30" s="63">
        <v>8.57</v>
      </c>
      <c r="DN30" s="64">
        <v>2.1999999999999999E-2</v>
      </c>
      <c r="DO30" s="64">
        <v>3.3000000000000002E-2</v>
      </c>
      <c r="DP30" s="64">
        <v>5.1999999999999998E-2</v>
      </c>
      <c r="DQ30" s="63">
        <v>6.79</v>
      </c>
      <c r="DR30" s="61">
        <v>8.1</v>
      </c>
      <c r="DS30" s="64">
        <v>1.1870000000000001</v>
      </c>
      <c r="DT30" s="61">
        <v>84.6</v>
      </c>
      <c r="DU30" s="63">
        <v>4.25</v>
      </c>
      <c r="DV30" s="64">
        <v>0.71799999999999997</v>
      </c>
      <c r="DW30" s="64">
        <v>0.51500000000000001</v>
      </c>
      <c r="DX30" s="66" t="s">
        <v>242</v>
      </c>
      <c r="DY30" s="65" t="str">
        <f t="shared" si="41"/>
        <v>ME</v>
      </c>
      <c r="DZ30" s="128">
        <v>23</v>
      </c>
      <c r="EA30" s="173">
        <f t="shared" si="42"/>
        <v>9.0240641711229946E-2</v>
      </c>
      <c r="EB30" s="173">
        <f t="shared" si="43"/>
        <v>0.1036764705882353</v>
      </c>
      <c r="EC30" s="173">
        <f t="shared" si="44"/>
        <v>0.84444444444444444</v>
      </c>
      <c r="ED30" s="63">
        <v>1.17</v>
      </c>
      <c r="EE30" s="63">
        <v>1.2</v>
      </c>
      <c r="EF30" s="63">
        <v>0.06</v>
      </c>
      <c r="EG30" s="63">
        <v>0.05</v>
      </c>
      <c r="EH30" s="127" t="str">
        <f t="shared" si="5"/>
        <v>ME</v>
      </c>
      <c r="EI30" s="56">
        <v>23</v>
      </c>
      <c r="EJ30" s="334"/>
      <c r="EK30" s="334"/>
      <c r="EL30" s="334"/>
      <c r="EM30" s="334"/>
      <c r="EN30" s="334"/>
      <c r="EO30" s="334"/>
      <c r="EP30" s="334"/>
      <c r="EQ30" s="65" t="str">
        <f t="shared" si="45"/>
        <v>ME</v>
      </c>
      <c r="ER30" s="20"/>
      <c r="ES30" s="20"/>
      <c r="ET30" s="20"/>
      <c r="EU30" s="20"/>
      <c r="EV30" s="20"/>
      <c r="EW30" s="20"/>
      <c r="EX30" s="20"/>
    </row>
    <row r="31" spans="1:154" s="3" customFormat="1" ht="17.149999999999999" customHeight="1" x14ac:dyDescent="0.25">
      <c r="A31" s="56">
        <v>24</v>
      </c>
      <c r="B31" s="57">
        <v>876187</v>
      </c>
      <c r="C31" s="58">
        <f t="shared" si="6"/>
        <v>193</v>
      </c>
      <c r="D31" s="167">
        <v>9.69</v>
      </c>
      <c r="E31" s="59">
        <v>780354</v>
      </c>
      <c r="F31" s="58">
        <f t="shared" si="7"/>
        <v>167</v>
      </c>
      <c r="G31" s="168">
        <v>1.1499999999999999</v>
      </c>
      <c r="H31" s="57">
        <v>741292</v>
      </c>
      <c r="I31" s="58">
        <f t="shared" si="0"/>
        <v>117</v>
      </c>
      <c r="J31" s="60" t="s">
        <v>194</v>
      </c>
      <c r="K31" s="56">
        <v>24</v>
      </c>
      <c r="L31" s="57">
        <v>68622</v>
      </c>
      <c r="M31" s="58">
        <f t="shared" si="8"/>
        <v>49</v>
      </c>
      <c r="N31" s="59">
        <v>173573</v>
      </c>
      <c r="O31" s="58">
        <f t="shared" si="9"/>
        <v>56</v>
      </c>
      <c r="P31" s="57">
        <v>194713</v>
      </c>
      <c r="Q31" s="169" t="str">
        <f t="shared" si="1"/>
        <v/>
      </c>
      <c r="R31" s="57">
        <v>665</v>
      </c>
      <c r="S31" s="57">
        <v>673</v>
      </c>
      <c r="T31" s="57">
        <v>139</v>
      </c>
      <c r="U31" s="57">
        <v>136</v>
      </c>
      <c r="V31" s="58" t="str">
        <f t="shared" si="10"/>
        <v>ME</v>
      </c>
      <c r="W31" s="56">
        <v>24</v>
      </c>
      <c r="X31" s="63">
        <v>11543.75</v>
      </c>
      <c r="Y31" s="130">
        <f t="shared" si="11"/>
        <v>3.2000000000007276</v>
      </c>
      <c r="Z31" s="63">
        <v>12320.97</v>
      </c>
      <c r="AA31" s="130">
        <f t="shared" si="12"/>
        <v>2.6400000000012369</v>
      </c>
      <c r="AB31" s="63">
        <v>9738.0300000000007</v>
      </c>
      <c r="AC31" s="130">
        <f t="shared" si="13"/>
        <v>0.72999999999956344</v>
      </c>
      <c r="AD31" s="63">
        <v>9825.4</v>
      </c>
      <c r="AE31" s="130">
        <f t="shared" si="2"/>
        <v>2.3999999999996362</v>
      </c>
      <c r="AF31" s="125" t="str">
        <f t="shared" si="14"/>
        <v>ME</v>
      </c>
      <c r="AG31" s="56">
        <v>24</v>
      </c>
      <c r="AH31" s="63">
        <v>46032.65</v>
      </c>
      <c r="AI31" s="130">
        <f t="shared" si="15"/>
        <v>14.110000000000582</v>
      </c>
      <c r="AJ31" s="63">
        <v>48170.32</v>
      </c>
      <c r="AK31" s="130">
        <f t="shared" si="16"/>
        <v>12.169999999998254</v>
      </c>
      <c r="AL31" s="63">
        <v>585.75</v>
      </c>
      <c r="AM31" s="130" t="str">
        <f t="shared" si="17"/>
        <v/>
      </c>
      <c r="AN31" s="63">
        <v>547.01</v>
      </c>
      <c r="AO31" s="130" t="str">
        <f t="shared" si="3"/>
        <v/>
      </c>
      <c r="AP31" s="125" t="str">
        <f t="shared" si="18"/>
        <v>ME</v>
      </c>
      <c r="AQ31" s="56">
        <v>24</v>
      </c>
      <c r="AR31" s="63">
        <v>6638.16</v>
      </c>
      <c r="AS31" s="130">
        <f t="shared" si="19"/>
        <v>2.5799999999999272</v>
      </c>
      <c r="AT31" s="63">
        <v>7349.74</v>
      </c>
      <c r="AU31" s="130">
        <f t="shared" si="20"/>
        <v>2.2200000000002547</v>
      </c>
      <c r="AV31" s="63">
        <v>251.89</v>
      </c>
      <c r="AW31" s="277" t="str">
        <f t="shared" si="21"/>
        <v/>
      </c>
      <c r="AX31" s="63">
        <v>239.57</v>
      </c>
      <c r="AY31" s="130">
        <f t="shared" si="4"/>
        <v>0.34000000000000341</v>
      </c>
      <c r="AZ31" s="125" t="str">
        <f t="shared" si="22"/>
        <v>ME</v>
      </c>
      <c r="BA31" s="56">
        <v>24</v>
      </c>
      <c r="BB31" s="64">
        <v>0.629</v>
      </c>
      <c r="BC31" s="62">
        <v>13</v>
      </c>
      <c r="BD31" s="61">
        <v>7</v>
      </c>
      <c r="BE31" s="61">
        <v>3</v>
      </c>
      <c r="BF31" s="61">
        <v>15</v>
      </c>
      <c r="BG31" s="61">
        <v>7</v>
      </c>
      <c r="BH31" s="64">
        <v>0.221</v>
      </c>
      <c r="BI31" s="64">
        <v>0.22700000000000001</v>
      </c>
      <c r="BJ31" s="64">
        <v>5.1999999999999998E-2</v>
      </c>
      <c r="BK31" s="64">
        <v>5.2999999999999999E-2</v>
      </c>
      <c r="BL31" s="64">
        <v>5.2999999999999999E-2</v>
      </c>
      <c r="BM31" s="64">
        <v>5.8000000000000003E-2</v>
      </c>
      <c r="BN31" s="65" t="str">
        <f t="shared" si="23"/>
        <v>ME</v>
      </c>
      <c r="BO31" s="56">
        <v>24</v>
      </c>
      <c r="BP31" s="64">
        <v>7.2999999999999995E-2</v>
      </c>
      <c r="BQ31" s="62">
        <v>0</v>
      </c>
      <c r="BR31" s="61">
        <v>7.2</v>
      </c>
      <c r="BS31" s="61">
        <v>8.1</v>
      </c>
      <c r="BT31" s="61">
        <v>17</v>
      </c>
      <c r="BU31" s="64">
        <v>1.7000000000000001E-2</v>
      </c>
      <c r="BV31" s="63">
        <v>1.1599999999999999</v>
      </c>
      <c r="BW31" s="63">
        <v>0.94</v>
      </c>
      <c r="BX31" s="66" t="s">
        <v>245</v>
      </c>
      <c r="BY31" s="172" t="s">
        <v>246</v>
      </c>
      <c r="BZ31" s="67" t="str">
        <f t="shared" si="24"/>
        <v>ME</v>
      </c>
      <c r="CA31" s="56">
        <v>24</v>
      </c>
      <c r="CB31" s="61">
        <v>87.1</v>
      </c>
      <c r="CC31" s="61"/>
      <c r="CD31" s="69">
        <f t="shared" si="25"/>
        <v>0.69999999999998863</v>
      </c>
      <c r="CE31" s="69">
        <f t="shared" si="26"/>
        <v>3.2579854999999474</v>
      </c>
      <c r="CF31" s="69">
        <f t="shared" si="27"/>
        <v>3.3415235897435358</v>
      </c>
      <c r="CG31" s="62">
        <v>59</v>
      </c>
      <c r="CH31" s="62">
        <v>100</v>
      </c>
      <c r="CI31" s="65" t="str">
        <f t="shared" si="28"/>
        <v>ME</v>
      </c>
      <c r="CJ31" s="56">
        <v>24</v>
      </c>
      <c r="CK31" s="61">
        <v>94.3</v>
      </c>
      <c r="CL31" s="61"/>
      <c r="CM31" s="68">
        <f t="shared" si="29"/>
        <v>2.5</v>
      </c>
      <c r="CN31" s="68">
        <f t="shared" si="30"/>
        <v>11.6356625</v>
      </c>
      <c r="CO31" s="68">
        <f t="shared" si="31"/>
        <v>23.973684938471507</v>
      </c>
      <c r="CP31" s="62">
        <v>56</v>
      </c>
      <c r="CQ31" s="62">
        <v>83</v>
      </c>
      <c r="CR31" s="65" t="str">
        <f t="shared" si="32"/>
        <v>ME</v>
      </c>
      <c r="CS31" s="56">
        <v>24</v>
      </c>
      <c r="CT31" s="61">
        <v>95.1</v>
      </c>
      <c r="CU31" s="61"/>
      <c r="CV31" s="68">
        <f t="shared" si="33"/>
        <v>2.0999999999999943</v>
      </c>
      <c r="CW31" s="68">
        <f t="shared" si="34"/>
        <v>13.952903999999963</v>
      </c>
      <c r="CX31" s="69">
        <f t="shared" si="35"/>
        <v>7.2294839378238149E-2</v>
      </c>
      <c r="CY31" s="66" t="s">
        <v>240</v>
      </c>
      <c r="CZ31" s="66" t="s">
        <v>241</v>
      </c>
      <c r="DA31" s="66"/>
      <c r="DB31" s="65" t="str">
        <f t="shared" si="36"/>
        <v>ME</v>
      </c>
      <c r="DC31" s="56">
        <v>24</v>
      </c>
      <c r="DD31" s="61">
        <v>88.6</v>
      </c>
      <c r="DE31" s="61">
        <v>104.5</v>
      </c>
      <c r="DF31" s="68">
        <f t="shared" si="37"/>
        <v>17.400000000000006</v>
      </c>
      <c r="DG31" s="69">
        <f t="shared" si="38"/>
        <v>0.93875138112000023</v>
      </c>
      <c r="DH31" s="68">
        <f t="shared" si="39"/>
        <v>4.8639967933678765</v>
      </c>
      <c r="DI31" s="62">
        <v>91</v>
      </c>
      <c r="DJ31" s="62">
        <v>54</v>
      </c>
      <c r="DK31" s="65" t="str">
        <f t="shared" si="40"/>
        <v>ME</v>
      </c>
      <c r="DL31" s="56">
        <v>24</v>
      </c>
      <c r="DM31" s="63">
        <v>8.65</v>
      </c>
      <c r="DN31" s="64">
        <v>2.1999999999999999E-2</v>
      </c>
      <c r="DO31" s="64">
        <v>3.3000000000000002E-2</v>
      </c>
      <c r="DP31" s="64">
        <v>5.2999999999999999E-2</v>
      </c>
      <c r="DQ31" s="63">
        <v>6.8</v>
      </c>
      <c r="DR31" s="61">
        <v>8.1</v>
      </c>
      <c r="DS31" s="64">
        <v>1.17</v>
      </c>
      <c r="DT31" s="61">
        <v>85.5</v>
      </c>
      <c r="DU31" s="63">
        <v>4.2699999999999996</v>
      </c>
      <c r="DV31" s="64">
        <v>0.68200000000000005</v>
      </c>
      <c r="DW31" s="64">
        <v>0.46800000000000003</v>
      </c>
      <c r="DX31" s="66" t="s">
        <v>247</v>
      </c>
      <c r="DY31" s="65" t="str">
        <f t="shared" si="41"/>
        <v>ME</v>
      </c>
      <c r="DZ31" s="128">
        <v>24</v>
      </c>
      <c r="EA31" s="173">
        <f t="shared" si="42"/>
        <v>0.12901069518716576</v>
      </c>
      <c r="EB31" s="173">
        <f t="shared" si="43"/>
        <v>0.12279411764705882</v>
      </c>
      <c r="EC31" s="173">
        <f t="shared" si="44"/>
        <v>0.60621761658031093</v>
      </c>
      <c r="ED31" s="63">
        <v>1.1499999999999999</v>
      </c>
      <c r="EE31" s="63">
        <v>1.18</v>
      </c>
      <c r="EF31" s="63">
        <v>0.06</v>
      </c>
      <c r="EG31" s="63">
        <v>0.08</v>
      </c>
      <c r="EH31" s="127" t="str">
        <f t="shared" si="5"/>
        <v>ME</v>
      </c>
      <c r="EI31" s="56">
        <v>24</v>
      </c>
      <c r="EJ31" s="334"/>
      <c r="EK31" s="334"/>
      <c r="EL31" s="334"/>
      <c r="EM31" s="334"/>
      <c r="EN31" s="334"/>
      <c r="EO31" s="334"/>
      <c r="EP31" s="334"/>
      <c r="EQ31" s="65" t="str">
        <f t="shared" si="45"/>
        <v>ME</v>
      </c>
      <c r="ER31" s="20"/>
      <c r="ES31" s="20"/>
      <c r="ET31" s="20"/>
      <c r="EU31" s="20"/>
      <c r="EV31" s="20"/>
      <c r="EW31" s="20"/>
      <c r="EX31" s="20"/>
    </row>
    <row r="32" spans="1:154" s="3" customFormat="1" ht="17.149999999999999" customHeight="1" x14ac:dyDescent="0.25">
      <c r="A32" s="56">
        <v>25</v>
      </c>
      <c r="B32" s="57">
        <v>876380</v>
      </c>
      <c r="C32" s="58">
        <f t="shared" si="6"/>
        <v>195</v>
      </c>
      <c r="D32" s="167">
        <v>8.52</v>
      </c>
      <c r="E32" s="59">
        <v>780521</v>
      </c>
      <c r="F32" s="58">
        <f t="shared" si="7"/>
        <v>179</v>
      </c>
      <c r="G32" s="168">
        <v>1.29</v>
      </c>
      <c r="H32" s="57">
        <v>741409</v>
      </c>
      <c r="I32" s="58">
        <f t="shared" si="0"/>
        <v>177</v>
      </c>
      <c r="J32" s="60" t="s">
        <v>237</v>
      </c>
      <c r="K32" s="56">
        <v>25</v>
      </c>
      <c r="L32" s="57">
        <v>68671</v>
      </c>
      <c r="M32" s="58" t="str">
        <f t="shared" si="8"/>
        <v/>
      </c>
      <c r="N32" s="59">
        <v>173629</v>
      </c>
      <c r="O32" s="58">
        <f t="shared" si="9"/>
        <v>62</v>
      </c>
      <c r="P32" s="57">
        <v>194713</v>
      </c>
      <c r="Q32" s="169" t="str">
        <f t="shared" si="1"/>
        <v/>
      </c>
      <c r="R32" s="57">
        <v>666</v>
      </c>
      <c r="S32" s="57">
        <v>673</v>
      </c>
      <c r="T32" s="57">
        <v>139</v>
      </c>
      <c r="U32" s="57">
        <v>136</v>
      </c>
      <c r="V32" s="58" t="str">
        <f t="shared" si="10"/>
        <v>SA/ME</v>
      </c>
      <c r="W32" s="56">
        <v>25</v>
      </c>
      <c r="X32" s="63">
        <v>11546.95</v>
      </c>
      <c r="Y32" s="130">
        <f t="shared" si="11"/>
        <v>1.929999999998472</v>
      </c>
      <c r="Z32" s="63">
        <v>12323.61</v>
      </c>
      <c r="AA32" s="130">
        <f t="shared" si="12"/>
        <v>3.3400000000001455</v>
      </c>
      <c r="AB32" s="63">
        <v>9738.76</v>
      </c>
      <c r="AC32" s="130">
        <f t="shared" si="13"/>
        <v>3.2600000000002183</v>
      </c>
      <c r="AD32" s="63">
        <v>9827.7999999999993</v>
      </c>
      <c r="AE32" s="130">
        <f t="shared" si="2"/>
        <v>1.4800000000013824</v>
      </c>
      <c r="AF32" s="125" t="str">
        <f t="shared" si="14"/>
        <v>SA/ME</v>
      </c>
      <c r="AG32" s="56">
        <v>25</v>
      </c>
      <c r="AH32" s="63">
        <v>46046.76</v>
      </c>
      <c r="AI32" s="130">
        <f t="shared" si="15"/>
        <v>14.290000000000873</v>
      </c>
      <c r="AJ32" s="63">
        <v>48182.49</v>
      </c>
      <c r="AK32" s="130">
        <v>11.83</v>
      </c>
      <c r="AL32" s="63">
        <v>585.75</v>
      </c>
      <c r="AM32" s="130" t="str">
        <f t="shared" si="17"/>
        <v/>
      </c>
      <c r="AN32" s="63">
        <v>547.01</v>
      </c>
      <c r="AO32" s="130" t="str">
        <f t="shared" si="3"/>
        <v/>
      </c>
      <c r="AP32" s="125" t="str">
        <f t="shared" si="18"/>
        <v>SA/ME</v>
      </c>
      <c r="AQ32" s="56">
        <v>25</v>
      </c>
      <c r="AR32" s="63">
        <v>6640.74</v>
      </c>
      <c r="AS32" s="130">
        <f t="shared" si="19"/>
        <v>3.1599999999998545</v>
      </c>
      <c r="AT32" s="63">
        <v>7351.96</v>
      </c>
      <c r="AU32" s="130">
        <f t="shared" si="20"/>
        <v>3.1300000000001091</v>
      </c>
      <c r="AV32" s="63">
        <v>251.89</v>
      </c>
      <c r="AW32" s="277" t="str">
        <f t="shared" si="21"/>
        <v/>
      </c>
      <c r="AX32" s="63">
        <v>239.91</v>
      </c>
      <c r="AY32" s="130" t="str">
        <f t="shared" si="4"/>
        <v/>
      </c>
      <c r="AZ32" s="125" t="str">
        <f t="shared" si="22"/>
        <v>SA/ME</v>
      </c>
      <c r="BA32" s="56">
        <v>25</v>
      </c>
      <c r="BB32" s="64">
        <v>0.55000000000000004</v>
      </c>
      <c r="BC32" s="62">
        <v>38</v>
      </c>
      <c r="BD32" s="61">
        <v>7.2</v>
      </c>
      <c r="BE32" s="61">
        <v>3</v>
      </c>
      <c r="BF32" s="61">
        <v>15</v>
      </c>
      <c r="BG32" s="61">
        <v>7.2</v>
      </c>
      <c r="BH32" s="64">
        <v>0.20499999999999999</v>
      </c>
      <c r="BI32" s="64">
        <v>0.23799999999999999</v>
      </c>
      <c r="BJ32" s="64">
        <v>5.0999999999999997E-2</v>
      </c>
      <c r="BK32" s="64">
        <v>0.06</v>
      </c>
      <c r="BL32" s="64">
        <v>5.8999999999999997E-2</v>
      </c>
      <c r="BM32" s="64">
        <v>6.2E-2</v>
      </c>
      <c r="BN32" s="65" t="str">
        <f t="shared" si="23"/>
        <v>SA/ME</v>
      </c>
      <c r="BO32" s="56">
        <v>25</v>
      </c>
      <c r="BP32" s="64">
        <v>7.8E-2</v>
      </c>
      <c r="BQ32" s="62">
        <v>0</v>
      </c>
      <c r="BR32" s="61">
        <v>7.3</v>
      </c>
      <c r="BS32" s="61">
        <v>8.1999999999999993</v>
      </c>
      <c r="BT32" s="61">
        <v>17.5</v>
      </c>
      <c r="BU32" s="64">
        <v>1.2999999999999999E-2</v>
      </c>
      <c r="BV32" s="63">
        <v>1.19</v>
      </c>
      <c r="BW32" s="63">
        <v>0.96</v>
      </c>
      <c r="BX32" s="66" t="s">
        <v>320</v>
      </c>
      <c r="BY32" s="172" t="s">
        <v>239</v>
      </c>
      <c r="BZ32" s="67" t="str">
        <f t="shared" si="24"/>
        <v>SA/ME</v>
      </c>
      <c r="CA32" s="56">
        <v>25</v>
      </c>
      <c r="CB32" s="61">
        <v>86.4</v>
      </c>
      <c r="CC32" s="61"/>
      <c r="CD32" s="69">
        <f t="shared" si="25"/>
        <v>1.6000000000000085</v>
      </c>
      <c r="CE32" s="69">
        <f t="shared" si="26"/>
        <v>7.4468240000000403</v>
      </c>
      <c r="CF32" s="69">
        <f t="shared" si="27"/>
        <v>5.0486942372881627</v>
      </c>
      <c r="CG32" s="62">
        <v>59</v>
      </c>
      <c r="CH32" s="62">
        <v>100</v>
      </c>
      <c r="CI32" s="65" t="str">
        <f t="shared" si="28"/>
        <v>SA/ME</v>
      </c>
      <c r="CJ32" s="56">
        <v>25</v>
      </c>
      <c r="CK32" s="61">
        <v>91.8</v>
      </c>
      <c r="CL32" s="61"/>
      <c r="CM32" s="68">
        <f t="shared" si="29"/>
        <v>2.3999999999999915</v>
      </c>
      <c r="CN32" s="68">
        <f t="shared" si="30"/>
        <v>11.17023599999996</v>
      </c>
      <c r="CO32" s="68">
        <f t="shared" si="31"/>
        <v>22.778688950769151</v>
      </c>
      <c r="CP32" s="62">
        <v>56</v>
      </c>
      <c r="CQ32" s="62">
        <v>83</v>
      </c>
      <c r="CR32" s="65" t="str">
        <f t="shared" si="32"/>
        <v>SA/ME</v>
      </c>
      <c r="CS32" s="56">
        <v>25</v>
      </c>
      <c r="CT32" s="61">
        <v>93</v>
      </c>
      <c r="CU32" s="61"/>
      <c r="CV32" s="68">
        <f t="shared" si="33"/>
        <v>2</v>
      </c>
      <c r="CW32" s="68">
        <f t="shared" si="34"/>
        <v>13.28848</v>
      </c>
      <c r="CX32" s="69">
        <f t="shared" si="35"/>
        <v>6.8146051282051284E-2</v>
      </c>
      <c r="CY32" s="66" t="s">
        <v>240</v>
      </c>
      <c r="CZ32" s="66" t="s">
        <v>241</v>
      </c>
      <c r="DA32" s="66"/>
      <c r="DB32" s="65" t="str">
        <f t="shared" si="36"/>
        <v>SA/ME</v>
      </c>
      <c r="DC32" s="56">
        <v>25</v>
      </c>
      <c r="DD32" s="61">
        <v>87.1</v>
      </c>
      <c r="DE32" s="61">
        <v>107.1</v>
      </c>
      <c r="DF32" s="68">
        <f t="shared" si="37"/>
        <v>15.799999999999997</v>
      </c>
      <c r="DG32" s="69">
        <f t="shared" si="38"/>
        <v>0.85242941503999992</v>
      </c>
      <c r="DH32" s="68">
        <f t="shared" si="39"/>
        <v>4.3714328976410251</v>
      </c>
      <c r="DI32" s="62">
        <v>91</v>
      </c>
      <c r="DJ32" s="62">
        <v>54</v>
      </c>
      <c r="DK32" s="65" t="str">
        <f t="shared" si="40"/>
        <v>SA/ME</v>
      </c>
      <c r="DL32" s="56">
        <v>25</v>
      </c>
      <c r="DM32" s="63">
        <v>8.67</v>
      </c>
      <c r="DN32" s="64">
        <v>2.1999999999999999E-2</v>
      </c>
      <c r="DO32" s="64">
        <v>3.3000000000000002E-2</v>
      </c>
      <c r="DP32" s="64">
        <v>5.1999999999999998E-2</v>
      </c>
      <c r="DQ32" s="63">
        <v>6.8</v>
      </c>
      <c r="DR32" s="61">
        <v>8.1999999999999993</v>
      </c>
      <c r="DS32" s="64">
        <v>1.163</v>
      </c>
      <c r="DT32" s="61">
        <v>85.9</v>
      </c>
      <c r="DU32" s="63">
        <v>4.24</v>
      </c>
      <c r="DV32" s="64">
        <v>1.5620000000000001</v>
      </c>
      <c r="DW32" s="64">
        <v>1.93</v>
      </c>
      <c r="DX32" s="66" t="s">
        <v>242</v>
      </c>
      <c r="DY32" s="65" t="str">
        <f t="shared" si="41"/>
        <v>SA/ME</v>
      </c>
      <c r="DZ32" s="128">
        <v>25</v>
      </c>
      <c r="EA32" s="173">
        <f t="shared" si="42"/>
        <v>0.13034759358288769</v>
      </c>
      <c r="EB32" s="173">
        <f t="shared" si="43"/>
        <v>0.13161764705882353</v>
      </c>
      <c r="EC32" s="173">
        <f t="shared" si="44"/>
        <v>0.90769230769230769</v>
      </c>
      <c r="ED32" s="63">
        <v>1.1499999999999999</v>
      </c>
      <c r="EE32" s="63">
        <v>1.17</v>
      </c>
      <c r="EF32" s="63">
        <v>0.05</v>
      </c>
      <c r="EG32" s="63">
        <v>7.0000000000000007E-2</v>
      </c>
      <c r="EH32" s="127" t="str">
        <f t="shared" si="5"/>
        <v>SA/ME</v>
      </c>
      <c r="EI32" s="56">
        <v>25</v>
      </c>
      <c r="EJ32" s="334"/>
      <c r="EK32" s="334"/>
      <c r="EL32" s="334"/>
      <c r="EM32" s="334"/>
      <c r="EN32" s="334"/>
      <c r="EO32" s="334"/>
      <c r="EP32" s="334"/>
      <c r="EQ32" s="65" t="str">
        <f t="shared" si="45"/>
        <v>SA/ME</v>
      </c>
      <c r="ER32" s="20"/>
      <c r="ES32" s="20"/>
      <c r="ET32" s="20"/>
      <c r="EU32" s="20"/>
      <c r="EV32" s="20"/>
      <c r="EW32" s="20"/>
      <c r="EX32" s="20"/>
    </row>
    <row r="33" spans="1:154" s="3" customFormat="1" ht="17.149999999999999" customHeight="1" x14ac:dyDescent="0.25">
      <c r="A33" s="56">
        <v>26</v>
      </c>
      <c r="B33" s="57">
        <v>876575</v>
      </c>
      <c r="C33" s="58">
        <f t="shared" si="6"/>
        <v>88</v>
      </c>
      <c r="D33" s="167">
        <v>9.2899999999999991</v>
      </c>
      <c r="E33" s="59">
        <v>780700</v>
      </c>
      <c r="F33" s="58">
        <f t="shared" si="7"/>
        <v>121</v>
      </c>
      <c r="G33" s="168">
        <v>1.85</v>
      </c>
      <c r="H33" s="57">
        <v>741586</v>
      </c>
      <c r="I33" s="58">
        <f t="shared" si="0"/>
        <v>56</v>
      </c>
      <c r="J33" s="60" t="s">
        <v>237</v>
      </c>
      <c r="K33" s="56">
        <v>26</v>
      </c>
      <c r="L33" s="57">
        <v>68671</v>
      </c>
      <c r="M33" s="58" t="str">
        <f t="shared" si="8"/>
        <v/>
      </c>
      <c r="N33" s="59">
        <v>173691</v>
      </c>
      <c r="O33" s="58">
        <f t="shared" si="9"/>
        <v>26</v>
      </c>
      <c r="P33" s="57">
        <v>194713</v>
      </c>
      <c r="Q33" s="169" t="str">
        <f t="shared" si="1"/>
        <v/>
      </c>
      <c r="R33" s="57">
        <v>666</v>
      </c>
      <c r="S33" s="57">
        <v>673</v>
      </c>
      <c r="T33" s="57">
        <v>139</v>
      </c>
      <c r="U33" s="57">
        <v>136</v>
      </c>
      <c r="V33" s="58" t="str">
        <f t="shared" si="10"/>
        <v>SA/ME</v>
      </c>
      <c r="W33" s="56">
        <v>26</v>
      </c>
      <c r="X33" s="63">
        <v>11548.88</v>
      </c>
      <c r="Y33" s="130">
        <v>1.82</v>
      </c>
      <c r="Z33" s="63">
        <v>12326.95</v>
      </c>
      <c r="AA33" s="130">
        <f t="shared" si="12"/>
        <v>1.0999999999985448</v>
      </c>
      <c r="AB33" s="63">
        <v>9742.02</v>
      </c>
      <c r="AC33" s="130" t="str">
        <f t="shared" si="13"/>
        <v/>
      </c>
      <c r="AD33" s="63">
        <v>9829.2800000000007</v>
      </c>
      <c r="AE33" s="130">
        <f t="shared" si="2"/>
        <v>1.4699999999993452</v>
      </c>
      <c r="AF33" s="125" t="str">
        <f t="shared" si="14"/>
        <v>SA/ME</v>
      </c>
      <c r="AG33" s="56">
        <v>26</v>
      </c>
      <c r="AH33" s="63">
        <v>46061.05</v>
      </c>
      <c r="AI33" s="130">
        <f t="shared" si="15"/>
        <v>9.7199999999938882</v>
      </c>
      <c r="AJ33" s="63">
        <v>48194.32</v>
      </c>
      <c r="AK33" s="130">
        <f t="shared" si="16"/>
        <v>10.309999999997672</v>
      </c>
      <c r="AL33" s="63">
        <v>585.75</v>
      </c>
      <c r="AM33" s="130" t="str">
        <f t="shared" si="17"/>
        <v/>
      </c>
      <c r="AN33" s="63">
        <v>547.01</v>
      </c>
      <c r="AO33" s="130" t="str">
        <f t="shared" si="3"/>
        <v/>
      </c>
      <c r="AP33" s="125" t="str">
        <f t="shared" si="18"/>
        <v>SA/ME</v>
      </c>
      <c r="AQ33" s="56">
        <v>26</v>
      </c>
      <c r="AR33" s="63">
        <v>6643.9</v>
      </c>
      <c r="AS33" s="130">
        <f t="shared" si="19"/>
        <v>1.3000000000001819</v>
      </c>
      <c r="AT33" s="63">
        <v>7355.09</v>
      </c>
      <c r="AU33" s="130">
        <f t="shared" si="20"/>
        <v>1.430000000000291</v>
      </c>
      <c r="AV33" s="63">
        <v>251.89</v>
      </c>
      <c r="AW33" s="277" t="str">
        <f t="shared" si="21"/>
        <v/>
      </c>
      <c r="AX33" s="63">
        <v>239.91</v>
      </c>
      <c r="AY33" s="130" t="str">
        <f t="shared" si="4"/>
        <v/>
      </c>
      <c r="AZ33" s="125" t="str">
        <f t="shared" si="22"/>
        <v>SA/ME</v>
      </c>
      <c r="BA33" s="56">
        <v>26</v>
      </c>
      <c r="BB33" s="64"/>
      <c r="BC33" s="62"/>
      <c r="BD33" s="61"/>
      <c r="BE33" s="61"/>
      <c r="BF33" s="61"/>
      <c r="BG33" s="61"/>
      <c r="BH33" s="64"/>
      <c r="BI33" s="64"/>
      <c r="BJ33" s="64"/>
      <c r="BK33" s="64"/>
      <c r="BL33" s="64"/>
      <c r="BM33" s="64"/>
      <c r="BN33" s="65" t="str">
        <f t="shared" si="23"/>
        <v>SA/ME</v>
      </c>
      <c r="BO33" s="56">
        <v>26</v>
      </c>
      <c r="BP33" s="64">
        <v>7.6999999999999999E-2</v>
      </c>
      <c r="BQ33" s="62">
        <v>0</v>
      </c>
      <c r="BR33" s="61">
        <v>7.2</v>
      </c>
      <c r="BS33" s="61">
        <v>8</v>
      </c>
      <c r="BT33" s="61">
        <v>16.8</v>
      </c>
      <c r="BU33" s="64">
        <v>1.2999999999999999E-2</v>
      </c>
      <c r="BV33" s="63">
        <v>1.2</v>
      </c>
      <c r="BW33" s="63">
        <v>0.96</v>
      </c>
      <c r="BX33" s="66" t="s">
        <v>260</v>
      </c>
      <c r="BY33" s="172" t="s">
        <v>239</v>
      </c>
      <c r="BZ33" s="67" t="str">
        <f t="shared" si="24"/>
        <v>SA/ME</v>
      </c>
      <c r="CA33" s="56">
        <v>26</v>
      </c>
      <c r="CB33" s="61">
        <v>84.8</v>
      </c>
      <c r="CC33" s="61"/>
      <c r="CD33" s="69">
        <f t="shared" si="25"/>
        <v>0.5</v>
      </c>
      <c r="CE33" s="69">
        <f t="shared" si="26"/>
        <v>2.3271325000000003</v>
      </c>
      <c r="CF33" s="69">
        <f t="shared" si="27"/>
        <v>4.9867125000000003</v>
      </c>
      <c r="CG33" s="62">
        <v>59</v>
      </c>
      <c r="CH33" s="62">
        <v>100</v>
      </c>
      <c r="CI33" s="65" t="str">
        <f t="shared" si="28"/>
        <v>SA/ME</v>
      </c>
      <c r="CJ33" s="56">
        <v>26</v>
      </c>
      <c r="CK33" s="61">
        <v>89.4</v>
      </c>
      <c r="CL33" s="61"/>
      <c r="CM33" s="68">
        <f t="shared" si="29"/>
        <v>1</v>
      </c>
      <c r="CN33" s="68">
        <f t="shared" si="30"/>
        <v>4.6542650000000005</v>
      </c>
      <c r="CO33" s="68">
        <f t="shared" si="31"/>
        <v>21.031459968750003</v>
      </c>
      <c r="CP33" s="62">
        <v>56</v>
      </c>
      <c r="CQ33" s="62">
        <v>83</v>
      </c>
      <c r="CR33" s="65" t="str">
        <f t="shared" si="32"/>
        <v>SA/ME</v>
      </c>
      <c r="CS33" s="56">
        <v>26</v>
      </c>
      <c r="CT33" s="61">
        <v>91</v>
      </c>
      <c r="CU33" s="61"/>
      <c r="CV33" s="68">
        <f t="shared" si="33"/>
        <v>1</v>
      </c>
      <c r="CW33" s="68">
        <f t="shared" si="34"/>
        <v>6.6442399999999999</v>
      </c>
      <c r="CX33" s="69">
        <f t="shared" si="35"/>
        <v>7.5502727272727277E-2</v>
      </c>
      <c r="CY33" s="66" t="s">
        <v>240</v>
      </c>
      <c r="CZ33" s="66" t="s">
        <v>241</v>
      </c>
      <c r="DA33" s="66"/>
      <c r="DB33" s="65" t="str">
        <f t="shared" si="36"/>
        <v>SA/ME</v>
      </c>
      <c r="DC33" s="56">
        <v>26</v>
      </c>
      <c r="DD33" s="61">
        <v>91.3</v>
      </c>
      <c r="DE33" s="61">
        <v>105.1</v>
      </c>
      <c r="DF33" s="68">
        <f t="shared" si="37"/>
        <v>6.1999999999999886</v>
      </c>
      <c r="DG33" s="69">
        <f t="shared" si="38"/>
        <v>0.33449761855999938</v>
      </c>
      <c r="DH33" s="68">
        <f t="shared" si="39"/>
        <v>3.8011093018181743</v>
      </c>
      <c r="DI33" s="62">
        <v>91</v>
      </c>
      <c r="DJ33" s="62">
        <v>54</v>
      </c>
      <c r="DK33" s="65" t="str">
        <f t="shared" si="40"/>
        <v>SA/ME</v>
      </c>
      <c r="DL33" s="56">
        <v>26</v>
      </c>
      <c r="DM33" s="63">
        <v>8.2799999999999994</v>
      </c>
      <c r="DN33" s="64">
        <v>1.4E-2</v>
      </c>
      <c r="DO33" s="64">
        <v>3.4000000000000002E-2</v>
      </c>
      <c r="DP33" s="64">
        <v>5.0999999999999997E-2</v>
      </c>
      <c r="DQ33" s="63">
        <v>6.8</v>
      </c>
      <c r="DR33" s="61">
        <v>8</v>
      </c>
      <c r="DS33" s="64">
        <v>1.171</v>
      </c>
      <c r="DT33" s="61">
        <v>83.8</v>
      </c>
      <c r="DU33" s="63">
        <v>4.3600000000000003</v>
      </c>
      <c r="DV33" s="64">
        <v>0.80900000000000005</v>
      </c>
      <c r="DW33" s="64">
        <v>1.19</v>
      </c>
      <c r="DX33" s="66" t="s">
        <v>242</v>
      </c>
      <c r="DY33" s="65" t="str">
        <f t="shared" si="41"/>
        <v>SA/ME</v>
      </c>
      <c r="DZ33" s="128">
        <v>26</v>
      </c>
      <c r="EA33" s="173">
        <f t="shared" si="42"/>
        <v>5.8823529411764705E-2</v>
      </c>
      <c r="EB33" s="173">
        <f t="shared" si="43"/>
        <v>8.8970588235294121E-2</v>
      </c>
      <c r="EC33" s="173">
        <f t="shared" si="44"/>
        <v>0.63636363636363635</v>
      </c>
      <c r="ED33" s="63">
        <v>1.07</v>
      </c>
      <c r="EE33" s="63">
        <v>1.17</v>
      </c>
      <c r="EF33" s="63">
        <v>0.05</v>
      </c>
      <c r="EG33" s="63">
        <v>0.05</v>
      </c>
      <c r="EH33" s="127" t="str">
        <f t="shared" si="5"/>
        <v>SA/ME</v>
      </c>
      <c r="EI33" s="56">
        <v>26</v>
      </c>
      <c r="EJ33" s="334"/>
      <c r="EK33" s="334"/>
      <c r="EL33" s="334"/>
      <c r="EM33" s="334"/>
      <c r="EN33" s="334"/>
      <c r="EO33" s="334"/>
      <c r="EP33" s="334"/>
      <c r="EQ33" s="65" t="str">
        <f t="shared" si="45"/>
        <v>SA/ME</v>
      </c>
      <c r="ER33" s="20"/>
      <c r="ES33" s="20"/>
      <c r="ET33" s="20"/>
      <c r="EU33" s="20"/>
      <c r="EV33" s="20"/>
      <c r="EW33" s="20"/>
      <c r="EX33" s="20"/>
    </row>
    <row r="34" spans="1:154" s="3" customFormat="1" ht="17.149999999999999" customHeight="1" x14ac:dyDescent="0.25">
      <c r="A34" s="56">
        <v>27</v>
      </c>
      <c r="B34" s="57">
        <v>876663</v>
      </c>
      <c r="C34" s="58">
        <f t="shared" si="6"/>
        <v>139</v>
      </c>
      <c r="D34" s="167">
        <v>9.57</v>
      </c>
      <c r="E34" s="59">
        <v>780821</v>
      </c>
      <c r="F34" s="58">
        <f t="shared" si="7"/>
        <v>143</v>
      </c>
      <c r="G34" s="168">
        <v>1.41</v>
      </c>
      <c r="H34" s="57">
        <v>741642</v>
      </c>
      <c r="I34" s="58">
        <f t="shared" si="0"/>
        <v>117</v>
      </c>
      <c r="J34" s="60" t="s">
        <v>237</v>
      </c>
      <c r="K34" s="56">
        <v>27</v>
      </c>
      <c r="L34" s="57">
        <v>68671</v>
      </c>
      <c r="M34" s="58" t="str">
        <f t="shared" si="8"/>
        <v/>
      </c>
      <c r="N34" s="59">
        <v>173717</v>
      </c>
      <c r="O34" s="58">
        <f t="shared" si="9"/>
        <v>25</v>
      </c>
      <c r="P34" s="57">
        <v>194713</v>
      </c>
      <c r="Q34" s="169" t="str">
        <f t="shared" si="1"/>
        <v/>
      </c>
      <c r="R34" s="57">
        <v>666</v>
      </c>
      <c r="S34" s="57">
        <v>673</v>
      </c>
      <c r="T34" s="57">
        <v>139</v>
      </c>
      <c r="U34" s="57">
        <v>136</v>
      </c>
      <c r="V34" s="58" t="str">
        <f t="shared" si="10"/>
        <v>SA/ME</v>
      </c>
      <c r="W34" s="56">
        <v>27</v>
      </c>
      <c r="X34" s="63">
        <v>11550.78</v>
      </c>
      <c r="Y34" s="130">
        <f t="shared" si="11"/>
        <v>1.9599999999991269</v>
      </c>
      <c r="Z34" s="63">
        <v>12328.05</v>
      </c>
      <c r="AA34" s="130">
        <f t="shared" si="12"/>
        <v>2.1300000000010186</v>
      </c>
      <c r="AB34" s="63">
        <v>9742.02</v>
      </c>
      <c r="AC34" s="130">
        <f t="shared" si="13"/>
        <v>1.6199999999989814</v>
      </c>
      <c r="AD34" s="63">
        <v>9830.75</v>
      </c>
      <c r="AE34" s="130">
        <f t="shared" si="2"/>
        <v>2</v>
      </c>
      <c r="AF34" s="125" t="str">
        <f t="shared" si="14"/>
        <v>SA/ME</v>
      </c>
      <c r="AG34" s="56">
        <v>27</v>
      </c>
      <c r="AH34" s="63">
        <v>46070.77</v>
      </c>
      <c r="AI34" s="130">
        <f t="shared" si="15"/>
        <v>8.2600000000020373</v>
      </c>
      <c r="AJ34" s="63">
        <v>48204.63</v>
      </c>
      <c r="AK34" s="130">
        <f t="shared" si="16"/>
        <v>13.700000000004366</v>
      </c>
      <c r="AL34" s="63">
        <v>585.75</v>
      </c>
      <c r="AM34" s="130" t="str">
        <f t="shared" si="17"/>
        <v/>
      </c>
      <c r="AN34" s="63">
        <v>547.01</v>
      </c>
      <c r="AO34" s="130" t="str">
        <f t="shared" si="3"/>
        <v/>
      </c>
      <c r="AP34" s="125" t="str">
        <f t="shared" si="18"/>
        <v>SA/ME</v>
      </c>
      <c r="AQ34" s="56">
        <v>27</v>
      </c>
      <c r="AR34" s="63">
        <v>6645.2</v>
      </c>
      <c r="AS34" s="130">
        <f t="shared" si="19"/>
        <v>1.5600000000004002</v>
      </c>
      <c r="AT34" s="63">
        <v>7356.52</v>
      </c>
      <c r="AU34" s="130">
        <f t="shared" si="20"/>
        <v>1.1999999999998181</v>
      </c>
      <c r="AV34" s="63">
        <v>251.89</v>
      </c>
      <c r="AW34" s="277" t="str">
        <f t="shared" si="21"/>
        <v/>
      </c>
      <c r="AX34" s="63">
        <v>239.91</v>
      </c>
      <c r="AY34" s="130" t="str">
        <f t="shared" si="4"/>
        <v/>
      </c>
      <c r="AZ34" s="125" t="str">
        <f t="shared" si="22"/>
        <v>SA/ME</v>
      </c>
      <c r="BA34" s="56">
        <v>27</v>
      </c>
      <c r="BB34" s="64"/>
      <c r="BC34" s="62"/>
      <c r="BD34" s="61"/>
      <c r="BE34" s="61"/>
      <c r="BF34" s="61"/>
      <c r="BG34" s="61"/>
      <c r="BH34" s="64"/>
      <c r="BI34" s="64"/>
      <c r="BJ34" s="64"/>
      <c r="BK34" s="64"/>
      <c r="BL34" s="64"/>
      <c r="BM34" s="64"/>
      <c r="BN34" s="65" t="str">
        <f t="shared" si="23"/>
        <v>SA/ME</v>
      </c>
      <c r="BO34" s="56">
        <v>27</v>
      </c>
      <c r="BP34" s="64">
        <v>7.8E-2</v>
      </c>
      <c r="BQ34" s="62">
        <v>0</v>
      </c>
      <c r="BR34" s="61">
        <v>7.3</v>
      </c>
      <c r="BS34" s="61">
        <v>8.1999999999999993</v>
      </c>
      <c r="BT34" s="61">
        <v>16.3</v>
      </c>
      <c r="BU34" s="64">
        <v>1.2999999999999999E-2</v>
      </c>
      <c r="BV34" s="63">
        <v>1.17</v>
      </c>
      <c r="BW34" s="63">
        <v>0.95</v>
      </c>
      <c r="BX34" s="66" t="s">
        <v>312</v>
      </c>
      <c r="BY34" s="172" t="s">
        <v>239</v>
      </c>
      <c r="BZ34" s="67" t="str">
        <f t="shared" si="24"/>
        <v>SA/ME</v>
      </c>
      <c r="CA34" s="56">
        <v>27</v>
      </c>
      <c r="CB34" s="61">
        <v>84.3</v>
      </c>
      <c r="CC34" s="61"/>
      <c r="CD34" s="69">
        <f t="shared" si="25"/>
        <v>1</v>
      </c>
      <c r="CE34" s="69">
        <f t="shared" si="26"/>
        <v>4.6542650000000005</v>
      </c>
      <c r="CF34" s="69">
        <f t="shared" si="27"/>
        <v>4.7736051282051282</v>
      </c>
      <c r="CG34" s="62">
        <v>59</v>
      </c>
      <c r="CH34" s="62">
        <v>100</v>
      </c>
      <c r="CI34" s="65" t="str">
        <f t="shared" si="28"/>
        <v>SA/ME</v>
      </c>
      <c r="CJ34" s="56">
        <v>27</v>
      </c>
      <c r="CK34" s="61">
        <v>88.4</v>
      </c>
      <c r="CL34" s="61"/>
      <c r="CM34" s="68">
        <f t="shared" si="29"/>
        <v>1.8000000000000114</v>
      </c>
      <c r="CN34" s="68">
        <f t="shared" si="30"/>
        <v>8.3776770000000536</v>
      </c>
      <c r="CO34" s="68">
        <f t="shared" si="31"/>
        <v>23.96678603633109</v>
      </c>
      <c r="CP34" s="62">
        <v>56</v>
      </c>
      <c r="CQ34" s="62">
        <v>83</v>
      </c>
      <c r="CR34" s="65" t="str">
        <f t="shared" si="32"/>
        <v>SA/ME</v>
      </c>
      <c r="CS34" s="56">
        <v>27</v>
      </c>
      <c r="CT34" s="61">
        <v>90</v>
      </c>
      <c r="CU34" s="61">
        <v>87.7</v>
      </c>
      <c r="CV34" s="68">
        <f t="shared" si="33"/>
        <v>1.4000000000000057</v>
      </c>
      <c r="CW34" s="68">
        <f t="shared" si="34"/>
        <v>9.3019360000000386</v>
      </c>
      <c r="CX34" s="69">
        <f t="shared" si="35"/>
        <v>6.6920402877698126E-2</v>
      </c>
      <c r="CY34" s="66" t="s">
        <v>240</v>
      </c>
      <c r="CZ34" s="66" t="s">
        <v>241</v>
      </c>
      <c r="DA34" s="66" t="s">
        <v>242</v>
      </c>
      <c r="DB34" s="65" t="str">
        <f t="shared" si="36"/>
        <v>SA/ME</v>
      </c>
      <c r="DC34" s="56">
        <v>27</v>
      </c>
      <c r="DD34" s="61">
        <v>98.9</v>
      </c>
      <c r="DE34" s="61">
        <v>105.1</v>
      </c>
      <c r="DF34" s="68">
        <f t="shared" si="37"/>
        <v>13.5</v>
      </c>
      <c r="DG34" s="69">
        <f t="shared" si="38"/>
        <v>0.72834158879999999</v>
      </c>
      <c r="DH34" s="68">
        <f t="shared" si="39"/>
        <v>5.2398675453237411</v>
      </c>
      <c r="DI34" s="62">
        <v>91</v>
      </c>
      <c r="DJ34" s="62">
        <v>54</v>
      </c>
      <c r="DK34" s="65" t="str">
        <f t="shared" si="40"/>
        <v>SA/ME</v>
      </c>
      <c r="DL34" s="56">
        <v>27</v>
      </c>
      <c r="DM34" s="63">
        <v>8.4700000000000006</v>
      </c>
      <c r="DN34" s="64">
        <v>2.1999999999999999E-2</v>
      </c>
      <c r="DO34" s="64">
        <v>3.3000000000000002E-2</v>
      </c>
      <c r="DP34" s="64">
        <v>5.1999999999999998E-2</v>
      </c>
      <c r="DQ34" s="63">
        <v>6.81</v>
      </c>
      <c r="DR34" s="61">
        <v>8.1999999999999993</v>
      </c>
      <c r="DS34" s="64">
        <v>1.1679999999999999</v>
      </c>
      <c r="DT34" s="61">
        <v>84.4</v>
      </c>
      <c r="DU34" s="63">
        <v>4.25</v>
      </c>
      <c r="DV34" s="64">
        <v>0.67600000000000005</v>
      </c>
      <c r="DW34" s="64">
        <v>0.57299999999999995</v>
      </c>
      <c r="DX34" s="66" t="s">
        <v>242</v>
      </c>
      <c r="DY34" s="65" t="str">
        <f t="shared" si="41"/>
        <v>SA/ME</v>
      </c>
      <c r="DZ34" s="128">
        <v>27</v>
      </c>
      <c r="EA34" s="173">
        <f t="shared" si="42"/>
        <v>9.2914438502673793E-2</v>
      </c>
      <c r="EB34" s="173">
        <f t="shared" si="43"/>
        <v>0.10514705882352941</v>
      </c>
      <c r="EC34" s="173">
        <f t="shared" si="44"/>
        <v>0.84172661870503596</v>
      </c>
      <c r="ED34" s="63">
        <v>1.1200000000000001</v>
      </c>
      <c r="EE34" s="63">
        <v>1.17</v>
      </c>
      <c r="EF34" s="63">
        <v>0.05</v>
      </c>
      <c r="EG34" s="63">
        <v>0.05</v>
      </c>
      <c r="EH34" s="127" t="str">
        <f t="shared" si="5"/>
        <v>SA/ME</v>
      </c>
      <c r="EI34" s="56">
        <v>27</v>
      </c>
      <c r="EJ34" s="334"/>
      <c r="EK34" s="334"/>
      <c r="EL34" s="334"/>
      <c r="EM34" s="334"/>
      <c r="EN34" s="334"/>
      <c r="EO34" s="334"/>
      <c r="EP34" s="334"/>
      <c r="EQ34" s="65" t="str">
        <f t="shared" si="45"/>
        <v>SA/ME</v>
      </c>
      <c r="ER34" s="20"/>
      <c r="ES34" s="20"/>
      <c r="ET34" s="20"/>
      <c r="EU34" s="20"/>
      <c r="EV34" s="20"/>
      <c r="EW34" s="20"/>
      <c r="EX34" s="20"/>
    </row>
    <row r="35" spans="1:154" s="3" customFormat="1" ht="17.149999999999999" customHeight="1" x14ac:dyDescent="0.25">
      <c r="A35" s="56">
        <v>28</v>
      </c>
      <c r="B35" s="57">
        <v>876802</v>
      </c>
      <c r="C35" s="58">
        <f t="shared" si="6"/>
        <v>140</v>
      </c>
      <c r="D35" s="167">
        <v>9.41</v>
      </c>
      <c r="E35" s="59">
        <v>780964</v>
      </c>
      <c r="F35" s="58">
        <f t="shared" si="7"/>
        <v>202</v>
      </c>
      <c r="G35" s="168">
        <v>1.05</v>
      </c>
      <c r="H35" s="57">
        <v>741759</v>
      </c>
      <c r="I35" s="58">
        <f t="shared" si="0"/>
        <v>119</v>
      </c>
      <c r="J35" s="60" t="s">
        <v>194</v>
      </c>
      <c r="K35" s="56">
        <v>28</v>
      </c>
      <c r="L35" s="57">
        <v>68671</v>
      </c>
      <c r="M35" s="58" t="str">
        <f t="shared" si="8"/>
        <v/>
      </c>
      <c r="N35" s="59">
        <v>173742</v>
      </c>
      <c r="O35" s="58">
        <f t="shared" si="9"/>
        <v>30</v>
      </c>
      <c r="P35" s="57">
        <v>194713</v>
      </c>
      <c r="Q35" s="169" t="str">
        <f t="shared" si="1"/>
        <v/>
      </c>
      <c r="R35" s="57">
        <v>666</v>
      </c>
      <c r="S35" s="57">
        <v>673</v>
      </c>
      <c r="T35" s="57">
        <v>139</v>
      </c>
      <c r="U35" s="57">
        <v>136</v>
      </c>
      <c r="V35" s="58" t="str">
        <f t="shared" si="10"/>
        <v>ME</v>
      </c>
      <c r="W35" s="56">
        <v>28</v>
      </c>
      <c r="X35" s="63">
        <v>11552.74</v>
      </c>
      <c r="Y35" s="130">
        <f t="shared" si="11"/>
        <v>2.0500000000010914</v>
      </c>
      <c r="Z35" s="63">
        <v>12330.18</v>
      </c>
      <c r="AA35" s="130">
        <f t="shared" si="12"/>
        <v>2.069999999999709</v>
      </c>
      <c r="AB35" s="63">
        <v>9743.64</v>
      </c>
      <c r="AC35" s="130">
        <f t="shared" si="13"/>
        <v>1.5900000000001455</v>
      </c>
      <c r="AD35" s="63">
        <v>9832.75</v>
      </c>
      <c r="AE35" s="130">
        <f t="shared" si="2"/>
        <v>1.069999999999709</v>
      </c>
      <c r="AF35" s="125" t="str">
        <f t="shared" si="14"/>
        <v>ME</v>
      </c>
      <c r="AG35" s="56">
        <v>28</v>
      </c>
      <c r="AH35" s="63">
        <v>46079.03</v>
      </c>
      <c r="AI35" s="130">
        <f t="shared" si="15"/>
        <v>15.739999999997963</v>
      </c>
      <c r="AJ35" s="63">
        <v>48218.33</v>
      </c>
      <c r="AK35" s="130">
        <f t="shared" si="16"/>
        <v>13.059999999997672</v>
      </c>
      <c r="AL35" s="63">
        <v>585.75</v>
      </c>
      <c r="AM35" s="130" t="str">
        <f t="shared" si="17"/>
        <v/>
      </c>
      <c r="AN35" s="63">
        <v>547.01</v>
      </c>
      <c r="AO35" s="130" t="str">
        <f t="shared" si="3"/>
        <v/>
      </c>
      <c r="AP35" s="125" t="str">
        <f t="shared" si="18"/>
        <v>ME</v>
      </c>
      <c r="AQ35" s="56">
        <v>28</v>
      </c>
      <c r="AR35" s="63">
        <v>6646.76</v>
      </c>
      <c r="AS35" s="130">
        <f t="shared" si="19"/>
        <v>1.4899999999997817</v>
      </c>
      <c r="AT35" s="63">
        <v>7357.72</v>
      </c>
      <c r="AU35" s="130">
        <f t="shared" si="20"/>
        <v>2.1899999999995998</v>
      </c>
      <c r="AV35" s="63">
        <v>251.89</v>
      </c>
      <c r="AW35" s="277" t="str">
        <f t="shared" si="21"/>
        <v/>
      </c>
      <c r="AX35" s="63">
        <v>239.91</v>
      </c>
      <c r="AY35" s="130" t="str">
        <f t="shared" si="4"/>
        <v/>
      </c>
      <c r="AZ35" s="125" t="str">
        <f t="shared" si="22"/>
        <v>ME</v>
      </c>
      <c r="BA35" s="56">
        <v>28</v>
      </c>
      <c r="BB35" s="64"/>
      <c r="BC35" s="62"/>
      <c r="BD35" s="61"/>
      <c r="BE35" s="61"/>
      <c r="BF35" s="61"/>
      <c r="BG35" s="61"/>
      <c r="BH35" s="64"/>
      <c r="BI35" s="64"/>
      <c r="BJ35" s="64"/>
      <c r="BK35" s="64"/>
      <c r="BL35" s="64"/>
      <c r="BM35" s="64"/>
      <c r="BN35" s="65" t="str">
        <f t="shared" si="23"/>
        <v>ME</v>
      </c>
      <c r="BO35" s="56">
        <v>28</v>
      </c>
      <c r="BP35" s="64">
        <v>7.4999999999999997E-2</v>
      </c>
      <c r="BQ35" s="62"/>
      <c r="BR35" s="61"/>
      <c r="BS35" s="61"/>
      <c r="BT35" s="61"/>
      <c r="BU35" s="64"/>
      <c r="BV35" s="63">
        <v>1.1399999999999999</v>
      </c>
      <c r="BW35" s="63">
        <v>1</v>
      </c>
      <c r="BX35" s="66" t="s">
        <v>253</v>
      </c>
      <c r="BY35" s="172" t="s">
        <v>246</v>
      </c>
      <c r="BZ35" s="67" t="str">
        <f t="shared" si="24"/>
        <v>ME</v>
      </c>
      <c r="CA35" s="56">
        <v>28</v>
      </c>
      <c r="CB35" s="61">
        <v>83.3</v>
      </c>
      <c r="CC35" s="61">
        <v>95.7</v>
      </c>
      <c r="CD35" s="69">
        <f t="shared" si="25"/>
        <v>1</v>
      </c>
      <c r="CE35" s="69">
        <f t="shared" si="26"/>
        <v>4.6542650000000005</v>
      </c>
      <c r="CF35" s="69">
        <f t="shared" si="27"/>
        <v>4.6933764705882348</v>
      </c>
      <c r="CG35" s="62">
        <v>59</v>
      </c>
      <c r="CH35" s="62">
        <v>100</v>
      </c>
      <c r="CI35" s="65" t="str">
        <f t="shared" si="28"/>
        <v>ME</v>
      </c>
      <c r="CJ35" s="56">
        <v>28</v>
      </c>
      <c r="CK35" s="61">
        <v>86.6</v>
      </c>
      <c r="CL35" s="61">
        <v>98.3</v>
      </c>
      <c r="CM35" s="68">
        <f t="shared" si="29"/>
        <v>1.7000000000000028</v>
      </c>
      <c r="CN35" s="68">
        <f t="shared" si="30"/>
        <v>7.9122505000000141</v>
      </c>
      <c r="CO35" s="68">
        <f t="shared" si="31"/>
        <v>22.47361722375004</v>
      </c>
      <c r="CP35" s="62">
        <v>53</v>
      </c>
      <c r="CQ35" s="62">
        <v>83</v>
      </c>
      <c r="CR35" s="65" t="str">
        <f t="shared" si="32"/>
        <v>ME</v>
      </c>
      <c r="CS35" s="56">
        <v>28</v>
      </c>
      <c r="CT35" s="61">
        <v>86.3</v>
      </c>
      <c r="CU35" s="61">
        <v>111.3</v>
      </c>
      <c r="CV35" s="68">
        <f t="shared" si="33"/>
        <v>1.7000000000000028</v>
      </c>
      <c r="CW35" s="68">
        <f t="shared" si="34"/>
        <v>11.295208000000018</v>
      </c>
      <c r="CX35" s="69">
        <f t="shared" si="35"/>
        <v>8.0680057142857267E-2</v>
      </c>
      <c r="CY35" s="66" t="s">
        <v>240</v>
      </c>
      <c r="CZ35" s="66" t="s">
        <v>241</v>
      </c>
      <c r="DA35" s="66"/>
      <c r="DB35" s="65" t="str">
        <f t="shared" si="36"/>
        <v>ME</v>
      </c>
      <c r="DC35" s="56">
        <v>28</v>
      </c>
      <c r="DD35" s="61">
        <v>91.6</v>
      </c>
      <c r="DE35" s="61">
        <v>101.8</v>
      </c>
      <c r="DF35" s="68">
        <f t="shared" si="37"/>
        <v>8.8999999999999915</v>
      </c>
      <c r="DG35" s="69">
        <f t="shared" si="38"/>
        <v>0.48016593631999954</v>
      </c>
      <c r="DH35" s="68">
        <f t="shared" si="39"/>
        <v>3.4297566879999968</v>
      </c>
      <c r="DI35" s="62">
        <v>90</v>
      </c>
      <c r="DJ35" s="62">
        <v>54</v>
      </c>
      <c r="DK35" s="65" t="str">
        <f t="shared" si="40"/>
        <v>ME</v>
      </c>
      <c r="DL35" s="56">
        <v>28</v>
      </c>
      <c r="DM35" s="63">
        <v>8.35</v>
      </c>
      <c r="DN35" s="64">
        <v>2.3E-2</v>
      </c>
      <c r="DO35" s="64">
        <v>3.3000000000000002E-2</v>
      </c>
      <c r="DP35" s="64">
        <v>5.0999999999999997E-2</v>
      </c>
      <c r="DQ35" s="63">
        <v>6.82</v>
      </c>
      <c r="DR35" s="61">
        <v>8.1999999999999993</v>
      </c>
      <c r="DS35" s="64">
        <v>1.163</v>
      </c>
      <c r="DT35" s="61">
        <v>86.6</v>
      </c>
      <c r="DU35" s="63">
        <v>4.2699999999999996</v>
      </c>
      <c r="DV35" s="64">
        <v>0.71099999999999997</v>
      </c>
      <c r="DW35" s="64">
        <v>4.8399999999999999E-2</v>
      </c>
      <c r="DX35" s="66" t="s">
        <v>247</v>
      </c>
      <c r="DY35" s="65" t="str">
        <f t="shared" si="41"/>
        <v>ME</v>
      </c>
      <c r="DZ35" s="128">
        <v>28</v>
      </c>
      <c r="EA35" s="173">
        <f t="shared" si="42"/>
        <v>9.3582887700534759E-2</v>
      </c>
      <c r="EB35" s="173">
        <f t="shared" si="43"/>
        <v>0.14852941176470588</v>
      </c>
      <c r="EC35" s="173">
        <f t="shared" si="44"/>
        <v>0.85</v>
      </c>
      <c r="ED35" s="63">
        <v>1.07</v>
      </c>
      <c r="EE35" s="63">
        <v>1.17</v>
      </c>
      <c r="EF35" s="63">
        <v>0.06</v>
      </c>
      <c r="EG35" s="63">
        <v>0.06</v>
      </c>
      <c r="EH35" s="127" t="str">
        <f t="shared" si="5"/>
        <v>ME</v>
      </c>
      <c r="EI35" s="56">
        <v>28</v>
      </c>
      <c r="EJ35" s="334"/>
      <c r="EK35" s="334"/>
      <c r="EL35" s="334"/>
      <c r="EM35" s="334"/>
      <c r="EN35" s="334"/>
      <c r="EO35" s="334"/>
      <c r="EP35" s="334"/>
      <c r="EQ35" s="65" t="str">
        <f t="shared" si="45"/>
        <v>ME</v>
      </c>
      <c r="ER35" s="20"/>
      <c r="ES35" s="20"/>
      <c r="ET35" s="20"/>
      <c r="EU35" s="20"/>
      <c r="EV35" s="20"/>
      <c r="EW35" s="20"/>
      <c r="EX35" s="20"/>
    </row>
    <row r="36" spans="1:154" s="3" customFormat="1" ht="17.149999999999999" customHeight="1" x14ac:dyDescent="0.25">
      <c r="A36" s="56">
        <v>29</v>
      </c>
      <c r="B36" s="57">
        <v>876942</v>
      </c>
      <c r="C36" s="58">
        <f t="shared" si="6"/>
        <v>174</v>
      </c>
      <c r="D36" s="167">
        <v>8.35</v>
      </c>
      <c r="E36" s="59">
        <v>781166</v>
      </c>
      <c r="F36" s="58">
        <f t="shared" si="7"/>
        <v>120</v>
      </c>
      <c r="G36" s="168">
        <v>0.63</v>
      </c>
      <c r="H36" s="57">
        <v>741878</v>
      </c>
      <c r="I36" s="58">
        <f t="shared" si="0"/>
        <v>107</v>
      </c>
      <c r="J36" s="60" t="s">
        <v>194</v>
      </c>
      <c r="K36" s="56">
        <v>29</v>
      </c>
      <c r="L36" s="57">
        <v>68671</v>
      </c>
      <c r="M36" s="58">
        <f t="shared" si="8"/>
        <v>48</v>
      </c>
      <c r="N36" s="59">
        <v>173772</v>
      </c>
      <c r="O36" s="58">
        <f t="shared" si="9"/>
        <v>49</v>
      </c>
      <c r="P36" s="57">
        <v>194713</v>
      </c>
      <c r="Q36" s="169" t="str">
        <f t="shared" si="1"/>
        <v/>
      </c>
      <c r="R36" s="57">
        <v>666</v>
      </c>
      <c r="S36" s="57">
        <v>673</v>
      </c>
      <c r="T36" s="57">
        <v>139</v>
      </c>
      <c r="U36" s="57">
        <v>136</v>
      </c>
      <c r="V36" s="58" t="str">
        <f t="shared" si="10"/>
        <v>ME</v>
      </c>
      <c r="W36" s="56">
        <v>29</v>
      </c>
      <c r="X36" s="63">
        <v>11554.79</v>
      </c>
      <c r="Y36" s="130">
        <f t="shared" si="11"/>
        <v>2.0099999999983993</v>
      </c>
      <c r="Z36" s="63">
        <v>12332.25</v>
      </c>
      <c r="AA36" s="130">
        <f t="shared" si="12"/>
        <v>3.2900000000008731</v>
      </c>
      <c r="AB36" s="63">
        <v>9745.23</v>
      </c>
      <c r="AC36" s="130">
        <f t="shared" si="13"/>
        <v>1.8000000000010914</v>
      </c>
      <c r="AD36" s="63">
        <v>9833.82</v>
      </c>
      <c r="AE36" s="130">
        <f t="shared" si="2"/>
        <v>1.069999999999709</v>
      </c>
      <c r="AF36" s="125" t="str">
        <f t="shared" si="14"/>
        <v>ME</v>
      </c>
      <c r="AG36" s="56">
        <v>29</v>
      </c>
      <c r="AH36" s="63">
        <v>46094.77</v>
      </c>
      <c r="AI36" s="208">
        <f t="shared" si="15"/>
        <v>7.9100000000034925</v>
      </c>
      <c r="AJ36" s="63">
        <v>48231.39</v>
      </c>
      <c r="AK36" s="130">
        <f t="shared" si="16"/>
        <v>10.940000000002328</v>
      </c>
      <c r="AL36" s="63">
        <v>585.75</v>
      </c>
      <c r="AM36" s="130" t="str">
        <f t="shared" si="17"/>
        <v/>
      </c>
      <c r="AN36" s="63">
        <v>547.01</v>
      </c>
      <c r="AO36" s="130" t="str">
        <f t="shared" si="3"/>
        <v/>
      </c>
      <c r="AP36" s="125" t="str">
        <f t="shared" si="18"/>
        <v>ME</v>
      </c>
      <c r="AQ36" s="56">
        <v>29</v>
      </c>
      <c r="AR36" s="63">
        <v>6648.25</v>
      </c>
      <c r="AS36" s="130">
        <f t="shared" si="19"/>
        <v>2.1000000000003638</v>
      </c>
      <c r="AT36" s="63">
        <v>7359.91</v>
      </c>
      <c r="AU36" s="130">
        <f t="shared" si="20"/>
        <v>1.6999999999998181</v>
      </c>
      <c r="AV36" s="63">
        <v>251.89</v>
      </c>
      <c r="AW36" s="277">
        <f t="shared" si="21"/>
        <v>0.34000000000000341</v>
      </c>
      <c r="AX36" s="63">
        <v>239.91</v>
      </c>
      <c r="AY36" s="130" t="str">
        <f t="shared" si="4"/>
        <v/>
      </c>
      <c r="AZ36" s="125" t="str">
        <f t="shared" si="22"/>
        <v>ME</v>
      </c>
      <c r="BA36" s="56">
        <v>29</v>
      </c>
      <c r="BB36" s="64">
        <v>0.55800000000000005</v>
      </c>
      <c r="BC36" s="62">
        <v>15</v>
      </c>
      <c r="BD36" s="61">
        <v>7.3</v>
      </c>
      <c r="BE36" s="61">
        <v>3.1</v>
      </c>
      <c r="BF36" s="61">
        <v>13.3</v>
      </c>
      <c r="BG36" s="61">
        <v>7.3</v>
      </c>
      <c r="BH36" s="64">
        <v>0.33</v>
      </c>
      <c r="BI36" s="64">
        <v>0.28599999999999998</v>
      </c>
      <c r="BJ36" s="64">
        <v>4.8000000000000001E-2</v>
      </c>
      <c r="BK36" s="64">
        <v>4.9000000000000002E-2</v>
      </c>
      <c r="BL36" s="64">
        <v>5.1999999999999998E-2</v>
      </c>
      <c r="BM36" s="64">
        <v>4.8000000000000001E-2</v>
      </c>
      <c r="BN36" s="65" t="str">
        <f t="shared" si="23"/>
        <v>ME</v>
      </c>
      <c r="BO36" s="56">
        <v>29</v>
      </c>
      <c r="BP36" s="64">
        <v>7.3999999999999996E-2</v>
      </c>
      <c r="BQ36" s="62">
        <v>0</v>
      </c>
      <c r="BR36" s="61">
        <v>7.3</v>
      </c>
      <c r="BS36" s="61">
        <v>8.3000000000000007</v>
      </c>
      <c r="BT36" s="61">
        <v>18.600000000000001</v>
      </c>
      <c r="BU36" s="64">
        <v>1.2999999999999999E-2</v>
      </c>
      <c r="BV36" s="63">
        <v>1.1399999999999999</v>
      </c>
      <c r="BW36" s="63">
        <v>0.99</v>
      </c>
      <c r="BX36" s="66" t="s">
        <v>245</v>
      </c>
      <c r="BY36" s="172" t="s">
        <v>246</v>
      </c>
      <c r="BZ36" s="67" t="str">
        <f t="shared" si="24"/>
        <v>ME</v>
      </c>
      <c r="CA36" s="56">
        <v>29</v>
      </c>
      <c r="CB36" s="61">
        <v>94.7</v>
      </c>
      <c r="CC36" s="61"/>
      <c r="CD36" s="69">
        <f t="shared" si="25"/>
        <v>0.79999999999999716</v>
      </c>
      <c r="CE36" s="69">
        <f t="shared" si="26"/>
        <v>3.7234119999999873</v>
      </c>
      <c r="CF36" s="69">
        <f t="shared" si="27"/>
        <v>4.1757891588784899</v>
      </c>
      <c r="CG36" s="62">
        <v>58</v>
      </c>
      <c r="CH36" s="62">
        <v>100</v>
      </c>
      <c r="CI36" s="65" t="str">
        <f t="shared" si="28"/>
        <v>ME</v>
      </c>
      <c r="CJ36" s="56">
        <v>29</v>
      </c>
      <c r="CK36" s="61">
        <v>96.6</v>
      </c>
      <c r="CL36" s="61"/>
      <c r="CM36" s="68">
        <f t="shared" si="29"/>
        <v>2.2999999999999972</v>
      </c>
      <c r="CN36" s="68">
        <f t="shared" si="30"/>
        <v>10.704809499999987</v>
      </c>
      <c r="CO36" s="68">
        <f t="shared" si="31"/>
        <v>24.464181021120659</v>
      </c>
      <c r="CP36" s="62">
        <v>48</v>
      </c>
      <c r="CQ36" s="62">
        <v>83</v>
      </c>
      <c r="CR36" s="65" t="str">
        <f t="shared" si="32"/>
        <v>ME</v>
      </c>
      <c r="CS36" s="56">
        <v>29</v>
      </c>
      <c r="CT36" s="61">
        <v>109.6</v>
      </c>
      <c r="CU36" s="61"/>
      <c r="CV36" s="68">
        <f t="shared" si="33"/>
        <v>1.8999999999999915</v>
      </c>
      <c r="CW36" s="68">
        <f t="shared" si="34"/>
        <v>12.624055999999943</v>
      </c>
      <c r="CX36" s="69">
        <f t="shared" si="35"/>
        <v>7.2552045977011162E-2</v>
      </c>
      <c r="CY36" s="66" t="s">
        <v>322</v>
      </c>
      <c r="CZ36" s="66" t="s">
        <v>241</v>
      </c>
      <c r="DA36" s="66"/>
      <c r="DB36" s="65" t="str">
        <f t="shared" si="36"/>
        <v>ME</v>
      </c>
      <c r="DC36" s="56">
        <v>29</v>
      </c>
      <c r="DD36" s="61">
        <v>92.9</v>
      </c>
      <c r="DE36" s="61">
        <v>100.4</v>
      </c>
      <c r="DF36" s="68">
        <f t="shared" si="37"/>
        <v>12.5</v>
      </c>
      <c r="DG36" s="69">
        <f t="shared" si="38"/>
        <v>0.67439035999999997</v>
      </c>
      <c r="DH36" s="68">
        <f t="shared" si="39"/>
        <v>3.8758066666666666</v>
      </c>
      <c r="DI36" s="62">
        <v>86</v>
      </c>
      <c r="DJ36" s="62">
        <v>54</v>
      </c>
      <c r="DK36" s="65" t="str">
        <f t="shared" si="40"/>
        <v>ME</v>
      </c>
      <c r="DL36" s="56">
        <v>29</v>
      </c>
      <c r="DM36" s="63">
        <v>7.98</v>
      </c>
      <c r="DN36" s="64">
        <v>2.3E-2</v>
      </c>
      <c r="DO36" s="64">
        <v>3.3000000000000002E-2</v>
      </c>
      <c r="DP36" s="64">
        <v>5.0999999999999997E-2</v>
      </c>
      <c r="DQ36" s="63">
        <v>6.8</v>
      </c>
      <c r="DR36" s="61">
        <v>8.3000000000000007</v>
      </c>
      <c r="DS36" s="64">
        <v>1.145</v>
      </c>
      <c r="DT36" s="61">
        <v>85.7</v>
      </c>
      <c r="DU36" s="63">
        <v>4.1500000000000004</v>
      </c>
      <c r="DV36" s="64">
        <v>0.71499999999999997</v>
      </c>
      <c r="DW36" s="64">
        <v>0.35</v>
      </c>
      <c r="DX36" s="66" t="s">
        <v>247</v>
      </c>
      <c r="DY36" s="65" t="str">
        <f t="shared" si="41"/>
        <v>ME</v>
      </c>
      <c r="DZ36" s="128">
        <v>29</v>
      </c>
      <c r="EA36" s="173">
        <f t="shared" si="42"/>
        <v>0.11631016042780749</v>
      </c>
      <c r="EB36" s="173">
        <f t="shared" si="43"/>
        <v>8.8235294117647065E-2</v>
      </c>
      <c r="EC36" s="173">
        <f t="shared" si="44"/>
        <v>0.61494252873563215</v>
      </c>
      <c r="ED36" s="63">
        <v>1.1399999999999999</v>
      </c>
      <c r="EE36" s="63">
        <v>1.1599999999999999</v>
      </c>
      <c r="EF36" s="63">
        <v>7.0000000000000007E-2</v>
      </c>
      <c r="EG36" s="63">
        <v>0.04</v>
      </c>
      <c r="EH36" s="127" t="str">
        <f t="shared" si="5"/>
        <v>ME</v>
      </c>
      <c r="EI36" s="56">
        <v>29</v>
      </c>
      <c r="EJ36" s="334"/>
      <c r="EK36" s="334"/>
      <c r="EL36" s="334"/>
      <c r="EM36" s="334"/>
      <c r="EN36" s="334"/>
      <c r="EO36" s="334"/>
      <c r="EP36" s="334"/>
      <c r="EQ36" s="65" t="str">
        <f t="shared" si="45"/>
        <v>ME</v>
      </c>
      <c r="ER36" s="20"/>
      <c r="ES36" s="20"/>
      <c r="ET36" s="20"/>
      <c r="EU36" s="20"/>
      <c r="EV36" s="20"/>
      <c r="EW36" s="20"/>
      <c r="EX36" s="20"/>
    </row>
    <row r="37" spans="1:154" s="3" customFormat="1" ht="17.149999999999999" customHeight="1" x14ac:dyDescent="0.35">
      <c r="A37" s="56">
        <v>30</v>
      </c>
      <c r="B37" s="57">
        <v>877116</v>
      </c>
      <c r="C37" s="58">
        <f t="shared" si="6"/>
        <v>211</v>
      </c>
      <c r="D37" s="167">
        <v>8.85</v>
      </c>
      <c r="E37" s="59">
        <v>781286</v>
      </c>
      <c r="F37" s="58">
        <f t="shared" si="7"/>
        <v>208</v>
      </c>
      <c r="G37" s="168">
        <v>0.9</v>
      </c>
      <c r="H37" s="57">
        <v>741985</v>
      </c>
      <c r="I37" s="58">
        <f t="shared" si="0"/>
        <v>180</v>
      </c>
      <c r="J37" s="60" t="s">
        <v>237</v>
      </c>
      <c r="K37" s="56">
        <v>30</v>
      </c>
      <c r="L37" s="57">
        <v>68719</v>
      </c>
      <c r="M37" s="58">
        <f t="shared" si="8"/>
        <v>2</v>
      </c>
      <c r="N37" s="59">
        <v>173821</v>
      </c>
      <c r="O37" s="58">
        <f t="shared" si="9"/>
        <v>56</v>
      </c>
      <c r="P37" s="57">
        <v>194713</v>
      </c>
      <c r="Q37" s="169" t="str">
        <f t="shared" si="1"/>
        <v/>
      </c>
      <c r="R37" s="57">
        <v>666</v>
      </c>
      <c r="S37" s="57">
        <v>674</v>
      </c>
      <c r="T37" s="57">
        <v>139</v>
      </c>
      <c r="U37" s="57">
        <v>136</v>
      </c>
      <c r="V37" s="58" t="str">
        <f t="shared" si="10"/>
        <v>SA/ME</v>
      </c>
      <c r="W37" s="56">
        <v>30</v>
      </c>
      <c r="X37" s="63">
        <v>11556.8</v>
      </c>
      <c r="Y37" s="130">
        <f t="shared" si="11"/>
        <v>2.1100000000005821</v>
      </c>
      <c r="Z37" s="63">
        <v>12335.54</v>
      </c>
      <c r="AA37" s="130">
        <f t="shared" si="12"/>
        <v>4.0299999999988358</v>
      </c>
      <c r="AB37" s="63">
        <v>9747.0300000000007</v>
      </c>
      <c r="AC37" s="130">
        <f t="shared" si="13"/>
        <v>1.6399999999994179</v>
      </c>
      <c r="AD37" s="63">
        <v>9834.89</v>
      </c>
      <c r="AE37" s="130">
        <f t="shared" si="2"/>
        <v>3.1599999999998545</v>
      </c>
      <c r="AF37" s="125" t="str">
        <f t="shared" si="14"/>
        <v>SA/ME</v>
      </c>
      <c r="AG37" s="56">
        <v>30</v>
      </c>
      <c r="AH37" s="63">
        <v>46102.68</v>
      </c>
      <c r="AI37" s="208">
        <f t="shared" si="15"/>
        <v>16.099999999998545</v>
      </c>
      <c r="AJ37" s="63">
        <v>48242.33</v>
      </c>
      <c r="AK37" s="130">
        <f t="shared" si="16"/>
        <v>11.040000000000873</v>
      </c>
      <c r="AL37" s="63">
        <v>585.75</v>
      </c>
      <c r="AM37" s="130" t="str">
        <f t="shared" si="17"/>
        <v/>
      </c>
      <c r="AN37" s="63">
        <v>547.01</v>
      </c>
      <c r="AO37" s="130" t="str">
        <f t="shared" si="3"/>
        <v/>
      </c>
      <c r="AP37" s="125" t="str">
        <f t="shared" si="18"/>
        <v>SA/ME</v>
      </c>
      <c r="AQ37" s="56">
        <v>30</v>
      </c>
      <c r="AR37" s="63">
        <v>6650.35</v>
      </c>
      <c r="AS37" s="130">
        <f t="shared" si="19"/>
        <v>2.9499999999998181</v>
      </c>
      <c r="AT37" s="63">
        <v>7361.61</v>
      </c>
      <c r="AU37" s="130">
        <f t="shared" si="20"/>
        <v>2.8100000000004002</v>
      </c>
      <c r="AV37" s="63">
        <v>252.23</v>
      </c>
      <c r="AW37" s="277" t="str">
        <f t="shared" si="21"/>
        <v/>
      </c>
      <c r="AX37" s="63">
        <v>239.91</v>
      </c>
      <c r="AY37" s="130" t="str">
        <f t="shared" si="4"/>
        <v/>
      </c>
      <c r="AZ37" s="125" t="str">
        <f t="shared" si="22"/>
        <v>SA/ME</v>
      </c>
      <c r="BA37" s="56">
        <v>30</v>
      </c>
      <c r="BB37" s="64">
        <v>0.64900000000000002</v>
      </c>
      <c r="BC37" s="62">
        <v>40</v>
      </c>
      <c r="BD37" s="61">
        <v>7.2</v>
      </c>
      <c r="BE37" s="61">
        <v>3.3</v>
      </c>
      <c r="BF37" s="61">
        <v>15.6</v>
      </c>
      <c r="BG37" s="61">
        <v>7.2</v>
      </c>
      <c r="BH37" s="64">
        <v>0.27</v>
      </c>
      <c r="BI37" s="64">
        <v>0.29899999999999999</v>
      </c>
      <c r="BJ37" s="64">
        <v>5.3999999999999999E-2</v>
      </c>
      <c r="BK37" s="64">
        <v>5.3999999999999999E-2</v>
      </c>
      <c r="BL37" s="64">
        <v>6.0999999999999999E-2</v>
      </c>
      <c r="BM37" s="64">
        <v>6.9000000000000006E-2</v>
      </c>
      <c r="BN37" s="65" t="str">
        <f t="shared" si="23"/>
        <v>SA/ME</v>
      </c>
      <c r="BO37" s="56">
        <v>30</v>
      </c>
      <c r="BP37" s="64">
        <v>8.3000000000000004E-2</v>
      </c>
      <c r="BQ37" s="62">
        <v>0</v>
      </c>
      <c r="BR37" s="61">
        <v>7.2</v>
      </c>
      <c r="BS37" s="61">
        <v>8.1999999999999993</v>
      </c>
      <c r="BT37" s="61">
        <v>17.899999999999999</v>
      </c>
      <c r="BU37" s="64">
        <v>1.4E-2</v>
      </c>
      <c r="BV37" s="63">
        <v>1.18</v>
      </c>
      <c r="BW37" s="63">
        <v>0.99</v>
      </c>
      <c r="BX37" s="66" t="s">
        <v>323</v>
      </c>
      <c r="BY37" s="172" t="s">
        <v>239</v>
      </c>
      <c r="BZ37" s="67" t="str">
        <f t="shared" si="24"/>
        <v>SA/ME</v>
      </c>
      <c r="CA37" s="56">
        <v>30</v>
      </c>
      <c r="CB37" s="61">
        <v>93.9</v>
      </c>
      <c r="CC37" s="61"/>
      <c r="CD37" s="69">
        <f t="shared" si="25"/>
        <v>1.4000000000000057</v>
      </c>
      <c r="CE37" s="69">
        <f t="shared" si="26"/>
        <v>6.515971000000027</v>
      </c>
      <c r="CF37" s="69">
        <f t="shared" si="27"/>
        <v>4.3439806666666847</v>
      </c>
      <c r="CG37" s="62">
        <v>58</v>
      </c>
      <c r="CH37" s="62">
        <v>100</v>
      </c>
      <c r="CI37" s="65" t="str">
        <f t="shared" si="28"/>
        <v>SA/ME</v>
      </c>
      <c r="CJ37" s="56">
        <v>30</v>
      </c>
      <c r="CK37" s="61">
        <v>94.3</v>
      </c>
      <c r="CL37" s="61"/>
      <c r="CM37" s="68">
        <f t="shared" si="29"/>
        <v>2.7000000000000028</v>
      </c>
      <c r="CN37" s="68">
        <f t="shared" si="30"/>
        <v>12.566515500000014</v>
      </c>
      <c r="CO37" s="68">
        <f t="shared" si="31"/>
        <v>23.682819377132731</v>
      </c>
      <c r="CP37" s="62">
        <v>48</v>
      </c>
      <c r="CQ37" s="62">
        <v>83</v>
      </c>
      <c r="CR37" s="65" t="str">
        <f t="shared" si="32"/>
        <v>SA/ME</v>
      </c>
      <c r="CS37" s="56">
        <v>30</v>
      </c>
      <c r="CT37" s="61">
        <v>107.7</v>
      </c>
      <c r="CU37" s="61"/>
      <c r="CV37" s="68">
        <f t="shared" si="33"/>
        <v>2.2000000000000028</v>
      </c>
      <c r="CW37" s="68">
        <f t="shared" si="34"/>
        <v>14.617328000000018</v>
      </c>
      <c r="CX37" s="69">
        <f t="shared" si="35"/>
        <v>6.927643601895743E-2</v>
      </c>
      <c r="CY37" s="66" t="s">
        <v>322</v>
      </c>
      <c r="CZ37" s="66" t="s">
        <v>241</v>
      </c>
      <c r="DA37" s="66"/>
      <c r="DB37" s="65" t="str">
        <f t="shared" si="36"/>
        <v>SA/ME</v>
      </c>
      <c r="DC37" s="56">
        <v>30</v>
      </c>
      <c r="DD37" s="61">
        <v>87.9</v>
      </c>
      <c r="DE37" s="61">
        <v>105.5</v>
      </c>
      <c r="DF37" s="68">
        <f t="shared" si="37"/>
        <v>14.799999999999997</v>
      </c>
      <c r="DG37" s="69">
        <f t="shared" si="38"/>
        <v>0.79847818623999989</v>
      </c>
      <c r="DH37" s="68">
        <f t="shared" si="39"/>
        <v>3.784256806824644</v>
      </c>
      <c r="DI37" s="62">
        <v>86</v>
      </c>
      <c r="DJ37" s="62">
        <v>54</v>
      </c>
      <c r="DK37" s="65" t="str">
        <f t="shared" si="40"/>
        <v>SA/ME</v>
      </c>
      <c r="DL37" s="56">
        <v>30</v>
      </c>
      <c r="DM37" s="63">
        <v>8.25</v>
      </c>
      <c r="DN37" s="64">
        <v>2.1000000000000001E-2</v>
      </c>
      <c r="DO37" s="64">
        <v>3.3000000000000002E-2</v>
      </c>
      <c r="DP37" s="64">
        <v>5.1999999999999998E-2</v>
      </c>
      <c r="DQ37" s="63">
        <v>6.83</v>
      </c>
      <c r="DR37" s="61">
        <v>8.1999999999999993</v>
      </c>
      <c r="DS37" s="64">
        <v>1.1479999999999999</v>
      </c>
      <c r="DT37" s="61">
        <v>85</v>
      </c>
      <c r="DU37" s="63">
        <v>4.21</v>
      </c>
      <c r="DV37" s="64">
        <v>1.4630000000000001</v>
      </c>
      <c r="DW37" s="64">
        <v>2.4300000000000002</v>
      </c>
      <c r="DX37" s="66" t="s">
        <v>242</v>
      </c>
      <c r="DY37" s="65" t="s">
        <v>237</v>
      </c>
      <c r="DZ37" s="128">
        <v>30</v>
      </c>
      <c r="EA37" s="173">
        <f t="shared" si="42"/>
        <v>0.14104278074866311</v>
      </c>
      <c r="EB37" s="173">
        <f t="shared" si="43"/>
        <v>0.15294117647058825</v>
      </c>
      <c r="EC37" s="173">
        <f t="shared" si="44"/>
        <v>0.85308056872037918</v>
      </c>
      <c r="ED37" s="63">
        <v>1.1200000000000001</v>
      </c>
      <c r="EE37" s="63">
        <v>1.18</v>
      </c>
      <c r="EF37" s="63">
        <v>0.05</v>
      </c>
      <c r="EG37" s="63">
        <v>0.05</v>
      </c>
      <c r="EH37" s="127" t="str">
        <f t="shared" si="5"/>
        <v>SA/ME</v>
      </c>
      <c r="EI37" s="56">
        <v>30</v>
      </c>
      <c r="EJ37" s="334"/>
      <c r="EK37" s="334"/>
      <c r="EL37" s="334"/>
      <c r="EM37" s="334"/>
      <c r="EN37" s="334"/>
      <c r="EO37" s="334"/>
      <c r="EP37" s="334"/>
      <c r="EQ37" s="65" t="str">
        <f t="shared" si="45"/>
        <v>SA/ME</v>
      </c>
      <c r="ER37" s="20"/>
      <c r="ES37" s="20"/>
      <c r="ET37" s="20"/>
      <c r="EU37" s="20"/>
      <c r="EV37" s="20"/>
      <c r="EW37" s="20"/>
      <c r="EX37" s="20"/>
    </row>
    <row r="38" spans="1:154" s="3" customFormat="1" ht="17.149999999999999" customHeight="1" thickBot="1" x14ac:dyDescent="0.4">
      <c r="A38" s="56">
        <v>31</v>
      </c>
      <c r="B38" s="57">
        <v>877327</v>
      </c>
      <c r="C38" s="58">
        <f>IF(April!B8="","",IF(April!B8=B38,"",(April!B8-B38)))</f>
        <v>129</v>
      </c>
      <c r="D38" s="167">
        <v>9.23</v>
      </c>
      <c r="E38" s="59">
        <v>781494</v>
      </c>
      <c r="F38" s="58">
        <f>IF(April!E8="","",IF(April!E8=E38,"",(April!E8-E38)))</f>
        <v>148</v>
      </c>
      <c r="G38" s="168">
        <v>1.51</v>
      </c>
      <c r="H38" s="57">
        <v>742165</v>
      </c>
      <c r="I38" s="58">
        <f>IF(April!H8="","",IF(April!H8=H38,"",(April!H8-H38)))</f>
        <v>109</v>
      </c>
      <c r="J38" s="60" t="s">
        <v>194</v>
      </c>
      <c r="K38" s="56">
        <v>31</v>
      </c>
      <c r="L38" s="57">
        <v>68721</v>
      </c>
      <c r="M38" s="58">
        <f>IF(April!L8="","",IF(April!L8=L38,"",(April!L8-L38)))</f>
        <v>6</v>
      </c>
      <c r="N38" s="59">
        <v>173877</v>
      </c>
      <c r="O38" s="58">
        <f>IF(April!N8="","",IF(April!N8=N38,"",(April!N8-N38)))</f>
        <v>30</v>
      </c>
      <c r="P38" s="57">
        <v>194713</v>
      </c>
      <c r="Q38" s="58" t="str">
        <f>IF(April!P8="","",IF(April!P8=P38,"",(April!P8-P38)))</f>
        <v/>
      </c>
      <c r="R38" s="57">
        <v>666</v>
      </c>
      <c r="S38" s="57">
        <v>674</v>
      </c>
      <c r="T38" s="57">
        <v>139</v>
      </c>
      <c r="U38" s="57">
        <v>136</v>
      </c>
      <c r="V38" s="58" t="str">
        <f t="shared" si="10"/>
        <v>ME</v>
      </c>
      <c r="W38" s="56">
        <v>31</v>
      </c>
      <c r="X38" s="63">
        <v>11558.91</v>
      </c>
      <c r="Y38" s="130">
        <f>IF(April!X8="","",IF(April!X8=X38,"",April!X8-X38))</f>
        <v>1.6000000000003638</v>
      </c>
      <c r="Z38" s="63">
        <v>12339.57</v>
      </c>
      <c r="AA38" s="130">
        <f>IF(April!Z8="","",IF(April!Z8=Z38,"",April!Z8-Z38))</f>
        <v>2.25</v>
      </c>
      <c r="AB38" s="63">
        <v>9748.67</v>
      </c>
      <c r="AC38" s="130">
        <f>IF(April!AB8="","",IF(April!AB8=AB38,"",April!AB8-AB38))</f>
        <v>1.2299999999995634</v>
      </c>
      <c r="AD38" s="63">
        <v>9838.0499999999993</v>
      </c>
      <c r="AE38" s="130">
        <f>IF(April!AD8="","",IF(April!AD8=AD38,"",April!AD8-AD38))</f>
        <v>1.680000000000291</v>
      </c>
      <c r="AF38" s="125" t="str">
        <f t="shared" si="14"/>
        <v>ME</v>
      </c>
      <c r="AG38" s="56">
        <v>31</v>
      </c>
      <c r="AH38" s="63">
        <v>46118.78</v>
      </c>
      <c r="AI38" s="209">
        <f>IF(April!AH8="","",IF(April!AH8=AH38,"",April!AH8-AH38))</f>
        <v>9.8400000000037835</v>
      </c>
      <c r="AJ38" s="63">
        <v>48253.37</v>
      </c>
      <c r="AK38" s="130">
        <f>IF(April!AJ8="","",IF(April!AJ8=AJ38,"",April!AJ8-AJ38))</f>
        <v>12.969999999993888</v>
      </c>
      <c r="AL38" s="63">
        <v>585.75</v>
      </c>
      <c r="AM38" s="130" t="str">
        <f>IF(April!AL8="","",IF(April!AL8=AL38,"",April!AL8-AL38))</f>
        <v/>
      </c>
      <c r="AN38" s="63">
        <v>547.01</v>
      </c>
      <c r="AO38" s="130" t="str">
        <f>IF(April!AN8="","",IF(April!AN8=AN38,"",April!AN8-AN38))</f>
        <v/>
      </c>
      <c r="AP38" s="125" t="str">
        <f t="shared" si="18"/>
        <v>ME</v>
      </c>
      <c r="AQ38" s="56">
        <v>31</v>
      </c>
      <c r="AR38" s="63">
        <v>6653.3</v>
      </c>
      <c r="AS38" s="130">
        <f>IF(April!AR8="","",IF(April!AR8=AR38,"",April!AR8-AR38))</f>
        <v>1.6099999999996726</v>
      </c>
      <c r="AT38" s="63">
        <v>7364.42</v>
      </c>
      <c r="AU38" s="130">
        <f>IF(April!AT8="","",IF(April!AT8=AT38,"",April!AT8-AT38))</f>
        <v>1.680000000000291</v>
      </c>
      <c r="AV38" s="63">
        <v>252.23</v>
      </c>
      <c r="AW38" s="277" t="str">
        <f>IF(April!AV8="","",IF(April!AV8=AV38,"",April!AV8-AV38))</f>
        <v/>
      </c>
      <c r="AX38" s="63">
        <v>239.91</v>
      </c>
      <c r="AY38" s="130" t="str">
        <f>IF(April!AX8="","",IF(April!AX8=AX38,"",April!AX8-AX38))</f>
        <v/>
      </c>
      <c r="AZ38" s="125" t="str">
        <f t="shared" si="22"/>
        <v>ME</v>
      </c>
      <c r="BA38" s="56">
        <v>31</v>
      </c>
      <c r="BB38" s="64">
        <v>0.68200000000000005</v>
      </c>
      <c r="BC38" s="62">
        <v>16</v>
      </c>
      <c r="BD38" s="61">
        <v>7.2</v>
      </c>
      <c r="BE38" s="61">
        <v>3</v>
      </c>
      <c r="BF38" s="61">
        <v>17</v>
      </c>
      <c r="BG38" s="61">
        <v>7.2</v>
      </c>
      <c r="BH38" s="64">
        <v>0.26500000000000001</v>
      </c>
      <c r="BI38" s="64">
        <v>0.255</v>
      </c>
      <c r="BJ38" s="64">
        <v>5.6000000000000001E-2</v>
      </c>
      <c r="BK38" s="64">
        <v>4.9000000000000002E-2</v>
      </c>
      <c r="BL38" s="64">
        <v>5.3999999999999999E-2</v>
      </c>
      <c r="BM38" s="64">
        <v>5.2999999999999999E-2</v>
      </c>
      <c r="BN38" s="65" t="str">
        <f t="shared" si="23"/>
        <v>ME</v>
      </c>
      <c r="BO38" s="56">
        <v>31</v>
      </c>
      <c r="BP38" s="64">
        <v>7.6999999999999999E-2</v>
      </c>
      <c r="BQ38" s="62">
        <v>0</v>
      </c>
      <c r="BR38" s="61">
        <v>7.3</v>
      </c>
      <c r="BS38" s="61">
        <v>8.1999999999999993</v>
      </c>
      <c r="BT38" s="61">
        <v>18.3</v>
      </c>
      <c r="BU38" s="64">
        <v>1.0999999999999999E-2</v>
      </c>
      <c r="BV38" s="63">
        <v>1.17</v>
      </c>
      <c r="BW38" s="63">
        <v>0.96</v>
      </c>
      <c r="BX38" s="66" t="s">
        <v>324</v>
      </c>
      <c r="BY38" s="172" t="s">
        <v>246</v>
      </c>
      <c r="BZ38" s="67" t="str">
        <f t="shared" si="24"/>
        <v>ME</v>
      </c>
      <c r="CA38" s="56">
        <v>31</v>
      </c>
      <c r="CB38" s="61">
        <v>92.5</v>
      </c>
      <c r="CC38" s="61"/>
      <c r="CD38" s="69">
        <f>IF(April!CB8="","",IF(CC38="",IF(CB38=April!CB8,"",(CB38-April!CB8)),IF(CC38=April!CB8,"",(CC38-April!CB8))))</f>
        <v>1</v>
      </c>
      <c r="CE38" s="69">
        <f t="shared" si="26"/>
        <v>4.6542650000000005</v>
      </c>
      <c r="CF38" s="69">
        <f t="shared" si="27"/>
        <v>5.1239614678899086</v>
      </c>
      <c r="CG38" s="62">
        <v>59</v>
      </c>
      <c r="CH38" s="62">
        <v>100</v>
      </c>
      <c r="CI38" s="65" t="str">
        <f t="shared" si="28"/>
        <v>ME</v>
      </c>
      <c r="CJ38" s="56">
        <v>31</v>
      </c>
      <c r="CK38" s="61">
        <v>91.6</v>
      </c>
      <c r="CL38" s="61"/>
      <c r="CM38" s="68">
        <f>IF(April!CK8="","",IF(CL38="",IF(CK38=April!CK8,"",(CK38-April!CK8)),IF(CL38=April!CK8,"",(CL38-April!CK8))))</f>
        <v>1.6999999999999886</v>
      </c>
      <c r="CN38" s="68">
        <f t="shared" si="30"/>
        <v>7.9122504999999475</v>
      </c>
      <c r="CO38" s="68">
        <f t="shared" si="31"/>
        <v>24.389972180813793</v>
      </c>
      <c r="CP38" s="62">
        <v>53</v>
      </c>
      <c r="CQ38" s="62">
        <v>83</v>
      </c>
      <c r="CR38" s="65" t="str">
        <f t="shared" si="32"/>
        <v>ME</v>
      </c>
      <c r="CS38" s="56">
        <v>31</v>
      </c>
      <c r="CT38" s="61">
        <v>105.5</v>
      </c>
      <c r="CU38" s="61"/>
      <c r="CV38" s="68">
        <f>IF(April!CT8="","",IF(CU38="",IF(CT38=April!CT8,"",(CT38-April!CT8)),IF(CU38=April!CT8,"",(CU38-April!CT8))))</f>
        <v>1.2999999999999972</v>
      </c>
      <c r="CW38" s="68">
        <f t="shared" si="34"/>
        <v>8.6375119999999814</v>
      </c>
      <c r="CX38" s="69">
        <f t="shared" si="35"/>
        <v>6.6957457364340944E-2</v>
      </c>
      <c r="CY38" s="66" t="s">
        <v>240</v>
      </c>
      <c r="CZ38" s="66" t="s">
        <v>241</v>
      </c>
      <c r="DA38" s="66"/>
      <c r="DB38" s="65" t="str">
        <f t="shared" si="36"/>
        <v>ME</v>
      </c>
      <c r="DC38" s="56">
        <v>31</v>
      </c>
      <c r="DD38" s="61">
        <v>90.7</v>
      </c>
      <c r="DE38" s="61">
        <v>104</v>
      </c>
      <c r="DF38" s="68">
        <f>IF(April!DD8="","",IF(DE38="",IF(DD38=April!DD8,"",(DD38-April!DD8)),IF(DE38=April!DD8,"",(DE38-April!DD8))))</f>
        <v>11.299999999999997</v>
      </c>
      <c r="DG38" s="69">
        <f t="shared" si="38"/>
        <v>0.60964888543999984</v>
      </c>
      <c r="DH38" s="68">
        <f t="shared" si="39"/>
        <v>4.7259603522480607</v>
      </c>
      <c r="DI38" s="62">
        <v>90</v>
      </c>
      <c r="DJ38" s="62">
        <v>54</v>
      </c>
      <c r="DK38" s="65" t="str">
        <f t="shared" si="40"/>
        <v>ME</v>
      </c>
      <c r="DL38" s="56">
        <v>31</v>
      </c>
      <c r="DM38" s="63">
        <v>8.42</v>
      </c>
      <c r="DN38" s="64">
        <v>0.02</v>
      </c>
      <c r="DO38" s="64">
        <v>3.4000000000000002E-2</v>
      </c>
      <c r="DP38" s="64">
        <v>4.8000000000000001E-2</v>
      </c>
      <c r="DQ38" s="63">
        <v>6.79</v>
      </c>
      <c r="DR38" s="61">
        <v>8.1999999999999993</v>
      </c>
      <c r="DS38" s="64">
        <v>1.1870000000000001</v>
      </c>
      <c r="DT38" s="61">
        <v>85.7</v>
      </c>
      <c r="DU38" s="63">
        <v>4.26</v>
      </c>
      <c r="DV38" s="64">
        <v>0.77900000000000003</v>
      </c>
      <c r="DW38" s="64">
        <v>0.498</v>
      </c>
      <c r="DX38" s="66" t="s">
        <v>242</v>
      </c>
      <c r="DY38" s="65" t="str">
        <f t="shared" si="41"/>
        <v>ME</v>
      </c>
      <c r="DZ38" s="128">
        <v>31</v>
      </c>
      <c r="EA38" s="173">
        <f t="shared" si="42"/>
        <v>8.6229946524064169E-2</v>
      </c>
      <c r="EB38" s="197">
        <f t="shared" si="43"/>
        <v>0.10882352941176471</v>
      </c>
      <c r="EC38" s="197">
        <f t="shared" si="44"/>
        <v>0.84496124031007747</v>
      </c>
      <c r="ED38" s="63">
        <v>1.1399999999999999</v>
      </c>
      <c r="EE38" s="63">
        <v>1.2</v>
      </c>
      <c r="EF38" s="63">
        <v>0.05</v>
      </c>
      <c r="EG38" s="63">
        <v>7.0000000000000007E-2</v>
      </c>
      <c r="EH38" s="127" t="str">
        <f t="shared" si="5"/>
        <v>ME</v>
      </c>
      <c r="EI38" s="56">
        <v>31</v>
      </c>
      <c r="EJ38" s="334"/>
      <c r="EK38" s="334"/>
      <c r="EL38" s="334"/>
      <c r="EM38" s="334"/>
      <c r="EN38" s="334"/>
      <c r="EO38" s="334"/>
      <c r="EP38" s="334"/>
      <c r="EQ38" s="65" t="str">
        <f t="shared" si="45"/>
        <v>ME</v>
      </c>
      <c r="ER38" s="20"/>
      <c r="ES38" s="20"/>
      <c r="ET38" s="20"/>
      <c r="EU38" s="20"/>
      <c r="EV38" s="20"/>
      <c r="EW38" s="20"/>
      <c r="EX38" s="20"/>
    </row>
    <row r="39" spans="1:154" s="3" customFormat="1" ht="18.649999999999999" customHeight="1" thickBot="1" x14ac:dyDescent="0.4">
      <c r="A39" s="73"/>
      <c r="B39" s="74"/>
      <c r="C39" s="74"/>
      <c r="D39" s="75"/>
      <c r="E39" s="74"/>
      <c r="F39" s="74"/>
      <c r="G39" s="75"/>
      <c r="H39" s="74"/>
      <c r="I39" s="74"/>
      <c r="J39" s="73"/>
      <c r="K39" s="73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3"/>
      <c r="W39" s="73"/>
      <c r="X39" s="75"/>
      <c r="Y39" s="75"/>
      <c r="Z39" s="75"/>
      <c r="AA39" s="75"/>
      <c r="AB39" s="75"/>
      <c r="AC39" s="75"/>
      <c r="AD39" s="75"/>
      <c r="AE39" s="75"/>
      <c r="AF39" s="73"/>
      <c r="AG39" s="73"/>
      <c r="AH39" s="75"/>
      <c r="AI39" s="75"/>
      <c r="AJ39" s="75"/>
      <c r="AK39" s="75"/>
      <c r="AL39" s="75"/>
      <c r="AM39" s="75"/>
      <c r="AN39" s="75"/>
      <c r="AO39" s="75"/>
      <c r="AP39" s="73"/>
      <c r="AQ39" s="73"/>
      <c r="AR39" s="75"/>
      <c r="AS39" s="75"/>
      <c r="AT39" s="75"/>
      <c r="AU39" s="75"/>
      <c r="AV39" s="75"/>
      <c r="AW39" s="75"/>
      <c r="AX39" s="75"/>
      <c r="AY39" s="75"/>
      <c r="AZ39" s="73"/>
      <c r="BA39" s="73"/>
      <c r="BB39" s="75"/>
      <c r="BC39" s="74"/>
      <c r="BD39" s="73"/>
      <c r="BE39" s="73"/>
      <c r="BF39" s="73"/>
      <c r="BG39" s="73"/>
      <c r="BH39" s="124"/>
      <c r="BI39" s="124"/>
      <c r="BJ39" s="124"/>
      <c r="BK39" s="124"/>
      <c r="BL39" s="124"/>
      <c r="BM39" s="124"/>
      <c r="BN39" s="73"/>
      <c r="BO39" s="73"/>
      <c r="BP39" s="124"/>
      <c r="BQ39" s="74"/>
      <c r="BR39" s="73"/>
      <c r="BS39" s="73"/>
      <c r="BT39" s="73"/>
      <c r="BU39" s="124"/>
      <c r="BV39" s="75"/>
      <c r="BW39" s="75"/>
      <c r="BX39" s="73"/>
      <c r="BY39" s="73"/>
      <c r="BZ39" s="73"/>
      <c r="CA39" s="73"/>
      <c r="CB39" s="73"/>
      <c r="CC39" s="73"/>
      <c r="CD39" s="75"/>
      <c r="CE39" s="75"/>
      <c r="CF39" s="75"/>
      <c r="CG39" s="74"/>
      <c r="CH39" s="74"/>
      <c r="CI39" s="73"/>
      <c r="CJ39" s="73"/>
      <c r="CK39" s="73"/>
      <c r="CL39" s="73"/>
      <c r="CM39" s="73"/>
      <c r="CN39" s="73"/>
      <c r="CO39" s="73"/>
      <c r="CP39" s="74"/>
      <c r="CQ39" s="74"/>
      <c r="CR39" s="73"/>
      <c r="CS39" s="73"/>
      <c r="CT39" s="73"/>
      <c r="CU39" s="73"/>
      <c r="CV39" s="73"/>
      <c r="CW39" s="73"/>
      <c r="CX39" s="75"/>
      <c r="CY39" s="74"/>
      <c r="CZ39" s="74"/>
      <c r="DA39" s="74"/>
      <c r="DB39" s="73"/>
      <c r="DC39" s="73"/>
      <c r="DD39" s="73"/>
      <c r="DE39" s="73"/>
      <c r="DF39" s="73"/>
      <c r="DG39" s="75"/>
      <c r="DH39" s="73"/>
      <c r="DI39" s="74"/>
      <c r="DJ39" s="74"/>
      <c r="DK39" s="73"/>
      <c r="DL39" s="73"/>
      <c r="DM39" s="75"/>
      <c r="DN39" s="124"/>
      <c r="DO39" s="124"/>
      <c r="DP39" s="124"/>
      <c r="DQ39" s="75"/>
      <c r="DR39" s="73"/>
      <c r="DS39" s="124"/>
      <c r="DT39" s="73"/>
      <c r="DU39" s="75"/>
      <c r="DV39" s="124"/>
      <c r="DW39" s="124"/>
      <c r="DX39" s="124"/>
      <c r="DY39" s="73"/>
      <c r="DZ39" s="195" t="s">
        <v>199</v>
      </c>
      <c r="EA39" s="198">
        <f>IF(COUNT(EA7:EA37)=0,"",AVERAGE(EA7:EA37))*100</f>
        <v>11.945187165775399</v>
      </c>
      <c r="EB39" s="199">
        <f>IF(COUNT(EB7:EB37)=0,"",AVERAGE(EB7:EB37))*100</f>
        <v>13.161764705882351</v>
      </c>
      <c r="EC39" s="200">
        <f>IF(COUNT(EC7:EC37)=0,"",AVERAGE(EC7:EC37))*100</f>
        <v>79.457526115681659</v>
      </c>
      <c r="ED39" s="75"/>
      <c r="EE39" s="75"/>
      <c r="EF39" s="75"/>
      <c r="EG39" s="75"/>
      <c r="EH39" s="73"/>
      <c r="EI39" s="73"/>
      <c r="EJ39" s="351"/>
      <c r="EK39" s="351"/>
      <c r="EL39" s="351"/>
      <c r="EM39" s="351"/>
      <c r="EN39" s="351"/>
      <c r="EO39" s="351"/>
      <c r="EP39" s="351"/>
      <c r="EQ39" s="73"/>
      <c r="ER39" s="20"/>
      <c r="ES39" s="20"/>
      <c r="ET39" s="20"/>
      <c r="EU39" s="20"/>
      <c r="EV39" s="20"/>
      <c r="EW39" s="20"/>
      <c r="EX39" s="20"/>
    </row>
    <row r="40" spans="1:154" s="3" customFormat="1" ht="18.649999999999999" customHeight="1" x14ac:dyDescent="0.35">
      <c r="A40" s="56" t="s">
        <v>2</v>
      </c>
      <c r="B40" s="77"/>
      <c r="C40" s="78">
        <f>IF(COUNT(C8:C38)=0,"",SUM(C8:C38))</f>
        <v>5490</v>
      </c>
      <c r="D40" s="75"/>
      <c r="E40" s="74"/>
      <c r="F40" s="78">
        <f>IF(COUNT(F8:F38)=0,"",SUM(F8:F38))</f>
        <v>5518</v>
      </c>
      <c r="G40" s="81"/>
      <c r="H40" s="74"/>
      <c r="I40" s="78">
        <f>IF(COUNT(I8:I38)=0,"",SUM(I8:I38))</f>
        <v>4345</v>
      </c>
      <c r="J40" s="79"/>
      <c r="K40" s="56" t="s">
        <v>2</v>
      </c>
      <c r="L40" s="77"/>
      <c r="M40" s="78">
        <f>IF(COUNT(M8:M38)=0,"",SUM(M8:M38))</f>
        <v>427</v>
      </c>
      <c r="N40" s="74"/>
      <c r="O40" s="78">
        <f>IF(COUNT(O8:O38)=0,"",SUM(O8:O38))</f>
        <v>1326</v>
      </c>
      <c r="P40" s="74"/>
      <c r="Q40" s="78" t="str">
        <f>IF(COUNT(Q8:Q38)=0,"",SUM(Q8:Q38))</f>
        <v/>
      </c>
      <c r="R40" s="77"/>
      <c r="S40" s="77"/>
      <c r="T40" s="77"/>
      <c r="U40" s="77"/>
      <c r="V40" s="79"/>
      <c r="W40" s="56" t="s">
        <v>2</v>
      </c>
      <c r="X40" s="81"/>
      <c r="Y40" s="82">
        <f>IF(COUNT(Y8:Y38)=0,"",SUM(Y8:Y38))</f>
        <v>78.129999999999484</v>
      </c>
      <c r="Z40" s="75"/>
      <c r="AA40" s="82">
        <f>IF(COUNT(AA8:AA38)=0,"",SUM(AA8:AA38))</f>
        <v>84.590000000000146</v>
      </c>
      <c r="AB40" s="75"/>
      <c r="AC40" s="82">
        <f>IF(COUNT(AC8:AC38)=0,"",SUM(AC8:AC38))</f>
        <v>56.690000000000509</v>
      </c>
      <c r="AD40" s="75"/>
      <c r="AE40" s="82">
        <f>IF(COUNT(AE8:AE38)=0,"",SUM(AE8:AE38))</f>
        <v>59.010000000000218</v>
      </c>
      <c r="AF40" s="79"/>
      <c r="AG40" s="56" t="s">
        <v>2</v>
      </c>
      <c r="AH40" s="81"/>
      <c r="AI40" s="82">
        <f>IF(COUNT(AI8:AI38)=0,"",SUM(AI8:AI38))</f>
        <v>369.94000000000233</v>
      </c>
      <c r="AJ40" s="75"/>
      <c r="AK40" s="82">
        <f>IF(COUNT(AK8:AK38)=0,"",SUM(AK8:AK38))</f>
        <v>375.56999999999795</v>
      </c>
      <c r="AL40" s="75"/>
      <c r="AM40" s="82" t="str">
        <f>IF(COUNT(AM8:AM38)=0,"",SUM(AM8:AM38))</f>
        <v/>
      </c>
      <c r="AN40" s="75"/>
      <c r="AO40" s="82" t="str">
        <f>IF(COUNT(AO8:AO38)=0,"",SUM(AO8:AO38))</f>
        <v/>
      </c>
      <c r="AP40" s="79"/>
      <c r="AQ40" s="56" t="s">
        <v>2</v>
      </c>
      <c r="AR40" s="81"/>
      <c r="AS40" s="82">
        <f>IF(COUNT(AS8:AS38)=0,"",SUM(AS8:AS38))</f>
        <v>65.9399999999996</v>
      </c>
      <c r="AT40" s="75"/>
      <c r="AU40" s="82">
        <f>IF(COUNT(AU8:AU38)=0,"",SUM(AU8:AU38))</f>
        <v>66.829999999999927</v>
      </c>
      <c r="AV40" s="75"/>
      <c r="AW40" s="82">
        <f>IF(COUNT(AW8:AW38)=0,"",SUM(AW8:AW38))</f>
        <v>1.4399999999999977</v>
      </c>
      <c r="AX40" s="75"/>
      <c r="AY40" s="82">
        <f>IF(COUNT(AY8:AY38)=0,"",SUM(AY8:AY38))</f>
        <v>1.4399999999999977</v>
      </c>
      <c r="AZ40" s="79"/>
      <c r="BA40" s="264" t="s">
        <v>2</v>
      </c>
      <c r="BB40" s="265">
        <f>COUNTA(BB8:BB38)</f>
        <v>22</v>
      </c>
      <c r="BC40" s="265">
        <f t="shared" ref="BC40:BM40" si="46">COUNTA(BC8:BC38)</f>
        <v>22</v>
      </c>
      <c r="BD40" s="265">
        <f t="shared" si="46"/>
        <v>22</v>
      </c>
      <c r="BE40" s="265">
        <f t="shared" si="46"/>
        <v>22</v>
      </c>
      <c r="BF40" s="265">
        <f t="shared" si="46"/>
        <v>22</v>
      </c>
      <c r="BG40" s="265">
        <f t="shared" si="46"/>
        <v>22</v>
      </c>
      <c r="BH40" s="265">
        <f t="shared" si="46"/>
        <v>22</v>
      </c>
      <c r="BI40" s="265">
        <f t="shared" si="46"/>
        <v>22</v>
      </c>
      <c r="BJ40" s="265">
        <f t="shared" si="46"/>
        <v>22</v>
      </c>
      <c r="BK40" s="265">
        <f t="shared" si="46"/>
        <v>22</v>
      </c>
      <c r="BL40" s="265">
        <f t="shared" si="46"/>
        <v>22</v>
      </c>
      <c r="BM40" s="265">
        <f t="shared" si="46"/>
        <v>22</v>
      </c>
      <c r="BN40" s="266" t="s">
        <v>208</v>
      </c>
      <c r="BO40" s="264" t="s">
        <v>2</v>
      </c>
      <c r="BP40" s="265">
        <f>COUNTA(BP8:BP38)</f>
        <v>31</v>
      </c>
      <c r="BQ40" s="265">
        <f t="shared" ref="BQ40:BW40" si="47">COUNTA(BQ8:BQ38)</f>
        <v>26</v>
      </c>
      <c r="BR40" s="265">
        <f t="shared" si="47"/>
        <v>26</v>
      </c>
      <c r="BS40" s="265">
        <f t="shared" si="47"/>
        <v>26</v>
      </c>
      <c r="BT40" s="265">
        <f t="shared" si="47"/>
        <v>26</v>
      </c>
      <c r="BU40" s="265">
        <f t="shared" si="47"/>
        <v>26</v>
      </c>
      <c r="BV40" s="265">
        <f t="shared" si="47"/>
        <v>31</v>
      </c>
      <c r="BW40" s="265">
        <f t="shared" si="47"/>
        <v>31</v>
      </c>
      <c r="BX40" s="267" t="s">
        <v>208</v>
      </c>
      <c r="BY40" s="83"/>
      <c r="BZ40" s="73"/>
      <c r="CA40" s="56" t="s">
        <v>2</v>
      </c>
      <c r="CB40" s="73"/>
      <c r="CC40" s="73"/>
      <c r="CD40" s="82">
        <f>IF(COUNT(CD8:CD38)=0,"",SUM(CD8:CD38))</f>
        <v>33.800000000000011</v>
      </c>
      <c r="CE40" s="82">
        <f>IF(COUNT(CE8:CE38)=0,"",SUM(CE8:CE38))</f>
        <v>157.31415700000011</v>
      </c>
      <c r="CF40" s="75"/>
      <c r="CG40" s="74"/>
      <c r="CH40" s="74"/>
      <c r="CI40" s="73"/>
      <c r="CJ40" s="56" t="s">
        <v>2</v>
      </c>
      <c r="CK40" s="73"/>
      <c r="CL40" s="73"/>
      <c r="CM40" s="80">
        <f>IF(COUNT(CM8:CM38)=0,"",SUM(CM8:CM38))</f>
        <v>69.5</v>
      </c>
      <c r="CN40" s="82">
        <f>IF(COUNT(CN8:CN38)=0,"",SUM(CN8:CN38))</f>
        <v>323.47141750000009</v>
      </c>
      <c r="CO40" s="73"/>
      <c r="CP40" s="74"/>
      <c r="CQ40" s="74"/>
      <c r="CR40" s="73"/>
      <c r="CS40" s="56" t="s">
        <v>2</v>
      </c>
      <c r="CT40" s="73"/>
      <c r="CU40" s="73"/>
      <c r="CV40" s="80">
        <f>IF(COUNT(CV8:CV38)=0,"",SUM(CV8:CV38))</f>
        <v>55.499999999999986</v>
      </c>
      <c r="CW40" s="80">
        <f>IF(COUNT(CW8:CW38)=0,"",SUM(CW8:CW38))</f>
        <v>368.75531999999993</v>
      </c>
      <c r="CX40" s="75"/>
      <c r="CY40" s="74"/>
      <c r="CZ40" s="74"/>
      <c r="DA40" s="74"/>
      <c r="DB40" s="73"/>
      <c r="DC40" s="56" t="s">
        <v>2</v>
      </c>
      <c r="DD40" s="73"/>
      <c r="DE40" s="73"/>
      <c r="DF40" s="80">
        <f>IF(COUNT(DF8:DF38)=0,"",SUM(DF8:DF38))</f>
        <v>475.1</v>
      </c>
      <c r="DG40" s="82">
        <f>IF(COUNT(DG8:DG38)=0,"",SUM(DG8:DG38))</f>
        <v>25.632228802879997</v>
      </c>
      <c r="DH40" s="73"/>
      <c r="DI40" s="74"/>
      <c r="DJ40" s="74"/>
      <c r="DK40" s="73"/>
      <c r="DL40" s="56" t="s">
        <v>2</v>
      </c>
      <c r="DM40" s="75"/>
      <c r="DN40" s="124"/>
      <c r="DO40" s="124"/>
      <c r="DP40" s="124"/>
      <c r="DQ40" s="75"/>
      <c r="DR40" s="73"/>
      <c r="DS40" s="124"/>
      <c r="DT40" s="73"/>
      <c r="DU40" s="75"/>
      <c r="DV40" s="124"/>
      <c r="DW40" s="124"/>
      <c r="DX40" s="124"/>
      <c r="DY40" s="73"/>
      <c r="DZ40" s="84" t="s">
        <v>27</v>
      </c>
      <c r="EA40" s="82">
        <f>IF(COUNT(EA8:EA38)=0,"",MIN(EA8:EA38))*100</f>
        <v>4.7459893048128343</v>
      </c>
      <c r="EB40" s="82">
        <f>IF(COUNT(EB8:EB38)=0,"",MIN(EB8:EB38))*100</f>
        <v>8.0882352941176467</v>
      </c>
      <c r="EC40" s="82">
        <f>IF(COUNT(EC8:EC38)=0,"",MIN(EC8:EC38))*100</f>
        <v>60.199004975124382</v>
      </c>
      <c r="ED40" s="82">
        <f>IF(COUNT(ED8:ED38)=0,"",MIN(ED8:ED38))</f>
        <v>0.94</v>
      </c>
      <c r="EE40" s="75"/>
      <c r="EF40" s="75"/>
      <c r="EG40" s="75"/>
      <c r="EH40" s="73"/>
      <c r="EI40" s="73"/>
      <c r="EJ40" s="351"/>
      <c r="EK40" s="351"/>
      <c r="EL40" s="351"/>
      <c r="EM40" s="351"/>
      <c r="EN40" s="351"/>
      <c r="EO40" s="351"/>
      <c r="EP40" s="351"/>
      <c r="EQ40" s="73"/>
      <c r="ER40" s="20"/>
      <c r="ES40" s="20"/>
      <c r="ET40" s="20"/>
      <c r="EU40" s="20"/>
      <c r="EV40" s="20"/>
      <c r="EW40" s="20"/>
      <c r="EX40" s="20"/>
    </row>
    <row r="41" spans="1:154" s="3" customFormat="1" ht="18" customHeight="1" x14ac:dyDescent="0.35">
      <c r="A41" s="56" t="s">
        <v>7</v>
      </c>
      <c r="B41" s="77"/>
      <c r="C41" s="78">
        <f>IF(COUNT(C8:C38)=0,"",AVERAGE(C8:C38))</f>
        <v>177.09677419354838</v>
      </c>
      <c r="D41" s="75"/>
      <c r="E41" s="74"/>
      <c r="F41" s="78">
        <f>IF(COUNT(F8:F38)=0,"",AVERAGE(F8:F38))</f>
        <v>178</v>
      </c>
      <c r="G41" s="81"/>
      <c r="H41" s="74"/>
      <c r="I41" s="78">
        <f>IF(COUNT(I8:I38)=0,"",AVERAGE(I8:I38))</f>
        <v>140.16129032258064</v>
      </c>
      <c r="J41" s="79"/>
      <c r="K41" s="56" t="s">
        <v>7</v>
      </c>
      <c r="L41" s="77"/>
      <c r="M41" s="78">
        <f>IF(COUNT(M8:M38)=0,"",AVERAGE(M8:M38))</f>
        <v>25.117647058823529</v>
      </c>
      <c r="N41" s="74"/>
      <c r="O41" s="78">
        <f>IF(COUNT(O8:O38)=0,"",AVERAGE(O8:O38))</f>
        <v>42.774193548387096</v>
      </c>
      <c r="P41" s="74"/>
      <c r="Q41" s="78" t="str">
        <f>IF(COUNT(Q8:Q38)=0,"",AVERAGE(Q8:Q38))</f>
        <v/>
      </c>
      <c r="R41" s="77"/>
      <c r="S41" s="77"/>
      <c r="T41" s="77"/>
      <c r="U41" s="77"/>
      <c r="V41" s="79"/>
      <c r="W41" s="56" t="s">
        <v>7</v>
      </c>
      <c r="X41" s="75"/>
      <c r="Y41" s="75"/>
      <c r="Z41" s="75"/>
      <c r="AA41" s="75"/>
      <c r="AB41" s="75"/>
      <c r="AC41" s="75"/>
      <c r="AD41" s="75"/>
      <c r="AE41" s="75"/>
      <c r="AF41" s="79"/>
      <c r="AG41" s="56" t="s">
        <v>7</v>
      </c>
      <c r="AH41" s="75"/>
      <c r="AI41" s="75"/>
      <c r="AJ41" s="75"/>
      <c r="AK41" s="75"/>
      <c r="AL41" s="75"/>
      <c r="AM41" s="75"/>
      <c r="AN41" s="75"/>
      <c r="AO41" s="75"/>
      <c r="AP41" s="79"/>
      <c r="AQ41" s="56" t="s">
        <v>7</v>
      </c>
      <c r="AR41" s="75"/>
      <c r="AS41" s="75"/>
      <c r="AT41" s="75"/>
      <c r="AU41" s="75"/>
      <c r="AV41" s="75"/>
      <c r="AW41" s="75"/>
      <c r="AX41" s="75"/>
      <c r="AY41" s="75"/>
      <c r="AZ41" s="79"/>
      <c r="BA41" s="56" t="s">
        <v>7</v>
      </c>
      <c r="BB41" s="84">
        <f>IF(COUNT(BB8:BB38)=0,"",AVERAGE(BB8:BB38))</f>
        <v>0.58650000000000002</v>
      </c>
      <c r="BC41" s="78">
        <f t="shared" ref="BC41:BM41" si="48">IF(COUNT(BC8:BC38)=0,"",AVERAGE(BC8:BC38))</f>
        <v>21.59090909090909</v>
      </c>
      <c r="BD41" s="80">
        <f t="shared" si="48"/>
        <v>7.136363636363634</v>
      </c>
      <c r="BE41" s="80">
        <f t="shared" si="48"/>
        <v>2.9727272727272722</v>
      </c>
      <c r="BF41" s="80">
        <f t="shared" si="48"/>
        <v>14.959090909090907</v>
      </c>
      <c r="BG41" s="80">
        <f t="shared" si="48"/>
        <v>7.136363636363634</v>
      </c>
      <c r="BH41" s="84">
        <f t="shared" si="48"/>
        <v>0.24572727272727271</v>
      </c>
      <c r="BI41" s="84">
        <f t="shared" si="48"/>
        <v>0.25327272727272726</v>
      </c>
      <c r="BJ41" s="84">
        <f t="shared" si="48"/>
        <v>5.0818181818181846E-2</v>
      </c>
      <c r="BK41" s="84">
        <f t="shared" si="48"/>
        <v>5.227272727272729E-2</v>
      </c>
      <c r="BL41" s="84">
        <f t="shared" si="48"/>
        <v>5.2818181818181834E-2</v>
      </c>
      <c r="BM41" s="84">
        <f t="shared" si="48"/>
        <v>5.4954545454545471E-2</v>
      </c>
      <c r="BN41" s="73"/>
      <c r="BO41" s="56" t="s">
        <v>7</v>
      </c>
      <c r="BP41" s="84">
        <f>IF(COUNT(BP8:BP38)=0,"",AVERAGE(BP8:BP38))</f>
        <v>7.2677419354838693E-2</v>
      </c>
      <c r="BQ41" s="78">
        <f t="shared" ref="BQ41:BW41" si="49">IF(COUNT(BQ8:BQ38)=0,"",AVERAGE(BQ8:BQ38))</f>
        <v>0</v>
      </c>
      <c r="BR41" s="80">
        <f t="shared" si="49"/>
        <v>7.203846153846154</v>
      </c>
      <c r="BS41" s="80">
        <f t="shared" si="49"/>
        <v>7.734615384615382</v>
      </c>
      <c r="BT41" s="80">
        <f t="shared" si="49"/>
        <v>17.769230769230766</v>
      </c>
      <c r="BU41" s="84">
        <f t="shared" si="49"/>
        <v>1.3230769230769239E-2</v>
      </c>
      <c r="BV41" s="82">
        <f t="shared" si="49"/>
        <v>1.1170967741935485</v>
      </c>
      <c r="BW41" s="82">
        <f t="shared" si="49"/>
        <v>0.93677419354838731</v>
      </c>
      <c r="BX41" s="75"/>
      <c r="BY41" s="83"/>
      <c r="BZ41" s="73"/>
      <c r="CA41" s="56" t="s">
        <v>7</v>
      </c>
      <c r="CB41" s="73"/>
      <c r="CC41" s="73"/>
      <c r="CD41" s="82">
        <f>IF(COUNT(CD8:CD38)=0,"",AVERAGE(CD8:CD38))</f>
        <v>1.0903225806451617</v>
      </c>
      <c r="CE41" s="82">
        <f>IF(COUNT(CE8:CE38)=0,"",AVERAGE(CE8:CE38))</f>
        <v>5.0746502258064554</v>
      </c>
      <c r="CF41" s="82">
        <f>IF(COUNT(CF8:CF38)=0,"",AVERAGE(CF8:CF38))</f>
        <v>4.3895918726214891</v>
      </c>
      <c r="CG41" s="74"/>
      <c r="CH41" s="74"/>
      <c r="CI41" s="73"/>
      <c r="CJ41" s="56" t="s">
        <v>7</v>
      </c>
      <c r="CK41" s="73"/>
      <c r="CL41" s="73"/>
      <c r="CM41" s="80">
        <f>IF(COUNT(CM8:CM38)=0,"",AVERAGE(CM8:CM38))</f>
        <v>2.2419354838709675</v>
      </c>
      <c r="CN41" s="80">
        <f>IF(COUNT(CN8:CN38)=0,"",AVERAGE(CN8:CN38))</f>
        <v>10.434561854838712</v>
      </c>
      <c r="CO41" s="80">
        <f>IF(COUNT(CO8:CO38)=0,"",AVERAGE(CO8:CO38))</f>
        <v>23.497107086452473</v>
      </c>
      <c r="CP41" s="74"/>
      <c r="CQ41" s="74"/>
      <c r="CR41" s="73"/>
      <c r="CS41" s="56" t="s">
        <v>7</v>
      </c>
      <c r="CT41" s="73"/>
      <c r="CU41" s="73"/>
      <c r="CV41" s="80">
        <f>IF(COUNT(CV8:CV38)=0,"",AVERAGE(CV8:CV38))</f>
        <v>1.7903225806451608</v>
      </c>
      <c r="CW41" s="80">
        <f>IF(COUNT(CW8:CW38)=0,"",AVERAGE(CW8:CW38))</f>
        <v>11.895332903225803</v>
      </c>
      <c r="CX41" s="82">
        <f>IF(COUNT(CX8:CX38)=0,"",AVERAGE(CX8:CX38))</f>
        <v>6.6821306182557272E-2</v>
      </c>
      <c r="CY41" s="74"/>
      <c r="CZ41" s="74"/>
      <c r="DA41" s="74"/>
      <c r="DB41" s="73"/>
      <c r="DC41" s="56" t="s">
        <v>7</v>
      </c>
      <c r="DD41" s="73"/>
      <c r="DE41" s="73"/>
      <c r="DF41" s="80">
        <f>IF(COUNT(DF8:DF38)=0,"",AVERAGE(DF8:DF38))</f>
        <v>15.325806451612904</v>
      </c>
      <c r="DG41" s="82">
        <f>IF(COUNT(DG8:DG38)=0,"",AVERAGE(DG8:DG38))</f>
        <v>0.82684609041548374</v>
      </c>
      <c r="DH41" s="80">
        <f>IF(COUNT(DH8:DH38)=0,"",AVERAGE(DH8:DH38))</f>
        <v>4.6663804649330629</v>
      </c>
      <c r="DI41" s="74"/>
      <c r="DJ41" s="74"/>
      <c r="DK41" s="73"/>
      <c r="DL41" s="56" t="s">
        <v>7</v>
      </c>
      <c r="DM41" s="82">
        <f t="shared" ref="DM41:DW41" si="50">IF(COUNT(DM8:DM38)=0,"",AVERAGE(DM8:DM38))</f>
        <v>8.5209677419354826</v>
      </c>
      <c r="DN41" s="84">
        <f t="shared" si="50"/>
        <v>2.5258064516129046E-2</v>
      </c>
      <c r="DO41" s="84">
        <f t="shared" si="50"/>
        <v>4.2516129032258057E-2</v>
      </c>
      <c r="DP41" s="84">
        <f t="shared" si="50"/>
        <v>4.8225806451612917E-2</v>
      </c>
      <c r="DQ41" s="82">
        <f t="shared" si="50"/>
        <v>6.7419354838709689</v>
      </c>
      <c r="DR41" s="80">
        <f t="shared" si="50"/>
        <v>7.7387096774193527</v>
      </c>
      <c r="DS41" s="84">
        <f t="shared" si="50"/>
        <v>1.1356129032258064</v>
      </c>
      <c r="DT41" s="80">
        <f t="shared" si="50"/>
        <v>85.241935483870947</v>
      </c>
      <c r="DU41" s="82">
        <f t="shared" si="50"/>
        <v>4.2735483870967741</v>
      </c>
      <c r="DV41" s="84">
        <f t="shared" si="50"/>
        <v>0.87845161290322593</v>
      </c>
      <c r="DW41" s="84">
        <f t="shared" si="50"/>
        <v>0.98998064516129058</v>
      </c>
      <c r="DX41" s="124"/>
      <c r="DY41" s="73"/>
      <c r="DZ41" s="84" t="s">
        <v>28</v>
      </c>
      <c r="EA41" s="82">
        <f>IF(COUNT(EA8:EA38)=0,"",MAX(EA8:EA38))*100</f>
        <v>19.786096256684495</v>
      </c>
      <c r="EB41" s="82">
        <f>IF(COUNT(EB8:EB38)=0,"",MAX(EB8:EB38))*100</f>
        <v>22.058823529411764</v>
      </c>
      <c r="EC41" s="82">
        <f>IF(COUNT(EC8:EC38)=0,"",MAX(EC8:EC38))*100</f>
        <v>90.769230769230774</v>
      </c>
      <c r="ED41" s="75"/>
      <c r="EE41" s="82">
        <f>IF(COUNT(EE8:EE38)=0,"",MAX(EE8:EE38))</f>
        <v>1.33</v>
      </c>
      <c r="EF41" s="82">
        <f>IF(COUNT(EF8:EF38)=0,"",MAX(EF8:EF38))</f>
        <v>0.4</v>
      </c>
      <c r="EG41" s="82">
        <f>IF(COUNT(EG8:EG38)=0,"",MAX(EG8:EG38))</f>
        <v>0.24</v>
      </c>
      <c r="EH41" s="73"/>
      <c r="EI41" s="73"/>
      <c r="EJ41" s="351"/>
      <c r="EK41" s="351"/>
      <c r="EL41" s="351"/>
      <c r="EM41" s="351"/>
      <c r="EN41" s="351"/>
      <c r="EO41" s="351"/>
      <c r="EP41" s="351"/>
      <c r="EQ41" s="73"/>
      <c r="ER41" s="20"/>
      <c r="ES41" s="20"/>
      <c r="ET41" s="20"/>
      <c r="EU41" s="20"/>
      <c r="EV41" s="20"/>
      <c r="EW41" s="20"/>
      <c r="EX41" s="20"/>
    </row>
    <row r="42" spans="1:154" ht="25.5" customHeight="1" x14ac:dyDescent="0.5">
      <c r="A42" s="314" t="s">
        <v>450</v>
      </c>
      <c r="B42" s="314"/>
      <c r="C42" s="314"/>
      <c r="D42" s="314"/>
      <c r="E42" s="314"/>
      <c r="F42" s="315" t="s">
        <v>115</v>
      </c>
      <c r="G42" s="315"/>
      <c r="H42" s="315"/>
      <c r="I42" s="315"/>
      <c r="J42" s="315"/>
      <c r="K42" s="314" t="str">
        <f>IF(A42="","",A42)</f>
        <v xml:space="preserve"> Drinking Water System</v>
      </c>
      <c r="L42" s="314"/>
      <c r="M42" s="314"/>
      <c r="N42" s="314"/>
      <c r="O42" s="315" t="s">
        <v>125</v>
      </c>
      <c r="P42" s="315"/>
      <c r="Q42" s="315"/>
      <c r="R42" s="315"/>
      <c r="S42" s="315"/>
      <c r="T42" s="315"/>
      <c r="U42" s="315"/>
      <c r="V42" s="315"/>
      <c r="W42" s="314" t="str">
        <f>IF(A42="","",A42)</f>
        <v xml:space="preserve"> Drinking Water System</v>
      </c>
      <c r="X42" s="314"/>
      <c r="Y42" s="314"/>
      <c r="Z42" s="314"/>
      <c r="AA42" s="314"/>
      <c r="AB42" s="315" t="s">
        <v>129</v>
      </c>
      <c r="AC42" s="315"/>
      <c r="AD42" s="315"/>
      <c r="AE42" s="315"/>
      <c r="AF42" s="315"/>
      <c r="AG42" s="314" t="str">
        <f>IF(A42="","",A42)</f>
        <v xml:space="preserve"> Drinking Water System</v>
      </c>
      <c r="AH42" s="314"/>
      <c r="AI42" s="314"/>
      <c r="AJ42" s="314"/>
      <c r="AK42" s="314"/>
      <c r="AL42" s="315" t="s">
        <v>93</v>
      </c>
      <c r="AM42" s="315"/>
      <c r="AN42" s="315"/>
      <c r="AO42" s="315"/>
      <c r="AP42" s="315"/>
      <c r="AQ42" s="314" t="str">
        <f>IF(A42="","",A42)</f>
        <v xml:space="preserve"> Drinking Water System</v>
      </c>
      <c r="AR42" s="314"/>
      <c r="AS42" s="314"/>
      <c r="AT42" s="314"/>
      <c r="AU42" s="314"/>
      <c r="AV42" s="315" t="s">
        <v>135</v>
      </c>
      <c r="AW42" s="315"/>
      <c r="AX42" s="315"/>
      <c r="AY42" s="315"/>
      <c r="AZ42" s="315"/>
      <c r="BA42" s="314" t="str">
        <f>IF(A42="","",A42)</f>
        <v xml:space="preserve"> Drinking Water System</v>
      </c>
      <c r="BB42" s="314"/>
      <c r="BC42" s="314"/>
      <c r="BD42" s="314"/>
      <c r="BE42" s="314"/>
      <c r="BF42" s="352" t="s">
        <v>145</v>
      </c>
      <c r="BG42" s="352"/>
      <c r="BH42" s="352"/>
      <c r="BI42" s="352"/>
      <c r="BJ42" s="352"/>
      <c r="BK42" s="352"/>
      <c r="BL42" s="352"/>
      <c r="BM42" s="352"/>
      <c r="BN42" s="352"/>
      <c r="BO42" s="314" t="str">
        <f>IF(A42="","",A42)</f>
        <v xml:space="preserve"> Drinking Water System</v>
      </c>
      <c r="BP42" s="314"/>
      <c r="BQ42" s="314"/>
      <c r="BR42" s="314"/>
      <c r="BS42" s="314"/>
      <c r="BT42" s="315" t="s">
        <v>100</v>
      </c>
      <c r="BU42" s="315"/>
      <c r="BV42" s="315"/>
      <c r="BW42" s="315"/>
      <c r="BX42" s="315"/>
      <c r="BY42" s="315"/>
      <c r="BZ42" s="315"/>
      <c r="CA42" s="314" t="str">
        <f>IF(A42="","",A42)</f>
        <v xml:space="preserve"> Drinking Water System</v>
      </c>
      <c r="CB42" s="314"/>
      <c r="CC42" s="314"/>
      <c r="CD42" s="314"/>
      <c r="CE42" s="315" t="s">
        <v>154</v>
      </c>
      <c r="CF42" s="315"/>
      <c r="CG42" s="315"/>
      <c r="CH42" s="315"/>
      <c r="CI42" s="315"/>
      <c r="CJ42" s="314" t="str">
        <f>IF(A42="","",A42)</f>
        <v xml:space="preserve"> Drinking Water System</v>
      </c>
      <c r="CK42" s="314"/>
      <c r="CL42" s="314"/>
      <c r="CM42" s="314"/>
      <c r="CN42" s="315" t="s">
        <v>155</v>
      </c>
      <c r="CO42" s="315"/>
      <c r="CP42" s="315"/>
      <c r="CQ42" s="315"/>
      <c r="CR42" s="315"/>
      <c r="CS42" s="314" t="str">
        <f>IF(A42="","",A42)</f>
        <v xml:space="preserve"> Drinking Water System</v>
      </c>
      <c r="CT42" s="314"/>
      <c r="CU42" s="314"/>
      <c r="CV42" s="314"/>
      <c r="CW42" s="315" t="s">
        <v>101</v>
      </c>
      <c r="CX42" s="315"/>
      <c r="CY42" s="315"/>
      <c r="CZ42" s="315"/>
      <c r="DA42" s="315"/>
      <c r="DB42" s="315"/>
      <c r="DC42" s="314" t="str">
        <f>IF(A42="","",A42)</f>
        <v xml:space="preserve"> Drinking Water System</v>
      </c>
      <c r="DD42" s="314"/>
      <c r="DE42" s="314"/>
      <c r="DF42" s="314"/>
      <c r="DG42" s="315" t="s">
        <v>159</v>
      </c>
      <c r="DH42" s="315"/>
      <c r="DI42" s="315"/>
      <c r="DJ42" s="315"/>
      <c r="DK42" s="315"/>
      <c r="DL42" s="324" t="str">
        <f>IF(A42="","",A42)</f>
        <v xml:space="preserve"> Drinking Water System</v>
      </c>
      <c r="DM42" s="324"/>
      <c r="DN42" s="324"/>
      <c r="DO42" s="324"/>
      <c r="DP42" s="324"/>
      <c r="DQ42" s="325" t="s">
        <v>168</v>
      </c>
      <c r="DR42" s="325"/>
      <c r="DS42" s="325"/>
      <c r="DT42" s="325"/>
      <c r="DU42" s="325"/>
      <c r="DV42" s="325"/>
      <c r="DW42" s="325"/>
      <c r="DX42" s="325"/>
      <c r="DY42" s="325"/>
      <c r="DZ42" s="324" t="str">
        <f>IF(A42="","",A42)</f>
        <v xml:space="preserve"> Drinking Water System</v>
      </c>
      <c r="EA42" s="324"/>
      <c r="EB42" s="324"/>
      <c r="EC42" s="324"/>
      <c r="ED42" s="324"/>
      <c r="EE42" s="324"/>
      <c r="EF42" s="325" t="s">
        <v>91</v>
      </c>
      <c r="EG42" s="325"/>
      <c r="EH42" s="325"/>
      <c r="EI42" s="314" t="str">
        <f>IF(A42="","",A42)</f>
        <v xml:space="preserve"> Drinking Water System</v>
      </c>
      <c r="EJ42" s="314"/>
      <c r="EK42" s="314"/>
      <c r="EL42" s="314"/>
      <c r="EM42" s="315" t="s">
        <v>33</v>
      </c>
      <c r="EN42" s="315"/>
      <c r="EO42" s="315"/>
      <c r="EP42" s="315"/>
      <c r="EQ42" s="315"/>
    </row>
    <row r="43" spans="1:154" ht="14.15" customHeight="1" x14ac:dyDescent="0.35"/>
    <row r="44" spans="1:154" s="10" customFormat="1" ht="14.15" customHeight="1" x14ac:dyDescent="0.35">
      <c r="A44" s="20"/>
      <c r="B44" s="5"/>
      <c r="C44" s="5"/>
      <c r="D44" s="23"/>
      <c r="E44" s="5"/>
      <c r="F44" s="5"/>
      <c r="G44" s="23"/>
      <c r="H44" s="5"/>
      <c r="I44" s="5"/>
      <c r="J44" s="20"/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3"/>
      <c r="Y44" s="23"/>
      <c r="Z44" s="23"/>
      <c r="AA44" s="23"/>
      <c r="AB44" s="23"/>
      <c r="AC44" s="23"/>
      <c r="AD44" s="23"/>
      <c r="AE44" s="23"/>
      <c r="AF44" s="22"/>
      <c r="AG44" s="20"/>
      <c r="AH44" s="20"/>
      <c r="AI44" s="5"/>
      <c r="AJ44" s="5"/>
      <c r="AK44" s="5"/>
      <c r="AL44" s="5"/>
      <c r="AM44" s="5"/>
      <c r="AN44" s="5"/>
      <c r="AO44" s="22"/>
      <c r="AP44" s="5"/>
      <c r="AQ44" s="5"/>
      <c r="AR44" s="23"/>
      <c r="AS44" s="23"/>
      <c r="AT44" s="23"/>
      <c r="AU44" s="23"/>
      <c r="AV44" s="23"/>
      <c r="AW44" s="278"/>
      <c r="AX44" s="23"/>
      <c r="AY44" s="23"/>
      <c r="AZ44" s="5"/>
      <c r="BA44" s="38"/>
      <c r="BB44" s="13"/>
      <c r="BC44" s="11"/>
      <c r="BD44" s="12"/>
      <c r="BE44" s="12"/>
      <c r="BF44" s="12"/>
      <c r="BG44" s="12"/>
      <c r="BH44" s="38"/>
      <c r="BI44" s="38"/>
      <c r="BJ44" s="38"/>
      <c r="BK44" s="38"/>
      <c r="BL44" s="38"/>
      <c r="BM44" s="38"/>
      <c r="BN44" s="12"/>
      <c r="BO44" s="13"/>
      <c r="BP44" s="38"/>
      <c r="BQ44" s="11"/>
      <c r="BR44" s="12"/>
      <c r="BS44" s="12"/>
      <c r="BT44" s="12"/>
      <c r="BU44" s="38"/>
      <c r="BV44" s="13"/>
      <c r="BW44" s="13"/>
      <c r="BX44" s="12"/>
      <c r="BY44" s="11"/>
      <c r="BZ44" s="11"/>
      <c r="CB44" s="12"/>
      <c r="CC44" s="12"/>
      <c r="CD44" s="12"/>
      <c r="CE44" s="13"/>
      <c r="CF44" s="13"/>
      <c r="CG44" s="11"/>
      <c r="CH44" s="11"/>
      <c r="CI44" s="12"/>
      <c r="CJ44" s="13"/>
      <c r="CK44" s="12"/>
      <c r="CL44" s="12"/>
      <c r="CM44" s="12"/>
      <c r="CN44" s="12"/>
      <c r="CO44" s="12"/>
      <c r="CU44" s="13"/>
      <c r="CV44" s="11"/>
      <c r="CW44" s="12"/>
      <c r="CX44" s="13"/>
      <c r="CY44" s="12"/>
      <c r="CZ44" s="12"/>
      <c r="DA44" s="38"/>
      <c r="DB44" s="12"/>
      <c r="DC44" s="38"/>
      <c r="DD44" s="12"/>
      <c r="DE44" s="12"/>
      <c r="DF44" s="12"/>
      <c r="DG44" s="13"/>
      <c r="DH44" s="12"/>
      <c r="DI44" s="11"/>
      <c r="DJ44" s="11"/>
      <c r="DK44" s="38"/>
      <c r="DM44" s="13"/>
      <c r="DN44" s="38"/>
      <c r="DO44" s="38"/>
      <c r="DP44" s="38"/>
      <c r="DQ44" s="13"/>
      <c r="DR44" s="12"/>
      <c r="DS44" s="38"/>
      <c r="DT44" s="12"/>
      <c r="DU44" s="13"/>
      <c r="DV44" s="38"/>
      <c r="DW44" s="38"/>
      <c r="EB44" s="55"/>
      <c r="EC44" s="55"/>
      <c r="ED44" s="13"/>
      <c r="EE44" s="13"/>
      <c r="EF44" s="13"/>
      <c r="EG44" s="13"/>
    </row>
    <row r="45" spans="1:154" ht="22.5" customHeight="1" x14ac:dyDescent="0.35"/>
    <row r="47" spans="1:154" x14ac:dyDescent="0.35">
      <c r="DX47" s="20" t="s">
        <v>224</v>
      </c>
    </row>
  </sheetData>
  <sheetProtection selectLockedCells="1"/>
  <mergeCells count="282">
    <mergeCell ref="A3:E3"/>
    <mergeCell ref="F3:J3"/>
    <mergeCell ref="K3:N3"/>
    <mergeCell ref="O3:V3"/>
    <mergeCell ref="W3:AA3"/>
    <mergeCell ref="AB3:AF3"/>
    <mergeCell ref="BO1:BZ2"/>
    <mergeCell ref="A1:J2"/>
    <mergeCell ref="K1:V2"/>
    <mergeCell ref="W1:AF2"/>
    <mergeCell ref="AG1:AP2"/>
    <mergeCell ref="AQ1:AZ2"/>
    <mergeCell ref="BA1:BN2"/>
    <mergeCell ref="BT3:BZ3"/>
    <mergeCell ref="AG3:AK3"/>
    <mergeCell ref="AL3:AP3"/>
    <mergeCell ref="EI1:EQ2"/>
    <mergeCell ref="CA1:CI2"/>
    <mergeCell ref="CJ1:CR2"/>
    <mergeCell ref="CS1:DB2"/>
    <mergeCell ref="DC1:DK2"/>
    <mergeCell ref="DL1:DP2"/>
    <mergeCell ref="DZ1:EA2"/>
    <mergeCell ref="EB1:EG2"/>
    <mergeCell ref="EI3:EL3"/>
    <mergeCell ref="EM3:EQ3"/>
    <mergeCell ref="DQ3:DY3"/>
    <mergeCell ref="DZ3:EE3"/>
    <mergeCell ref="EF3:EH3"/>
    <mergeCell ref="CA3:CD3"/>
    <mergeCell ref="CE3:CI3"/>
    <mergeCell ref="CJ3:CM3"/>
    <mergeCell ref="CN3:CR3"/>
    <mergeCell ref="CS3:CV3"/>
    <mergeCell ref="A4:A7"/>
    <mergeCell ref="B4:D4"/>
    <mergeCell ref="E4:G4"/>
    <mergeCell ref="H4:I4"/>
    <mergeCell ref="J4:J7"/>
    <mergeCell ref="CW3:DB3"/>
    <mergeCell ref="AQ3:AU3"/>
    <mergeCell ref="AV3:AZ3"/>
    <mergeCell ref="DL3:DP3"/>
    <mergeCell ref="AZ4:AZ7"/>
    <mergeCell ref="BA4:BA7"/>
    <mergeCell ref="BB4:BF4"/>
    <mergeCell ref="BG4:BG7"/>
    <mergeCell ref="S5:S7"/>
    <mergeCell ref="T5:T7"/>
    <mergeCell ref="U5:U7"/>
    <mergeCell ref="BA3:BE3"/>
    <mergeCell ref="BF3:BN3"/>
    <mergeCell ref="K4:K7"/>
    <mergeCell ref="L4:M4"/>
    <mergeCell ref="N4:O4"/>
    <mergeCell ref="DC3:DF3"/>
    <mergeCell ref="DG3:DK3"/>
    <mergeCell ref="BO3:BS3"/>
    <mergeCell ref="CC4:CC7"/>
    <mergeCell ref="CM4:CM7"/>
    <mergeCell ref="CN4:CN7"/>
    <mergeCell ref="CO4:CO7"/>
    <mergeCell ref="CP4:CP7"/>
    <mergeCell ref="AV6:AV7"/>
    <mergeCell ref="AW6:AW7"/>
    <mergeCell ref="AX6:AX7"/>
    <mergeCell ref="AY6:AY7"/>
    <mergeCell ref="BF5:BF7"/>
    <mergeCell ref="BH4:BI4"/>
    <mergeCell ref="BW4:BY4"/>
    <mergeCell ref="BK5:BK7"/>
    <mergeCell ref="BL5:BL7"/>
    <mergeCell ref="BM5:BM7"/>
    <mergeCell ref="AV5:AW5"/>
    <mergeCell ref="AX5:AY5"/>
    <mergeCell ref="BB5:BB7"/>
    <mergeCell ref="BC5:BC7"/>
    <mergeCell ref="BD5:BD7"/>
    <mergeCell ref="BT5:BT7"/>
    <mergeCell ref="BU5:BU7"/>
    <mergeCell ref="DP5:DP7"/>
    <mergeCell ref="BE5:BE7"/>
    <mergeCell ref="BI5:BI7"/>
    <mergeCell ref="BJ5:BJ7"/>
    <mergeCell ref="BQ5:BQ7"/>
    <mergeCell ref="BP5:BP7"/>
    <mergeCell ref="BR5:BR7"/>
    <mergeCell ref="BS5:BS7"/>
    <mergeCell ref="BW5:BW7"/>
    <mergeCell ref="BX5:BX7"/>
    <mergeCell ref="DJ4:DJ7"/>
    <mergeCell ref="DK4:DK7"/>
    <mergeCell ref="DL4:DL7"/>
    <mergeCell ref="BV5:BV7"/>
    <mergeCell ref="BJ4:BK4"/>
    <mergeCell ref="BL4:BM4"/>
    <mergeCell ref="BN4:BN7"/>
    <mergeCell ref="BO4:BO7"/>
    <mergeCell ref="BP4:BV4"/>
    <mergeCell ref="BH5:BH7"/>
    <mergeCell ref="CI4:CI7"/>
    <mergeCell ref="CJ4:CJ7"/>
    <mergeCell ref="CA4:CA7"/>
    <mergeCell ref="CB4:CB7"/>
    <mergeCell ref="EQ4:EQ7"/>
    <mergeCell ref="B5:B7"/>
    <mergeCell ref="C5:C7"/>
    <mergeCell ref="D5:D7"/>
    <mergeCell ref="E5:E7"/>
    <mergeCell ref="F5:F7"/>
    <mergeCell ref="G5:G7"/>
    <mergeCell ref="H5:H7"/>
    <mergeCell ref="DD4:DD7"/>
    <mergeCell ref="DE4:DE7"/>
    <mergeCell ref="ED4:EE4"/>
    <mergeCell ref="EH4:EH7"/>
    <mergeCell ref="X5:Y5"/>
    <mergeCell ref="Z5:AA5"/>
    <mergeCell ref="AB5:AC5"/>
    <mergeCell ref="AD5:AE5"/>
    <mergeCell ref="DO5:DO7"/>
    <mergeCell ref="DF4:DF7"/>
    <mergeCell ref="DG4:DG7"/>
    <mergeCell ref="DH4:DH7"/>
    <mergeCell ref="I5:I7"/>
    <mergeCell ref="DY4:DY7"/>
    <mergeCell ref="DZ4:DZ7"/>
    <mergeCell ref="EA4:EC4"/>
    <mergeCell ref="DB4:DB7"/>
    <mergeCell ref="DC4:DC7"/>
    <mergeCell ref="AV4:AY4"/>
    <mergeCell ref="DT5:DT7"/>
    <mergeCell ref="DU5:DU7"/>
    <mergeCell ref="CR4:CR7"/>
    <mergeCell ref="DN5:DN7"/>
    <mergeCell ref="DQ5:DQ7"/>
    <mergeCell ref="DR5:DR7"/>
    <mergeCell ref="CS4:CS7"/>
    <mergeCell ref="BY5:BY7"/>
    <mergeCell ref="BZ4:BZ7"/>
    <mergeCell ref="CD4:CD7"/>
    <mergeCell ref="CE4:CE7"/>
    <mergeCell ref="DS5:DS7"/>
    <mergeCell ref="CQ4:CQ7"/>
    <mergeCell ref="CF4:CF7"/>
    <mergeCell ref="CG4:CG7"/>
    <mergeCell ref="CH4:CH7"/>
    <mergeCell ref="CK4:CK7"/>
    <mergeCell ref="DN4:DO4"/>
    <mergeCell ref="DM5:DM7"/>
    <mergeCell ref="DI4:DI7"/>
    <mergeCell ref="DP4:DU4"/>
    <mergeCell ref="L5:L7"/>
    <mergeCell ref="M5:M7"/>
    <mergeCell ref="N5:N7"/>
    <mergeCell ref="O5:O7"/>
    <mergeCell ref="P5:P7"/>
    <mergeCell ref="Q5:Q7"/>
    <mergeCell ref="P4:Q4"/>
    <mergeCell ref="R4:U4"/>
    <mergeCell ref="V4:V7"/>
    <mergeCell ref="W4:W7"/>
    <mergeCell ref="X4:AA4"/>
    <mergeCell ref="AB4:AE4"/>
    <mergeCell ref="R5:R7"/>
    <mergeCell ref="X6:X7"/>
    <mergeCell ref="Y6:Y7"/>
    <mergeCell ref="Z6:Z7"/>
    <mergeCell ref="CZ4:CZ7"/>
    <mergeCell ref="DA4:DA7"/>
    <mergeCell ref="AH4:AO4"/>
    <mergeCell ref="AL5:AM5"/>
    <mergeCell ref="AN5:AO5"/>
    <mergeCell ref="AH5:AI5"/>
    <mergeCell ref="AJ5:AK5"/>
    <mergeCell ref="CL4:CL7"/>
    <mergeCell ref="CT4:CT7"/>
    <mergeCell ref="CU4:CU7"/>
    <mergeCell ref="CV4:CV7"/>
    <mergeCell ref="CW4:CW7"/>
    <mergeCell ref="CX4:CX7"/>
    <mergeCell ref="CY4:CY7"/>
    <mergeCell ref="AA6:AA7"/>
    <mergeCell ref="AB6:AB7"/>
    <mergeCell ref="AC6:AC7"/>
    <mergeCell ref="AD6:AD7"/>
    <mergeCell ref="AE6:AE7"/>
    <mergeCell ref="AH6:AH7"/>
    <mergeCell ref="AO6:AO7"/>
    <mergeCell ref="AR6:AR7"/>
    <mergeCell ref="AS6:AS7"/>
    <mergeCell ref="AQ4:AQ7"/>
    <mergeCell ref="AR4:AU4"/>
    <mergeCell ref="AR5:AS5"/>
    <mergeCell ref="AT5:AU5"/>
    <mergeCell ref="AT6:AT7"/>
    <mergeCell ref="AU6:AU7"/>
    <mergeCell ref="AP4:AP7"/>
    <mergeCell ref="AI6:AI7"/>
    <mergeCell ref="AJ6:AJ7"/>
    <mergeCell ref="AK6:AK7"/>
    <mergeCell ref="AL6:AL7"/>
    <mergeCell ref="AM6:AM7"/>
    <mergeCell ref="AN6:AN7"/>
    <mergeCell ref="AF4:AF7"/>
    <mergeCell ref="AG4:AG7"/>
    <mergeCell ref="EJ9:EP9"/>
    <mergeCell ref="EJ10:EP10"/>
    <mergeCell ref="EJ11:EP11"/>
    <mergeCell ref="EJ12:EP12"/>
    <mergeCell ref="EJ13:EP13"/>
    <mergeCell ref="DV5:DV7"/>
    <mergeCell ref="DW5:DW7"/>
    <mergeCell ref="DX5:DX7"/>
    <mergeCell ref="EA5:EA7"/>
    <mergeCell ref="EJ8:EP8"/>
    <mergeCell ref="EG5:EG7"/>
    <mergeCell ref="EJ4:EP7"/>
    <mergeCell ref="DV4:DX4"/>
    <mergeCell ref="EI4:EI7"/>
    <mergeCell ref="EB5:EB7"/>
    <mergeCell ref="EC5:EC7"/>
    <mergeCell ref="ED5:EE5"/>
    <mergeCell ref="EF5:EF7"/>
    <mergeCell ref="ED6:ED7"/>
    <mergeCell ref="EE6:EE7"/>
    <mergeCell ref="EJ21:EP21"/>
    <mergeCell ref="EJ22:EP22"/>
    <mergeCell ref="EJ23:EP23"/>
    <mergeCell ref="EJ24:EP24"/>
    <mergeCell ref="EJ25:EP25"/>
    <mergeCell ref="EJ14:EP14"/>
    <mergeCell ref="EJ36:EP36"/>
    <mergeCell ref="EJ37:EP37"/>
    <mergeCell ref="EJ38:EP38"/>
    <mergeCell ref="EJ26:EP26"/>
    <mergeCell ref="EJ15:EP15"/>
    <mergeCell ref="EJ16:EP16"/>
    <mergeCell ref="EJ17:EP17"/>
    <mergeCell ref="EJ18:EP18"/>
    <mergeCell ref="EJ19:EP19"/>
    <mergeCell ref="EJ20:EP20"/>
    <mergeCell ref="BF42:BN42"/>
    <mergeCell ref="BO42:BS42"/>
    <mergeCell ref="EJ27:EP27"/>
    <mergeCell ref="EJ28:EP28"/>
    <mergeCell ref="EJ29:EP29"/>
    <mergeCell ref="EJ30:EP30"/>
    <mergeCell ref="EJ31:EP31"/>
    <mergeCell ref="EJ32:EP32"/>
    <mergeCell ref="EJ33:EP33"/>
    <mergeCell ref="EJ34:EP34"/>
    <mergeCell ref="EJ35:EP35"/>
    <mergeCell ref="DC42:DF42"/>
    <mergeCell ref="DG42:DK42"/>
    <mergeCell ref="DL42:DP42"/>
    <mergeCell ref="DQ42:DY42"/>
    <mergeCell ref="DZ42:EE42"/>
    <mergeCell ref="A42:E42"/>
    <mergeCell ref="F42:J42"/>
    <mergeCell ref="K42:N42"/>
    <mergeCell ref="O42:V42"/>
    <mergeCell ref="W42:AA42"/>
    <mergeCell ref="EJ39:EP39"/>
    <mergeCell ref="EJ40:EP40"/>
    <mergeCell ref="EJ41:EP41"/>
    <mergeCell ref="EF42:EH42"/>
    <mergeCell ref="EI42:EL42"/>
    <mergeCell ref="AG42:AK42"/>
    <mergeCell ref="BT42:BZ42"/>
    <mergeCell ref="CA42:CD42"/>
    <mergeCell ref="EM42:EQ42"/>
    <mergeCell ref="CW42:DB42"/>
    <mergeCell ref="AB42:AF42"/>
    <mergeCell ref="CE42:CI42"/>
    <mergeCell ref="CJ42:CM42"/>
    <mergeCell ref="CN42:CR42"/>
    <mergeCell ref="CS42:CV42"/>
    <mergeCell ref="AL42:AP42"/>
    <mergeCell ref="AQ42:AU42"/>
    <mergeCell ref="AV42:AZ42"/>
    <mergeCell ref="BA42:BE42"/>
  </mergeCells>
  <pageMargins left="0.23622047244094491" right="0.23622047244094491" top="0.31496062992125984" bottom="0.74803149606299213" header="0.31496062992125984" footer="0.31496062992125984"/>
  <pageSetup scale="90" pageOrder="overThenDown" orientation="portrait" horizontalDpi="4294967293" verticalDpi="4294967293" r:id="rId1"/>
  <headerFooter>
    <evenHeader>&amp;L&amp;28Red Lake WPCP&amp;R&amp;28New Plant</evenHeader>
  </headerFooter>
  <colBreaks count="13" manualBreakCount="13">
    <brk id="10" max="1048575" man="1"/>
    <brk id="22" max="1048575" man="1"/>
    <brk id="32" max="1048575" man="1"/>
    <brk id="42" max="1048575" man="1"/>
    <brk id="52" max="1048575" man="1"/>
    <brk id="66" max="1048575" man="1"/>
    <brk id="78" max="1048575" man="1"/>
    <brk id="87" max="1048575" man="1"/>
    <brk id="96" max="1048575" man="1"/>
    <brk id="106" max="1048575" man="1"/>
    <brk id="115" max="1048575" man="1"/>
    <brk id="129" max="1048575" man="1"/>
    <brk id="13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EX45"/>
  <sheetViews>
    <sheetView showGridLines="0" showWhiteSpace="0" view="pageLayout" zoomScaleNormal="100" workbookViewId="0">
      <selection activeCell="A3" sqref="A3:E3"/>
    </sheetView>
  </sheetViews>
  <sheetFormatPr defaultColWidth="9.1796875" defaultRowHeight="14.5" x14ac:dyDescent="0.35"/>
  <cols>
    <col min="1" max="1" width="6" style="20" customWidth="1"/>
    <col min="2" max="2" width="14" style="5" customWidth="1"/>
    <col min="3" max="3" width="8.54296875" style="5" customWidth="1"/>
    <col min="4" max="4" width="9.7265625" style="23" customWidth="1"/>
    <col min="5" max="5" width="14" style="5" customWidth="1"/>
    <col min="6" max="6" width="8.54296875" style="5" customWidth="1"/>
    <col min="7" max="7" width="9.7265625" style="23" customWidth="1"/>
    <col min="8" max="8" width="14" style="5" customWidth="1"/>
    <col min="9" max="9" width="8.54296875" style="5" customWidth="1"/>
    <col min="10" max="10" width="8.26953125" style="20" customWidth="1"/>
    <col min="11" max="11" width="5.54296875" style="20" customWidth="1"/>
    <col min="12" max="12" width="11.453125" style="5" customWidth="1"/>
    <col min="13" max="13" width="8" style="5" customWidth="1"/>
    <col min="14" max="14" width="11.453125" style="5" customWidth="1"/>
    <col min="15" max="15" width="8" style="5" customWidth="1"/>
    <col min="16" max="16" width="11.453125" style="5" customWidth="1"/>
    <col min="17" max="17" width="8" style="5" customWidth="1"/>
    <col min="18" max="21" width="7.453125" style="5" customWidth="1"/>
    <col min="22" max="22" width="7.7265625" style="5" customWidth="1"/>
    <col min="23" max="23" width="6" style="5" customWidth="1"/>
    <col min="24" max="24" width="12.7265625" style="23" customWidth="1"/>
    <col min="25" max="25" width="9" style="23" customWidth="1"/>
    <col min="26" max="26" width="12.7265625" style="23" customWidth="1"/>
    <col min="27" max="27" width="9" style="23" customWidth="1"/>
    <col min="28" max="28" width="12.7265625" style="23" customWidth="1"/>
    <col min="29" max="29" width="9" style="23" customWidth="1"/>
    <col min="30" max="30" width="12.7265625" style="23" customWidth="1"/>
    <col min="31" max="31" width="9" style="23" customWidth="1"/>
    <col min="32" max="32" width="8" style="22" customWidth="1"/>
    <col min="33" max="33" width="6" style="20" customWidth="1"/>
    <col min="34" max="34" width="12.7265625" style="20" customWidth="1"/>
    <col min="35" max="35" width="9" style="5" customWidth="1"/>
    <col min="36" max="36" width="12.7265625" style="5" customWidth="1"/>
    <col min="37" max="37" width="9" style="5" customWidth="1"/>
    <col min="38" max="38" width="12.7265625" style="5" customWidth="1"/>
    <col min="39" max="39" width="9" style="5" customWidth="1"/>
    <col min="40" max="40" width="12.7265625" style="5" customWidth="1"/>
    <col min="41" max="41" width="9" style="22" customWidth="1"/>
    <col min="42" max="42" width="8" style="5" customWidth="1"/>
    <col min="43" max="43" width="6" style="5" customWidth="1"/>
    <col min="44" max="44" width="12.7265625" style="23" customWidth="1"/>
    <col min="45" max="45" width="9" style="23" customWidth="1"/>
    <col min="46" max="46" width="12.7265625" style="23" customWidth="1"/>
    <col min="47" max="47" width="9" style="23" customWidth="1"/>
    <col min="48" max="48" width="12.7265625" style="23" customWidth="1"/>
    <col min="49" max="49" width="9" style="23" customWidth="1"/>
    <col min="50" max="50" width="12.7265625" style="23" customWidth="1"/>
    <col min="51" max="51" width="9" style="23" customWidth="1"/>
    <col min="52" max="52" width="8" style="5" customWidth="1"/>
    <col min="53" max="53" width="5.7265625" style="21" customWidth="1"/>
    <col min="54" max="54" width="7.1796875" style="23" customWidth="1"/>
    <col min="55" max="55" width="6.7265625" style="5" customWidth="1"/>
    <col min="56" max="57" width="6.7265625" style="22" customWidth="1"/>
    <col min="58" max="58" width="7.1796875" style="22" customWidth="1"/>
    <col min="59" max="59" width="6.7265625" style="22" customWidth="1"/>
    <col min="60" max="65" width="8" style="21" customWidth="1"/>
    <col min="66" max="66" width="6.81640625" style="22" customWidth="1"/>
    <col min="67" max="67" width="5.7265625" style="23" customWidth="1"/>
    <col min="68" max="68" width="8.54296875" style="21" customWidth="1"/>
    <col min="69" max="69" width="6.81640625" style="5" customWidth="1"/>
    <col min="70" max="70" width="6.7265625" style="22" customWidth="1"/>
    <col min="71" max="71" width="7.1796875" style="22" customWidth="1"/>
    <col min="72" max="72" width="8" style="22" customWidth="1"/>
    <col min="73" max="73" width="8.453125" style="21" customWidth="1"/>
    <col min="74" max="75" width="8.26953125" style="23" customWidth="1"/>
    <col min="76" max="76" width="8" style="22" customWidth="1"/>
    <col min="77" max="77" width="18.1796875" style="5" customWidth="1"/>
    <col min="78" max="78" width="7.453125" style="5" customWidth="1"/>
    <col min="79" max="79" width="7.1796875" style="20" customWidth="1"/>
    <col min="80" max="82" width="12" style="22" customWidth="1"/>
    <col min="83" max="84" width="12" style="23" customWidth="1"/>
    <col min="85" max="86" width="12" style="5" customWidth="1"/>
    <col min="87" max="87" width="9.1796875" style="22" customWidth="1"/>
    <col min="88" max="88" width="7.1796875" style="23" customWidth="1"/>
    <col min="89" max="93" width="12" style="22" customWidth="1"/>
    <col min="94" max="95" width="12" style="20" customWidth="1"/>
    <col min="96" max="96" width="9.1796875" style="20" customWidth="1"/>
    <col min="97" max="97" width="6.26953125" style="20" customWidth="1"/>
    <col min="98" max="98" width="9.453125" style="20" customWidth="1"/>
    <col min="99" max="99" width="13.81640625" style="23" customWidth="1"/>
    <col min="100" max="100" width="9.7265625" style="5" customWidth="1"/>
    <col min="101" max="101" width="9.7265625" style="22" customWidth="1"/>
    <col min="102" max="102" width="10" style="23" customWidth="1"/>
    <col min="103" max="104" width="12" style="22" customWidth="1"/>
    <col min="105" max="105" width="10.54296875" style="21" customWidth="1"/>
    <col min="106" max="106" width="8" style="22" customWidth="1"/>
    <col min="107" max="107" width="7.1796875" style="21" customWidth="1"/>
    <col min="108" max="110" width="12" style="22" customWidth="1"/>
    <col min="111" max="111" width="12" style="23" customWidth="1"/>
    <col min="112" max="112" width="12" style="22" customWidth="1"/>
    <col min="113" max="114" width="12" style="5" customWidth="1"/>
    <col min="115" max="115" width="9.1796875" style="21" customWidth="1"/>
    <col min="116" max="116" width="4.81640625" style="20" customWidth="1"/>
    <col min="117" max="117" width="6.453125" style="23" customWidth="1"/>
    <col min="118" max="120" width="7.7265625" style="21" customWidth="1"/>
    <col min="121" max="121" width="6.81640625" style="23" customWidth="1"/>
    <col min="122" max="122" width="6.81640625" style="22" customWidth="1"/>
    <col min="123" max="123" width="7.7265625" style="21" customWidth="1"/>
    <col min="124" max="124" width="7.1796875" style="22" customWidth="1"/>
    <col min="125" max="125" width="7.453125" style="23" customWidth="1"/>
    <col min="126" max="127" width="8.54296875" style="21" customWidth="1"/>
    <col min="128" max="128" width="7.1796875" style="20" customWidth="1"/>
    <col min="129" max="129" width="6.81640625" style="20" customWidth="1"/>
    <col min="130" max="130" width="6.54296875" style="20" customWidth="1"/>
    <col min="131" max="131" width="13" style="20" customWidth="1"/>
    <col min="132" max="133" width="13" style="54" customWidth="1"/>
    <col min="134" max="137" width="10" style="23" customWidth="1"/>
    <col min="138" max="138" width="11.453125" style="20" customWidth="1"/>
    <col min="139" max="139" width="7.26953125" style="20" customWidth="1"/>
    <col min="140" max="146" width="12" style="20" customWidth="1"/>
    <col min="147" max="16384" width="9.1796875" style="20"/>
  </cols>
  <sheetData>
    <row r="1" spans="1:154" ht="15" customHeight="1" x14ac:dyDescent="0.35">
      <c r="A1" s="373" t="s">
        <v>228</v>
      </c>
      <c r="B1" s="373"/>
      <c r="C1" s="373"/>
      <c r="D1" s="373"/>
      <c r="E1" s="373"/>
      <c r="F1" s="373"/>
      <c r="G1" s="373"/>
      <c r="H1" s="373"/>
      <c r="I1" s="373"/>
      <c r="J1" s="373"/>
      <c r="K1" s="345" t="str">
        <f>IF(A1="","",A1)</f>
        <v>April 2016</v>
      </c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 t="str">
        <f>IF(A1="","",A1)</f>
        <v>April 2016</v>
      </c>
      <c r="X1" s="345"/>
      <c r="Y1" s="345"/>
      <c r="Z1" s="345"/>
      <c r="AA1" s="345"/>
      <c r="AB1" s="345"/>
      <c r="AC1" s="345"/>
      <c r="AD1" s="345"/>
      <c r="AE1" s="345"/>
      <c r="AF1" s="345"/>
      <c r="AG1" s="345" t="str">
        <f>IF(A1="","",A1)</f>
        <v>April 2016</v>
      </c>
      <c r="AH1" s="345"/>
      <c r="AI1" s="345"/>
      <c r="AJ1" s="345"/>
      <c r="AK1" s="345"/>
      <c r="AL1" s="345"/>
      <c r="AM1" s="345"/>
      <c r="AN1" s="345"/>
      <c r="AO1" s="345"/>
      <c r="AP1" s="345"/>
      <c r="AQ1" s="345" t="str">
        <f>IF(A1="","",A1)</f>
        <v>April 2016</v>
      </c>
      <c r="AR1" s="345"/>
      <c r="AS1" s="345"/>
      <c r="AT1" s="345"/>
      <c r="AU1" s="345"/>
      <c r="AV1" s="345"/>
      <c r="AW1" s="345"/>
      <c r="AX1" s="345"/>
      <c r="AY1" s="345"/>
      <c r="AZ1" s="345"/>
      <c r="BA1" s="371" t="str">
        <f>IF(A1="","",A1)</f>
        <v>April 2016</v>
      </c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07" t="str">
        <f>IF(A1="","",A1)</f>
        <v>April 2016</v>
      </c>
      <c r="BP1" s="307"/>
      <c r="BQ1" s="307"/>
      <c r="BR1" s="307"/>
      <c r="BS1" s="307"/>
      <c r="BT1" s="307"/>
      <c r="BU1" s="307"/>
      <c r="BV1" s="307"/>
      <c r="BW1" s="307"/>
      <c r="BX1" s="307"/>
      <c r="BY1" s="307"/>
      <c r="BZ1" s="307"/>
      <c r="CA1" s="372" t="str">
        <f>IF(A1="","",A1)</f>
        <v>April 2016</v>
      </c>
      <c r="CB1" s="372"/>
      <c r="CC1" s="372"/>
      <c r="CD1" s="372"/>
      <c r="CE1" s="372"/>
      <c r="CF1" s="372"/>
      <c r="CG1" s="372"/>
      <c r="CH1" s="372"/>
      <c r="CI1" s="372"/>
      <c r="CJ1" s="372" t="str">
        <f>IF(A1="","",A1)</f>
        <v>April 2016</v>
      </c>
      <c r="CK1" s="372"/>
      <c r="CL1" s="372"/>
      <c r="CM1" s="372"/>
      <c r="CN1" s="372"/>
      <c r="CO1" s="372"/>
      <c r="CP1" s="372"/>
      <c r="CQ1" s="372"/>
      <c r="CR1" s="372"/>
      <c r="CS1" s="372" t="str">
        <f>IF(A1="","",A1)</f>
        <v>April 2016</v>
      </c>
      <c r="CT1" s="372"/>
      <c r="CU1" s="372"/>
      <c r="CV1" s="372"/>
      <c r="CW1" s="372"/>
      <c r="CX1" s="372"/>
      <c r="CY1" s="372"/>
      <c r="CZ1" s="372"/>
      <c r="DA1" s="372"/>
      <c r="DB1" s="372"/>
      <c r="DC1" s="372" t="str">
        <f>IF(A1="","",A1)</f>
        <v>April 2016</v>
      </c>
      <c r="DD1" s="372"/>
      <c r="DE1" s="372"/>
      <c r="DF1" s="372"/>
      <c r="DG1" s="372"/>
      <c r="DH1" s="372"/>
      <c r="DI1" s="372"/>
      <c r="DJ1" s="372"/>
      <c r="DK1" s="372"/>
      <c r="DL1" s="307" t="str">
        <f>IF(A1="","",A1)</f>
        <v>April 2016</v>
      </c>
      <c r="DM1" s="307"/>
      <c r="DN1" s="307"/>
      <c r="DO1" s="307"/>
      <c r="DP1" s="307"/>
      <c r="DQ1" s="53"/>
      <c r="DR1" s="85"/>
      <c r="DS1" s="39"/>
      <c r="DT1" s="85"/>
      <c r="DU1" s="53"/>
      <c r="DV1" s="39"/>
      <c r="DW1" s="39"/>
      <c r="DX1" s="39"/>
      <c r="DY1" s="126"/>
      <c r="DZ1" s="307" t="str">
        <f>IF(A1="","",A1)</f>
        <v>April 2016</v>
      </c>
      <c r="EA1" s="307"/>
      <c r="EB1" s="308" t="s">
        <v>196</v>
      </c>
      <c r="EC1" s="309"/>
      <c r="ED1" s="309"/>
      <c r="EE1" s="309"/>
      <c r="EF1" s="309"/>
      <c r="EG1" s="310"/>
      <c r="EH1" s="189"/>
      <c r="EI1" s="307" t="str">
        <f>IF(A1="","",A1)</f>
        <v>April 2016</v>
      </c>
      <c r="EJ1" s="307"/>
      <c r="EK1" s="307"/>
      <c r="EL1" s="307"/>
      <c r="EM1" s="307"/>
      <c r="EN1" s="307"/>
      <c r="EO1" s="307"/>
      <c r="EP1" s="307"/>
      <c r="EQ1" s="307"/>
    </row>
    <row r="2" spans="1:154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07"/>
      <c r="BP2" s="307"/>
      <c r="BQ2" s="307"/>
      <c r="BR2" s="307"/>
      <c r="BS2" s="307"/>
      <c r="BT2" s="307"/>
      <c r="BU2" s="307"/>
      <c r="BV2" s="307"/>
      <c r="BW2" s="307"/>
      <c r="BX2" s="307"/>
      <c r="BY2" s="307"/>
      <c r="BZ2" s="307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  <c r="CL2" s="372"/>
      <c r="CM2" s="372"/>
      <c r="CN2" s="372"/>
      <c r="CO2" s="372"/>
      <c r="CP2" s="372"/>
      <c r="CQ2" s="372"/>
      <c r="CR2" s="372"/>
      <c r="CS2" s="372"/>
      <c r="CT2" s="372"/>
      <c r="CU2" s="372"/>
      <c r="CV2" s="372"/>
      <c r="CW2" s="372"/>
      <c r="CX2" s="372"/>
      <c r="CY2" s="372"/>
      <c r="CZ2" s="372"/>
      <c r="DA2" s="372"/>
      <c r="DB2" s="372"/>
      <c r="DC2" s="372"/>
      <c r="DD2" s="372"/>
      <c r="DE2" s="372"/>
      <c r="DF2" s="372"/>
      <c r="DG2" s="372"/>
      <c r="DH2" s="372"/>
      <c r="DI2" s="372"/>
      <c r="DJ2" s="372"/>
      <c r="DK2" s="372"/>
      <c r="DL2" s="307"/>
      <c r="DM2" s="307"/>
      <c r="DN2" s="307"/>
      <c r="DO2" s="307"/>
      <c r="DP2" s="307"/>
      <c r="DQ2" s="53"/>
      <c r="DR2" s="85"/>
      <c r="DS2" s="39"/>
      <c r="DT2" s="85"/>
      <c r="DU2" s="53"/>
      <c r="DV2" s="39"/>
      <c r="DW2" s="39"/>
      <c r="DX2" s="39"/>
      <c r="DY2" s="126"/>
      <c r="DZ2" s="307"/>
      <c r="EA2" s="307"/>
      <c r="EB2" s="311"/>
      <c r="EC2" s="312"/>
      <c r="ED2" s="312"/>
      <c r="EE2" s="312"/>
      <c r="EF2" s="312"/>
      <c r="EG2" s="313"/>
      <c r="EH2" s="189"/>
      <c r="EI2" s="307"/>
      <c r="EJ2" s="307"/>
      <c r="EK2" s="307"/>
      <c r="EL2" s="307"/>
      <c r="EM2" s="307"/>
      <c r="EN2" s="307"/>
      <c r="EO2" s="307"/>
      <c r="EP2" s="307"/>
      <c r="EQ2" s="307"/>
    </row>
    <row r="3" spans="1:154" ht="25.5" customHeight="1" x14ac:dyDescent="0.25">
      <c r="A3" s="314" t="s">
        <v>449</v>
      </c>
      <c r="B3" s="314"/>
      <c r="C3" s="314"/>
      <c r="D3" s="314"/>
      <c r="E3" s="314"/>
      <c r="F3" s="315" t="s">
        <v>114</v>
      </c>
      <c r="G3" s="315"/>
      <c r="H3" s="315"/>
      <c r="I3" s="315"/>
      <c r="J3" s="315"/>
      <c r="K3" s="314" t="str">
        <f>IF(A3="","",A3)</f>
        <v>Drinking Water System</v>
      </c>
      <c r="L3" s="314"/>
      <c r="M3" s="314"/>
      <c r="N3" s="314"/>
      <c r="O3" s="315" t="s">
        <v>125</v>
      </c>
      <c r="P3" s="315"/>
      <c r="Q3" s="315"/>
      <c r="R3" s="315"/>
      <c r="S3" s="315"/>
      <c r="T3" s="315"/>
      <c r="U3" s="315"/>
      <c r="V3" s="315"/>
      <c r="W3" s="314" t="str">
        <f>IF(A3="","",A3)</f>
        <v>Drinking Water System</v>
      </c>
      <c r="X3" s="314"/>
      <c r="Y3" s="314"/>
      <c r="Z3" s="314"/>
      <c r="AA3" s="314"/>
      <c r="AB3" s="315" t="s">
        <v>129</v>
      </c>
      <c r="AC3" s="315"/>
      <c r="AD3" s="315"/>
      <c r="AE3" s="315"/>
      <c r="AF3" s="315"/>
      <c r="AG3" s="314" t="str">
        <f>IF(A3="","",A3)</f>
        <v>Drinking Water System</v>
      </c>
      <c r="AH3" s="314"/>
      <c r="AI3" s="314"/>
      <c r="AJ3" s="314"/>
      <c r="AK3" s="314"/>
      <c r="AL3" s="315" t="s">
        <v>93</v>
      </c>
      <c r="AM3" s="315"/>
      <c r="AN3" s="315"/>
      <c r="AO3" s="315"/>
      <c r="AP3" s="315"/>
      <c r="AQ3" s="314" t="str">
        <f>IF(A3="","",A3)</f>
        <v>Drinking Water System</v>
      </c>
      <c r="AR3" s="314"/>
      <c r="AS3" s="314"/>
      <c r="AT3" s="314"/>
      <c r="AU3" s="314"/>
      <c r="AV3" s="315" t="s">
        <v>135</v>
      </c>
      <c r="AW3" s="315"/>
      <c r="AX3" s="315"/>
      <c r="AY3" s="315"/>
      <c r="AZ3" s="315"/>
      <c r="BA3" s="314" t="str">
        <f>IF(A3="","",A3)</f>
        <v>Drinking Water System</v>
      </c>
      <c r="BB3" s="314"/>
      <c r="BC3" s="314"/>
      <c r="BD3" s="314"/>
      <c r="BE3" s="314"/>
      <c r="BF3" s="369" t="s">
        <v>145</v>
      </c>
      <c r="BG3" s="369"/>
      <c r="BH3" s="369"/>
      <c r="BI3" s="369"/>
      <c r="BJ3" s="369"/>
      <c r="BK3" s="369"/>
      <c r="BL3" s="369"/>
      <c r="BM3" s="369"/>
      <c r="BN3" s="369"/>
      <c r="BO3" s="314" t="str">
        <f>IF(A3="","",A3)</f>
        <v>Drinking Water System</v>
      </c>
      <c r="BP3" s="314"/>
      <c r="BQ3" s="314"/>
      <c r="BR3" s="314"/>
      <c r="BS3" s="314"/>
      <c r="BT3" s="315" t="s">
        <v>100</v>
      </c>
      <c r="BU3" s="315"/>
      <c r="BV3" s="315"/>
      <c r="BW3" s="315"/>
      <c r="BX3" s="315"/>
      <c r="BY3" s="315"/>
      <c r="BZ3" s="315"/>
      <c r="CA3" s="314" t="str">
        <f>IF(A3="","",A3)</f>
        <v>Drinking Water System</v>
      </c>
      <c r="CB3" s="314"/>
      <c r="CC3" s="314"/>
      <c r="CD3" s="314"/>
      <c r="CE3" s="315" t="s">
        <v>154</v>
      </c>
      <c r="CF3" s="315"/>
      <c r="CG3" s="315"/>
      <c r="CH3" s="315"/>
      <c r="CI3" s="315"/>
      <c r="CJ3" s="314" t="str">
        <f>IF(A3="","",A3)</f>
        <v>Drinking Water System</v>
      </c>
      <c r="CK3" s="314"/>
      <c r="CL3" s="314"/>
      <c r="CM3" s="314"/>
      <c r="CN3" s="315" t="s">
        <v>155</v>
      </c>
      <c r="CO3" s="315"/>
      <c r="CP3" s="315"/>
      <c r="CQ3" s="315"/>
      <c r="CR3" s="315"/>
      <c r="CS3" s="314" t="str">
        <f>IF(A3="","",A3)</f>
        <v>Drinking Water System</v>
      </c>
      <c r="CT3" s="314"/>
      <c r="CU3" s="314"/>
      <c r="CV3" s="314"/>
      <c r="CW3" s="315" t="s">
        <v>101</v>
      </c>
      <c r="CX3" s="315"/>
      <c r="CY3" s="315"/>
      <c r="CZ3" s="315"/>
      <c r="DA3" s="315"/>
      <c r="DB3" s="315"/>
      <c r="DC3" s="314" t="str">
        <f>IF(A3="","",A3)</f>
        <v>Drinking Water System</v>
      </c>
      <c r="DD3" s="314"/>
      <c r="DE3" s="314"/>
      <c r="DF3" s="314"/>
      <c r="DG3" s="315" t="s">
        <v>159</v>
      </c>
      <c r="DH3" s="315"/>
      <c r="DI3" s="315"/>
      <c r="DJ3" s="315"/>
      <c r="DK3" s="315"/>
      <c r="DL3" s="329" t="str">
        <f>IF(A3="","",A3)</f>
        <v>Drinking Water System</v>
      </c>
      <c r="DM3" s="329"/>
      <c r="DN3" s="329"/>
      <c r="DO3" s="329"/>
      <c r="DP3" s="329"/>
      <c r="DQ3" s="370" t="s">
        <v>168</v>
      </c>
      <c r="DR3" s="370"/>
      <c r="DS3" s="370"/>
      <c r="DT3" s="370"/>
      <c r="DU3" s="370"/>
      <c r="DV3" s="370"/>
      <c r="DW3" s="370"/>
      <c r="DX3" s="370"/>
      <c r="DY3" s="370"/>
      <c r="DZ3" s="329" t="str">
        <f>IF(A3="","",A3)</f>
        <v>Drinking Water System</v>
      </c>
      <c r="EA3" s="329"/>
      <c r="EB3" s="329"/>
      <c r="EC3" s="329"/>
      <c r="ED3" s="329"/>
      <c r="EE3" s="329"/>
      <c r="EF3" s="370" t="s">
        <v>91</v>
      </c>
      <c r="EG3" s="370"/>
      <c r="EH3" s="370"/>
      <c r="EI3" s="314" t="str">
        <f>IF(A3="","",A3)</f>
        <v>Drinking Water System</v>
      </c>
      <c r="EJ3" s="314"/>
      <c r="EK3" s="314"/>
      <c r="EL3" s="314"/>
      <c r="EM3" s="315" t="s">
        <v>33</v>
      </c>
      <c r="EN3" s="315"/>
      <c r="EO3" s="315"/>
      <c r="EP3" s="315"/>
      <c r="EQ3" s="315"/>
    </row>
    <row r="4" spans="1:154" ht="17.149999999999999" customHeight="1" x14ac:dyDescent="0.35">
      <c r="A4" s="359" t="s">
        <v>1</v>
      </c>
      <c r="B4" s="359" t="s">
        <v>38</v>
      </c>
      <c r="C4" s="359"/>
      <c r="D4" s="359"/>
      <c r="E4" s="317" t="s">
        <v>24</v>
      </c>
      <c r="F4" s="317"/>
      <c r="G4" s="317"/>
      <c r="H4" s="358" t="s">
        <v>112</v>
      </c>
      <c r="I4" s="358"/>
      <c r="J4" s="360" t="s">
        <v>0</v>
      </c>
      <c r="K4" s="359" t="s">
        <v>1</v>
      </c>
      <c r="L4" s="358" t="s">
        <v>117</v>
      </c>
      <c r="M4" s="358"/>
      <c r="N4" s="358" t="s">
        <v>118</v>
      </c>
      <c r="O4" s="358"/>
      <c r="P4" s="358" t="s">
        <v>119</v>
      </c>
      <c r="Q4" s="358"/>
      <c r="R4" s="362" t="s">
        <v>120</v>
      </c>
      <c r="S4" s="363"/>
      <c r="T4" s="363"/>
      <c r="U4" s="364"/>
      <c r="V4" s="360" t="s">
        <v>0</v>
      </c>
      <c r="W4" s="346" t="s">
        <v>1</v>
      </c>
      <c r="X4" s="344" t="s">
        <v>63</v>
      </c>
      <c r="Y4" s="344"/>
      <c r="Z4" s="344"/>
      <c r="AA4" s="344"/>
      <c r="AB4" s="344" t="s">
        <v>126</v>
      </c>
      <c r="AC4" s="344"/>
      <c r="AD4" s="344"/>
      <c r="AE4" s="344"/>
      <c r="AF4" s="342" t="s">
        <v>0</v>
      </c>
      <c r="AG4" s="346" t="s">
        <v>1</v>
      </c>
      <c r="AH4" s="330" t="s">
        <v>93</v>
      </c>
      <c r="AI4" s="331"/>
      <c r="AJ4" s="331"/>
      <c r="AK4" s="331"/>
      <c r="AL4" s="331"/>
      <c r="AM4" s="331"/>
      <c r="AN4" s="331"/>
      <c r="AO4" s="332"/>
      <c r="AP4" s="342" t="s">
        <v>0</v>
      </c>
      <c r="AQ4" s="346" t="s">
        <v>1</v>
      </c>
      <c r="AR4" s="344" t="s">
        <v>132</v>
      </c>
      <c r="AS4" s="344"/>
      <c r="AT4" s="344"/>
      <c r="AU4" s="344"/>
      <c r="AV4" s="344" t="s">
        <v>94</v>
      </c>
      <c r="AW4" s="344"/>
      <c r="AX4" s="344"/>
      <c r="AY4" s="344"/>
      <c r="AZ4" s="342" t="s">
        <v>0</v>
      </c>
      <c r="BA4" s="317" t="s">
        <v>1</v>
      </c>
      <c r="BB4" s="317" t="s">
        <v>38</v>
      </c>
      <c r="BC4" s="317"/>
      <c r="BD4" s="317"/>
      <c r="BE4" s="317"/>
      <c r="BF4" s="317"/>
      <c r="BG4" s="326" t="s">
        <v>146</v>
      </c>
      <c r="BH4" s="316" t="s">
        <v>136</v>
      </c>
      <c r="BI4" s="316"/>
      <c r="BJ4" s="316" t="s">
        <v>139</v>
      </c>
      <c r="BK4" s="316"/>
      <c r="BL4" s="316" t="s">
        <v>142</v>
      </c>
      <c r="BM4" s="316"/>
      <c r="BN4" s="347" t="s">
        <v>0</v>
      </c>
      <c r="BO4" s="317" t="s">
        <v>1</v>
      </c>
      <c r="BP4" s="344" t="s">
        <v>147</v>
      </c>
      <c r="BQ4" s="344"/>
      <c r="BR4" s="344"/>
      <c r="BS4" s="344"/>
      <c r="BT4" s="344"/>
      <c r="BU4" s="344"/>
      <c r="BV4" s="344"/>
      <c r="BW4" s="344" t="s">
        <v>148</v>
      </c>
      <c r="BX4" s="344"/>
      <c r="BY4" s="344"/>
      <c r="BZ4" s="347" t="s">
        <v>0</v>
      </c>
      <c r="CA4" s="317" t="s">
        <v>1</v>
      </c>
      <c r="CB4" s="318" t="s">
        <v>150</v>
      </c>
      <c r="CC4" s="318" t="s">
        <v>151</v>
      </c>
      <c r="CD4" s="318" t="s">
        <v>78</v>
      </c>
      <c r="CE4" s="321" t="s">
        <v>79</v>
      </c>
      <c r="CF4" s="321" t="s">
        <v>77</v>
      </c>
      <c r="CG4" s="336" t="s">
        <v>152</v>
      </c>
      <c r="CH4" s="336" t="s">
        <v>153</v>
      </c>
      <c r="CI4" s="342" t="s">
        <v>0</v>
      </c>
      <c r="CJ4" s="317" t="s">
        <v>1</v>
      </c>
      <c r="CK4" s="318" t="s">
        <v>150</v>
      </c>
      <c r="CL4" s="318" t="s">
        <v>151</v>
      </c>
      <c r="CM4" s="318" t="s">
        <v>78</v>
      </c>
      <c r="CN4" s="318" t="s">
        <v>79</v>
      </c>
      <c r="CO4" s="318" t="s">
        <v>77</v>
      </c>
      <c r="CP4" s="336" t="s">
        <v>152</v>
      </c>
      <c r="CQ4" s="336" t="s">
        <v>153</v>
      </c>
      <c r="CR4" s="342" t="s">
        <v>0</v>
      </c>
      <c r="CS4" s="317" t="s">
        <v>1</v>
      </c>
      <c r="CT4" s="318" t="s">
        <v>150</v>
      </c>
      <c r="CU4" s="318" t="s">
        <v>157</v>
      </c>
      <c r="CV4" s="318" t="s">
        <v>78</v>
      </c>
      <c r="CW4" s="318" t="s">
        <v>158</v>
      </c>
      <c r="CX4" s="321" t="s">
        <v>77</v>
      </c>
      <c r="CY4" s="336" t="s">
        <v>152</v>
      </c>
      <c r="CZ4" s="336" t="s">
        <v>153</v>
      </c>
      <c r="DA4" s="339" t="s">
        <v>156</v>
      </c>
      <c r="DB4" s="342" t="s">
        <v>0</v>
      </c>
      <c r="DC4" s="317" t="s">
        <v>1</v>
      </c>
      <c r="DD4" s="318" t="s">
        <v>150</v>
      </c>
      <c r="DE4" s="318" t="s">
        <v>151</v>
      </c>
      <c r="DF4" s="318" t="s">
        <v>78</v>
      </c>
      <c r="DG4" s="321" t="s">
        <v>160</v>
      </c>
      <c r="DH4" s="318" t="s">
        <v>77</v>
      </c>
      <c r="DI4" s="336" t="s">
        <v>152</v>
      </c>
      <c r="DJ4" s="336" t="s">
        <v>153</v>
      </c>
      <c r="DK4" s="342" t="s">
        <v>0</v>
      </c>
      <c r="DL4" s="317" t="s">
        <v>1</v>
      </c>
      <c r="DM4" s="129" t="s">
        <v>37</v>
      </c>
      <c r="DN4" s="316" t="s">
        <v>76</v>
      </c>
      <c r="DO4" s="316"/>
      <c r="DP4" s="316" t="s">
        <v>92</v>
      </c>
      <c r="DQ4" s="316"/>
      <c r="DR4" s="316"/>
      <c r="DS4" s="316"/>
      <c r="DT4" s="316"/>
      <c r="DU4" s="316"/>
      <c r="DV4" s="316" t="s">
        <v>165</v>
      </c>
      <c r="DW4" s="316"/>
      <c r="DX4" s="316"/>
      <c r="DY4" s="347" t="s">
        <v>0</v>
      </c>
      <c r="DZ4" s="368" t="s">
        <v>1</v>
      </c>
      <c r="EA4" s="344" t="s">
        <v>170</v>
      </c>
      <c r="EB4" s="344"/>
      <c r="EC4" s="344"/>
      <c r="ED4" s="344" t="s">
        <v>104</v>
      </c>
      <c r="EE4" s="344"/>
      <c r="EF4" s="132" t="s">
        <v>121</v>
      </c>
      <c r="EG4" s="132" t="s">
        <v>122</v>
      </c>
      <c r="EH4" s="367" t="s">
        <v>0</v>
      </c>
      <c r="EI4" s="346" t="s">
        <v>1</v>
      </c>
      <c r="EJ4" s="361" t="s">
        <v>34</v>
      </c>
      <c r="EK4" s="361"/>
      <c r="EL4" s="361"/>
      <c r="EM4" s="361"/>
      <c r="EN4" s="361"/>
      <c r="EO4" s="361"/>
      <c r="EP4" s="361"/>
      <c r="EQ4" s="365" t="s">
        <v>0</v>
      </c>
    </row>
    <row r="5" spans="1:154" ht="17.149999999999999" customHeight="1" x14ac:dyDescent="0.35">
      <c r="A5" s="359"/>
      <c r="B5" s="357" t="s">
        <v>83</v>
      </c>
      <c r="C5" s="357" t="s">
        <v>111</v>
      </c>
      <c r="D5" s="356" t="s">
        <v>32</v>
      </c>
      <c r="E5" s="357" t="s">
        <v>83</v>
      </c>
      <c r="F5" s="357" t="s">
        <v>110</v>
      </c>
      <c r="G5" s="356" t="s">
        <v>32</v>
      </c>
      <c r="H5" s="357" t="s">
        <v>83</v>
      </c>
      <c r="I5" s="357" t="s">
        <v>109</v>
      </c>
      <c r="J5" s="360"/>
      <c r="K5" s="359"/>
      <c r="L5" s="357" t="s">
        <v>83</v>
      </c>
      <c r="M5" s="357" t="s">
        <v>116</v>
      </c>
      <c r="N5" s="357" t="s">
        <v>83</v>
      </c>
      <c r="O5" s="357" t="s">
        <v>66</v>
      </c>
      <c r="P5" s="357" t="s">
        <v>83</v>
      </c>
      <c r="Q5" s="357" t="s">
        <v>116</v>
      </c>
      <c r="R5" s="336" t="s">
        <v>121</v>
      </c>
      <c r="S5" s="336" t="s">
        <v>122</v>
      </c>
      <c r="T5" s="336" t="s">
        <v>123</v>
      </c>
      <c r="U5" s="336" t="s">
        <v>124</v>
      </c>
      <c r="V5" s="360"/>
      <c r="W5" s="346"/>
      <c r="X5" s="333" t="s">
        <v>20</v>
      </c>
      <c r="Y5" s="333"/>
      <c r="Z5" s="333" t="s">
        <v>21</v>
      </c>
      <c r="AA5" s="333"/>
      <c r="AB5" s="333" t="s">
        <v>127</v>
      </c>
      <c r="AC5" s="333"/>
      <c r="AD5" s="333" t="s">
        <v>128</v>
      </c>
      <c r="AE5" s="333"/>
      <c r="AF5" s="342"/>
      <c r="AG5" s="346"/>
      <c r="AH5" s="333" t="s">
        <v>130</v>
      </c>
      <c r="AI5" s="333"/>
      <c r="AJ5" s="333" t="s">
        <v>131</v>
      </c>
      <c r="AK5" s="333"/>
      <c r="AL5" s="333" t="s">
        <v>65</v>
      </c>
      <c r="AM5" s="333"/>
      <c r="AN5" s="333" t="s">
        <v>75</v>
      </c>
      <c r="AO5" s="333"/>
      <c r="AP5" s="342"/>
      <c r="AQ5" s="346"/>
      <c r="AR5" s="333" t="s">
        <v>133</v>
      </c>
      <c r="AS5" s="333"/>
      <c r="AT5" s="333" t="s">
        <v>134</v>
      </c>
      <c r="AU5" s="333"/>
      <c r="AV5" s="333" t="s">
        <v>95</v>
      </c>
      <c r="AW5" s="333"/>
      <c r="AX5" s="333" t="s">
        <v>96</v>
      </c>
      <c r="AY5" s="333"/>
      <c r="AZ5" s="342"/>
      <c r="BA5" s="317"/>
      <c r="BB5" s="353" t="s">
        <v>25</v>
      </c>
      <c r="BC5" s="366" t="s">
        <v>29</v>
      </c>
      <c r="BD5" s="335" t="s">
        <v>4</v>
      </c>
      <c r="BE5" s="335" t="s">
        <v>80</v>
      </c>
      <c r="BF5" s="335" t="s">
        <v>81</v>
      </c>
      <c r="BG5" s="326"/>
      <c r="BH5" s="343" t="s">
        <v>137</v>
      </c>
      <c r="BI5" s="343" t="s">
        <v>138</v>
      </c>
      <c r="BJ5" s="343" t="s">
        <v>140</v>
      </c>
      <c r="BK5" s="343" t="s">
        <v>141</v>
      </c>
      <c r="BL5" s="343" t="s">
        <v>143</v>
      </c>
      <c r="BM5" s="343" t="s">
        <v>144</v>
      </c>
      <c r="BN5" s="347"/>
      <c r="BO5" s="317"/>
      <c r="BP5" s="328" t="s">
        <v>31</v>
      </c>
      <c r="BQ5" s="354" t="s">
        <v>22</v>
      </c>
      <c r="BR5" s="326" t="s">
        <v>4</v>
      </c>
      <c r="BS5" s="326" t="s">
        <v>82</v>
      </c>
      <c r="BT5" s="326" t="s">
        <v>149</v>
      </c>
      <c r="BU5" s="328" t="s">
        <v>23</v>
      </c>
      <c r="BV5" s="327" t="s">
        <v>99</v>
      </c>
      <c r="BW5" s="327" t="s">
        <v>98</v>
      </c>
      <c r="BX5" s="355" t="s">
        <v>26</v>
      </c>
      <c r="BY5" s="355" t="s">
        <v>97</v>
      </c>
      <c r="BZ5" s="347"/>
      <c r="CA5" s="317"/>
      <c r="CB5" s="319"/>
      <c r="CC5" s="319"/>
      <c r="CD5" s="319"/>
      <c r="CE5" s="322"/>
      <c r="CF5" s="322"/>
      <c r="CG5" s="337"/>
      <c r="CH5" s="337"/>
      <c r="CI5" s="342"/>
      <c r="CJ5" s="317"/>
      <c r="CK5" s="319"/>
      <c r="CL5" s="319"/>
      <c r="CM5" s="319"/>
      <c r="CN5" s="319"/>
      <c r="CO5" s="319"/>
      <c r="CP5" s="337"/>
      <c r="CQ5" s="337"/>
      <c r="CR5" s="342"/>
      <c r="CS5" s="317"/>
      <c r="CT5" s="319"/>
      <c r="CU5" s="319"/>
      <c r="CV5" s="319"/>
      <c r="CW5" s="319"/>
      <c r="CX5" s="322"/>
      <c r="CY5" s="337"/>
      <c r="CZ5" s="337"/>
      <c r="DA5" s="340"/>
      <c r="DB5" s="342"/>
      <c r="DC5" s="317"/>
      <c r="DD5" s="319"/>
      <c r="DE5" s="319"/>
      <c r="DF5" s="319"/>
      <c r="DG5" s="322"/>
      <c r="DH5" s="319"/>
      <c r="DI5" s="337"/>
      <c r="DJ5" s="337"/>
      <c r="DK5" s="342"/>
      <c r="DL5" s="317"/>
      <c r="DM5" s="327" t="s">
        <v>4</v>
      </c>
      <c r="DN5" s="328" t="s">
        <v>161</v>
      </c>
      <c r="DO5" s="328" t="s">
        <v>162</v>
      </c>
      <c r="DP5" s="328" t="s">
        <v>85</v>
      </c>
      <c r="DQ5" s="327" t="s">
        <v>4</v>
      </c>
      <c r="DR5" s="326" t="s">
        <v>82</v>
      </c>
      <c r="DS5" s="328" t="s">
        <v>163</v>
      </c>
      <c r="DT5" s="326" t="s">
        <v>164</v>
      </c>
      <c r="DU5" s="327" t="s">
        <v>169</v>
      </c>
      <c r="DV5" s="328" t="s">
        <v>172</v>
      </c>
      <c r="DW5" s="328" t="s">
        <v>166</v>
      </c>
      <c r="DX5" s="328" t="s">
        <v>167</v>
      </c>
      <c r="DY5" s="347"/>
      <c r="DZ5" s="368"/>
      <c r="EA5" s="348" t="s">
        <v>173</v>
      </c>
      <c r="EB5" s="348" t="s">
        <v>174</v>
      </c>
      <c r="EC5" s="348" t="s">
        <v>171</v>
      </c>
      <c r="ED5" s="327" t="s">
        <v>86</v>
      </c>
      <c r="EE5" s="327"/>
      <c r="EF5" s="327" t="s">
        <v>84</v>
      </c>
      <c r="EG5" s="327" t="s">
        <v>84</v>
      </c>
      <c r="EH5" s="367"/>
      <c r="EI5" s="346"/>
      <c r="EJ5" s="361"/>
      <c r="EK5" s="361"/>
      <c r="EL5" s="361"/>
      <c r="EM5" s="361"/>
      <c r="EN5" s="361"/>
      <c r="EO5" s="361"/>
      <c r="EP5" s="361"/>
      <c r="EQ5" s="365"/>
    </row>
    <row r="6" spans="1:154" ht="17.149999999999999" customHeight="1" x14ac:dyDescent="0.35">
      <c r="A6" s="359"/>
      <c r="B6" s="357"/>
      <c r="C6" s="357"/>
      <c r="D6" s="356"/>
      <c r="E6" s="357"/>
      <c r="F6" s="357"/>
      <c r="G6" s="356"/>
      <c r="H6" s="357"/>
      <c r="I6" s="357"/>
      <c r="J6" s="360"/>
      <c r="K6" s="359"/>
      <c r="L6" s="357"/>
      <c r="M6" s="357"/>
      <c r="N6" s="357"/>
      <c r="O6" s="357"/>
      <c r="P6" s="357"/>
      <c r="Q6" s="357"/>
      <c r="R6" s="337"/>
      <c r="S6" s="337"/>
      <c r="T6" s="337"/>
      <c r="U6" s="337"/>
      <c r="V6" s="360"/>
      <c r="W6" s="346"/>
      <c r="X6" s="333" t="s">
        <v>5</v>
      </c>
      <c r="Y6" s="333" t="s">
        <v>6</v>
      </c>
      <c r="Z6" s="333" t="s">
        <v>5</v>
      </c>
      <c r="AA6" s="333" t="s">
        <v>6</v>
      </c>
      <c r="AB6" s="333" t="s">
        <v>5</v>
      </c>
      <c r="AC6" s="333" t="s">
        <v>6</v>
      </c>
      <c r="AD6" s="333" t="s">
        <v>5</v>
      </c>
      <c r="AE6" s="333" t="s">
        <v>6</v>
      </c>
      <c r="AF6" s="342"/>
      <c r="AG6" s="346"/>
      <c r="AH6" s="333" t="s">
        <v>5</v>
      </c>
      <c r="AI6" s="333" t="s">
        <v>6</v>
      </c>
      <c r="AJ6" s="333" t="s">
        <v>5</v>
      </c>
      <c r="AK6" s="333" t="s">
        <v>6</v>
      </c>
      <c r="AL6" s="333" t="s">
        <v>5</v>
      </c>
      <c r="AM6" s="333" t="s">
        <v>6</v>
      </c>
      <c r="AN6" s="333" t="s">
        <v>5</v>
      </c>
      <c r="AO6" s="333" t="s">
        <v>6</v>
      </c>
      <c r="AP6" s="342"/>
      <c r="AQ6" s="346"/>
      <c r="AR6" s="333" t="s">
        <v>5</v>
      </c>
      <c r="AS6" s="333" t="s">
        <v>6</v>
      </c>
      <c r="AT6" s="333" t="s">
        <v>5</v>
      </c>
      <c r="AU6" s="333" t="s">
        <v>6</v>
      </c>
      <c r="AV6" s="333" t="s">
        <v>5</v>
      </c>
      <c r="AW6" s="333" t="s">
        <v>6</v>
      </c>
      <c r="AX6" s="333" t="s">
        <v>5</v>
      </c>
      <c r="AY6" s="333" t="s">
        <v>6</v>
      </c>
      <c r="AZ6" s="342"/>
      <c r="BA6" s="317"/>
      <c r="BB6" s="353"/>
      <c r="BC6" s="366"/>
      <c r="BD6" s="335"/>
      <c r="BE6" s="335"/>
      <c r="BF6" s="335"/>
      <c r="BG6" s="326"/>
      <c r="BH6" s="343"/>
      <c r="BI6" s="343"/>
      <c r="BJ6" s="343"/>
      <c r="BK6" s="343"/>
      <c r="BL6" s="343"/>
      <c r="BM6" s="343"/>
      <c r="BN6" s="347"/>
      <c r="BO6" s="317"/>
      <c r="BP6" s="328"/>
      <c r="BQ6" s="354"/>
      <c r="BR6" s="326"/>
      <c r="BS6" s="326"/>
      <c r="BT6" s="326"/>
      <c r="BU6" s="328"/>
      <c r="BV6" s="327"/>
      <c r="BW6" s="327"/>
      <c r="BX6" s="355"/>
      <c r="BY6" s="355"/>
      <c r="BZ6" s="347"/>
      <c r="CA6" s="317"/>
      <c r="CB6" s="319"/>
      <c r="CC6" s="319"/>
      <c r="CD6" s="319"/>
      <c r="CE6" s="322"/>
      <c r="CF6" s="322"/>
      <c r="CG6" s="337"/>
      <c r="CH6" s="337"/>
      <c r="CI6" s="342"/>
      <c r="CJ6" s="317"/>
      <c r="CK6" s="319"/>
      <c r="CL6" s="319"/>
      <c r="CM6" s="319"/>
      <c r="CN6" s="319"/>
      <c r="CO6" s="319"/>
      <c r="CP6" s="337"/>
      <c r="CQ6" s="337"/>
      <c r="CR6" s="342"/>
      <c r="CS6" s="317"/>
      <c r="CT6" s="319"/>
      <c r="CU6" s="319"/>
      <c r="CV6" s="319"/>
      <c r="CW6" s="319"/>
      <c r="CX6" s="322"/>
      <c r="CY6" s="337"/>
      <c r="CZ6" s="337"/>
      <c r="DA6" s="340"/>
      <c r="DB6" s="342"/>
      <c r="DC6" s="317"/>
      <c r="DD6" s="319"/>
      <c r="DE6" s="319"/>
      <c r="DF6" s="319"/>
      <c r="DG6" s="322"/>
      <c r="DH6" s="319"/>
      <c r="DI6" s="337"/>
      <c r="DJ6" s="337"/>
      <c r="DK6" s="342"/>
      <c r="DL6" s="317"/>
      <c r="DM6" s="327"/>
      <c r="DN6" s="328"/>
      <c r="DO6" s="328"/>
      <c r="DP6" s="328"/>
      <c r="DQ6" s="327"/>
      <c r="DR6" s="326"/>
      <c r="DS6" s="328"/>
      <c r="DT6" s="326"/>
      <c r="DU6" s="327"/>
      <c r="DV6" s="328"/>
      <c r="DW6" s="328"/>
      <c r="DX6" s="328"/>
      <c r="DY6" s="347"/>
      <c r="DZ6" s="368"/>
      <c r="EA6" s="348"/>
      <c r="EB6" s="348"/>
      <c r="EC6" s="348"/>
      <c r="ED6" s="327" t="s">
        <v>102</v>
      </c>
      <c r="EE6" s="327" t="s">
        <v>103</v>
      </c>
      <c r="EF6" s="327"/>
      <c r="EG6" s="327"/>
      <c r="EH6" s="367"/>
      <c r="EI6" s="346"/>
      <c r="EJ6" s="361"/>
      <c r="EK6" s="361"/>
      <c r="EL6" s="361"/>
      <c r="EM6" s="361"/>
      <c r="EN6" s="361"/>
      <c r="EO6" s="361"/>
      <c r="EP6" s="361"/>
      <c r="EQ6" s="365"/>
    </row>
    <row r="7" spans="1:154" ht="17.149999999999999" customHeight="1" x14ac:dyDescent="0.35">
      <c r="A7" s="359"/>
      <c r="B7" s="357"/>
      <c r="C7" s="357"/>
      <c r="D7" s="356"/>
      <c r="E7" s="357"/>
      <c r="F7" s="357"/>
      <c r="G7" s="356"/>
      <c r="H7" s="357"/>
      <c r="I7" s="357"/>
      <c r="J7" s="360"/>
      <c r="K7" s="359"/>
      <c r="L7" s="357"/>
      <c r="M7" s="357"/>
      <c r="N7" s="357"/>
      <c r="O7" s="357"/>
      <c r="P7" s="357"/>
      <c r="Q7" s="357"/>
      <c r="R7" s="338"/>
      <c r="S7" s="338"/>
      <c r="T7" s="338"/>
      <c r="U7" s="338"/>
      <c r="V7" s="360"/>
      <c r="W7" s="346"/>
      <c r="X7" s="333"/>
      <c r="Y7" s="333"/>
      <c r="Z7" s="333"/>
      <c r="AA7" s="333"/>
      <c r="AB7" s="333"/>
      <c r="AC7" s="333"/>
      <c r="AD7" s="333"/>
      <c r="AE7" s="333"/>
      <c r="AF7" s="342"/>
      <c r="AG7" s="346"/>
      <c r="AH7" s="333"/>
      <c r="AI7" s="333"/>
      <c r="AJ7" s="333"/>
      <c r="AK7" s="333"/>
      <c r="AL7" s="333"/>
      <c r="AM7" s="333"/>
      <c r="AN7" s="333"/>
      <c r="AO7" s="333"/>
      <c r="AP7" s="342"/>
      <c r="AQ7" s="346"/>
      <c r="AR7" s="333"/>
      <c r="AS7" s="333"/>
      <c r="AT7" s="333"/>
      <c r="AU7" s="333"/>
      <c r="AV7" s="333"/>
      <c r="AW7" s="333"/>
      <c r="AX7" s="333"/>
      <c r="AY7" s="333"/>
      <c r="AZ7" s="342"/>
      <c r="BA7" s="317"/>
      <c r="BB7" s="353"/>
      <c r="BC7" s="366"/>
      <c r="BD7" s="335"/>
      <c r="BE7" s="335"/>
      <c r="BF7" s="335"/>
      <c r="BG7" s="326"/>
      <c r="BH7" s="343"/>
      <c r="BI7" s="343"/>
      <c r="BJ7" s="343"/>
      <c r="BK7" s="343"/>
      <c r="BL7" s="343"/>
      <c r="BM7" s="343"/>
      <c r="BN7" s="347"/>
      <c r="BO7" s="317"/>
      <c r="BP7" s="328"/>
      <c r="BQ7" s="354"/>
      <c r="BR7" s="326"/>
      <c r="BS7" s="326"/>
      <c r="BT7" s="326"/>
      <c r="BU7" s="328"/>
      <c r="BV7" s="327"/>
      <c r="BW7" s="327"/>
      <c r="BX7" s="355"/>
      <c r="BY7" s="355"/>
      <c r="BZ7" s="347"/>
      <c r="CA7" s="317"/>
      <c r="CB7" s="320"/>
      <c r="CC7" s="320"/>
      <c r="CD7" s="320"/>
      <c r="CE7" s="323"/>
      <c r="CF7" s="323"/>
      <c r="CG7" s="338"/>
      <c r="CH7" s="338"/>
      <c r="CI7" s="342"/>
      <c r="CJ7" s="317"/>
      <c r="CK7" s="320"/>
      <c r="CL7" s="320"/>
      <c r="CM7" s="320"/>
      <c r="CN7" s="320"/>
      <c r="CO7" s="320"/>
      <c r="CP7" s="338"/>
      <c r="CQ7" s="338"/>
      <c r="CR7" s="342"/>
      <c r="CS7" s="317"/>
      <c r="CT7" s="320"/>
      <c r="CU7" s="320"/>
      <c r="CV7" s="320"/>
      <c r="CW7" s="320"/>
      <c r="CX7" s="323"/>
      <c r="CY7" s="338"/>
      <c r="CZ7" s="338"/>
      <c r="DA7" s="341"/>
      <c r="DB7" s="342"/>
      <c r="DC7" s="317"/>
      <c r="DD7" s="320"/>
      <c r="DE7" s="320"/>
      <c r="DF7" s="320"/>
      <c r="DG7" s="323"/>
      <c r="DH7" s="320"/>
      <c r="DI7" s="338"/>
      <c r="DJ7" s="338"/>
      <c r="DK7" s="342"/>
      <c r="DL7" s="317"/>
      <c r="DM7" s="327"/>
      <c r="DN7" s="328"/>
      <c r="DO7" s="328"/>
      <c r="DP7" s="328"/>
      <c r="DQ7" s="327"/>
      <c r="DR7" s="326"/>
      <c r="DS7" s="328"/>
      <c r="DT7" s="326"/>
      <c r="DU7" s="327"/>
      <c r="DV7" s="328"/>
      <c r="DW7" s="328"/>
      <c r="DX7" s="328"/>
      <c r="DY7" s="347"/>
      <c r="DZ7" s="368"/>
      <c r="EA7" s="348"/>
      <c r="EB7" s="348"/>
      <c r="EC7" s="348"/>
      <c r="ED7" s="327"/>
      <c r="EE7" s="327"/>
      <c r="EF7" s="327"/>
      <c r="EG7" s="327"/>
      <c r="EH7" s="367"/>
      <c r="EI7" s="346"/>
      <c r="EJ7" s="361"/>
      <c r="EK7" s="361"/>
      <c r="EL7" s="361"/>
      <c r="EM7" s="361"/>
      <c r="EN7" s="361"/>
      <c r="EO7" s="361"/>
      <c r="EP7" s="361"/>
      <c r="EQ7" s="365"/>
    </row>
    <row r="8" spans="1:154" s="3" customFormat="1" ht="17.149999999999999" customHeight="1" x14ac:dyDescent="0.25">
      <c r="A8" s="56">
        <v>1</v>
      </c>
      <c r="B8" s="212">
        <v>877456</v>
      </c>
      <c r="C8" s="213">
        <f>IF(B9="","",IF(B9=B8,"",(B9-B8)))</f>
        <v>130</v>
      </c>
      <c r="D8" s="217">
        <v>10.42</v>
      </c>
      <c r="E8" s="214">
        <v>781642</v>
      </c>
      <c r="F8" s="213">
        <f>IF(E9="","",IF(E9=E8,"",(E9-E8)))</f>
        <v>131</v>
      </c>
      <c r="G8" s="216">
        <v>1.91</v>
      </c>
      <c r="H8" s="212">
        <v>742274</v>
      </c>
      <c r="I8" s="213">
        <f t="shared" ref="I8:I36" si="0">IF(H9="","",IF(H9=H8,"",(H9-H8)))</f>
        <v>110</v>
      </c>
      <c r="J8" s="60" t="s">
        <v>194</v>
      </c>
      <c r="K8" s="56">
        <v>1</v>
      </c>
      <c r="L8" s="212">
        <v>68727</v>
      </c>
      <c r="M8" s="213">
        <f>IF(L9="","",IF(L9=L8,"",(L9-L8)))</f>
        <v>3</v>
      </c>
      <c r="N8" s="214">
        <v>173907</v>
      </c>
      <c r="O8" s="213">
        <f>IF(N9="","",IF(N9=N8,"",(N9-N8)))</f>
        <v>27</v>
      </c>
      <c r="P8" s="212">
        <v>194713</v>
      </c>
      <c r="Q8" s="213" t="str">
        <f t="shared" ref="Q8:Q36" si="1">IF(P9="","",IF(P9=P8,"",(P9-P8)))</f>
        <v/>
      </c>
      <c r="R8" s="57">
        <v>666</v>
      </c>
      <c r="S8" s="57">
        <v>674</v>
      </c>
      <c r="T8" s="170">
        <v>139</v>
      </c>
      <c r="U8" s="57">
        <v>136</v>
      </c>
      <c r="V8" s="58" t="str">
        <f>IF(J8="","",J8)</f>
        <v>ME</v>
      </c>
      <c r="W8" s="56">
        <v>1</v>
      </c>
      <c r="X8" s="210">
        <v>11560.51</v>
      </c>
      <c r="Y8" s="211">
        <f>IF(X9="","",IF(X9=X8,"",X9-X8))</f>
        <v>1.7999999999992724</v>
      </c>
      <c r="Z8" s="210">
        <v>12341.82</v>
      </c>
      <c r="AA8" s="211">
        <f>IF(Z9="","",IF(Z9=Z8,"",Z9-Z8))</f>
        <v>2.0500000000010914</v>
      </c>
      <c r="AB8" s="210">
        <v>9749.9</v>
      </c>
      <c r="AC8" s="211">
        <f>IF(AB9="","",IF(AB9=AB8,"",AB9-AB8))</f>
        <v>1.3600000000005821</v>
      </c>
      <c r="AD8" s="210">
        <v>9839.73</v>
      </c>
      <c r="AE8" s="211">
        <f t="shared" ref="AE8:AE36" si="2">IF(AD9="","",IF(AD9=AD8,"",AD9-AD8))</f>
        <v>1.569999999999709</v>
      </c>
      <c r="AF8" s="125" t="str">
        <f>IF(J8="","",J8)</f>
        <v>ME</v>
      </c>
      <c r="AG8" s="56">
        <v>1</v>
      </c>
      <c r="AH8" s="210">
        <v>46128.62</v>
      </c>
      <c r="AI8" s="211">
        <f>IF(AH9="","",IF(AH9=AH8,"",AH9-AH8))</f>
        <v>14.159999999996217</v>
      </c>
      <c r="AJ8" s="210">
        <v>48266.34</v>
      </c>
      <c r="AK8" s="211">
        <f>IF(AJ9="","",IF(AJ9=AJ8,"",AJ9-AJ8))</f>
        <v>7.5500000000029104</v>
      </c>
      <c r="AL8" s="210">
        <v>585.75</v>
      </c>
      <c r="AM8" s="211" t="str">
        <f>IF(AL9="","",IF(AL9=AL8,"",AL9-AL8))</f>
        <v/>
      </c>
      <c r="AN8" s="210">
        <v>547.01</v>
      </c>
      <c r="AO8" s="211" t="str">
        <f t="shared" ref="AO8:AO36" si="3">IF(AN9="","",IF(AN9=AN8,"",AN9-AN8))</f>
        <v/>
      </c>
      <c r="AP8" s="125" t="str">
        <f>IF(J8="","",J8)</f>
        <v>ME</v>
      </c>
      <c r="AQ8" s="56">
        <v>1</v>
      </c>
      <c r="AR8" s="210">
        <v>6654.91</v>
      </c>
      <c r="AS8" s="211">
        <f>IF(AR9="","",IF(AR9=AR8,"",AR9-AR8))</f>
        <v>1.4700000000002547</v>
      </c>
      <c r="AT8" s="210">
        <v>7366.1</v>
      </c>
      <c r="AU8" s="211">
        <f>IF(AT9="","",IF(AT9=AT8,"",AT9-AT8))</f>
        <v>1.3799999999991996</v>
      </c>
      <c r="AV8" s="210">
        <v>252.23</v>
      </c>
      <c r="AW8" s="211" t="str">
        <f>IF(AV9="","",IF(AV9=AV8,"",AV9-AV8))</f>
        <v/>
      </c>
      <c r="AX8" s="210">
        <v>239.91</v>
      </c>
      <c r="AY8" s="211" t="str">
        <f t="shared" ref="AY8:AY36" si="4">IF(AX9="","",IF(AX9=AX8,"",AX9-AX8))</f>
        <v/>
      </c>
      <c r="AZ8" s="125" t="str">
        <f>IF(J8="","",J8)</f>
        <v>ME</v>
      </c>
      <c r="BA8" s="56">
        <v>1</v>
      </c>
      <c r="BB8" s="64">
        <v>0.68200000000000005</v>
      </c>
      <c r="BC8" s="62">
        <v>50</v>
      </c>
      <c r="BD8" s="61">
        <v>7.1</v>
      </c>
      <c r="BE8" s="61">
        <v>3</v>
      </c>
      <c r="BF8" s="61">
        <v>15.8</v>
      </c>
      <c r="BG8" s="61">
        <v>7.1</v>
      </c>
      <c r="BH8" s="64">
        <v>0.219</v>
      </c>
      <c r="BI8" s="64">
        <v>0.25</v>
      </c>
      <c r="BJ8" s="64">
        <v>5.5E-2</v>
      </c>
      <c r="BK8" s="64">
        <v>5.0999999999999997E-2</v>
      </c>
      <c r="BL8" s="64">
        <v>5.5E-2</v>
      </c>
      <c r="BM8" s="64">
        <v>0.05</v>
      </c>
      <c r="BN8" s="65" t="str">
        <f>IF(J8="","",J8)</f>
        <v>ME</v>
      </c>
      <c r="BO8" s="56">
        <v>1</v>
      </c>
      <c r="BP8" s="64">
        <v>7.1999999999999995E-2</v>
      </c>
      <c r="BQ8" s="62">
        <v>0</v>
      </c>
      <c r="BR8" s="61">
        <v>7.3</v>
      </c>
      <c r="BS8" s="61">
        <v>8.1999999999999993</v>
      </c>
      <c r="BT8" s="61">
        <v>22</v>
      </c>
      <c r="BU8" s="64">
        <v>1.4E-2</v>
      </c>
      <c r="BV8" s="63">
        <v>1.18</v>
      </c>
      <c r="BW8" s="63">
        <v>1.04</v>
      </c>
      <c r="BX8" s="66" t="s">
        <v>245</v>
      </c>
      <c r="BY8" s="172" t="s">
        <v>246</v>
      </c>
      <c r="BZ8" s="67" t="str">
        <f>IF(J8="","",J8)</f>
        <v>ME</v>
      </c>
      <c r="CA8" s="56">
        <v>1</v>
      </c>
      <c r="CB8" s="61">
        <v>91.5</v>
      </c>
      <c r="CC8" s="61"/>
      <c r="CD8" s="68">
        <f>IF(CB9="","",IF(CC8="",IF(CB8=CB9,"",(CB8-CB9)),IF(CC8=CB9,"",(CC8-CB9))))</f>
        <v>0.79999999999999716</v>
      </c>
      <c r="CE8" s="69">
        <f>IF(CD8="","",(CD8*(0.785*77*77)/1000))</f>
        <v>3.7234119999999873</v>
      </c>
      <c r="CF8" s="69">
        <f>IF(CE8="","",(CE8*0.12*1000)/I8)</f>
        <v>4.061903999999986</v>
      </c>
      <c r="CG8" s="62">
        <v>59</v>
      </c>
      <c r="CH8" s="62">
        <v>100</v>
      </c>
      <c r="CI8" s="65" t="str">
        <f>IF(J8="","",J8)</f>
        <v>ME</v>
      </c>
      <c r="CJ8" s="56">
        <v>1</v>
      </c>
      <c r="CK8" s="61">
        <v>89.9</v>
      </c>
      <c r="CL8" s="61"/>
      <c r="CM8" s="68">
        <f>IF(CK9="","",IF(CL8="",IF(CK8=CK9,"",(CK8-CK9)),IF(CL8=CK9,"",(CL8-CK9))))</f>
        <v>1.6000000000000085</v>
      </c>
      <c r="CN8" s="68">
        <f>IF(CM8="","",(CM8*(0.785*77*77)/1000))</f>
        <v>7.4468240000000403</v>
      </c>
      <c r="CO8" s="68">
        <f>IF(CN8="","",(CN8*0.33*1.205*1000)/C8)</f>
        <v>22.778688950769357</v>
      </c>
      <c r="CP8" s="62">
        <v>58</v>
      </c>
      <c r="CQ8" s="62">
        <v>83</v>
      </c>
      <c r="CR8" s="65" t="str">
        <f>IF(J8="","",J8)</f>
        <v>ME</v>
      </c>
      <c r="CS8" s="56">
        <v>1</v>
      </c>
      <c r="CT8" s="61">
        <v>104.2</v>
      </c>
      <c r="CU8" s="61">
        <v>98.5</v>
      </c>
      <c r="CV8" s="68">
        <f>IF(CT9="","",IF(CU8="",IF(CT8=CT9,"",(CT8-CT9)),IF(CU8=CT9,"",(CU8-CT9))))</f>
        <v>1.4000000000000057</v>
      </c>
      <c r="CW8" s="68">
        <f>IF(CV8="","",(CV8*(0.785*92*92)/1000))</f>
        <v>9.3019360000000386</v>
      </c>
      <c r="CX8" s="69">
        <f>IF(CW8="","",(CW8)/C8)</f>
        <v>7.1553353846154147E-2</v>
      </c>
      <c r="CY8" s="66" t="s">
        <v>325</v>
      </c>
      <c r="CZ8" s="66" t="s">
        <v>241</v>
      </c>
      <c r="DA8" s="66" t="s">
        <v>242</v>
      </c>
      <c r="DB8" s="65" t="str">
        <f>IF(J8="","",J8)</f>
        <v>ME</v>
      </c>
      <c r="DC8" s="56">
        <v>1</v>
      </c>
      <c r="DD8" s="61">
        <v>92.7</v>
      </c>
      <c r="DE8" s="61">
        <v>100.4</v>
      </c>
      <c r="DF8" s="68">
        <f>IF(DD9="","",IF(DE8="",IF(DD8=DD9,"",(DD8-DD9)),IF(DE8=DD9,"",(DE8-DD9))))</f>
        <v>10.700000000000003</v>
      </c>
      <c r="DG8" s="69">
        <f t="shared" ref="DG8:DG37" si="5">IF(DF8="","",(DF8*(0.785*92*92)*0.00812/1000))</f>
        <v>0.57727814816000012</v>
      </c>
      <c r="DH8" s="68">
        <f t="shared" ref="DH8:DH37" si="6">IF(DG8="","",(DG8*1000)/C8)</f>
        <v>4.4406011396923084</v>
      </c>
      <c r="DI8" s="62">
        <v>98</v>
      </c>
      <c r="DJ8" s="62">
        <v>54</v>
      </c>
      <c r="DK8" s="65" t="str">
        <f>IF(J8="","",J8)</f>
        <v>ME</v>
      </c>
      <c r="DL8" s="56">
        <v>1</v>
      </c>
      <c r="DM8" s="63">
        <v>8.56</v>
      </c>
      <c r="DN8" s="64">
        <v>2.4E-2</v>
      </c>
      <c r="DO8" s="64">
        <v>3.3000000000000002E-2</v>
      </c>
      <c r="DP8" s="64">
        <v>5.0999999999999997E-2</v>
      </c>
      <c r="DQ8" s="63">
        <v>6.8</v>
      </c>
      <c r="DR8" s="61">
        <v>8.1999999999999993</v>
      </c>
      <c r="DS8" s="64">
        <v>1.1859999999999999</v>
      </c>
      <c r="DT8" s="61">
        <v>84.3</v>
      </c>
      <c r="DU8" s="63">
        <v>4.25</v>
      </c>
      <c r="DV8" s="64">
        <v>0.71399999999999997</v>
      </c>
      <c r="DW8" s="64">
        <v>0.92300000000000004</v>
      </c>
      <c r="DX8" s="66" t="s">
        <v>247</v>
      </c>
      <c r="DY8" s="65" t="str">
        <f>IF(J8="","",J8)</f>
        <v>ME</v>
      </c>
      <c r="DZ8" s="128">
        <v>1</v>
      </c>
      <c r="EA8" s="173">
        <f>IF(C8="","",C8/1496)</f>
        <v>8.6898395721925134E-2</v>
      </c>
      <c r="EB8" s="173">
        <f>IF(F8="","",IF(Q8="",F8/1360,(F8+Q8)/1360))</f>
        <v>9.6323529411764711E-2</v>
      </c>
      <c r="EC8" s="173">
        <f>IF(I8="","",IF(C8="","",I8/C8))</f>
        <v>0.84615384615384615</v>
      </c>
      <c r="ED8" s="63">
        <v>1.1499999999999999</v>
      </c>
      <c r="EE8" s="63">
        <v>1.2</v>
      </c>
      <c r="EF8" s="63">
        <v>0.06</v>
      </c>
      <c r="EG8" s="284">
        <v>0.36</v>
      </c>
      <c r="EH8" s="127" t="str">
        <f t="shared" ref="EH8:EH37" si="7">IF(J8="","",J8)</f>
        <v>ME</v>
      </c>
      <c r="EI8" s="56">
        <v>1</v>
      </c>
      <c r="EJ8" s="334" t="s">
        <v>327</v>
      </c>
      <c r="EK8" s="334"/>
      <c r="EL8" s="334"/>
      <c r="EM8" s="334"/>
      <c r="EN8" s="334"/>
      <c r="EO8" s="334"/>
      <c r="EP8" s="334"/>
      <c r="EQ8" s="65" t="str">
        <f>IF(J8="","",J8)</f>
        <v>ME</v>
      </c>
      <c r="ER8" s="20"/>
      <c r="ES8" s="20"/>
      <c r="ET8" s="20"/>
      <c r="EU8" s="20"/>
      <c r="EV8" s="20"/>
      <c r="EW8" s="20"/>
      <c r="EX8" s="20"/>
    </row>
    <row r="9" spans="1:154" s="3" customFormat="1" ht="17.149999999999999" customHeight="1" x14ac:dyDescent="0.25">
      <c r="A9" s="56">
        <v>2</v>
      </c>
      <c r="B9" s="212">
        <v>877586</v>
      </c>
      <c r="C9" s="213">
        <f t="shared" ref="C9:C36" si="8">IF(B10="","",IF(B10=B9,"",(B10-B9)))</f>
        <v>184</v>
      </c>
      <c r="D9" s="217">
        <v>9.42</v>
      </c>
      <c r="E9" s="212">
        <v>781773</v>
      </c>
      <c r="F9" s="213">
        <f t="shared" ref="F9:F35" si="9">IF(E10="","",IF(E10=E9,"",(E10-E9)))</f>
        <v>155</v>
      </c>
      <c r="G9" s="216">
        <v>0.81</v>
      </c>
      <c r="H9" s="212">
        <v>742384</v>
      </c>
      <c r="I9" s="213">
        <f t="shared" si="0"/>
        <v>115</v>
      </c>
      <c r="J9" s="60" t="s">
        <v>194</v>
      </c>
      <c r="K9" s="56">
        <v>2</v>
      </c>
      <c r="L9" s="212">
        <v>68730</v>
      </c>
      <c r="M9" s="213">
        <f t="shared" ref="M9:M36" si="10">IF(L10="","",IF(L10=L9,"",(L10-L9)))</f>
        <v>55</v>
      </c>
      <c r="N9" s="212">
        <v>173934</v>
      </c>
      <c r="O9" s="213">
        <f t="shared" ref="O9:O35" si="11">IF(N10="","",IF(N10=N9,"",(N10-N9)))</f>
        <v>42</v>
      </c>
      <c r="P9" s="212">
        <v>194713</v>
      </c>
      <c r="Q9" s="213" t="str">
        <f t="shared" si="1"/>
        <v/>
      </c>
      <c r="R9" s="57">
        <v>666</v>
      </c>
      <c r="S9" s="57">
        <v>674</v>
      </c>
      <c r="T9" s="170">
        <v>139</v>
      </c>
      <c r="U9" s="57">
        <v>136</v>
      </c>
      <c r="V9" s="58" t="str">
        <f t="shared" ref="V9:V37" si="12">IF(J9="","",J9)</f>
        <v>ME</v>
      </c>
      <c r="W9" s="56">
        <v>2</v>
      </c>
      <c r="X9" s="210">
        <v>11562.31</v>
      </c>
      <c r="Y9" s="211">
        <f t="shared" ref="Y9:Y36" si="13">IF(X10="","",IF(X10=X9,"",X10-X9))</f>
        <v>3.5400000000008731</v>
      </c>
      <c r="Z9" s="210">
        <v>12343.87</v>
      </c>
      <c r="AA9" s="211">
        <f t="shared" ref="AA9:AA36" si="14">IF(Z10="","",IF(Z10=Z9,"",Z10-Z9))</f>
        <v>2.0299999999988358</v>
      </c>
      <c r="AB9" s="210">
        <v>9751.26</v>
      </c>
      <c r="AC9" s="211">
        <f t="shared" ref="AC9:AC36" si="15">IF(AB10="","",IF(AB10=AB9,"",AB10-AB9))</f>
        <v>1.4799999999995634</v>
      </c>
      <c r="AD9" s="210">
        <v>9841.2999999999993</v>
      </c>
      <c r="AE9" s="211">
        <f t="shared" si="2"/>
        <v>1.5799999999999272</v>
      </c>
      <c r="AF9" s="125" t="str">
        <f t="shared" ref="AF9:AF37" si="16">IF(J9="","",J9)</f>
        <v>ME</v>
      </c>
      <c r="AG9" s="56">
        <v>2</v>
      </c>
      <c r="AH9" s="210">
        <v>46142.78</v>
      </c>
      <c r="AI9" s="211">
        <f t="shared" ref="AI9:AI36" si="17">IF(AH10="","",IF(AH10=AH9,"",AH10-AH9))</f>
        <v>6.7600000000020373</v>
      </c>
      <c r="AJ9" s="210">
        <v>48273.89</v>
      </c>
      <c r="AK9" s="211">
        <f t="shared" ref="AK9:AK36" si="18">IF(AJ10="","",IF(AJ10=AJ9,"",AJ10-AJ9))</f>
        <v>16.459999999999127</v>
      </c>
      <c r="AL9" s="210">
        <v>585.75</v>
      </c>
      <c r="AM9" s="211" t="str">
        <f t="shared" ref="AM9:AM36" si="19">IF(AL10="","",IF(AL10=AL9,"",AL10-AL9))</f>
        <v/>
      </c>
      <c r="AN9" s="210">
        <v>547.01</v>
      </c>
      <c r="AO9" s="211" t="str">
        <f t="shared" si="3"/>
        <v/>
      </c>
      <c r="AP9" s="125" t="str">
        <f t="shared" ref="AP9:AP37" si="20">IF(J9="","",J9)</f>
        <v>ME</v>
      </c>
      <c r="AQ9" s="56">
        <v>2</v>
      </c>
      <c r="AR9" s="210">
        <v>6656.38</v>
      </c>
      <c r="AS9" s="211">
        <f t="shared" ref="AS9:AS36" si="21">IF(AR10="","",IF(AR10=AR9,"",AR10-AR9))</f>
        <v>1.5900000000001455</v>
      </c>
      <c r="AT9" s="210">
        <v>7367.48</v>
      </c>
      <c r="AU9" s="211">
        <f t="shared" ref="AU9:AU36" si="22">IF(AT10="","",IF(AT10=AT9,"",AT10-AT9))</f>
        <v>1.7600000000002183</v>
      </c>
      <c r="AV9" s="210">
        <v>252.23</v>
      </c>
      <c r="AW9" s="211" t="str">
        <f t="shared" ref="AW9:AW36" si="23">IF(AV10="","",IF(AV10=AV9,"",AV10-AV9))</f>
        <v/>
      </c>
      <c r="AX9" s="210">
        <v>239.91</v>
      </c>
      <c r="AY9" s="211">
        <f t="shared" si="4"/>
        <v>0.34000000000000341</v>
      </c>
      <c r="AZ9" s="125" t="str">
        <f t="shared" ref="AZ9:AZ37" si="24">IF(J9="","",J9)</f>
        <v>ME</v>
      </c>
      <c r="BA9" s="56">
        <v>2</v>
      </c>
      <c r="BB9" s="64"/>
      <c r="BC9" s="62"/>
      <c r="BD9" s="61"/>
      <c r="BE9" s="61"/>
      <c r="BF9" s="61"/>
      <c r="BG9" s="61"/>
      <c r="BH9" s="64"/>
      <c r="BI9" s="64"/>
      <c r="BJ9" s="64"/>
      <c r="BK9" s="64"/>
      <c r="BL9" s="64"/>
      <c r="BM9" s="64"/>
      <c r="BN9" s="65" t="str">
        <f t="shared" ref="BN9:BN37" si="25">IF(J9="","",J9)</f>
        <v>ME</v>
      </c>
      <c r="BO9" s="56">
        <v>2</v>
      </c>
      <c r="BP9" s="64">
        <v>7.6999999999999999E-2</v>
      </c>
      <c r="BQ9" s="62"/>
      <c r="BR9" s="61"/>
      <c r="BS9" s="61"/>
      <c r="BT9" s="61"/>
      <c r="BU9" s="64"/>
      <c r="BV9" s="63">
        <v>1.17</v>
      </c>
      <c r="BW9" s="63">
        <v>0.99</v>
      </c>
      <c r="BX9" s="66" t="s">
        <v>269</v>
      </c>
      <c r="BY9" s="172" t="s">
        <v>246</v>
      </c>
      <c r="BZ9" s="67" t="str">
        <f t="shared" ref="BZ9:BZ37" si="26">IF(J9="","",J9)</f>
        <v>ME</v>
      </c>
      <c r="CA9" s="56">
        <v>2</v>
      </c>
      <c r="CB9" s="61">
        <v>90.7</v>
      </c>
      <c r="CC9" s="61"/>
      <c r="CD9" s="68">
        <f t="shared" ref="CD9:CD36" si="27">IF(CB10="","",IF(CC9="",IF(CB9=CB10,"",(CB9-CB10)),IF(CC9=CB10,"",(CC9-CB10))))</f>
        <v>0.90000000000000568</v>
      </c>
      <c r="CE9" s="69">
        <f t="shared" ref="CE9:CE37" si="28">IF(CD9="","",(CD9*(0.785*77*77)/1000))</f>
        <v>4.1888385000000268</v>
      </c>
      <c r="CF9" s="69">
        <f t="shared" ref="CF9:CF37" si="29">IF(CE9="","",(CE9*0.12*1000)/I9)</f>
        <v>4.370961913043506</v>
      </c>
      <c r="CG9" s="62">
        <v>59</v>
      </c>
      <c r="CH9" s="62">
        <v>100</v>
      </c>
      <c r="CI9" s="65" t="str">
        <f t="shared" ref="CI9:CI37" si="30">IF(J9="","",J9)</f>
        <v>ME</v>
      </c>
      <c r="CJ9" s="56">
        <v>2</v>
      </c>
      <c r="CK9" s="61">
        <v>88.3</v>
      </c>
      <c r="CL9" s="61"/>
      <c r="CM9" s="68">
        <f t="shared" ref="CM9:CM36" si="31">IF(CK10="","",IF(CL9="",IF(CK9=CK10,"",(CK9-CK10)),IF(CL9=CK10,"",(CL9-CK10))))</f>
        <v>2.5</v>
      </c>
      <c r="CN9" s="68">
        <f t="shared" ref="CN9:CN37" si="32">IF(CM9="","",(CM9*(0.785*77*77)/1000))</f>
        <v>11.6356625</v>
      </c>
      <c r="CO9" s="68">
        <f t="shared" ref="CO9:CO37" si="33">IF(CN9="","",(CN9*0.33*1.205*1000)/C9)</f>
        <v>25.146310832201092</v>
      </c>
      <c r="CP9" s="62">
        <v>54</v>
      </c>
      <c r="CQ9" s="62">
        <v>83</v>
      </c>
      <c r="CR9" s="65" t="str">
        <f t="shared" ref="CR9:CR37" si="34">IF(J9="","",J9)</f>
        <v>ME</v>
      </c>
      <c r="CS9" s="56">
        <v>2</v>
      </c>
      <c r="CT9" s="61">
        <v>97.1</v>
      </c>
      <c r="CU9" s="61"/>
      <c r="CV9" s="68">
        <f t="shared" ref="CV9:CV36" si="35">IF(CT10="","",IF(CU9="",IF(CT9=CT10,"",(CT9-CT10)),IF(CU9=CT10,"",(CU9-CT10))))</f>
        <v>1.5999999999999943</v>
      </c>
      <c r="CW9" s="68">
        <f t="shared" ref="CW9:CW37" si="36">IF(CV9="","",(CV9*(0.785*92*92)/1000))</f>
        <v>10.630783999999961</v>
      </c>
      <c r="CX9" s="69">
        <f t="shared" ref="CX9:CX37" si="37">IF(CW9="","",(CW9)/C9)</f>
        <v>5.7775999999999786E-2</v>
      </c>
      <c r="CY9" s="66" t="s">
        <v>240</v>
      </c>
      <c r="CZ9" s="66" t="s">
        <v>241</v>
      </c>
      <c r="DA9" s="66"/>
      <c r="DB9" s="65" t="str">
        <f t="shared" ref="DB9:DB37" si="38">IF(J9="","",J9)</f>
        <v>ME</v>
      </c>
      <c r="DC9" s="56">
        <v>2</v>
      </c>
      <c r="DD9" s="61">
        <v>89.7</v>
      </c>
      <c r="DE9" s="61">
        <v>99.4</v>
      </c>
      <c r="DF9" s="68">
        <f>IF(DD10="","",IF(DE9="",IF(DD9=DD10,"",(DD9-DD10)),IF(DE9=DD10,"",(DE9-DD10))))</f>
        <v>11.600000000000009</v>
      </c>
      <c r="DG9" s="69">
        <f t="shared" si="5"/>
        <v>0.62583425408000048</v>
      </c>
      <c r="DH9" s="68">
        <f t="shared" si="6"/>
        <v>3.4012731200000026</v>
      </c>
      <c r="DI9" s="62">
        <v>90</v>
      </c>
      <c r="DJ9" s="62">
        <v>54</v>
      </c>
      <c r="DK9" s="65" t="str">
        <f t="shared" ref="DK9:DK37" si="39">IF(J9="","",J9)</f>
        <v>ME</v>
      </c>
      <c r="DL9" s="56">
        <v>2</v>
      </c>
      <c r="DM9" s="63">
        <v>8.51</v>
      </c>
      <c r="DN9" s="64">
        <v>2.3E-2</v>
      </c>
      <c r="DO9" s="64">
        <v>3.3000000000000002E-2</v>
      </c>
      <c r="DP9" s="64">
        <v>5.0999999999999997E-2</v>
      </c>
      <c r="DQ9" s="63">
        <v>6.81</v>
      </c>
      <c r="DR9" s="61">
        <v>8.1999999999999993</v>
      </c>
      <c r="DS9" s="64">
        <v>1.181</v>
      </c>
      <c r="DT9" s="61">
        <v>84.7</v>
      </c>
      <c r="DU9" s="63">
        <v>4.28</v>
      </c>
      <c r="DV9" s="64">
        <v>0.70299999999999996</v>
      </c>
      <c r="DW9" s="64">
        <v>0.41199999999999998</v>
      </c>
      <c r="DX9" s="66" t="s">
        <v>247</v>
      </c>
      <c r="DY9" s="65" t="str">
        <f t="shared" ref="DY9:DY37" si="40">IF(J9="","",J9)</f>
        <v>ME</v>
      </c>
      <c r="DZ9" s="128">
        <v>2</v>
      </c>
      <c r="EA9" s="173">
        <f t="shared" ref="EA9:EA37" si="41">IF(C9="","",C9/1496)</f>
        <v>0.12299465240641712</v>
      </c>
      <c r="EB9" s="173">
        <f t="shared" ref="EB9:EB37" si="42">IF(F9="","",IF(Q9="",F9/1360,(F9+Q9)/1360))</f>
        <v>0.11397058823529412</v>
      </c>
      <c r="EC9" s="173">
        <f t="shared" ref="EC9:EC37" si="43">IF(I9="","",IF(C9="","",I9/C9))</f>
        <v>0.625</v>
      </c>
      <c r="ED9" s="63">
        <v>1.1499999999999999</v>
      </c>
      <c r="EE9" s="63">
        <v>1.19</v>
      </c>
      <c r="EF9" s="63">
        <v>0.05</v>
      </c>
      <c r="EG9" s="63">
        <v>0.28000000000000003</v>
      </c>
      <c r="EH9" s="127" t="str">
        <f t="shared" si="7"/>
        <v>ME</v>
      </c>
      <c r="EI9" s="56">
        <v>2</v>
      </c>
      <c r="EJ9" s="334"/>
      <c r="EK9" s="334"/>
      <c r="EL9" s="334"/>
      <c r="EM9" s="334"/>
      <c r="EN9" s="334"/>
      <c r="EO9" s="334"/>
      <c r="EP9" s="334"/>
      <c r="EQ9" s="65" t="str">
        <f t="shared" ref="EQ9:EQ37" si="44">IF(J9="","",J9)</f>
        <v>ME</v>
      </c>
      <c r="ER9" s="20"/>
      <c r="ES9" s="20"/>
      <c r="ET9" s="20"/>
      <c r="EU9" s="20"/>
      <c r="EV9" s="20"/>
      <c r="EW9" s="20"/>
      <c r="EX9" s="20"/>
    </row>
    <row r="10" spans="1:154" s="3" customFormat="1" ht="17.149999999999999" customHeight="1" x14ac:dyDescent="0.25">
      <c r="A10" s="56">
        <v>3</v>
      </c>
      <c r="B10" s="212">
        <v>877770</v>
      </c>
      <c r="C10" s="213">
        <f t="shared" si="8"/>
        <v>143</v>
      </c>
      <c r="D10" s="217">
        <v>9.2100000000000009</v>
      </c>
      <c r="E10" s="212">
        <v>781928</v>
      </c>
      <c r="F10" s="213">
        <f t="shared" si="9"/>
        <v>190</v>
      </c>
      <c r="G10" s="216">
        <v>2.54</v>
      </c>
      <c r="H10" s="212">
        <v>742499</v>
      </c>
      <c r="I10" s="213">
        <f t="shared" si="0"/>
        <v>121</v>
      </c>
      <c r="J10" s="60" t="s">
        <v>194</v>
      </c>
      <c r="K10" s="56">
        <v>3</v>
      </c>
      <c r="L10" s="212">
        <v>68785</v>
      </c>
      <c r="M10" s="213" t="str">
        <f t="shared" si="10"/>
        <v/>
      </c>
      <c r="N10" s="212">
        <v>173976</v>
      </c>
      <c r="O10" s="213">
        <f t="shared" si="11"/>
        <v>39</v>
      </c>
      <c r="P10" s="212">
        <v>194713</v>
      </c>
      <c r="Q10" s="213" t="str">
        <f t="shared" si="1"/>
        <v/>
      </c>
      <c r="R10" s="57">
        <v>667</v>
      </c>
      <c r="S10" s="57">
        <v>674</v>
      </c>
      <c r="T10" s="170">
        <v>139</v>
      </c>
      <c r="U10" s="57">
        <v>136</v>
      </c>
      <c r="V10" s="58" t="str">
        <f t="shared" si="12"/>
        <v>ME</v>
      </c>
      <c r="W10" s="56">
        <v>3</v>
      </c>
      <c r="X10" s="210">
        <v>11565.85</v>
      </c>
      <c r="Y10" s="211">
        <f t="shared" si="13"/>
        <v>2.2199999999993452</v>
      </c>
      <c r="Z10" s="210">
        <v>12345.9</v>
      </c>
      <c r="AA10" s="211">
        <f t="shared" si="14"/>
        <v>1.9899999999997817</v>
      </c>
      <c r="AB10" s="210">
        <v>9752.74</v>
      </c>
      <c r="AC10" s="211">
        <f t="shared" si="15"/>
        <v>1.7000000000007276</v>
      </c>
      <c r="AD10" s="210">
        <v>9842.8799999999992</v>
      </c>
      <c r="AE10" s="211">
        <f t="shared" si="2"/>
        <v>1.5400000000008731</v>
      </c>
      <c r="AF10" s="125" t="str">
        <f t="shared" si="16"/>
        <v>ME</v>
      </c>
      <c r="AG10" s="56">
        <v>3</v>
      </c>
      <c r="AH10" s="210">
        <v>46149.54</v>
      </c>
      <c r="AI10" s="211">
        <f t="shared" si="17"/>
        <v>17.25</v>
      </c>
      <c r="AJ10" s="210">
        <v>48290.35</v>
      </c>
      <c r="AK10" s="211">
        <f t="shared" si="18"/>
        <v>11.419999999998254</v>
      </c>
      <c r="AL10" s="210">
        <v>585.75</v>
      </c>
      <c r="AM10" s="211" t="str">
        <f t="shared" si="19"/>
        <v/>
      </c>
      <c r="AN10" s="210">
        <v>547.01</v>
      </c>
      <c r="AO10" s="211" t="str">
        <f t="shared" si="3"/>
        <v/>
      </c>
      <c r="AP10" s="125" t="str">
        <f t="shared" si="20"/>
        <v>ME</v>
      </c>
      <c r="AQ10" s="56">
        <v>3</v>
      </c>
      <c r="AR10" s="210">
        <v>6657.97</v>
      </c>
      <c r="AS10" s="211">
        <f t="shared" si="21"/>
        <v>1.6799999999993815</v>
      </c>
      <c r="AT10" s="210">
        <v>7369.24</v>
      </c>
      <c r="AU10" s="211">
        <f t="shared" si="22"/>
        <v>1.5500000000001819</v>
      </c>
      <c r="AV10" s="210">
        <v>252.23</v>
      </c>
      <c r="AW10" s="211" t="str">
        <f t="shared" si="23"/>
        <v/>
      </c>
      <c r="AX10" s="210">
        <v>240.25</v>
      </c>
      <c r="AY10" s="211" t="str">
        <f t="shared" si="4"/>
        <v/>
      </c>
      <c r="AZ10" s="125" t="str">
        <f t="shared" si="24"/>
        <v>ME</v>
      </c>
      <c r="BA10" s="56">
        <v>3</v>
      </c>
      <c r="BB10" s="64"/>
      <c r="BC10" s="62"/>
      <c r="BD10" s="61"/>
      <c r="BE10" s="61"/>
      <c r="BF10" s="61"/>
      <c r="BG10" s="61"/>
      <c r="BH10" s="64"/>
      <c r="BI10" s="64"/>
      <c r="BJ10" s="64"/>
      <c r="BK10" s="64"/>
      <c r="BL10" s="64"/>
      <c r="BM10" s="64"/>
      <c r="BN10" s="65" t="str">
        <f t="shared" si="25"/>
        <v>ME</v>
      </c>
      <c r="BO10" s="56">
        <v>3</v>
      </c>
      <c r="BP10" s="64">
        <v>7.1999999999999995E-2</v>
      </c>
      <c r="BQ10" s="62"/>
      <c r="BR10" s="61"/>
      <c r="BS10" s="61"/>
      <c r="BT10" s="61"/>
      <c r="BU10" s="64"/>
      <c r="BV10" s="63">
        <v>1.1499999999999999</v>
      </c>
      <c r="BW10" s="63">
        <v>1.04</v>
      </c>
      <c r="BX10" s="66" t="s">
        <v>255</v>
      </c>
      <c r="BY10" s="172" t="s">
        <v>246</v>
      </c>
      <c r="BZ10" s="67" t="str">
        <f t="shared" si="26"/>
        <v>ME</v>
      </c>
      <c r="CA10" s="56">
        <v>3</v>
      </c>
      <c r="CB10" s="61">
        <v>89.8</v>
      </c>
      <c r="CC10" s="61"/>
      <c r="CD10" s="68">
        <f t="shared" si="27"/>
        <v>1.0999999999999943</v>
      </c>
      <c r="CE10" s="69">
        <f t="shared" si="28"/>
        <v>5.1196914999999734</v>
      </c>
      <c r="CF10" s="69">
        <f t="shared" si="29"/>
        <v>5.077379999999974</v>
      </c>
      <c r="CG10" s="62">
        <v>59</v>
      </c>
      <c r="CH10" s="62">
        <v>100</v>
      </c>
      <c r="CI10" s="65" t="str">
        <f t="shared" si="30"/>
        <v>ME</v>
      </c>
      <c r="CJ10" s="56">
        <v>3</v>
      </c>
      <c r="CK10" s="61">
        <v>85.8</v>
      </c>
      <c r="CL10" s="61"/>
      <c r="CM10" s="68">
        <f t="shared" si="31"/>
        <v>1.7999999999999972</v>
      </c>
      <c r="CN10" s="68">
        <f t="shared" si="32"/>
        <v>8.3776769999999878</v>
      </c>
      <c r="CO10" s="68">
        <f t="shared" si="33"/>
        <v>23.296386426923046</v>
      </c>
      <c r="CP10" s="62">
        <v>53</v>
      </c>
      <c r="CQ10" s="62">
        <v>83</v>
      </c>
      <c r="CR10" s="65" t="str">
        <f t="shared" si="34"/>
        <v>ME</v>
      </c>
      <c r="CS10" s="56">
        <v>3</v>
      </c>
      <c r="CT10" s="61">
        <v>95.5</v>
      </c>
      <c r="CU10" s="61"/>
      <c r="CV10" s="68">
        <f t="shared" si="35"/>
        <v>1.5</v>
      </c>
      <c r="CW10" s="68">
        <f t="shared" si="36"/>
        <v>9.9663599999999999</v>
      </c>
      <c r="CX10" s="69">
        <f t="shared" si="37"/>
        <v>6.969482517482517E-2</v>
      </c>
      <c r="CY10" s="66" t="s">
        <v>240</v>
      </c>
      <c r="CZ10" s="66" t="s">
        <v>241</v>
      </c>
      <c r="DA10" s="66"/>
      <c r="DB10" s="65" t="str">
        <f t="shared" si="38"/>
        <v>ME</v>
      </c>
      <c r="DC10" s="56">
        <v>3</v>
      </c>
      <c r="DD10" s="61">
        <v>87.8</v>
      </c>
      <c r="DE10" s="61">
        <v>101.6</v>
      </c>
      <c r="DF10" s="68">
        <f>IF(DD11="","",IF(DE10="",IF(DD10=DD11,"",(DD10-DD11)),IF(DE10=DD11,"",(DE10-DD11))))</f>
        <v>12.699999999999989</v>
      </c>
      <c r="DG10" s="69">
        <f t="shared" si="5"/>
        <v>0.68518060575999951</v>
      </c>
      <c r="DH10" s="68">
        <f t="shared" si="6"/>
        <v>4.7914727675524436</v>
      </c>
      <c r="DI10" s="62">
        <v>90</v>
      </c>
      <c r="DJ10" s="62">
        <v>54</v>
      </c>
      <c r="DK10" s="65" t="str">
        <f t="shared" si="39"/>
        <v>ME</v>
      </c>
      <c r="DL10" s="56">
        <v>3</v>
      </c>
      <c r="DM10" s="63">
        <v>8.4700000000000006</v>
      </c>
      <c r="DN10" s="64">
        <v>2.5000000000000001E-2</v>
      </c>
      <c r="DO10" s="64">
        <v>3.3000000000000002E-2</v>
      </c>
      <c r="DP10" s="64">
        <v>5.0999999999999997E-2</v>
      </c>
      <c r="DQ10" s="63">
        <v>6.82</v>
      </c>
      <c r="DR10" s="61">
        <v>8.3000000000000007</v>
      </c>
      <c r="DS10" s="64">
        <v>1.1499999999999999</v>
      </c>
      <c r="DT10" s="61">
        <v>86.7</v>
      </c>
      <c r="DU10" s="63">
        <v>4.26</v>
      </c>
      <c r="DV10" s="64">
        <v>1.7829999999999999</v>
      </c>
      <c r="DW10" s="64">
        <v>0.874</v>
      </c>
      <c r="DX10" s="66" t="s">
        <v>242</v>
      </c>
      <c r="DY10" s="65" t="str">
        <f t="shared" si="40"/>
        <v>ME</v>
      </c>
      <c r="DZ10" s="128">
        <v>3</v>
      </c>
      <c r="EA10" s="173">
        <f t="shared" si="41"/>
        <v>9.5588235294117641E-2</v>
      </c>
      <c r="EB10" s="173">
        <f t="shared" si="42"/>
        <v>0.13970588235294118</v>
      </c>
      <c r="EC10" s="173">
        <f t="shared" si="43"/>
        <v>0.84615384615384615</v>
      </c>
      <c r="ED10" s="63">
        <v>1.0900000000000001</v>
      </c>
      <c r="EE10" s="63">
        <v>1.1599999999999999</v>
      </c>
      <c r="EF10" s="63">
        <v>0.05</v>
      </c>
      <c r="EG10" s="63">
        <v>0.32</v>
      </c>
      <c r="EH10" s="127" t="str">
        <f t="shared" si="7"/>
        <v>ME</v>
      </c>
      <c r="EI10" s="56">
        <v>3</v>
      </c>
      <c r="EJ10" s="334"/>
      <c r="EK10" s="334"/>
      <c r="EL10" s="334"/>
      <c r="EM10" s="334"/>
      <c r="EN10" s="334"/>
      <c r="EO10" s="334"/>
      <c r="EP10" s="334"/>
      <c r="EQ10" s="65" t="str">
        <f t="shared" si="44"/>
        <v>ME</v>
      </c>
      <c r="ER10" s="20"/>
      <c r="ES10" s="20"/>
      <c r="ET10" s="20"/>
      <c r="EU10" s="20"/>
      <c r="EV10" s="20"/>
      <c r="EW10" s="20"/>
      <c r="EX10" s="20"/>
    </row>
    <row r="11" spans="1:154" s="3" customFormat="1" ht="17.149999999999999" customHeight="1" x14ac:dyDescent="0.25">
      <c r="A11" s="56">
        <v>4</v>
      </c>
      <c r="B11" s="212">
        <v>877913</v>
      </c>
      <c r="C11" s="213">
        <f t="shared" si="8"/>
        <v>164</v>
      </c>
      <c r="D11" s="217">
        <v>9.5299999999999994</v>
      </c>
      <c r="E11" s="212">
        <v>782118</v>
      </c>
      <c r="F11" s="213">
        <f t="shared" si="9"/>
        <v>146</v>
      </c>
      <c r="G11" s="216">
        <v>1.35</v>
      </c>
      <c r="H11" s="212">
        <v>742620</v>
      </c>
      <c r="I11" s="213">
        <f t="shared" si="0"/>
        <v>141</v>
      </c>
      <c r="J11" s="60" t="s">
        <v>194</v>
      </c>
      <c r="K11" s="56">
        <v>4</v>
      </c>
      <c r="L11" s="212">
        <v>68785</v>
      </c>
      <c r="M11" s="213" t="str">
        <f t="shared" si="10"/>
        <v/>
      </c>
      <c r="N11" s="212">
        <v>174015</v>
      </c>
      <c r="O11" s="213">
        <f t="shared" si="11"/>
        <v>36</v>
      </c>
      <c r="P11" s="212">
        <v>194713</v>
      </c>
      <c r="Q11" s="215" t="str">
        <f t="shared" si="1"/>
        <v/>
      </c>
      <c r="R11" s="57">
        <v>667</v>
      </c>
      <c r="S11" s="57">
        <v>674</v>
      </c>
      <c r="T11" s="57">
        <v>139</v>
      </c>
      <c r="U11" s="57">
        <v>136</v>
      </c>
      <c r="V11" s="58" t="str">
        <f t="shared" si="12"/>
        <v>ME</v>
      </c>
      <c r="W11" s="56">
        <v>4</v>
      </c>
      <c r="X11" s="210">
        <v>11568.07</v>
      </c>
      <c r="Y11" s="211">
        <f t="shared" si="13"/>
        <v>2.4200000000000728</v>
      </c>
      <c r="Z11" s="210">
        <v>12347.89</v>
      </c>
      <c r="AA11" s="211">
        <f t="shared" si="14"/>
        <v>2.4099999999998545</v>
      </c>
      <c r="AB11" s="210">
        <v>9754.44</v>
      </c>
      <c r="AC11" s="211">
        <f t="shared" si="15"/>
        <v>1.8899999999994179</v>
      </c>
      <c r="AD11" s="210">
        <v>9844.42</v>
      </c>
      <c r="AE11" s="211">
        <f t="shared" si="2"/>
        <v>1.8600000000005821</v>
      </c>
      <c r="AF11" s="125" t="str">
        <f t="shared" si="16"/>
        <v>ME</v>
      </c>
      <c r="AG11" s="56">
        <v>4</v>
      </c>
      <c r="AH11" s="210">
        <v>46166.79</v>
      </c>
      <c r="AI11" s="211">
        <f t="shared" si="17"/>
        <v>11.379999999997381</v>
      </c>
      <c r="AJ11" s="210">
        <v>48301.77</v>
      </c>
      <c r="AK11" s="211">
        <f t="shared" si="18"/>
        <v>12.580000000001746</v>
      </c>
      <c r="AL11" s="210">
        <v>585.75</v>
      </c>
      <c r="AM11" s="211">
        <f t="shared" si="19"/>
        <v>0.27999999999997272</v>
      </c>
      <c r="AN11" s="210">
        <v>547.01</v>
      </c>
      <c r="AO11" s="211">
        <f t="shared" si="3"/>
        <v>0.27999999999997272</v>
      </c>
      <c r="AP11" s="125" t="str">
        <f t="shared" si="20"/>
        <v>ME</v>
      </c>
      <c r="AQ11" s="56">
        <v>4</v>
      </c>
      <c r="AR11" s="210">
        <v>6659.65</v>
      </c>
      <c r="AS11" s="211">
        <f t="shared" si="21"/>
        <v>1.6200000000008004</v>
      </c>
      <c r="AT11" s="210">
        <v>7370.79</v>
      </c>
      <c r="AU11" s="211">
        <f t="shared" si="22"/>
        <v>1.6099999999996726</v>
      </c>
      <c r="AV11" s="210">
        <v>252.23</v>
      </c>
      <c r="AW11" s="211" t="str">
        <f t="shared" si="23"/>
        <v/>
      </c>
      <c r="AX11" s="210">
        <v>240.25</v>
      </c>
      <c r="AY11" s="211" t="str">
        <f t="shared" si="4"/>
        <v/>
      </c>
      <c r="AZ11" s="125" t="str">
        <f t="shared" si="24"/>
        <v>ME</v>
      </c>
      <c r="BA11" s="56">
        <v>4</v>
      </c>
      <c r="BB11" s="64">
        <v>0.76300000000000001</v>
      </c>
      <c r="BC11" s="62">
        <v>44</v>
      </c>
      <c r="BD11" s="61">
        <v>7.1</v>
      </c>
      <c r="BE11" s="61">
        <v>3.4</v>
      </c>
      <c r="BF11" s="61">
        <v>18.399999999999999</v>
      </c>
      <c r="BG11" s="61">
        <v>7.1</v>
      </c>
      <c r="BH11" s="64">
        <v>0.20300000000000001</v>
      </c>
      <c r="BI11" s="64">
        <v>0.21199999999999999</v>
      </c>
      <c r="BJ11" s="64">
        <v>0.05</v>
      </c>
      <c r="BK11" s="64">
        <v>5.2999999999999999E-2</v>
      </c>
      <c r="BL11" s="64">
        <v>5.6000000000000001E-2</v>
      </c>
      <c r="BM11" s="64">
        <v>5.0999999999999997E-2</v>
      </c>
      <c r="BN11" s="65" t="str">
        <f t="shared" si="25"/>
        <v>ME</v>
      </c>
      <c r="BO11" s="56">
        <v>4</v>
      </c>
      <c r="BP11" s="64">
        <v>7.1999999999999995E-2</v>
      </c>
      <c r="BQ11" s="62">
        <v>0</v>
      </c>
      <c r="BR11" s="61">
        <v>7.3</v>
      </c>
      <c r="BS11" s="61">
        <v>8.3000000000000007</v>
      </c>
      <c r="BT11" s="61">
        <v>20.3</v>
      </c>
      <c r="BU11" s="64">
        <v>1.2999999999999999E-2</v>
      </c>
      <c r="BV11" s="63">
        <v>1.1499999999999999</v>
      </c>
      <c r="BW11" s="63">
        <v>0.82</v>
      </c>
      <c r="BX11" s="66" t="s">
        <v>245</v>
      </c>
      <c r="BY11" s="172" t="s">
        <v>246</v>
      </c>
      <c r="BZ11" s="67" t="str">
        <f t="shared" si="26"/>
        <v>ME</v>
      </c>
      <c r="CA11" s="56">
        <v>4</v>
      </c>
      <c r="CB11" s="61">
        <v>88.7</v>
      </c>
      <c r="CC11" s="61"/>
      <c r="CD11" s="68">
        <f t="shared" si="27"/>
        <v>1.2000000000000028</v>
      </c>
      <c r="CE11" s="69">
        <f t="shared" si="28"/>
        <v>5.5851180000000138</v>
      </c>
      <c r="CF11" s="69">
        <f t="shared" si="29"/>
        <v>4.7532919148936292</v>
      </c>
      <c r="CG11" s="62">
        <v>58</v>
      </c>
      <c r="CH11" s="62">
        <v>100</v>
      </c>
      <c r="CI11" s="65" t="str">
        <f t="shared" si="30"/>
        <v>ME</v>
      </c>
      <c r="CJ11" s="56">
        <v>4</v>
      </c>
      <c r="CK11" s="61">
        <v>84</v>
      </c>
      <c r="CL11" s="61">
        <v>97.8</v>
      </c>
      <c r="CM11" s="68">
        <f t="shared" si="31"/>
        <v>1.7999999999999972</v>
      </c>
      <c r="CN11" s="68">
        <f t="shared" si="32"/>
        <v>8.3776769999999878</v>
      </c>
      <c r="CO11" s="68">
        <f t="shared" si="33"/>
        <v>20.3133125551829</v>
      </c>
      <c r="CP11" s="62">
        <v>57</v>
      </c>
      <c r="CQ11" s="62">
        <v>83</v>
      </c>
      <c r="CR11" s="65" t="str">
        <f t="shared" si="34"/>
        <v>ME</v>
      </c>
      <c r="CS11" s="56">
        <v>4</v>
      </c>
      <c r="CT11" s="61">
        <v>94</v>
      </c>
      <c r="CU11" s="61"/>
      <c r="CV11" s="68">
        <f t="shared" si="35"/>
        <v>1.9000000000000057</v>
      </c>
      <c r="CW11" s="68">
        <f t="shared" si="36"/>
        <v>12.624056000000037</v>
      </c>
      <c r="CX11" s="69">
        <f t="shared" si="37"/>
        <v>7.6975951219512423E-2</v>
      </c>
      <c r="CY11" s="66" t="s">
        <v>251</v>
      </c>
      <c r="CZ11" s="66" t="s">
        <v>241</v>
      </c>
      <c r="DA11" s="66"/>
      <c r="DB11" s="65" t="str">
        <f t="shared" si="38"/>
        <v>ME</v>
      </c>
      <c r="DC11" s="56">
        <v>4</v>
      </c>
      <c r="DD11" s="61">
        <v>88.9</v>
      </c>
      <c r="DE11" s="61">
        <v>102</v>
      </c>
      <c r="DF11" s="68">
        <f>IF(DD12="","",IF(DE11="",IF(DD11=DD12,"",(DD11-DD12)),IF(DE11=DD12,"",(DE11-DD12))))</f>
        <v>13.5</v>
      </c>
      <c r="DG11" s="69">
        <f t="shared" si="5"/>
        <v>0.72834158879999999</v>
      </c>
      <c r="DH11" s="68">
        <f t="shared" si="6"/>
        <v>4.4411072487804875</v>
      </c>
      <c r="DI11" s="62">
        <v>91</v>
      </c>
      <c r="DJ11" s="62">
        <v>54</v>
      </c>
      <c r="DK11" s="65" t="str">
        <f t="shared" si="39"/>
        <v>ME</v>
      </c>
      <c r="DL11" s="56">
        <v>4</v>
      </c>
      <c r="DM11" s="63">
        <v>8.73</v>
      </c>
      <c r="DN11" s="64">
        <v>2.5000000000000001E-2</v>
      </c>
      <c r="DO11" s="64">
        <v>3.3000000000000002E-2</v>
      </c>
      <c r="DP11" s="64">
        <v>0.05</v>
      </c>
      <c r="DQ11" s="63">
        <v>6.83</v>
      </c>
      <c r="DR11" s="61">
        <v>8.3000000000000007</v>
      </c>
      <c r="DS11" s="64">
        <v>1.141</v>
      </c>
      <c r="DT11" s="61">
        <v>85.5</v>
      </c>
      <c r="DU11" s="63">
        <v>4.18</v>
      </c>
      <c r="DV11" s="64">
        <v>1.472</v>
      </c>
      <c r="DW11" s="64">
        <v>0.16500000000000001</v>
      </c>
      <c r="DX11" s="66" t="s">
        <v>242</v>
      </c>
      <c r="DY11" s="65" t="str">
        <f t="shared" si="40"/>
        <v>ME</v>
      </c>
      <c r="DZ11" s="128">
        <v>4</v>
      </c>
      <c r="EA11" s="173">
        <f t="shared" si="41"/>
        <v>0.10962566844919786</v>
      </c>
      <c r="EB11" s="173">
        <f t="shared" si="42"/>
        <v>0.10735294117647058</v>
      </c>
      <c r="EC11" s="173">
        <f t="shared" si="43"/>
        <v>0.8597560975609756</v>
      </c>
      <c r="ED11" s="63">
        <v>1.1100000000000001</v>
      </c>
      <c r="EE11" s="63">
        <v>1.1499999999999999</v>
      </c>
      <c r="EF11" s="63">
        <v>0.04</v>
      </c>
      <c r="EG11" s="63">
        <v>0.21</v>
      </c>
      <c r="EH11" s="127" t="str">
        <f t="shared" si="7"/>
        <v>ME</v>
      </c>
      <c r="EI11" s="56">
        <v>4</v>
      </c>
      <c r="EJ11" s="334"/>
      <c r="EK11" s="334"/>
      <c r="EL11" s="334"/>
      <c r="EM11" s="334"/>
      <c r="EN11" s="334"/>
      <c r="EO11" s="334"/>
      <c r="EP11" s="334"/>
      <c r="EQ11" s="65" t="str">
        <f t="shared" si="44"/>
        <v>ME</v>
      </c>
      <c r="ER11" s="20"/>
      <c r="ES11" s="20"/>
      <c r="ET11" s="20"/>
      <c r="EU11" s="20"/>
      <c r="EV11" s="20"/>
      <c r="EW11" s="20"/>
      <c r="EX11" s="20"/>
    </row>
    <row r="12" spans="1:154" s="3" customFormat="1" ht="17.149999999999999" customHeight="1" x14ac:dyDescent="0.25">
      <c r="A12" s="56">
        <v>5</v>
      </c>
      <c r="B12" s="212">
        <v>878077</v>
      </c>
      <c r="C12" s="213">
        <f t="shared" si="8"/>
        <v>150</v>
      </c>
      <c r="D12" s="217">
        <v>10.5</v>
      </c>
      <c r="E12" s="212">
        <v>782264</v>
      </c>
      <c r="F12" s="213">
        <f t="shared" si="9"/>
        <v>169</v>
      </c>
      <c r="G12" s="216">
        <v>1.28</v>
      </c>
      <c r="H12" s="212">
        <v>742761</v>
      </c>
      <c r="I12" s="213">
        <f t="shared" si="0"/>
        <v>122</v>
      </c>
      <c r="J12" s="60" t="s">
        <v>194</v>
      </c>
      <c r="K12" s="56">
        <v>5</v>
      </c>
      <c r="L12" s="212">
        <v>68785</v>
      </c>
      <c r="M12" s="213" t="str">
        <f t="shared" si="10"/>
        <v/>
      </c>
      <c r="N12" s="212">
        <v>174051</v>
      </c>
      <c r="O12" s="213">
        <f t="shared" si="11"/>
        <v>45</v>
      </c>
      <c r="P12" s="212">
        <v>194713</v>
      </c>
      <c r="Q12" s="215">
        <f t="shared" si="1"/>
        <v>36</v>
      </c>
      <c r="R12" s="57">
        <v>667</v>
      </c>
      <c r="S12" s="57">
        <v>674</v>
      </c>
      <c r="T12" s="57">
        <v>139</v>
      </c>
      <c r="U12" s="57">
        <v>136</v>
      </c>
      <c r="V12" s="58" t="str">
        <f t="shared" si="12"/>
        <v>ME</v>
      </c>
      <c r="W12" s="56">
        <v>5</v>
      </c>
      <c r="X12" s="210">
        <v>11570.49</v>
      </c>
      <c r="Y12" s="211">
        <f t="shared" si="13"/>
        <v>1.4600000000009459</v>
      </c>
      <c r="Z12" s="210">
        <v>12350.3</v>
      </c>
      <c r="AA12" s="211">
        <f t="shared" si="14"/>
        <v>2.9700000000011642</v>
      </c>
      <c r="AB12" s="210">
        <v>9756.33</v>
      </c>
      <c r="AC12" s="211">
        <f t="shared" si="15"/>
        <v>1.0900000000001455</v>
      </c>
      <c r="AD12" s="210">
        <v>9846.2800000000007</v>
      </c>
      <c r="AE12" s="211">
        <f t="shared" si="2"/>
        <v>2.1700000000000728</v>
      </c>
      <c r="AF12" s="125" t="str">
        <f t="shared" si="16"/>
        <v>ME</v>
      </c>
      <c r="AG12" s="56">
        <v>5</v>
      </c>
      <c r="AH12" s="210">
        <v>46178.17</v>
      </c>
      <c r="AI12" s="211">
        <f t="shared" si="17"/>
        <v>12.630000000004657</v>
      </c>
      <c r="AJ12" s="210">
        <v>48314.35</v>
      </c>
      <c r="AK12" s="211">
        <f t="shared" si="18"/>
        <v>11.099999999998545</v>
      </c>
      <c r="AL12" s="210">
        <v>586.03</v>
      </c>
      <c r="AM12" s="211">
        <f t="shared" si="19"/>
        <v>4.0000000000077307E-2</v>
      </c>
      <c r="AN12" s="210">
        <v>547.29</v>
      </c>
      <c r="AO12" s="211">
        <f t="shared" si="3"/>
        <v>6.0000000000059117E-2</v>
      </c>
      <c r="AP12" s="125" t="str">
        <f t="shared" si="20"/>
        <v>ME</v>
      </c>
      <c r="AQ12" s="56">
        <v>5</v>
      </c>
      <c r="AR12" s="210">
        <v>6661.27</v>
      </c>
      <c r="AS12" s="211">
        <f t="shared" si="21"/>
        <v>2.1499999999996362</v>
      </c>
      <c r="AT12" s="210">
        <v>7372.4</v>
      </c>
      <c r="AU12" s="211">
        <f t="shared" si="22"/>
        <v>2.3000000000001819</v>
      </c>
      <c r="AV12" s="210">
        <v>252.23</v>
      </c>
      <c r="AW12" s="211" t="str">
        <f t="shared" si="23"/>
        <v/>
      </c>
      <c r="AX12" s="210">
        <v>240.25</v>
      </c>
      <c r="AY12" s="211" t="str">
        <f t="shared" si="4"/>
        <v/>
      </c>
      <c r="AZ12" s="125" t="str">
        <f t="shared" si="24"/>
        <v>ME</v>
      </c>
      <c r="BA12" s="56">
        <v>5</v>
      </c>
      <c r="BB12" s="64">
        <v>0.68400000000000005</v>
      </c>
      <c r="BC12" s="62">
        <v>54</v>
      </c>
      <c r="BD12" s="61">
        <v>7.2</v>
      </c>
      <c r="BE12" s="61">
        <v>3.2</v>
      </c>
      <c r="BF12" s="61">
        <v>17.399999999999999</v>
      </c>
      <c r="BG12" s="61">
        <v>7.2</v>
      </c>
      <c r="BH12" s="64">
        <v>0.25700000000000001</v>
      </c>
      <c r="BI12" s="64">
        <v>0.27800000000000002</v>
      </c>
      <c r="BJ12" s="64">
        <v>4.8000000000000001E-2</v>
      </c>
      <c r="BK12" s="64">
        <v>6.5000000000000002E-2</v>
      </c>
      <c r="BL12" s="64">
        <v>4.8000000000000001E-2</v>
      </c>
      <c r="BM12" s="64">
        <v>4.9000000000000002E-2</v>
      </c>
      <c r="BN12" s="65" t="str">
        <f t="shared" si="25"/>
        <v>ME</v>
      </c>
      <c r="BO12" s="56">
        <v>5</v>
      </c>
      <c r="BP12" s="64">
        <v>0.13900000000000001</v>
      </c>
      <c r="BQ12" s="62">
        <v>0</v>
      </c>
      <c r="BR12" s="61">
        <v>7.2</v>
      </c>
      <c r="BS12" s="61">
        <v>8.3000000000000007</v>
      </c>
      <c r="BT12" s="61">
        <v>19.899999999999999</v>
      </c>
      <c r="BU12" s="64">
        <v>1.4999999999999999E-2</v>
      </c>
      <c r="BV12" s="63">
        <v>1.1299999999999999</v>
      </c>
      <c r="BW12" s="63">
        <v>0.94</v>
      </c>
      <c r="BX12" s="66" t="s">
        <v>245</v>
      </c>
      <c r="BY12" s="172" t="s">
        <v>246</v>
      </c>
      <c r="BZ12" s="67" t="str">
        <f t="shared" si="26"/>
        <v>ME</v>
      </c>
      <c r="CA12" s="56">
        <v>5</v>
      </c>
      <c r="CB12" s="61">
        <v>87.5</v>
      </c>
      <c r="CC12" s="61">
        <v>98.6</v>
      </c>
      <c r="CD12" s="68">
        <f t="shared" si="27"/>
        <v>0.79999999999999716</v>
      </c>
      <c r="CE12" s="69">
        <f t="shared" si="28"/>
        <v>3.7234119999999873</v>
      </c>
      <c r="CF12" s="69">
        <f t="shared" si="29"/>
        <v>3.6623724590163809</v>
      </c>
      <c r="CG12" s="62">
        <v>59</v>
      </c>
      <c r="CH12" s="62">
        <v>100</v>
      </c>
      <c r="CI12" s="65" t="str">
        <f t="shared" si="30"/>
        <v>ME</v>
      </c>
      <c r="CJ12" s="56">
        <v>5</v>
      </c>
      <c r="CK12" s="61">
        <v>96</v>
      </c>
      <c r="CL12" s="61"/>
      <c r="CM12" s="68">
        <f t="shared" si="31"/>
        <v>2</v>
      </c>
      <c r="CN12" s="68">
        <f t="shared" si="32"/>
        <v>9.3085300000000011</v>
      </c>
      <c r="CO12" s="68">
        <f t="shared" si="33"/>
        <v>24.676913030000005</v>
      </c>
      <c r="CP12" s="62">
        <v>61</v>
      </c>
      <c r="CQ12" s="62">
        <v>83</v>
      </c>
      <c r="CR12" s="65" t="str">
        <f t="shared" si="34"/>
        <v>ME</v>
      </c>
      <c r="CS12" s="56">
        <v>5</v>
      </c>
      <c r="CT12" s="61">
        <v>92.1</v>
      </c>
      <c r="CU12" s="61"/>
      <c r="CV12" s="68">
        <f t="shared" si="35"/>
        <v>1.5999999999999943</v>
      </c>
      <c r="CW12" s="68">
        <f t="shared" si="36"/>
        <v>10.630783999999961</v>
      </c>
      <c r="CX12" s="69">
        <f t="shared" si="37"/>
        <v>7.0871893333333075E-2</v>
      </c>
      <c r="CY12" s="66" t="s">
        <v>325</v>
      </c>
      <c r="CZ12" s="66" t="s">
        <v>241</v>
      </c>
      <c r="DA12" s="66"/>
      <c r="DB12" s="65" t="str">
        <f t="shared" si="38"/>
        <v>ME</v>
      </c>
      <c r="DC12" s="56">
        <v>5</v>
      </c>
      <c r="DD12" s="61">
        <v>88.5</v>
      </c>
      <c r="DE12" s="61">
        <v>103</v>
      </c>
      <c r="DF12" s="68">
        <f>IF(DD13="","",IF(DE12="",IF(DD12=DD13,"",(DD12-DD13)),IF(DE12=DD13,"",(DE12-DD13))))</f>
        <v>16.5</v>
      </c>
      <c r="DG12" s="69">
        <f t="shared" si="5"/>
        <v>0.89019527519999997</v>
      </c>
      <c r="DH12" s="68">
        <f t="shared" si="6"/>
        <v>5.9346351679999998</v>
      </c>
      <c r="DI12" s="62">
        <v>90</v>
      </c>
      <c r="DJ12" s="62">
        <v>54</v>
      </c>
      <c r="DK12" s="65" t="str">
        <f t="shared" si="39"/>
        <v>ME</v>
      </c>
      <c r="DL12" s="56">
        <v>5</v>
      </c>
      <c r="DM12" s="63">
        <v>8</v>
      </c>
      <c r="DN12" s="64">
        <v>2.3E-2</v>
      </c>
      <c r="DO12" s="64">
        <v>3.4000000000000002E-2</v>
      </c>
      <c r="DP12" s="64">
        <v>0.122</v>
      </c>
      <c r="DQ12" s="63">
        <v>6.82</v>
      </c>
      <c r="DR12" s="61">
        <v>8.3000000000000007</v>
      </c>
      <c r="DS12" s="64">
        <v>1.131</v>
      </c>
      <c r="DT12" s="61">
        <v>83.1</v>
      </c>
      <c r="DU12" s="63">
        <v>4.25</v>
      </c>
      <c r="DV12" s="64">
        <v>1.2</v>
      </c>
      <c r="DW12" s="64">
        <v>1.88</v>
      </c>
      <c r="DX12" s="66" t="s">
        <v>242</v>
      </c>
      <c r="DY12" s="65" t="str">
        <f t="shared" si="40"/>
        <v>ME</v>
      </c>
      <c r="DZ12" s="128">
        <v>5</v>
      </c>
      <c r="EA12" s="173">
        <f t="shared" si="41"/>
        <v>0.10026737967914438</v>
      </c>
      <c r="EB12" s="173">
        <f t="shared" si="42"/>
        <v>0.15073529411764705</v>
      </c>
      <c r="EC12" s="173">
        <f t="shared" si="43"/>
        <v>0.81333333333333335</v>
      </c>
      <c r="ED12" s="63">
        <v>0.92</v>
      </c>
      <c r="EE12" s="63">
        <v>1.1399999999999999</v>
      </c>
      <c r="EF12" s="63">
        <v>0.05</v>
      </c>
      <c r="EG12" s="63">
        <v>0.05</v>
      </c>
      <c r="EH12" s="127" t="str">
        <f t="shared" si="7"/>
        <v>ME</v>
      </c>
      <c r="EI12" s="56">
        <v>5</v>
      </c>
      <c r="EJ12" s="334" t="s">
        <v>328</v>
      </c>
      <c r="EK12" s="334"/>
      <c r="EL12" s="334"/>
      <c r="EM12" s="334"/>
      <c r="EN12" s="334"/>
      <c r="EO12" s="334"/>
      <c r="EP12" s="334"/>
      <c r="EQ12" s="65" t="str">
        <f t="shared" si="44"/>
        <v>ME</v>
      </c>
      <c r="ER12" s="20"/>
      <c r="ES12" s="20"/>
      <c r="ET12" s="20"/>
      <c r="EU12" s="20"/>
      <c r="EV12" s="20"/>
      <c r="EW12" s="20"/>
      <c r="EX12" s="20"/>
    </row>
    <row r="13" spans="1:154" s="3" customFormat="1" ht="17.149999999999999" customHeight="1" x14ac:dyDescent="0.25">
      <c r="A13" s="56">
        <v>8</v>
      </c>
      <c r="B13" s="212">
        <v>878227</v>
      </c>
      <c r="C13" s="213">
        <f t="shared" si="8"/>
        <v>225</v>
      </c>
      <c r="D13" s="217">
        <v>9.94</v>
      </c>
      <c r="E13" s="212">
        <v>782433</v>
      </c>
      <c r="F13" s="213">
        <f t="shared" si="9"/>
        <v>148</v>
      </c>
      <c r="G13" s="216">
        <v>2.12</v>
      </c>
      <c r="H13" s="212">
        <v>742883</v>
      </c>
      <c r="I13" s="213">
        <f t="shared" si="0"/>
        <v>149</v>
      </c>
      <c r="J13" s="60" t="s">
        <v>194</v>
      </c>
      <c r="K13" s="56">
        <v>6</v>
      </c>
      <c r="L13" s="212">
        <v>68785</v>
      </c>
      <c r="M13" s="213">
        <f t="shared" si="10"/>
        <v>47</v>
      </c>
      <c r="N13" s="212">
        <v>174096</v>
      </c>
      <c r="O13" s="213">
        <f t="shared" si="11"/>
        <v>39</v>
      </c>
      <c r="P13" s="212">
        <v>194749</v>
      </c>
      <c r="Q13" s="215" t="str">
        <f t="shared" si="1"/>
        <v/>
      </c>
      <c r="R13" s="57">
        <v>667</v>
      </c>
      <c r="S13" s="57">
        <v>674</v>
      </c>
      <c r="T13" s="57">
        <v>139</v>
      </c>
      <c r="U13" s="57">
        <v>136</v>
      </c>
      <c r="V13" s="58" t="str">
        <f t="shared" si="12"/>
        <v>ME</v>
      </c>
      <c r="W13" s="56">
        <v>6</v>
      </c>
      <c r="X13" s="210">
        <v>11571.95</v>
      </c>
      <c r="Y13" s="211">
        <f t="shared" si="13"/>
        <v>4.7199999999993452</v>
      </c>
      <c r="Z13" s="210">
        <v>12353.27</v>
      </c>
      <c r="AA13" s="211">
        <f t="shared" si="14"/>
        <v>2.069999999999709</v>
      </c>
      <c r="AB13" s="210">
        <v>9757.42</v>
      </c>
      <c r="AC13" s="211">
        <f t="shared" si="15"/>
        <v>2.3700000000008004</v>
      </c>
      <c r="AD13" s="210">
        <v>9848.4500000000007</v>
      </c>
      <c r="AE13" s="211">
        <f t="shared" si="2"/>
        <v>1.5900000000001455</v>
      </c>
      <c r="AF13" s="125" t="str">
        <f t="shared" si="16"/>
        <v>ME</v>
      </c>
      <c r="AG13" s="56">
        <v>6</v>
      </c>
      <c r="AH13" s="210">
        <v>46190.8</v>
      </c>
      <c r="AI13" s="211">
        <f t="shared" si="17"/>
        <v>5.9599999999991269</v>
      </c>
      <c r="AJ13" s="210">
        <v>48325.45</v>
      </c>
      <c r="AK13" s="211">
        <f t="shared" si="18"/>
        <v>12.910000000003492</v>
      </c>
      <c r="AL13" s="210">
        <v>586.07000000000005</v>
      </c>
      <c r="AM13" s="211" t="str">
        <f t="shared" si="19"/>
        <v/>
      </c>
      <c r="AN13" s="210">
        <v>547.35</v>
      </c>
      <c r="AO13" s="211" t="str">
        <f t="shared" si="3"/>
        <v/>
      </c>
      <c r="AP13" s="125" t="str">
        <f t="shared" si="20"/>
        <v>ME</v>
      </c>
      <c r="AQ13" s="56">
        <v>6</v>
      </c>
      <c r="AR13" s="210">
        <v>6663.42</v>
      </c>
      <c r="AS13" s="211">
        <f t="shared" si="21"/>
        <v>1.4600000000000364</v>
      </c>
      <c r="AT13" s="210">
        <v>7374.7</v>
      </c>
      <c r="AU13" s="211">
        <f t="shared" si="22"/>
        <v>0.3000000000001819</v>
      </c>
      <c r="AV13" s="210">
        <v>252.23</v>
      </c>
      <c r="AW13" s="211">
        <f t="shared" si="23"/>
        <v>0.34000000000000341</v>
      </c>
      <c r="AX13" s="210">
        <v>240.25</v>
      </c>
      <c r="AY13" s="211" t="str">
        <f t="shared" si="4"/>
        <v/>
      </c>
      <c r="AZ13" s="125" t="str">
        <f t="shared" si="24"/>
        <v>ME</v>
      </c>
      <c r="BA13" s="56">
        <v>6</v>
      </c>
      <c r="BB13" s="64">
        <v>0.61</v>
      </c>
      <c r="BC13" s="62">
        <v>39</v>
      </c>
      <c r="BD13" s="61">
        <v>7</v>
      </c>
      <c r="BE13" s="61">
        <v>3.3</v>
      </c>
      <c r="BF13" s="61">
        <v>15.8</v>
      </c>
      <c r="BG13" s="61">
        <v>7</v>
      </c>
      <c r="BH13" s="64">
        <v>0.21199999999999999</v>
      </c>
      <c r="BI13" s="64">
        <v>0.23</v>
      </c>
      <c r="BJ13" s="64">
        <v>0.05</v>
      </c>
      <c r="BK13" s="64">
        <v>7.0999999999999994E-2</v>
      </c>
      <c r="BL13" s="64">
        <v>4.7E-2</v>
      </c>
      <c r="BM13" s="64">
        <v>4.7E-2</v>
      </c>
      <c r="BN13" s="65" t="str">
        <f t="shared" si="25"/>
        <v>ME</v>
      </c>
      <c r="BO13" s="56">
        <v>6</v>
      </c>
      <c r="BP13" s="64">
        <v>0.83899999999999997</v>
      </c>
      <c r="BQ13" s="62">
        <v>4</v>
      </c>
      <c r="BR13" s="61">
        <v>7.1</v>
      </c>
      <c r="BS13" s="61">
        <v>8.3000000000000007</v>
      </c>
      <c r="BT13" s="61">
        <v>19.2</v>
      </c>
      <c r="BU13" s="64">
        <v>1.2E-2</v>
      </c>
      <c r="BV13" s="63">
        <v>1.1100000000000001</v>
      </c>
      <c r="BW13" s="63">
        <v>0.82</v>
      </c>
      <c r="BX13" s="66" t="s">
        <v>253</v>
      </c>
      <c r="BY13" s="172" t="s">
        <v>246</v>
      </c>
      <c r="BZ13" s="67" t="str">
        <f t="shared" si="26"/>
        <v>ME</v>
      </c>
      <c r="CA13" s="56">
        <v>6</v>
      </c>
      <c r="CB13" s="61">
        <v>97.8</v>
      </c>
      <c r="CC13" s="61"/>
      <c r="CD13" s="68">
        <f t="shared" si="27"/>
        <v>1.7000000000000028</v>
      </c>
      <c r="CE13" s="69">
        <f t="shared" si="28"/>
        <v>7.9122505000000141</v>
      </c>
      <c r="CF13" s="69">
        <f t="shared" si="29"/>
        <v>6.3722822818792064</v>
      </c>
      <c r="CG13" s="62">
        <v>66</v>
      </c>
      <c r="CH13" s="62">
        <v>100</v>
      </c>
      <c r="CI13" s="65" t="str">
        <f t="shared" si="30"/>
        <v>ME</v>
      </c>
      <c r="CJ13" s="56">
        <v>6</v>
      </c>
      <c r="CK13" s="61">
        <v>94</v>
      </c>
      <c r="CL13" s="61"/>
      <c r="CM13" s="68">
        <f t="shared" si="31"/>
        <v>2.9000000000000057</v>
      </c>
      <c r="CN13" s="68">
        <f t="shared" si="32"/>
        <v>13.497368500000027</v>
      </c>
      <c r="CO13" s="68">
        <f t="shared" si="33"/>
        <v>23.854349262333386</v>
      </c>
      <c r="CP13" s="62">
        <v>57</v>
      </c>
      <c r="CQ13" s="62">
        <v>83</v>
      </c>
      <c r="CR13" s="65" t="str">
        <f t="shared" si="34"/>
        <v>ME</v>
      </c>
      <c r="CS13" s="56">
        <v>6</v>
      </c>
      <c r="CT13" s="61">
        <v>90.5</v>
      </c>
      <c r="CU13" s="61"/>
      <c r="CV13" s="68">
        <f t="shared" si="35"/>
        <v>2.4000000000000057</v>
      </c>
      <c r="CW13" s="68">
        <f t="shared" si="36"/>
        <v>15.946176000000039</v>
      </c>
      <c r="CX13" s="69">
        <f t="shared" si="37"/>
        <v>7.0871893333333505E-2</v>
      </c>
      <c r="CY13" s="66" t="s">
        <v>251</v>
      </c>
      <c r="CZ13" s="66" t="s">
        <v>241</v>
      </c>
      <c r="DA13" s="66"/>
      <c r="DB13" s="65" t="str">
        <f t="shared" si="38"/>
        <v>ME</v>
      </c>
      <c r="DC13" s="56">
        <v>6</v>
      </c>
      <c r="DD13" s="61">
        <v>86.5</v>
      </c>
      <c r="DE13" s="61">
        <v>104</v>
      </c>
      <c r="DF13" s="68">
        <f t="shared" ref="DF13:DF36" si="45">IF(DD14="","",IF(DE13="",IF(DD13=DD14,"",(DD13-DD14)),IF(DE13=DD14,"",(DE13-DD14))))</f>
        <v>21.700000000000003</v>
      </c>
      <c r="DG13" s="69">
        <f t="shared" si="5"/>
        <v>1.17074166496</v>
      </c>
      <c r="DH13" s="68">
        <f t="shared" si="6"/>
        <v>5.2032962887111109</v>
      </c>
      <c r="DI13" s="62">
        <v>90</v>
      </c>
      <c r="DJ13" s="62">
        <v>54</v>
      </c>
      <c r="DK13" s="65" t="str">
        <f t="shared" si="39"/>
        <v>ME</v>
      </c>
      <c r="DL13" s="56">
        <v>6</v>
      </c>
      <c r="DM13" s="63">
        <v>7.74</v>
      </c>
      <c r="DN13" s="64">
        <v>2.4E-2</v>
      </c>
      <c r="DO13" s="64">
        <v>3.4000000000000002E-2</v>
      </c>
      <c r="DP13" s="64">
        <v>0.78400000000000003</v>
      </c>
      <c r="DQ13" s="63">
        <v>6.8</v>
      </c>
      <c r="DR13" s="61">
        <v>8.3000000000000007</v>
      </c>
      <c r="DS13" s="64">
        <v>1.115</v>
      </c>
      <c r="DT13" s="61">
        <v>84.2</v>
      </c>
      <c r="DU13" s="63">
        <v>4.12</v>
      </c>
      <c r="DV13" s="64">
        <v>0.88500000000000001</v>
      </c>
      <c r="DW13" s="64">
        <v>0.93400000000000005</v>
      </c>
      <c r="DX13" s="66" t="s">
        <v>242</v>
      </c>
      <c r="DY13" s="65" t="str">
        <f t="shared" si="40"/>
        <v>ME</v>
      </c>
      <c r="DZ13" s="128">
        <v>6</v>
      </c>
      <c r="EA13" s="173">
        <f t="shared" si="41"/>
        <v>0.15040106951871657</v>
      </c>
      <c r="EB13" s="173">
        <f t="shared" si="42"/>
        <v>0.10882352941176471</v>
      </c>
      <c r="EC13" s="173">
        <f t="shared" si="43"/>
        <v>0.66222222222222227</v>
      </c>
      <c r="ED13" s="63">
        <v>1.1000000000000001</v>
      </c>
      <c r="EE13" s="63">
        <v>1.1200000000000001</v>
      </c>
      <c r="EF13" s="63">
        <v>0.03</v>
      </c>
      <c r="EG13" s="63">
        <v>0.02</v>
      </c>
      <c r="EH13" s="127" t="str">
        <f t="shared" si="7"/>
        <v>ME</v>
      </c>
      <c r="EI13" s="56">
        <v>6</v>
      </c>
      <c r="EJ13" s="334"/>
      <c r="EK13" s="334"/>
      <c r="EL13" s="334"/>
      <c r="EM13" s="334"/>
      <c r="EN13" s="334"/>
      <c r="EO13" s="334"/>
      <c r="EP13" s="334"/>
      <c r="EQ13" s="65" t="str">
        <f t="shared" si="44"/>
        <v>ME</v>
      </c>
      <c r="ER13" s="20"/>
      <c r="ES13" s="20"/>
      <c r="ET13" s="20"/>
      <c r="EU13" s="20"/>
      <c r="EV13" s="20"/>
      <c r="EW13" s="20"/>
      <c r="EX13" s="20"/>
    </row>
    <row r="14" spans="1:154" s="3" customFormat="1" ht="17.149999999999999" customHeight="1" x14ac:dyDescent="0.25">
      <c r="A14" s="56">
        <v>7</v>
      </c>
      <c r="B14" s="212">
        <v>878452</v>
      </c>
      <c r="C14" s="213">
        <f t="shared" si="8"/>
        <v>146</v>
      </c>
      <c r="D14" s="217">
        <v>9.43</v>
      </c>
      <c r="E14" s="212">
        <v>782581</v>
      </c>
      <c r="F14" s="213">
        <f t="shared" si="9"/>
        <v>176</v>
      </c>
      <c r="G14" s="216">
        <v>2.27</v>
      </c>
      <c r="H14" s="212">
        <v>743032</v>
      </c>
      <c r="I14" s="213">
        <f t="shared" si="0"/>
        <v>125</v>
      </c>
      <c r="J14" s="60" t="s">
        <v>237</v>
      </c>
      <c r="K14" s="56">
        <v>7</v>
      </c>
      <c r="L14" s="212">
        <v>68832</v>
      </c>
      <c r="M14" s="213" t="str">
        <f t="shared" si="10"/>
        <v/>
      </c>
      <c r="N14" s="212">
        <v>174135</v>
      </c>
      <c r="O14" s="213">
        <f t="shared" si="11"/>
        <v>49</v>
      </c>
      <c r="P14" s="212">
        <v>194749</v>
      </c>
      <c r="Q14" s="215" t="str">
        <f t="shared" si="1"/>
        <v/>
      </c>
      <c r="R14" s="57">
        <v>667</v>
      </c>
      <c r="S14" s="57">
        <v>675</v>
      </c>
      <c r="T14" s="57">
        <v>139</v>
      </c>
      <c r="U14" s="57">
        <v>136</v>
      </c>
      <c r="V14" s="58" t="str">
        <f t="shared" si="12"/>
        <v>SA/ME</v>
      </c>
      <c r="W14" s="56">
        <v>7</v>
      </c>
      <c r="X14" s="210">
        <v>11576.67</v>
      </c>
      <c r="Y14" s="211">
        <f t="shared" si="13"/>
        <v>2.1900000000005093</v>
      </c>
      <c r="Z14" s="210">
        <v>12355.34</v>
      </c>
      <c r="AA14" s="211">
        <f t="shared" si="14"/>
        <v>2.1000000000003638</v>
      </c>
      <c r="AB14" s="210">
        <v>9759.7900000000009</v>
      </c>
      <c r="AC14" s="211">
        <f t="shared" si="15"/>
        <v>1.6899999999986903</v>
      </c>
      <c r="AD14" s="210">
        <v>9850.0400000000009</v>
      </c>
      <c r="AE14" s="211">
        <f t="shared" si="2"/>
        <v>1.6299999999991996</v>
      </c>
      <c r="AF14" s="125" t="str">
        <f t="shared" si="16"/>
        <v>SA/ME</v>
      </c>
      <c r="AG14" s="56">
        <v>7</v>
      </c>
      <c r="AH14" s="210">
        <v>46196.76</v>
      </c>
      <c r="AI14" s="211">
        <f t="shared" si="17"/>
        <v>17.849999999998545</v>
      </c>
      <c r="AJ14" s="210">
        <v>48338.36</v>
      </c>
      <c r="AK14" s="211">
        <f t="shared" si="18"/>
        <v>8.8600000000005821</v>
      </c>
      <c r="AL14" s="210">
        <v>586.07000000000005</v>
      </c>
      <c r="AM14" s="211" t="str">
        <f t="shared" si="19"/>
        <v/>
      </c>
      <c r="AN14" s="210">
        <v>547.35</v>
      </c>
      <c r="AO14" s="211" t="str">
        <f t="shared" si="3"/>
        <v/>
      </c>
      <c r="AP14" s="125" t="str">
        <f t="shared" si="20"/>
        <v>SA/ME</v>
      </c>
      <c r="AQ14" s="56">
        <v>7</v>
      </c>
      <c r="AR14" s="210">
        <v>6664.88</v>
      </c>
      <c r="AS14" s="211">
        <v>1.87</v>
      </c>
      <c r="AT14" s="210">
        <v>7375</v>
      </c>
      <c r="AU14" s="211">
        <f t="shared" si="22"/>
        <v>2.8400000000001455</v>
      </c>
      <c r="AV14" s="210">
        <v>252.57</v>
      </c>
      <c r="AW14" s="211"/>
      <c r="AX14" s="210">
        <v>240.25</v>
      </c>
      <c r="AY14" s="211" t="str">
        <f t="shared" si="4"/>
        <v/>
      </c>
      <c r="AZ14" s="125" t="str">
        <f t="shared" si="24"/>
        <v>SA/ME</v>
      </c>
      <c r="BA14" s="56">
        <v>7</v>
      </c>
      <c r="BB14" s="64">
        <v>0.73</v>
      </c>
      <c r="BC14" s="62">
        <v>17</v>
      </c>
      <c r="BD14" s="61">
        <v>7.2</v>
      </c>
      <c r="BE14" s="61">
        <v>3.2</v>
      </c>
      <c r="BF14" s="61">
        <v>16.2</v>
      </c>
      <c r="BG14" s="61">
        <v>7.2</v>
      </c>
      <c r="BH14" s="64">
        <v>0.23499999999999999</v>
      </c>
      <c r="BI14" s="64">
        <v>0.248</v>
      </c>
      <c r="BJ14" s="64">
        <v>4.8000000000000001E-2</v>
      </c>
      <c r="BK14" s="64">
        <v>0.06</v>
      </c>
      <c r="BL14" s="64">
        <v>0.05</v>
      </c>
      <c r="BM14" s="64">
        <v>0.06</v>
      </c>
      <c r="BN14" s="65" t="str">
        <f t="shared" si="25"/>
        <v>SA/ME</v>
      </c>
      <c r="BO14" s="56">
        <v>7</v>
      </c>
      <c r="BP14" s="64">
        <v>0.41</v>
      </c>
      <c r="BQ14" s="62">
        <v>0</v>
      </c>
      <c r="BR14" s="61">
        <v>7.2</v>
      </c>
      <c r="BS14" s="61">
        <v>8.3000000000000007</v>
      </c>
      <c r="BT14" s="61">
        <v>18.7</v>
      </c>
      <c r="BU14" s="64">
        <v>1.2999999999999999E-2</v>
      </c>
      <c r="BV14" s="63">
        <v>1.22</v>
      </c>
      <c r="BW14" s="63">
        <v>1.02</v>
      </c>
      <c r="BX14" s="66" t="s">
        <v>329</v>
      </c>
      <c r="BY14" s="172" t="s">
        <v>239</v>
      </c>
      <c r="BZ14" s="67" t="str">
        <f t="shared" si="26"/>
        <v>SA/ME</v>
      </c>
      <c r="CA14" s="56">
        <v>7</v>
      </c>
      <c r="CB14" s="61">
        <v>96.1</v>
      </c>
      <c r="CC14" s="61"/>
      <c r="CD14" s="68">
        <f t="shared" si="27"/>
        <v>1.1999999999999886</v>
      </c>
      <c r="CE14" s="69">
        <f t="shared" si="28"/>
        <v>5.5851179999999481</v>
      </c>
      <c r="CF14" s="69">
        <f t="shared" si="29"/>
        <v>5.3617132799999503</v>
      </c>
      <c r="CG14" s="62">
        <v>66</v>
      </c>
      <c r="CH14" s="62">
        <v>100</v>
      </c>
      <c r="CI14" s="65" t="str">
        <f t="shared" si="30"/>
        <v>SA/ME</v>
      </c>
      <c r="CJ14" s="56">
        <v>7</v>
      </c>
      <c r="CK14" s="61">
        <v>91.1</v>
      </c>
      <c r="CL14" s="61"/>
      <c r="CM14" s="68">
        <f t="shared" si="31"/>
        <v>1.7999999999999972</v>
      </c>
      <c r="CN14" s="68">
        <f t="shared" si="32"/>
        <v>8.3776769999999878</v>
      </c>
      <c r="CO14" s="68">
        <f t="shared" si="33"/>
        <v>22.817693555136955</v>
      </c>
      <c r="CP14" s="62">
        <v>57</v>
      </c>
      <c r="CQ14" s="62">
        <v>83</v>
      </c>
      <c r="CR14" s="65" t="str">
        <f t="shared" si="34"/>
        <v>SA/ME</v>
      </c>
      <c r="CS14" s="56">
        <v>7</v>
      </c>
      <c r="CT14" s="61">
        <v>88.1</v>
      </c>
      <c r="CU14" s="61">
        <v>85.4</v>
      </c>
      <c r="CV14" s="68">
        <f t="shared" si="35"/>
        <v>0.60000000000000853</v>
      </c>
      <c r="CW14" s="68">
        <f t="shared" si="36"/>
        <v>3.9865440000000567</v>
      </c>
      <c r="CX14" s="69">
        <f t="shared" si="37"/>
        <v>2.7305095890411347E-2</v>
      </c>
      <c r="CY14" s="66" t="s">
        <v>251</v>
      </c>
      <c r="CZ14" s="66" t="s">
        <v>241</v>
      </c>
      <c r="DA14" s="66" t="s">
        <v>242</v>
      </c>
      <c r="DB14" s="65" t="str">
        <f t="shared" si="38"/>
        <v>SA/ME</v>
      </c>
      <c r="DC14" s="56">
        <v>7</v>
      </c>
      <c r="DD14" s="61">
        <v>82.3</v>
      </c>
      <c r="DE14" s="61">
        <v>105.3</v>
      </c>
      <c r="DF14" s="68">
        <f t="shared" si="45"/>
        <v>15.099999999999994</v>
      </c>
      <c r="DG14" s="69">
        <f t="shared" si="5"/>
        <v>0.81466355487999975</v>
      </c>
      <c r="DH14" s="68">
        <f t="shared" si="6"/>
        <v>5.5798873621917791</v>
      </c>
      <c r="DI14" s="62">
        <v>90</v>
      </c>
      <c r="DJ14" s="62">
        <v>54</v>
      </c>
      <c r="DK14" s="65" t="str">
        <f t="shared" si="39"/>
        <v>SA/ME</v>
      </c>
      <c r="DL14" s="56">
        <v>7</v>
      </c>
      <c r="DM14" s="63">
        <v>8.2100000000000009</v>
      </c>
      <c r="DN14" s="64">
        <v>2.4E-2</v>
      </c>
      <c r="DO14" s="64">
        <v>3.5000000000000003E-2</v>
      </c>
      <c r="DP14" s="64">
        <v>0.46800000000000003</v>
      </c>
      <c r="DQ14" s="63">
        <v>6.81</v>
      </c>
      <c r="DR14" s="61">
        <v>8.3000000000000007</v>
      </c>
      <c r="DS14" s="64">
        <v>1.163</v>
      </c>
      <c r="DT14" s="61">
        <v>86.6</v>
      </c>
      <c r="DU14" s="63">
        <v>4.25</v>
      </c>
      <c r="DV14" s="64">
        <v>2.2610000000000001</v>
      </c>
      <c r="DW14" s="64">
        <v>1.94</v>
      </c>
      <c r="DX14" s="66" t="s">
        <v>242</v>
      </c>
      <c r="DY14" s="65" t="str">
        <f t="shared" si="40"/>
        <v>SA/ME</v>
      </c>
      <c r="DZ14" s="128">
        <v>7</v>
      </c>
      <c r="EA14" s="173">
        <f t="shared" si="41"/>
        <v>9.7593582887700536E-2</v>
      </c>
      <c r="EB14" s="173">
        <f t="shared" si="42"/>
        <v>0.12941176470588237</v>
      </c>
      <c r="EC14" s="173">
        <f t="shared" si="43"/>
        <v>0.85616438356164382</v>
      </c>
      <c r="ED14" s="63">
        <v>1.1000000000000001</v>
      </c>
      <c r="EE14" s="63">
        <v>1.1200000000000001</v>
      </c>
      <c r="EF14" s="63">
        <v>0.03</v>
      </c>
      <c r="EG14" s="63">
        <v>0.02</v>
      </c>
      <c r="EH14" s="127" t="str">
        <f t="shared" si="7"/>
        <v>SA/ME</v>
      </c>
      <c r="EI14" s="56">
        <v>7</v>
      </c>
      <c r="EJ14" s="334"/>
      <c r="EK14" s="334"/>
      <c r="EL14" s="334"/>
      <c r="EM14" s="334"/>
      <c r="EN14" s="334"/>
      <c r="EO14" s="334"/>
      <c r="EP14" s="334"/>
      <c r="EQ14" s="65" t="str">
        <f t="shared" si="44"/>
        <v>SA/ME</v>
      </c>
      <c r="ER14" s="20"/>
      <c r="ES14" s="20"/>
      <c r="ET14" s="20"/>
      <c r="EU14" s="20"/>
      <c r="EV14" s="20"/>
      <c r="EW14" s="20"/>
      <c r="EX14" s="20"/>
    </row>
    <row r="15" spans="1:154" s="3" customFormat="1" ht="17.149999999999999" customHeight="1" x14ac:dyDescent="0.25">
      <c r="A15" s="56">
        <v>8</v>
      </c>
      <c r="B15" s="212">
        <v>878598</v>
      </c>
      <c r="C15" s="213">
        <f t="shared" si="8"/>
        <v>168</v>
      </c>
      <c r="D15" s="217">
        <v>9.51</v>
      </c>
      <c r="E15" s="212">
        <v>782757</v>
      </c>
      <c r="F15" s="213">
        <f t="shared" si="9"/>
        <v>174</v>
      </c>
      <c r="G15" s="216">
        <v>1.43</v>
      </c>
      <c r="H15" s="212">
        <v>743157</v>
      </c>
      <c r="I15" s="213">
        <f t="shared" si="0"/>
        <v>151</v>
      </c>
      <c r="J15" s="60" t="s">
        <v>237</v>
      </c>
      <c r="K15" s="56">
        <v>8</v>
      </c>
      <c r="L15" s="212">
        <v>68832</v>
      </c>
      <c r="M15" s="213">
        <f t="shared" si="10"/>
        <v>9</v>
      </c>
      <c r="N15" s="212">
        <v>174184</v>
      </c>
      <c r="O15" s="213">
        <f t="shared" si="11"/>
        <v>55</v>
      </c>
      <c r="P15" s="212">
        <v>194749</v>
      </c>
      <c r="Q15" s="215" t="str">
        <f t="shared" si="1"/>
        <v/>
      </c>
      <c r="R15" s="57">
        <v>667</v>
      </c>
      <c r="S15" s="57">
        <v>675</v>
      </c>
      <c r="T15" s="57">
        <v>139</v>
      </c>
      <c r="U15" s="57">
        <v>136</v>
      </c>
      <c r="V15" s="58" t="str">
        <f t="shared" si="12"/>
        <v>SA/ME</v>
      </c>
      <c r="W15" s="56">
        <v>8</v>
      </c>
      <c r="X15" s="210">
        <v>11578.86</v>
      </c>
      <c r="Y15" s="211">
        <f t="shared" si="13"/>
        <v>2.8299999999999272</v>
      </c>
      <c r="Z15" s="210">
        <v>12357.44</v>
      </c>
      <c r="AA15" s="211">
        <f t="shared" si="14"/>
        <v>2.0399999999990541</v>
      </c>
      <c r="AB15" s="210">
        <v>9761.48</v>
      </c>
      <c r="AC15" s="211">
        <f t="shared" si="15"/>
        <v>2.5500000000010914</v>
      </c>
      <c r="AD15" s="210">
        <v>9851.67</v>
      </c>
      <c r="AE15" s="211">
        <f t="shared" si="2"/>
        <v>1.569999999999709</v>
      </c>
      <c r="AF15" s="125" t="str">
        <f t="shared" si="16"/>
        <v>SA/ME</v>
      </c>
      <c r="AG15" s="56">
        <v>8</v>
      </c>
      <c r="AH15" s="210">
        <v>46214.61</v>
      </c>
      <c r="AI15" s="211">
        <f t="shared" si="17"/>
        <v>10.479999999995925</v>
      </c>
      <c r="AJ15" s="210">
        <v>48347.22</v>
      </c>
      <c r="AK15" s="211">
        <f t="shared" si="18"/>
        <v>15.159999999996217</v>
      </c>
      <c r="AL15" s="210">
        <v>586.07000000000005</v>
      </c>
      <c r="AM15" s="211" t="str">
        <f t="shared" si="19"/>
        <v/>
      </c>
      <c r="AN15" s="210">
        <v>547.35</v>
      </c>
      <c r="AO15" s="211" t="str">
        <f t="shared" si="3"/>
        <v/>
      </c>
      <c r="AP15" s="125" t="str">
        <f t="shared" si="20"/>
        <v>SA/ME</v>
      </c>
      <c r="AQ15" s="56">
        <v>8</v>
      </c>
      <c r="AR15" s="210">
        <v>6666.75</v>
      </c>
      <c r="AS15" s="211">
        <f t="shared" si="21"/>
        <v>2.7600000000002183</v>
      </c>
      <c r="AT15" s="210">
        <v>7377.84</v>
      </c>
      <c r="AU15" s="211">
        <f t="shared" si="22"/>
        <v>2.819999999999709</v>
      </c>
      <c r="AV15" s="210">
        <v>252.57</v>
      </c>
      <c r="AW15" s="211" t="str">
        <f t="shared" si="23"/>
        <v/>
      </c>
      <c r="AX15" s="210">
        <v>240.25</v>
      </c>
      <c r="AY15" s="211" t="str">
        <f t="shared" si="4"/>
        <v/>
      </c>
      <c r="AZ15" s="125" t="str">
        <f t="shared" si="24"/>
        <v>SA/ME</v>
      </c>
      <c r="BA15" s="56">
        <v>8</v>
      </c>
      <c r="BB15" s="64">
        <v>0.70899999999999996</v>
      </c>
      <c r="BC15" s="62">
        <v>40</v>
      </c>
      <c r="BD15" s="61">
        <v>7.3</v>
      </c>
      <c r="BE15" s="61">
        <v>3.2</v>
      </c>
      <c r="BF15" s="61">
        <v>17.2</v>
      </c>
      <c r="BG15" s="61">
        <v>7.3</v>
      </c>
      <c r="BH15" s="64">
        <v>0.34</v>
      </c>
      <c r="BI15" s="64">
        <v>0.39</v>
      </c>
      <c r="BJ15" s="64">
        <v>0.05</v>
      </c>
      <c r="BK15" s="64">
        <v>5.6000000000000001E-2</v>
      </c>
      <c r="BL15" s="64">
        <v>6.4000000000000001E-2</v>
      </c>
      <c r="BM15" s="64">
        <v>7.0000000000000007E-2</v>
      </c>
      <c r="BN15" s="65" t="str">
        <f t="shared" si="25"/>
        <v>SA/ME</v>
      </c>
      <c r="BO15" s="56">
        <v>8</v>
      </c>
      <c r="BP15" s="64">
        <v>0.24199999999999999</v>
      </c>
      <c r="BQ15" s="62">
        <v>0</v>
      </c>
      <c r="BR15" s="61">
        <v>7.3</v>
      </c>
      <c r="BS15" s="61">
        <v>8.1999999999999993</v>
      </c>
      <c r="BT15" s="61">
        <v>20.2</v>
      </c>
      <c r="BU15" s="64">
        <v>1.4E-2</v>
      </c>
      <c r="BV15" s="63">
        <v>1.21</v>
      </c>
      <c r="BW15" s="63">
        <v>1.07</v>
      </c>
      <c r="BX15" s="66" t="s">
        <v>330</v>
      </c>
      <c r="BY15" s="172" t="s">
        <v>239</v>
      </c>
      <c r="BZ15" s="67" t="str">
        <f t="shared" si="26"/>
        <v>SA/ME</v>
      </c>
      <c r="CA15" s="56">
        <v>8</v>
      </c>
      <c r="CB15" s="61">
        <v>94.9</v>
      </c>
      <c r="CC15" s="61"/>
      <c r="CD15" s="68">
        <f t="shared" si="27"/>
        <v>1.3000000000000114</v>
      </c>
      <c r="CE15" s="69">
        <f t="shared" si="28"/>
        <v>6.0505445000000533</v>
      </c>
      <c r="CF15" s="69">
        <f t="shared" si="29"/>
        <v>4.80837973509938</v>
      </c>
      <c r="CG15" s="62">
        <v>66</v>
      </c>
      <c r="CH15" s="62">
        <v>100</v>
      </c>
      <c r="CI15" s="65" t="str">
        <f t="shared" si="30"/>
        <v>SA/ME</v>
      </c>
      <c r="CJ15" s="56">
        <v>8</v>
      </c>
      <c r="CK15" s="61">
        <v>89.3</v>
      </c>
      <c r="CL15" s="61"/>
      <c r="CM15" s="68">
        <f t="shared" si="31"/>
        <v>2.0999999999999943</v>
      </c>
      <c r="CN15" s="68">
        <f t="shared" si="32"/>
        <v>9.773956499999974</v>
      </c>
      <c r="CO15" s="68">
        <f t="shared" si="33"/>
        <v>23.134605965624942</v>
      </c>
      <c r="CP15" s="62">
        <v>57</v>
      </c>
      <c r="CQ15" s="62">
        <v>83</v>
      </c>
      <c r="CR15" s="65" t="str">
        <f t="shared" si="34"/>
        <v>SA/ME</v>
      </c>
      <c r="CS15" s="56">
        <v>8</v>
      </c>
      <c r="CT15" s="61">
        <v>84.8</v>
      </c>
      <c r="CU15" s="61"/>
      <c r="CV15" s="68">
        <f t="shared" si="35"/>
        <v>1.8999999999999915</v>
      </c>
      <c r="CW15" s="68">
        <f t="shared" si="36"/>
        <v>12.624055999999943</v>
      </c>
      <c r="CX15" s="69">
        <f t="shared" si="37"/>
        <v>7.5143190476190141E-2</v>
      </c>
      <c r="CY15" s="66" t="s">
        <v>251</v>
      </c>
      <c r="CZ15" s="66" t="s">
        <v>241</v>
      </c>
      <c r="DA15" s="66"/>
      <c r="DB15" s="65" t="str">
        <f t="shared" si="38"/>
        <v>SA/ME</v>
      </c>
      <c r="DC15" s="56">
        <v>8</v>
      </c>
      <c r="DD15" s="61">
        <v>90.2</v>
      </c>
      <c r="DE15" s="61">
        <v>104.9</v>
      </c>
      <c r="DF15" s="68">
        <f t="shared" si="45"/>
        <v>15.600000000000009</v>
      </c>
      <c r="DG15" s="69">
        <f t="shared" si="5"/>
        <v>0.84163916928000049</v>
      </c>
      <c r="DH15" s="68">
        <f t="shared" si="6"/>
        <v>5.0097569600000025</v>
      </c>
      <c r="DI15" s="62">
        <v>90</v>
      </c>
      <c r="DJ15" s="62">
        <v>54</v>
      </c>
      <c r="DK15" s="65" t="str">
        <f t="shared" si="39"/>
        <v>SA/ME</v>
      </c>
      <c r="DL15" s="56">
        <v>8</v>
      </c>
      <c r="DM15" s="63">
        <v>8.19</v>
      </c>
      <c r="DN15" s="64">
        <v>2.4E-2</v>
      </c>
      <c r="DO15" s="64">
        <v>3.5000000000000003E-2</v>
      </c>
      <c r="DP15" s="64">
        <v>0.27600000000000002</v>
      </c>
      <c r="DQ15" s="63">
        <v>6.81</v>
      </c>
      <c r="DR15" s="61">
        <v>8.1999999999999993</v>
      </c>
      <c r="DS15" s="64">
        <v>1.248</v>
      </c>
      <c r="DT15" s="61">
        <v>83.8</v>
      </c>
      <c r="DU15" s="63">
        <v>4.22</v>
      </c>
      <c r="DV15" s="64">
        <v>1.5409999999999999</v>
      </c>
      <c r="DW15" s="64">
        <v>0.81599999999999995</v>
      </c>
      <c r="DX15" s="66" t="s">
        <v>242</v>
      </c>
      <c r="DY15" s="65" t="str">
        <f t="shared" si="40"/>
        <v>SA/ME</v>
      </c>
      <c r="DZ15" s="128">
        <v>8</v>
      </c>
      <c r="EA15" s="173">
        <f t="shared" si="41"/>
        <v>0.11229946524064172</v>
      </c>
      <c r="EB15" s="173">
        <f t="shared" si="42"/>
        <v>0.12794117647058822</v>
      </c>
      <c r="EC15" s="173">
        <f t="shared" si="43"/>
        <v>0.89880952380952384</v>
      </c>
      <c r="ED15" s="63">
        <v>1.21</v>
      </c>
      <c r="EE15" s="63">
        <v>1.27</v>
      </c>
      <c r="EF15" s="63">
        <v>0.05</v>
      </c>
      <c r="EG15" s="63">
        <v>0.19</v>
      </c>
      <c r="EH15" s="127" t="str">
        <f t="shared" si="7"/>
        <v>SA/ME</v>
      </c>
      <c r="EI15" s="56">
        <v>8</v>
      </c>
      <c r="EJ15" s="334"/>
      <c r="EK15" s="334"/>
      <c r="EL15" s="334"/>
      <c r="EM15" s="334"/>
      <c r="EN15" s="334"/>
      <c r="EO15" s="334"/>
      <c r="EP15" s="334"/>
      <c r="EQ15" s="65" t="str">
        <f t="shared" si="44"/>
        <v>SA/ME</v>
      </c>
      <c r="ER15" s="20"/>
      <c r="ES15" s="20"/>
      <c r="ET15" s="20"/>
      <c r="EU15" s="20"/>
      <c r="EV15" s="20"/>
      <c r="EW15" s="20"/>
      <c r="EX15" s="20"/>
    </row>
    <row r="16" spans="1:154" s="3" customFormat="1" ht="17.149999999999999" customHeight="1" x14ac:dyDescent="0.25">
      <c r="A16" s="56">
        <v>9</v>
      </c>
      <c r="B16" s="212">
        <v>878766</v>
      </c>
      <c r="C16" s="213">
        <f t="shared" si="8"/>
        <v>196</v>
      </c>
      <c r="D16" s="217">
        <v>9.4499999999999993</v>
      </c>
      <c r="E16" s="212">
        <v>782931</v>
      </c>
      <c r="F16" s="213">
        <f t="shared" si="9"/>
        <v>192</v>
      </c>
      <c r="G16" s="216">
        <v>4.05</v>
      </c>
      <c r="H16" s="212">
        <v>743308</v>
      </c>
      <c r="I16" s="213">
        <f t="shared" si="0"/>
        <v>159</v>
      </c>
      <c r="J16" s="60" t="s">
        <v>237</v>
      </c>
      <c r="K16" s="56">
        <v>9</v>
      </c>
      <c r="L16" s="212">
        <v>68841</v>
      </c>
      <c r="M16" s="213">
        <f t="shared" si="10"/>
        <v>13</v>
      </c>
      <c r="N16" s="212">
        <v>174239</v>
      </c>
      <c r="O16" s="213">
        <f t="shared" si="11"/>
        <v>30</v>
      </c>
      <c r="P16" s="212">
        <v>194749</v>
      </c>
      <c r="Q16" s="215" t="str">
        <f t="shared" si="1"/>
        <v/>
      </c>
      <c r="R16" s="57">
        <v>667</v>
      </c>
      <c r="S16" s="57">
        <v>675</v>
      </c>
      <c r="T16" s="57">
        <v>139</v>
      </c>
      <c r="U16" s="57">
        <v>136</v>
      </c>
      <c r="V16" s="58" t="str">
        <f t="shared" si="12"/>
        <v>SA/ME</v>
      </c>
      <c r="W16" s="56">
        <v>9</v>
      </c>
      <c r="X16" s="210">
        <v>11581.69</v>
      </c>
      <c r="Y16" s="211">
        <f t="shared" si="13"/>
        <v>3.7399999999997817</v>
      </c>
      <c r="Z16" s="210">
        <v>12359.48</v>
      </c>
      <c r="AA16" s="211">
        <f t="shared" si="14"/>
        <v>2.1200000000008004</v>
      </c>
      <c r="AB16" s="210">
        <v>9764.0300000000007</v>
      </c>
      <c r="AC16" s="211">
        <f t="shared" si="15"/>
        <v>2.4799999999995634</v>
      </c>
      <c r="AD16" s="210">
        <v>9853.24</v>
      </c>
      <c r="AE16" s="211">
        <f t="shared" si="2"/>
        <v>1.6700000000000728</v>
      </c>
      <c r="AF16" s="125" t="str">
        <f t="shared" si="16"/>
        <v>SA/ME</v>
      </c>
      <c r="AG16" s="56">
        <v>9</v>
      </c>
      <c r="AH16" s="210">
        <v>46225.09</v>
      </c>
      <c r="AI16" s="211">
        <f t="shared" si="17"/>
        <v>13.720000000001164</v>
      </c>
      <c r="AJ16" s="210">
        <v>48362.38</v>
      </c>
      <c r="AK16" s="211">
        <f t="shared" si="18"/>
        <v>12.590000000003783</v>
      </c>
      <c r="AL16" s="210">
        <v>586.07000000000005</v>
      </c>
      <c r="AM16" s="211" t="str">
        <f t="shared" si="19"/>
        <v/>
      </c>
      <c r="AN16" s="210">
        <v>547.35</v>
      </c>
      <c r="AO16" s="211" t="str">
        <f t="shared" si="3"/>
        <v/>
      </c>
      <c r="AP16" s="125" t="str">
        <f t="shared" si="20"/>
        <v>SA/ME</v>
      </c>
      <c r="AQ16" s="56">
        <v>9</v>
      </c>
      <c r="AR16" s="210">
        <v>6669.51</v>
      </c>
      <c r="AS16" s="211">
        <f t="shared" si="21"/>
        <v>1.5599999999994907</v>
      </c>
      <c r="AT16" s="210">
        <v>7380.66</v>
      </c>
      <c r="AU16" s="211">
        <f t="shared" si="22"/>
        <v>1.5399999999999636</v>
      </c>
      <c r="AV16" s="210">
        <v>252.57</v>
      </c>
      <c r="AW16" s="211" t="str">
        <f t="shared" si="23"/>
        <v/>
      </c>
      <c r="AX16" s="210">
        <v>240.25</v>
      </c>
      <c r="AY16" s="211" t="str">
        <f t="shared" si="4"/>
        <v/>
      </c>
      <c r="AZ16" s="125" t="str">
        <f t="shared" si="24"/>
        <v>SA/ME</v>
      </c>
      <c r="BA16" s="56">
        <v>9</v>
      </c>
      <c r="BB16" s="64">
        <v>0.73</v>
      </c>
      <c r="BC16" s="62">
        <v>15</v>
      </c>
      <c r="BD16" s="61">
        <v>7.3</v>
      </c>
      <c r="BE16" s="61">
        <v>3.2</v>
      </c>
      <c r="BF16" s="61">
        <v>17.100000000000001</v>
      </c>
      <c r="BG16" s="61">
        <v>7.3</v>
      </c>
      <c r="BH16" s="64">
        <v>0.36499999999999999</v>
      </c>
      <c r="BI16" s="64">
        <v>0.39</v>
      </c>
      <c r="BJ16" s="64">
        <v>6.0999999999999999E-2</v>
      </c>
      <c r="BK16" s="64">
        <v>5.2999999999999999E-2</v>
      </c>
      <c r="BL16" s="64">
        <v>6.4000000000000001E-2</v>
      </c>
      <c r="BM16" s="64">
        <v>6.5000000000000002E-2</v>
      </c>
      <c r="BN16" s="65" t="str">
        <f t="shared" si="25"/>
        <v>SA/ME</v>
      </c>
      <c r="BO16" s="56">
        <v>9</v>
      </c>
      <c r="BP16" s="64">
        <v>0.16800000000000001</v>
      </c>
      <c r="BQ16" s="62">
        <v>0</v>
      </c>
      <c r="BR16" s="61">
        <v>7.2</v>
      </c>
      <c r="BS16" s="61">
        <v>8.1</v>
      </c>
      <c r="BT16" s="61">
        <v>18.7</v>
      </c>
      <c r="BU16" s="64">
        <v>1.2999999999999999E-2</v>
      </c>
      <c r="BV16" s="63">
        <v>1.3</v>
      </c>
      <c r="BW16" s="63">
        <v>1.0900000000000001</v>
      </c>
      <c r="BX16" s="66" t="s">
        <v>331</v>
      </c>
      <c r="BY16" s="172" t="s">
        <v>239</v>
      </c>
      <c r="BZ16" s="67" t="str">
        <f t="shared" si="26"/>
        <v>SA/ME</v>
      </c>
      <c r="CA16" s="56">
        <v>9</v>
      </c>
      <c r="CB16" s="61">
        <v>93.6</v>
      </c>
      <c r="CC16" s="61"/>
      <c r="CD16" s="68">
        <f t="shared" si="27"/>
        <v>1.3999999999999915</v>
      </c>
      <c r="CE16" s="69">
        <f t="shared" si="28"/>
        <v>6.5159709999999604</v>
      </c>
      <c r="CF16" s="69">
        <f t="shared" si="29"/>
        <v>4.9177139622641208</v>
      </c>
      <c r="CG16" s="62">
        <v>66</v>
      </c>
      <c r="CH16" s="62">
        <v>100</v>
      </c>
      <c r="CI16" s="65" t="str">
        <f t="shared" si="30"/>
        <v>SA/ME</v>
      </c>
      <c r="CJ16" s="56">
        <v>9</v>
      </c>
      <c r="CK16" s="61">
        <v>87.2</v>
      </c>
      <c r="CL16" s="61"/>
      <c r="CM16" s="68">
        <f t="shared" si="31"/>
        <v>2.7000000000000028</v>
      </c>
      <c r="CN16" s="68">
        <f t="shared" si="32"/>
        <v>12.566515500000014</v>
      </c>
      <c r="CO16" s="68">
        <f t="shared" si="33"/>
        <v>25.495280043750032</v>
      </c>
      <c r="CP16" s="62">
        <v>57</v>
      </c>
      <c r="CQ16" s="62">
        <v>83</v>
      </c>
      <c r="CR16" s="65" t="str">
        <f t="shared" si="34"/>
        <v>SA/ME</v>
      </c>
      <c r="CS16" s="56">
        <v>9</v>
      </c>
      <c r="CT16" s="61">
        <v>82.9</v>
      </c>
      <c r="CU16" s="61"/>
      <c r="CV16" s="68">
        <f t="shared" si="35"/>
        <v>2.1000000000000085</v>
      </c>
      <c r="CW16" s="68">
        <f t="shared" si="36"/>
        <v>13.952904000000057</v>
      </c>
      <c r="CX16" s="69">
        <f t="shared" si="37"/>
        <v>7.1188285714286009E-2</v>
      </c>
      <c r="CY16" s="66" t="s">
        <v>251</v>
      </c>
      <c r="CZ16" s="66" t="s">
        <v>241</v>
      </c>
      <c r="DA16" s="66"/>
      <c r="DB16" s="65" t="str">
        <f t="shared" si="38"/>
        <v>SA/ME</v>
      </c>
      <c r="DC16" s="56">
        <v>9</v>
      </c>
      <c r="DD16" s="61">
        <v>89.3</v>
      </c>
      <c r="DE16" s="61">
        <v>105.4</v>
      </c>
      <c r="DF16" s="68">
        <f t="shared" si="45"/>
        <v>17.700000000000003</v>
      </c>
      <c r="DG16" s="69">
        <f t="shared" si="5"/>
        <v>0.95493674976000009</v>
      </c>
      <c r="DH16" s="68">
        <f t="shared" si="6"/>
        <v>4.8721262742857148</v>
      </c>
      <c r="DI16" s="62">
        <v>90</v>
      </c>
      <c r="DJ16" s="62">
        <v>54</v>
      </c>
      <c r="DK16" s="65" t="str">
        <f t="shared" si="39"/>
        <v>SA/ME</v>
      </c>
      <c r="DL16" s="56">
        <v>9</v>
      </c>
      <c r="DM16" s="63">
        <v>8.02</v>
      </c>
      <c r="DN16" s="64">
        <v>1.9E-2</v>
      </c>
      <c r="DO16" s="64">
        <v>3.5999999999999997E-2</v>
      </c>
      <c r="DP16" s="64">
        <v>0.17199999999999999</v>
      </c>
      <c r="DQ16" s="63">
        <v>6.82</v>
      </c>
      <c r="DR16" s="61">
        <v>8.1</v>
      </c>
      <c r="DS16" s="64">
        <v>1.258</v>
      </c>
      <c r="DT16" s="61">
        <v>87.1</v>
      </c>
      <c r="DU16" s="63">
        <v>4.2699999999999996</v>
      </c>
      <c r="DV16" s="64">
        <v>0.72299999999999998</v>
      </c>
      <c r="DW16" s="64">
        <v>2.37</v>
      </c>
      <c r="DX16" s="66" t="s">
        <v>242</v>
      </c>
      <c r="DY16" s="65" t="str">
        <f t="shared" si="40"/>
        <v>SA/ME</v>
      </c>
      <c r="DZ16" s="128">
        <v>9</v>
      </c>
      <c r="EA16" s="173">
        <f t="shared" si="41"/>
        <v>0.13101604278074866</v>
      </c>
      <c r="EB16" s="173">
        <f t="shared" si="42"/>
        <v>0.14117647058823529</v>
      </c>
      <c r="EC16" s="173">
        <f t="shared" si="43"/>
        <v>0.81122448979591832</v>
      </c>
      <c r="ED16" s="63">
        <v>1.22</v>
      </c>
      <c r="EE16" s="63">
        <v>1.26</v>
      </c>
      <c r="EF16" s="63">
        <v>0.05</v>
      </c>
      <c r="EG16" s="284">
        <v>0.77</v>
      </c>
      <c r="EH16" s="127" t="str">
        <f>IF(J16="","",J16)</f>
        <v>SA/ME</v>
      </c>
      <c r="EI16" s="56">
        <v>9</v>
      </c>
      <c r="EJ16" s="334"/>
      <c r="EK16" s="334"/>
      <c r="EL16" s="334"/>
      <c r="EM16" s="334"/>
      <c r="EN16" s="334"/>
      <c r="EO16" s="334"/>
      <c r="EP16" s="334"/>
      <c r="EQ16" s="65" t="str">
        <f t="shared" si="44"/>
        <v>SA/ME</v>
      </c>
      <c r="ER16" s="20"/>
      <c r="ES16" s="20"/>
      <c r="ET16" s="20"/>
      <c r="EU16" s="20"/>
      <c r="EV16" s="20"/>
      <c r="EW16" s="20"/>
      <c r="EX16" s="20"/>
    </row>
    <row r="17" spans="1:154" s="3" customFormat="1" ht="17.149999999999999" customHeight="1" x14ac:dyDescent="0.25">
      <c r="A17" s="56">
        <v>10</v>
      </c>
      <c r="B17" s="212">
        <v>878962</v>
      </c>
      <c r="C17" s="213">
        <f t="shared" si="8"/>
        <v>192</v>
      </c>
      <c r="D17" s="217">
        <v>9.7799999999999994</v>
      </c>
      <c r="E17" s="212">
        <v>783123</v>
      </c>
      <c r="F17" s="213">
        <f t="shared" si="9"/>
        <v>149</v>
      </c>
      <c r="G17" s="216">
        <v>2.46</v>
      </c>
      <c r="H17" s="212">
        <v>743467</v>
      </c>
      <c r="I17" s="213">
        <f t="shared" si="0"/>
        <v>124</v>
      </c>
      <c r="J17" s="60" t="s">
        <v>237</v>
      </c>
      <c r="K17" s="56">
        <v>10</v>
      </c>
      <c r="L17" s="212">
        <v>68854</v>
      </c>
      <c r="M17" s="213">
        <f t="shared" si="10"/>
        <v>49</v>
      </c>
      <c r="N17" s="212">
        <v>174269</v>
      </c>
      <c r="O17" s="213">
        <f t="shared" si="11"/>
        <v>40</v>
      </c>
      <c r="P17" s="212">
        <v>194749</v>
      </c>
      <c r="Q17" s="215" t="str">
        <f t="shared" si="1"/>
        <v/>
      </c>
      <c r="R17" s="57">
        <v>667</v>
      </c>
      <c r="S17" s="57">
        <v>675</v>
      </c>
      <c r="T17" s="57">
        <v>139</v>
      </c>
      <c r="U17" s="57">
        <v>136</v>
      </c>
      <c r="V17" s="58" t="str">
        <f t="shared" si="12"/>
        <v>SA/ME</v>
      </c>
      <c r="W17" s="56">
        <v>10</v>
      </c>
      <c r="X17" s="210">
        <v>11585.43</v>
      </c>
      <c r="Y17" s="211">
        <f t="shared" si="13"/>
        <v>2.1599999999998545</v>
      </c>
      <c r="Z17" s="210">
        <v>12361.6</v>
      </c>
      <c r="AA17" s="211">
        <f t="shared" si="14"/>
        <v>3.680000000000291</v>
      </c>
      <c r="AB17" s="210">
        <v>9766.51</v>
      </c>
      <c r="AC17" s="211">
        <f t="shared" si="15"/>
        <v>1.6499999999996362</v>
      </c>
      <c r="AD17" s="210">
        <v>9854.91</v>
      </c>
      <c r="AE17" s="211">
        <f t="shared" si="2"/>
        <v>1.6499999999996362</v>
      </c>
      <c r="AF17" s="125" t="str">
        <f t="shared" si="16"/>
        <v>SA/ME</v>
      </c>
      <c r="AG17" s="56">
        <v>10</v>
      </c>
      <c r="AH17" s="210">
        <v>46238.81</v>
      </c>
      <c r="AI17" s="211">
        <f t="shared" si="17"/>
        <v>8.4700000000011642</v>
      </c>
      <c r="AJ17" s="210">
        <v>48374.97</v>
      </c>
      <c r="AK17" s="211">
        <f t="shared" si="18"/>
        <v>11.400000000001455</v>
      </c>
      <c r="AL17" s="210">
        <v>586.07000000000005</v>
      </c>
      <c r="AM17" s="211" t="str">
        <f t="shared" si="19"/>
        <v/>
      </c>
      <c r="AN17" s="210">
        <v>547.35</v>
      </c>
      <c r="AO17" s="211" t="str">
        <f t="shared" si="3"/>
        <v/>
      </c>
      <c r="AP17" s="125" t="str">
        <f t="shared" si="20"/>
        <v>SA/ME</v>
      </c>
      <c r="AQ17" s="56">
        <v>10</v>
      </c>
      <c r="AR17" s="210">
        <v>6671.07</v>
      </c>
      <c r="AS17" s="211">
        <f t="shared" si="21"/>
        <v>1.6100000000005821</v>
      </c>
      <c r="AT17" s="210">
        <v>7382.2</v>
      </c>
      <c r="AU17" s="211">
        <f t="shared" si="22"/>
        <v>1.8000000000001819</v>
      </c>
      <c r="AV17" s="210">
        <v>252.57</v>
      </c>
      <c r="AW17" s="211" t="str">
        <f t="shared" si="23"/>
        <v/>
      </c>
      <c r="AX17" s="210">
        <v>240.25</v>
      </c>
      <c r="AY17" s="211">
        <f t="shared" si="4"/>
        <v>0.34000000000000341</v>
      </c>
      <c r="AZ17" s="125" t="str">
        <f t="shared" si="24"/>
        <v>SA/ME</v>
      </c>
      <c r="BA17" s="56">
        <v>10</v>
      </c>
      <c r="BB17" s="64"/>
      <c r="BC17" s="62"/>
      <c r="BD17" s="61"/>
      <c r="BE17" s="61"/>
      <c r="BF17" s="61"/>
      <c r="BG17" s="61"/>
      <c r="BH17" s="64"/>
      <c r="BI17" s="64"/>
      <c r="BJ17" s="64"/>
      <c r="BK17" s="64"/>
      <c r="BL17" s="64"/>
      <c r="BM17" s="64"/>
      <c r="BN17" s="65" t="str">
        <f t="shared" si="25"/>
        <v>SA/ME</v>
      </c>
      <c r="BO17" s="56">
        <v>10</v>
      </c>
      <c r="BP17" s="64">
        <v>0.13800000000000001</v>
      </c>
      <c r="BQ17" s="62">
        <v>0</v>
      </c>
      <c r="BR17" s="61">
        <v>7.3</v>
      </c>
      <c r="BS17" s="61">
        <v>8.1999999999999993</v>
      </c>
      <c r="BT17" s="61">
        <v>19.399999999999999</v>
      </c>
      <c r="BU17" s="64">
        <v>1.0999999999999999E-2</v>
      </c>
      <c r="BV17" s="63">
        <v>1.24</v>
      </c>
      <c r="BW17" s="63">
        <v>1.05</v>
      </c>
      <c r="BX17" s="66" t="s">
        <v>332</v>
      </c>
      <c r="BY17" s="172" t="s">
        <v>239</v>
      </c>
      <c r="BZ17" s="67" t="str">
        <f t="shared" si="26"/>
        <v>SA/ME</v>
      </c>
      <c r="CA17" s="56">
        <v>10</v>
      </c>
      <c r="CB17" s="61">
        <v>92.2</v>
      </c>
      <c r="CC17" s="61"/>
      <c r="CD17" s="68">
        <f t="shared" si="27"/>
        <v>1</v>
      </c>
      <c r="CE17" s="69">
        <f t="shared" si="28"/>
        <v>4.6542650000000005</v>
      </c>
      <c r="CF17" s="69">
        <f t="shared" si="29"/>
        <v>4.5041274193548384</v>
      </c>
      <c r="CG17" s="62">
        <v>66</v>
      </c>
      <c r="CH17" s="62">
        <v>100</v>
      </c>
      <c r="CI17" s="65" t="str">
        <f t="shared" si="30"/>
        <v>SA/ME</v>
      </c>
      <c r="CJ17" s="56">
        <v>10</v>
      </c>
      <c r="CK17" s="61">
        <v>84.5</v>
      </c>
      <c r="CL17" s="61"/>
      <c r="CM17" s="68">
        <f t="shared" si="31"/>
        <v>2.2999999999999972</v>
      </c>
      <c r="CN17" s="68">
        <f t="shared" si="32"/>
        <v>10.704809499999987</v>
      </c>
      <c r="CO17" s="68">
        <f t="shared" si="33"/>
        <v>22.170664050390599</v>
      </c>
      <c r="CP17" s="62">
        <v>57</v>
      </c>
      <c r="CQ17" s="62">
        <v>83</v>
      </c>
      <c r="CR17" s="65" t="str">
        <f t="shared" si="34"/>
        <v>SA/ME</v>
      </c>
      <c r="CS17" s="56">
        <v>10</v>
      </c>
      <c r="CT17" s="61">
        <v>80.8</v>
      </c>
      <c r="CU17" s="61"/>
      <c r="CV17" s="68">
        <f t="shared" si="35"/>
        <v>1.7999999999999972</v>
      </c>
      <c r="CW17" s="68">
        <f t="shared" si="36"/>
        <v>11.959631999999981</v>
      </c>
      <c r="CX17" s="69">
        <f t="shared" si="37"/>
        <v>6.2289749999999901E-2</v>
      </c>
      <c r="CY17" s="66" t="s">
        <v>251</v>
      </c>
      <c r="CZ17" s="66" t="s">
        <v>241</v>
      </c>
      <c r="DA17" s="66"/>
      <c r="DB17" s="65" t="str">
        <f t="shared" si="38"/>
        <v>SA/ME</v>
      </c>
      <c r="DC17" s="56">
        <v>10</v>
      </c>
      <c r="DD17" s="61">
        <v>87.7</v>
      </c>
      <c r="DE17" s="61">
        <v>105</v>
      </c>
      <c r="DF17" s="68">
        <f t="shared" si="45"/>
        <v>18.299999999999997</v>
      </c>
      <c r="DG17" s="69">
        <f t="shared" si="5"/>
        <v>0.98730748703999982</v>
      </c>
      <c r="DH17" s="68">
        <f t="shared" si="6"/>
        <v>5.1422264949999992</v>
      </c>
      <c r="DI17" s="62">
        <v>90</v>
      </c>
      <c r="DJ17" s="62">
        <v>54</v>
      </c>
      <c r="DK17" s="65" t="str">
        <f t="shared" si="39"/>
        <v>SA/ME</v>
      </c>
      <c r="DL17" s="56">
        <v>10</v>
      </c>
      <c r="DM17" s="63">
        <v>8.15</v>
      </c>
      <c r="DN17" s="64">
        <v>2.1999999999999999E-2</v>
      </c>
      <c r="DO17" s="64">
        <v>3.5999999999999997E-2</v>
      </c>
      <c r="DP17" s="64">
        <v>0.112</v>
      </c>
      <c r="DQ17" s="63">
        <v>6.81</v>
      </c>
      <c r="DR17" s="61">
        <v>8.1999999999999993</v>
      </c>
      <c r="DS17" s="64">
        <v>1.2669999999999999</v>
      </c>
      <c r="DT17" s="61">
        <v>87.5</v>
      </c>
      <c r="DU17" s="63">
        <v>4.32</v>
      </c>
      <c r="DV17" s="64">
        <v>0.70499999999999996</v>
      </c>
      <c r="DW17" s="64">
        <v>0.59</v>
      </c>
      <c r="DX17" s="66" t="s">
        <v>247</v>
      </c>
      <c r="DY17" s="65" t="str">
        <f t="shared" si="40"/>
        <v>SA/ME</v>
      </c>
      <c r="DZ17" s="128">
        <v>10</v>
      </c>
      <c r="EA17" s="173">
        <f t="shared" si="41"/>
        <v>0.12834224598930483</v>
      </c>
      <c r="EB17" s="173">
        <f t="shared" si="42"/>
        <v>0.10955882352941176</v>
      </c>
      <c r="EC17" s="173">
        <f t="shared" si="43"/>
        <v>0.64583333333333337</v>
      </c>
      <c r="ED17" s="63">
        <v>1.22</v>
      </c>
      <c r="EE17" s="63">
        <v>1.29</v>
      </c>
      <c r="EF17" s="63">
        <v>0.06</v>
      </c>
      <c r="EG17" s="284">
        <v>0.35</v>
      </c>
      <c r="EH17" s="127" t="str">
        <f t="shared" si="7"/>
        <v>SA/ME</v>
      </c>
      <c r="EI17" s="56">
        <v>10</v>
      </c>
      <c r="EJ17" s="334"/>
      <c r="EK17" s="334"/>
      <c r="EL17" s="334"/>
      <c r="EM17" s="334"/>
      <c r="EN17" s="334"/>
      <c r="EO17" s="334"/>
      <c r="EP17" s="334"/>
      <c r="EQ17" s="65" t="str">
        <f t="shared" si="44"/>
        <v>SA/ME</v>
      </c>
      <c r="ER17" s="20"/>
      <c r="ES17" s="20"/>
      <c r="ET17" s="20"/>
      <c r="EU17" s="20"/>
      <c r="EV17" s="20"/>
      <c r="EW17" s="20"/>
      <c r="EX17" s="20"/>
    </row>
    <row r="18" spans="1:154" s="3" customFormat="1" ht="17.149999999999999" customHeight="1" x14ac:dyDescent="0.25">
      <c r="A18" s="56">
        <v>11</v>
      </c>
      <c r="B18" s="212">
        <v>879154</v>
      </c>
      <c r="C18" s="213">
        <f t="shared" si="8"/>
        <v>121</v>
      </c>
      <c r="D18" s="217">
        <v>9.65</v>
      </c>
      <c r="E18" s="212">
        <v>783272</v>
      </c>
      <c r="F18" s="213">
        <f t="shared" si="9"/>
        <v>155</v>
      </c>
      <c r="G18" s="216">
        <v>2.52</v>
      </c>
      <c r="H18" s="212">
        <v>743591</v>
      </c>
      <c r="I18" s="213">
        <f t="shared" si="0"/>
        <v>101</v>
      </c>
      <c r="J18" s="60" t="s">
        <v>237</v>
      </c>
      <c r="K18" s="56">
        <v>11</v>
      </c>
      <c r="L18" s="212">
        <v>68903</v>
      </c>
      <c r="M18" s="213" t="str">
        <f t="shared" si="10"/>
        <v/>
      </c>
      <c r="N18" s="212">
        <v>174309</v>
      </c>
      <c r="O18" s="213">
        <f t="shared" si="11"/>
        <v>48</v>
      </c>
      <c r="P18" s="212">
        <v>194749</v>
      </c>
      <c r="Q18" s="215" t="str">
        <f t="shared" si="1"/>
        <v/>
      </c>
      <c r="R18" s="57">
        <v>668</v>
      </c>
      <c r="S18" s="57">
        <v>675</v>
      </c>
      <c r="T18" s="57">
        <v>139</v>
      </c>
      <c r="U18" s="57">
        <v>136</v>
      </c>
      <c r="V18" s="58" t="str">
        <f t="shared" si="12"/>
        <v>SA/ME</v>
      </c>
      <c r="W18" s="56">
        <v>11</v>
      </c>
      <c r="X18" s="210">
        <v>11587.59</v>
      </c>
      <c r="Y18" s="211">
        <f t="shared" si="13"/>
        <v>1.8899999999994179</v>
      </c>
      <c r="Z18" s="210">
        <v>12365.28</v>
      </c>
      <c r="AA18" s="211">
        <f t="shared" si="14"/>
        <v>1.6700000000000728</v>
      </c>
      <c r="AB18" s="210">
        <v>9768.16</v>
      </c>
      <c r="AC18" s="211">
        <f t="shared" si="15"/>
        <v>1.4400000000005093</v>
      </c>
      <c r="AD18" s="210">
        <v>9856.56</v>
      </c>
      <c r="AE18" s="211">
        <f t="shared" si="2"/>
        <v>1.25</v>
      </c>
      <c r="AF18" s="125" t="str">
        <f t="shared" si="16"/>
        <v>SA/ME</v>
      </c>
      <c r="AG18" s="56">
        <v>11</v>
      </c>
      <c r="AH18" s="210">
        <v>46247.28</v>
      </c>
      <c r="AI18" s="211">
        <f t="shared" si="17"/>
        <v>15.540000000000873</v>
      </c>
      <c r="AJ18" s="210">
        <v>48386.37</v>
      </c>
      <c r="AK18" s="211">
        <f t="shared" si="18"/>
        <v>8.2299999999959255</v>
      </c>
      <c r="AL18" s="210">
        <v>586.07000000000005</v>
      </c>
      <c r="AM18" s="211"/>
      <c r="AN18" s="210">
        <v>547.35</v>
      </c>
      <c r="AO18" s="211" t="str">
        <f t="shared" si="3"/>
        <v/>
      </c>
      <c r="AP18" s="125" t="str">
        <f t="shared" si="20"/>
        <v>SA/ME</v>
      </c>
      <c r="AQ18" s="56">
        <v>11</v>
      </c>
      <c r="AR18" s="210">
        <v>6672.68</v>
      </c>
      <c r="AS18" s="211">
        <f t="shared" si="21"/>
        <v>2.0299999999997453</v>
      </c>
      <c r="AT18" s="210">
        <v>7384</v>
      </c>
      <c r="AU18" s="211">
        <f t="shared" si="22"/>
        <v>2.1400000000003274</v>
      </c>
      <c r="AV18" s="210">
        <v>252.57</v>
      </c>
      <c r="AW18" s="211" t="str">
        <f t="shared" si="23"/>
        <v/>
      </c>
      <c r="AX18" s="210">
        <v>240.59</v>
      </c>
      <c r="AY18" s="211" t="str">
        <f t="shared" si="4"/>
        <v/>
      </c>
      <c r="AZ18" s="125" t="str">
        <f t="shared" si="24"/>
        <v>SA/ME</v>
      </c>
      <c r="BA18" s="56">
        <v>11</v>
      </c>
      <c r="BB18" s="64"/>
      <c r="BC18" s="62"/>
      <c r="BD18" s="61"/>
      <c r="BE18" s="61"/>
      <c r="BF18" s="61"/>
      <c r="BG18" s="61"/>
      <c r="BH18" s="64"/>
      <c r="BI18" s="64"/>
      <c r="BJ18" s="64"/>
      <c r="BK18" s="64"/>
      <c r="BL18" s="64"/>
      <c r="BM18" s="64"/>
      <c r="BN18" s="65" t="str">
        <f t="shared" si="25"/>
        <v>SA/ME</v>
      </c>
      <c r="BO18" s="56">
        <v>11</v>
      </c>
      <c r="BP18" s="64">
        <v>0.11799999999999999</v>
      </c>
      <c r="BQ18" s="62">
        <v>0</v>
      </c>
      <c r="BR18" s="61">
        <v>7.3</v>
      </c>
      <c r="BS18" s="61">
        <v>8.1</v>
      </c>
      <c r="BT18" s="61">
        <v>20.100000000000001</v>
      </c>
      <c r="BU18" s="64">
        <v>1.0999999999999999E-2</v>
      </c>
      <c r="BV18" s="63">
        <v>1.19</v>
      </c>
      <c r="BW18" s="63">
        <v>1.0900000000000001</v>
      </c>
      <c r="BX18" s="66" t="s">
        <v>330</v>
      </c>
      <c r="BY18" s="172" t="s">
        <v>239</v>
      </c>
      <c r="BZ18" s="67" t="str">
        <f t="shared" si="26"/>
        <v>SA/ME</v>
      </c>
      <c r="CA18" s="56">
        <v>11</v>
      </c>
      <c r="CB18" s="61">
        <v>91.2</v>
      </c>
      <c r="CC18" s="61"/>
      <c r="CD18" s="68">
        <f t="shared" si="27"/>
        <v>0.79999999999999716</v>
      </c>
      <c r="CE18" s="69">
        <f t="shared" si="28"/>
        <v>3.7234119999999873</v>
      </c>
      <c r="CF18" s="69">
        <f t="shared" si="29"/>
        <v>4.4238558415841434</v>
      </c>
      <c r="CG18" s="62">
        <v>66</v>
      </c>
      <c r="CH18" s="62">
        <v>100</v>
      </c>
      <c r="CI18" s="65" t="str">
        <f t="shared" si="30"/>
        <v>SA/ME</v>
      </c>
      <c r="CJ18" s="56">
        <v>11</v>
      </c>
      <c r="CK18" s="61">
        <v>82.2</v>
      </c>
      <c r="CL18" s="61"/>
      <c r="CM18" s="68">
        <f t="shared" si="31"/>
        <v>1.7000000000000028</v>
      </c>
      <c r="CN18" s="68">
        <f t="shared" si="32"/>
        <v>7.9122505000000141</v>
      </c>
      <c r="CO18" s="68">
        <f t="shared" si="33"/>
        <v>26.002532325000047</v>
      </c>
      <c r="CP18" s="62">
        <v>57</v>
      </c>
      <c r="CQ18" s="62">
        <v>83</v>
      </c>
      <c r="CR18" s="65" t="str">
        <f t="shared" si="34"/>
        <v>SA/ME</v>
      </c>
      <c r="CS18" s="56">
        <v>11</v>
      </c>
      <c r="CT18" s="61">
        <v>79</v>
      </c>
      <c r="CU18" s="61">
        <v>77</v>
      </c>
      <c r="CV18" s="68">
        <f t="shared" si="35"/>
        <v>0.40000000000000568</v>
      </c>
      <c r="CW18" s="68">
        <f t="shared" si="36"/>
        <v>2.6576960000000378</v>
      </c>
      <c r="CX18" s="69">
        <f t="shared" si="37"/>
        <v>2.1964429752066427E-2</v>
      </c>
      <c r="CY18" s="66" t="s">
        <v>251</v>
      </c>
      <c r="CZ18" s="66" t="s">
        <v>241</v>
      </c>
      <c r="DA18" s="66" t="s">
        <v>242</v>
      </c>
      <c r="DB18" s="65" t="str">
        <f t="shared" si="38"/>
        <v>SA/ME</v>
      </c>
      <c r="DC18" s="56">
        <v>11</v>
      </c>
      <c r="DD18" s="61">
        <v>86.7</v>
      </c>
      <c r="DE18" s="61">
        <v>103</v>
      </c>
      <c r="DF18" s="68">
        <f t="shared" si="45"/>
        <v>10.5</v>
      </c>
      <c r="DG18" s="69">
        <f t="shared" si="5"/>
        <v>0.56648790240000002</v>
      </c>
      <c r="DH18" s="68">
        <f t="shared" si="6"/>
        <v>4.6817182016528927</v>
      </c>
      <c r="DI18" s="62">
        <v>90</v>
      </c>
      <c r="DJ18" s="62">
        <v>54</v>
      </c>
      <c r="DK18" s="65" t="str">
        <f t="shared" si="39"/>
        <v>SA/ME</v>
      </c>
      <c r="DL18" s="56">
        <v>11</v>
      </c>
      <c r="DM18" s="63">
        <v>8.09</v>
      </c>
      <c r="DN18" s="64">
        <v>2.1000000000000001E-2</v>
      </c>
      <c r="DO18" s="64">
        <v>3.7999999999999999E-2</v>
      </c>
      <c r="DP18" s="64">
        <v>9.4E-2</v>
      </c>
      <c r="DQ18" s="63">
        <v>6.82</v>
      </c>
      <c r="DR18" s="61">
        <v>8.1</v>
      </c>
      <c r="DS18" s="64">
        <v>1.278</v>
      </c>
      <c r="DT18" s="61">
        <v>86.4</v>
      </c>
      <c r="DU18" s="63">
        <v>4.3499999999999996</v>
      </c>
      <c r="DV18" s="64">
        <v>1.825</v>
      </c>
      <c r="DW18" s="64">
        <v>1.82</v>
      </c>
      <c r="DX18" s="66" t="s">
        <v>242</v>
      </c>
      <c r="DY18" s="65" t="str">
        <f t="shared" si="40"/>
        <v>SA/ME</v>
      </c>
      <c r="DZ18" s="128">
        <v>11</v>
      </c>
      <c r="EA18" s="173">
        <f t="shared" si="41"/>
        <v>8.0882352941176475E-2</v>
      </c>
      <c r="EB18" s="173">
        <f t="shared" si="42"/>
        <v>0.11397058823529412</v>
      </c>
      <c r="EC18" s="173">
        <f t="shared" si="43"/>
        <v>0.83471074380165289</v>
      </c>
      <c r="ED18" s="63">
        <v>1.07</v>
      </c>
      <c r="EE18" s="63">
        <v>1.29</v>
      </c>
      <c r="EF18" s="63">
        <v>0.06</v>
      </c>
      <c r="EG18" s="63">
        <v>0.19</v>
      </c>
      <c r="EH18" s="127" t="str">
        <f t="shared" si="7"/>
        <v>SA/ME</v>
      </c>
      <c r="EI18" s="56">
        <v>11</v>
      </c>
      <c r="EJ18" s="334"/>
      <c r="EK18" s="334"/>
      <c r="EL18" s="334"/>
      <c r="EM18" s="334"/>
      <c r="EN18" s="334"/>
      <c r="EO18" s="334"/>
      <c r="EP18" s="334"/>
      <c r="EQ18" s="65" t="str">
        <f t="shared" si="44"/>
        <v>SA/ME</v>
      </c>
      <c r="ER18" s="20"/>
      <c r="ES18" s="20"/>
      <c r="ET18" s="20"/>
      <c r="EU18" s="20"/>
      <c r="EV18" s="20"/>
      <c r="EW18" s="20"/>
      <c r="EX18" s="20"/>
    </row>
    <row r="19" spans="1:154" s="3" customFormat="1" ht="17.149999999999999" customHeight="1" x14ac:dyDescent="0.25">
      <c r="A19" s="56">
        <v>12</v>
      </c>
      <c r="B19" s="212">
        <v>879275</v>
      </c>
      <c r="C19" s="213">
        <f t="shared" si="8"/>
        <v>136</v>
      </c>
      <c r="D19" s="217">
        <v>9.52</v>
      </c>
      <c r="E19" s="212">
        <v>783427</v>
      </c>
      <c r="F19" s="213">
        <f t="shared" si="9"/>
        <v>158</v>
      </c>
      <c r="G19" s="216">
        <v>1.98</v>
      </c>
      <c r="H19" s="212">
        <v>743692</v>
      </c>
      <c r="I19" s="213">
        <f t="shared" si="0"/>
        <v>115</v>
      </c>
      <c r="J19" s="60" t="s">
        <v>237</v>
      </c>
      <c r="K19" s="56">
        <v>12</v>
      </c>
      <c r="L19" s="212">
        <v>68903</v>
      </c>
      <c r="M19" s="213" t="str">
        <f t="shared" si="10"/>
        <v/>
      </c>
      <c r="N19" s="212">
        <v>174357</v>
      </c>
      <c r="O19" s="213">
        <f t="shared" si="11"/>
        <v>44</v>
      </c>
      <c r="P19" s="212">
        <v>194749</v>
      </c>
      <c r="Q19" s="215" t="str">
        <f t="shared" si="1"/>
        <v/>
      </c>
      <c r="R19" s="57">
        <v>668</v>
      </c>
      <c r="S19" s="57">
        <v>675</v>
      </c>
      <c r="T19" s="57">
        <v>139</v>
      </c>
      <c r="U19" s="57">
        <v>136</v>
      </c>
      <c r="V19" s="58" t="str">
        <f t="shared" si="12"/>
        <v>SA/ME</v>
      </c>
      <c r="W19" s="56">
        <v>12</v>
      </c>
      <c r="X19" s="210">
        <v>11589.48</v>
      </c>
      <c r="Y19" s="211">
        <f t="shared" si="13"/>
        <v>1.9400000000005093</v>
      </c>
      <c r="Z19" s="210">
        <v>12366.95</v>
      </c>
      <c r="AA19" s="211">
        <f t="shared" si="14"/>
        <v>2.0199999999986176</v>
      </c>
      <c r="AB19" s="210">
        <v>9769.6</v>
      </c>
      <c r="AC19" s="211">
        <f t="shared" si="15"/>
        <v>1.4899999999997817</v>
      </c>
      <c r="AD19" s="210">
        <v>9857.81</v>
      </c>
      <c r="AE19" s="211">
        <f t="shared" si="2"/>
        <v>1.5799999999999272</v>
      </c>
      <c r="AF19" s="125" t="str">
        <f t="shared" si="16"/>
        <v>SA/ME</v>
      </c>
      <c r="AG19" s="56">
        <v>12</v>
      </c>
      <c r="AH19" s="210">
        <v>46262.82</v>
      </c>
      <c r="AI19" s="211">
        <f t="shared" si="17"/>
        <v>8.4899999999979627</v>
      </c>
      <c r="AJ19" s="210">
        <v>48394.6</v>
      </c>
      <c r="AK19" s="211">
        <f t="shared" si="18"/>
        <v>15.779999999998836</v>
      </c>
      <c r="AL19" s="210">
        <v>586.07000000000005</v>
      </c>
      <c r="AM19" s="211" t="str">
        <f t="shared" si="19"/>
        <v/>
      </c>
      <c r="AN19" s="210">
        <v>547.35</v>
      </c>
      <c r="AO19" s="211" t="str">
        <f t="shared" si="3"/>
        <v/>
      </c>
      <c r="AP19" s="125" t="str">
        <f t="shared" si="20"/>
        <v>SA/ME</v>
      </c>
      <c r="AQ19" s="56">
        <v>12</v>
      </c>
      <c r="AR19" s="210">
        <v>6674.71</v>
      </c>
      <c r="AS19" s="211">
        <f t="shared" si="21"/>
        <v>2.5100000000002183</v>
      </c>
      <c r="AT19" s="210">
        <v>7386.14</v>
      </c>
      <c r="AU19" s="211">
        <f t="shared" si="22"/>
        <v>2.3099999999994907</v>
      </c>
      <c r="AV19" s="210">
        <v>252.57</v>
      </c>
      <c r="AW19" s="211" t="str">
        <f t="shared" si="23"/>
        <v/>
      </c>
      <c r="AX19" s="210">
        <v>240.59</v>
      </c>
      <c r="AY19" s="211" t="str">
        <f t="shared" si="4"/>
        <v/>
      </c>
      <c r="AZ19" s="125" t="str">
        <f t="shared" si="24"/>
        <v>SA/ME</v>
      </c>
      <c r="BA19" s="56">
        <v>12</v>
      </c>
      <c r="BB19" s="64">
        <v>0.80900000000000005</v>
      </c>
      <c r="BC19" s="62">
        <v>20</v>
      </c>
      <c r="BD19" s="61">
        <v>7.3</v>
      </c>
      <c r="BE19" s="61">
        <v>3.2</v>
      </c>
      <c r="BF19" s="61">
        <v>18</v>
      </c>
      <c r="BG19" s="61">
        <v>7.3</v>
      </c>
      <c r="BH19" s="64">
        <v>0.27500000000000002</v>
      </c>
      <c r="BI19" s="64">
        <v>0.316</v>
      </c>
      <c r="BJ19" s="64">
        <v>5.2999999999999999E-2</v>
      </c>
      <c r="BK19" s="64">
        <v>5.6000000000000001E-2</v>
      </c>
      <c r="BL19" s="64">
        <v>6.8000000000000005E-2</v>
      </c>
      <c r="BM19" s="64">
        <v>7.3999999999999996E-2</v>
      </c>
      <c r="BN19" s="65" t="str">
        <f t="shared" si="25"/>
        <v>SA/ME</v>
      </c>
      <c r="BO19" s="56">
        <v>12</v>
      </c>
      <c r="BP19" s="64">
        <v>0.108</v>
      </c>
      <c r="BQ19" s="62">
        <v>0</v>
      </c>
      <c r="BR19" s="61">
        <v>7.3</v>
      </c>
      <c r="BS19" s="61">
        <v>8.1999999999999993</v>
      </c>
      <c r="BT19" s="61">
        <v>18.3</v>
      </c>
      <c r="BU19" s="64">
        <v>1.2999999999999999E-2</v>
      </c>
      <c r="BV19" s="63">
        <v>1.2</v>
      </c>
      <c r="BW19" s="63">
        <v>1.03</v>
      </c>
      <c r="BX19" s="66" t="s">
        <v>333</v>
      </c>
      <c r="BY19" s="172" t="s">
        <v>239</v>
      </c>
      <c r="BZ19" s="67" t="str">
        <f t="shared" si="26"/>
        <v>SA/ME</v>
      </c>
      <c r="CA19" s="56">
        <v>12</v>
      </c>
      <c r="CB19" s="61">
        <v>90.4</v>
      </c>
      <c r="CC19" s="61"/>
      <c r="CD19" s="68">
        <f t="shared" si="27"/>
        <v>0.80000000000001137</v>
      </c>
      <c r="CE19" s="69">
        <f t="shared" si="28"/>
        <v>3.723412000000053</v>
      </c>
      <c r="CF19" s="69">
        <f t="shared" si="29"/>
        <v>3.8852994782609245</v>
      </c>
      <c r="CG19" s="62">
        <v>66</v>
      </c>
      <c r="CH19" s="62">
        <v>100</v>
      </c>
      <c r="CI19" s="65" t="str">
        <f t="shared" si="30"/>
        <v>SA/ME</v>
      </c>
      <c r="CJ19" s="56">
        <v>12</v>
      </c>
      <c r="CK19" s="61">
        <v>80.5</v>
      </c>
      <c r="CL19" s="61"/>
      <c r="CM19" s="68">
        <f t="shared" si="31"/>
        <v>1.7999999999999972</v>
      </c>
      <c r="CN19" s="68">
        <f t="shared" si="32"/>
        <v>8.3776769999999878</v>
      </c>
      <c r="CO19" s="68">
        <f t="shared" si="33"/>
        <v>24.495465140073495</v>
      </c>
      <c r="CP19" s="62">
        <v>57</v>
      </c>
      <c r="CQ19" s="62">
        <v>83</v>
      </c>
      <c r="CR19" s="65" t="str">
        <f t="shared" si="34"/>
        <v>SA/ME</v>
      </c>
      <c r="CS19" s="56">
        <v>12</v>
      </c>
      <c r="CT19" s="61">
        <v>76.599999999999994</v>
      </c>
      <c r="CU19" s="61">
        <v>74.900000000000006</v>
      </c>
      <c r="CV19" s="68">
        <f t="shared" si="35"/>
        <v>1.3000000000000114</v>
      </c>
      <c r="CW19" s="68">
        <f t="shared" si="36"/>
        <v>8.6375120000000756</v>
      </c>
      <c r="CX19" s="69">
        <f t="shared" si="37"/>
        <v>6.3511117647059384E-2</v>
      </c>
      <c r="CY19" s="66" t="s">
        <v>251</v>
      </c>
      <c r="CZ19" s="66" t="s">
        <v>241</v>
      </c>
      <c r="DA19" s="66" t="s">
        <v>242</v>
      </c>
      <c r="DB19" s="65" t="str">
        <f t="shared" si="38"/>
        <v>SA/ME</v>
      </c>
      <c r="DC19" s="56">
        <v>12</v>
      </c>
      <c r="DD19" s="61">
        <v>92.5</v>
      </c>
      <c r="DE19" s="61">
        <v>104.7</v>
      </c>
      <c r="DF19" s="68">
        <f t="shared" si="45"/>
        <v>14.600000000000009</v>
      </c>
      <c r="DG19" s="69">
        <f t="shared" si="5"/>
        <v>0.78768794048000057</v>
      </c>
      <c r="DH19" s="68">
        <f t="shared" si="6"/>
        <v>5.7918230917647096</v>
      </c>
      <c r="DI19" s="62">
        <v>90</v>
      </c>
      <c r="DJ19" s="62">
        <v>54</v>
      </c>
      <c r="DK19" s="65" t="str">
        <f t="shared" si="39"/>
        <v>SA/ME</v>
      </c>
      <c r="DL19" s="56">
        <v>12</v>
      </c>
      <c r="DM19" s="63">
        <v>8.19</v>
      </c>
      <c r="DN19" s="64">
        <v>2.3E-2</v>
      </c>
      <c r="DO19" s="64">
        <v>3.5000000000000003E-2</v>
      </c>
      <c r="DP19" s="64">
        <v>8.3000000000000004E-2</v>
      </c>
      <c r="DQ19" s="63">
        <v>6.84</v>
      </c>
      <c r="DR19" s="61">
        <v>8.1999999999999993</v>
      </c>
      <c r="DS19" s="64">
        <v>1.2450000000000001</v>
      </c>
      <c r="DT19" s="61">
        <v>85.7</v>
      </c>
      <c r="DU19" s="63">
        <v>4.3</v>
      </c>
      <c r="DV19" s="64">
        <v>1.1020000000000001</v>
      </c>
      <c r="DW19" s="64">
        <v>1.35</v>
      </c>
      <c r="DX19" s="66" t="s">
        <v>242</v>
      </c>
      <c r="DY19" s="65" t="str">
        <f t="shared" si="40"/>
        <v>SA/ME</v>
      </c>
      <c r="DZ19" s="128">
        <v>12</v>
      </c>
      <c r="EA19" s="173">
        <f t="shared" si="41"/>
        <v>9.0909090909090912E-2</v>
      </c>
      <c r="EB19" s="173">
        <f t="shared" si="42"/>
        <v>0.1161764705882353</v>
      </c>
      <c r="EC19" s="173">
        <f t="shared" si="43"/>
        <v>0.84558823529411764</v>
      </c>
      <c r="ED19" s="63">
        <v>1.22</v>
      </c>
      <c r="EE19" s="63">
        <v>1.26</v>
      </c>
      <c r="EF19" s="63">
        <v>7.0000000000000007E-2</v>
      </c>
      <c r="EG19" s="63">
        <v>0.1</v>
      </c>
      <c r="EH19" s="127" t="str">
        <f t="shared" si="7"/>
        <v>SA/ME</v>
      </c>
      <c r="EI19" s="56">
        <v>12</v>
      </c>
      <c r="EJ19" s="334"/>
      <c r="EK19" s="334"/>
      <c r="EL19" s="334"/>
      <c r="EM19" s="334"/>
      <c r="EN19" s="334"/>
      <c r="EO19" s="334"/>
      <c r="EP19" s="334"/>
      <c r="EQ19" s="65" t="str">
        <f t="shared" si="44"/>
        <v>SA/ME</v>
      </c>
      <c r="ER19" s="20"/>
      <c r="ES19" s="20"/>
      <c r="ET19" s="20"/>
      <c r="EU19" s="20"/>
      <c r="EV19" s="20"/>
      <c r="EW19" s="20"/>
      <c r="EX19" s="20"/>
    </row>
    <row r="20" spans="1:154" s="3" customFormat="1" ht="17.149999999999999" customHeight="1" x14ac:dyDescent="0.25">
      <c r="A20" s="56">
        <v>13</v>
      </c>
      <c r="B20" s="212">
        <v>879411</v>
      </c>
      <c r="C20" s="213">
        <f t="shared" si="8"/>
        <v>137</v>
      </c>
      <c r="D20" s="217">
        <v>9.41</v>
      </c>
      <c r="E20" s="214">
        <v>783585</v>
      </c>
      <c r="F20" s="213">
        <f t="shared" si="9"/>
        <v>156</v>
      </c>
      <c r="G20" s="216">
        <v>2.15</v>
      </c>
      <c r="H20" s="212">
        <v>743807</v>
      </c>
      <c r="I20" s="213">
        <f t="shared" si="0"/>
        <v>116</v>
      </c>
      <c r="J20" s="60" t="s">
        <v>237</v>
      </c>
      <c r="K20" s="56">
        <v>13</v>
      </c>
      <c r="L20" s="212">
        <v>68903</v>
      </c>
      <c r="M20" s="213" t="str">
        <f t="shared" si="10"/>
        <v/>
      </c>
      <c r="N20" s="214">
        <v>174401</v>
      </c>
      <c r="O20" s="213">
        <f t="shared" si="11"/>
        <v>27</v>
      </c>
      <c r="P20" s="212">
        <v>194749</v>
      </c>
      <c r="Q20" s="215" t="str">
        <f t="shared" si="1"/>
        <v/>
      </c>
      <c r="R20" s="57">
        <v>668</v>
      </c>
      <c r="S20" s="57">
        <v>675</v>
      </c>
      <c r="T20" s="57">
        <v>139</v>
      </c>
      <c r="U20" s="57">
        <v>136</v>
      </c>
      <c r="V20" s="58" t="str">
        <f t="shared" si="12"/>
        <v>SA/ME</v>
      </c>
      <c r="W20" s="56">
        <v>13</v>
      </c>
      <c r="X20" s="210">
        <v>11591.42</v>
      </c>
      <c r="Y20" s="211">
        <f t="shared" si="13"/>
        <v>1.9500000000007276</v>
      </c>
      <c r="Z20" s="210">
        <v>12368.97</v>
      </c>
      <c r="AA20" s="211">
        <f t="shared" si="14"/>
        <v>2.0799999999999272</v>
      </c>
      <c r="AB20" s="210">
        <v>9771.09</v>
      </c>
      <c r="AC20" s="211">
        <f t="shared" si="15"/>
        <v>1.4799999999995634</v>
      </c>
      <c r="AD20" s="210">
        <v>9859.39</v>
      </c>
      <c r="AE20" s="211">
        <f t="shared" si="2"/>
        <v>1.6100000000005821</v>
      </c>
      <c r="AF20" s="125" t="str">
        <f t="shared" si="16"/>
        <v>SA/ME</v>
      </c>
      <c r="AG20" s="56">
        <v>13</v>
      </c>
      <c r="AH20" s="210">
        <v>46271.31</v>
      </c>
      <c r="AI20" s="211">
        <f t="shared" si="17"/>
        <v>15.510000000002037</v>
      </c>
      <c r="AJ20" s="210">
        <v>48410.38</v>
      </c>
      <c r="AK20" s="211">
        <f t="shared" si="18"/>
        <v>8.3500000000058208</v>
      </c>
      <c r="AL20" s="210">
        <v>586.07000000000005</v>
      </c>
      <c r="AM20" s="211">
        <f t="shared" si="19"/>
        <v>1.999999999998181E-2</v>
      </c>
      <c r="AN20" s="210">
        <v>547.35</v>
      </c>
      <c r="AO20" s="211">
        <f t="shared" si="3"/>
        <v>2.9999999999972715E-2</v>
      </c>
      <c r="AP20" s="125" t="str">
        <f t="shared" si="20"/>
        <v>SA/ME</v>
      </c>
      <c r="AQ20" s="56">
        <v>13</v>
      </c>
      <c r="AR20" s="210">
        <v>6677.22</v>
      </c>
      <c r="AS20" s="211">
        <f t="shared" si="21"/>
        <v>1.4799999999995634</v>
      </c>
      <c r="AT20" s="210">
        <v>7388.45</v>
      </c>
      <c r="AU20" s="211">
        <f t="shared" si="22"/>
        <v>1.3100000000004002</v>
      </c>
      <c r="AV20" s="210">
        <v>252.57</v>
      </c>
      <c r="AW20" s="211" t="str">
        <f t="shared" si="23"/>
        <v/>
      </c>
      <c r="AX20" s="210">
        <v>240.59</v>
      </c>
      <c r="AY20" s="211" t="str">
        <f t="shared" si="4"/>
        <v/>
      </c>
      <c r="AZ20" s="125" t="str">
        <f t="shared" si="24"/>
        <v>SA/ME</v>
      </c>
      <c r="BA20" s="56">
        <v>13</v>
      </c>
      <c r="BB20" s="64">
        <v>0.75800000000000001</v>
      </c>
      <c r="BC20" s="62">
        <v>24</v>
      </c>
      <c r="BD20" s="61">
        <v>7.3</v>
      </c>
      <c r="BE20" s="61">
        <v>3.2</v>
      </c>
      <c r="BF20" s="61">
        <v>17.2</v>
      </c>
      <c r="BG20" s="61">
        <v>7.3</v>
      </c>
      <c r="BH20" s="64">
        <v>0.372</v>
      </c>
      <c r="BI20" s="64">
        <v>0.34899999999999998</v>
      </c>
      <c r="BJ20" s="64">
        <v>6.5000000000000002E-2</v>
      </c>
      <c r="BK20" s="64">
        <v>5.6000000000000001E-2</v>
      </c>
      <c r="BL20" s="64">
        <v>5.8000000000000003E-2</v>
      </c>
      <c r="BM20" s="64">
        <v>7.8E-2</v>
      </c>
      <c r="BN20" s="65" t="str">
        <f t="shared" si="25"/>
        <v>SA/ME</v>
      </c>
      <c r="BO20" s="56">
        <v>13</v>
      </c>
      <c r="BP20" s="64">
        <v>0.108</v>
      </c>
      <c r="BQ20" s="62">
        <v>0</v>
      </c>
      <c r="BR20" s="61">
        <v>7.2</v>
      </c>
      <c r="BS20" s="61">
        <v>8.3000000000000007</v>
      </c>
      <c r="BT20" s="61">
        <v>16.399999999999999</v>
      </c>
      <c r="BU20" s="64">
        <v>1.2E-2</v>
      </c>
      <c r="BV20" s="63">
        <v>1.17</v>
      </c>
      <c r="BW20" s="63">
        <v>1.04</v>
      </c>
      <c r="BX20" s="66" t="s">
        <v>320</v>
      </c>
      <c r="BY20" s="172" t="s">
        <v>239</v>
      </c>
      <c r="BZ20" s="67" t="str">
        <f t="shared" si="26"/>
        <v>SA/ME</v>
      </c>
      <c r="CA20" s="56">
        <v>13</v>
      </c>
      <c r="CB20" s="61">
        <v>89.6</v>
      </c>
      <c r="CC20" s="61"/>
      <c r="CD20" s="68">
        <f t="shared" si="27"/>
        <v>0.79999999999999716</v>
      </c>
      <c r="CE20" s="69">
        <f t="shared" si="28"/>
        <v>3.7234119999999873</v>
      </c>
      <c r="CF20" s="69">
        <f t="shared" si="29"/>
        <v>3.8518055172413659</v>
      </c>
      <c r="CG20" s="62">
        <v>66</v>
      </c>
      <c r="CH20" s="62">
        <v>100</v>
      </c>
      <c r="CI20" s="65" t="str">
        <f t="shared" si="30"/>
        <v>SA/ME</v>
      </c>
      <c r="CJ20" s="56">
        <v>13</v>
      </c>
      <c r="CK20" s="61">
        <v>78.7</v>
      </c>
      <c r="CL20" s="61"/>
      <c r="CM20" s="68">
        <f t="shared" si="31"/>
        <v>1.7000000000000028</v>
      </c>
      <c r="CN20" s="68">
        <f t="shared" si="32"/>
        <v>7.9122505000000141</v>
      </c>
      <c r="CO20" s="68">
        <f t="shared" si="33"/>
        <v>22.965740228649675</v>
      </c>
      <c r="CP20" s="62">
        <v>57</v>
      </c>
      <c r="CQ20" s="62">
        <v>83</v>
      </c>
      <c r="CR20" s="65" t="str">
        <f t="shared" si="34"/>
        <v>SA/ME</v>
      </c>
      <c r="CS20" s="56">
        <v>13</v>
      </c>
      <c r="CT20" s="61">
        <v>73.599999999999994</v>
      </c>
      <c r="CU20" s="61"/>
      <c r="CV20" s="68">
        <f t="shared" si="35"/>
        <v>1.3999999999999915</v>
      </c>
      <c r="CW20" s="68">
        <f t="shared" si="36"/>
        <v>9.3019359999999427</v>
      </c>
      <c r="CX20" s="69">
        <f t="shared" si="37"/>
        <v>6.7897343065693005E-2</v>
      </c>
      <c r="CY20" s="66" t="s">
        <v>251</v>
      </c>
      <c r="CZ20" s="66" t="s">
        <v>241</v>
      </c>
      <c r="DA20" s="66"/>
      <c r="DB20" s="65" t="str">
        <f t="shared" si="38"/>
        <v>SA/ME</v>
      </c>
      <c r="DC20" s="56">
        <v>13</v>
      </c>
      <c r="DD20" s="61">
        <v>90.1</v>
      </c>
      <c r="DE20" s="61">
        <v>105.1</v>
      </c>
      <c r="DF20" s="68">
        <f t="shared" si="45"/>
        <v>11.799999999999997</v>
      </c>
      <c r="DG20" s="69">
        <f t="shared" si="5"/>
        <v>0.63662449983999991</v>
      </c>
      <c r="DH20" s="68">
        <f t="shared" si="6"/>
        <v>4.6468941594160578</v>
      </c>
      <c r="DI20" s="62">
        <v>90</v>
      </c>
      <c r="DJ20" s="62">
        <v>54</v>
      </c>
      <c r="DK20" s="65" t="str">
        <f t="shared" si="39"/>
        <v>SA/ME</v>
      </c>
      <c r="DL20" s="56">
        <v>13</v>
      </c>
      <c r="DM20" s="63">
        <v>8.2799999999999994</v>
      </c>
      <c r="DN20" s="64">
        <v>2.5000000000000001E-2</v>
      </c>
      <c r="DO20" s="64">
        <v>3.5000000000000003E-2</v>
      </c>
      <c r="DP20" s="64">
        <v>7.3999999999999996E-2</v>
      </c>
      <c r="DQ20" s="63">
        <v>6.84</v>
      </c>
      <c r="DR20" s="61">
        <v>8.3000000000000007</v>
      </c>
      <c r="DS20" s="64">
        <v>1.214</v>
      </c>
      <c r="DT20" s="61">
        <v>86.2</v>
      </c>
      <c r="DU20" s="63">
        <v>4.28</v>
      </c>
      <c r="DV20" s="64">
        <v>0.68200000000000005</v>
      </c>
      <c r="DW20" s="64">
        <v>2.35</v>
      </c>
      <c r="DX20" s="66" t="s">
        <v>242</v>
      </c>
      <c r="DY20" s="65" t="str">
        <f t="shared" si="40"/>
        <v>SA/ME</v>
      </c>
      <c r="DZ20" s="128">
        <v>13</v>
      </c>
      <c r="EA20" s="173">
        <f t="shared" si="41"/>
        <v>9.1577540106951877E-2</v>
      </c>
      <c r="EB20" s="173">
        <f t="shared" si="42"/>
        <v>0.11470588235294117</v>
      </c>
      <c r="EC20" s="173">
        <f t="shared" si="43"/>
        <v>0.84671532846715325</v>
      </c>
      <c r="ED20" s="63">
        <v>1.17</v>
      </c>
      <c r="EE20" s="63">
        <v>1.23</v>
      </c>
      <c r="EF20" s="63">
        <v>0.06</v>
      </c>
      <c r="EG20" s="63">
        <v>0.23</v>
      </c>
      <c r="EH20" s="127" t="str">
        <f t="shared" si="7"/>
        <v>SA/ME</v>
      </c>
      <c r="EI20" s="56">
        <v>13</v>
      </c>
      <c r="EJ20" s="334"/>
      <c r="EK20" s="334"/>
      <c r="EL20" s="334"/>
      <c r="EM20" s="334"/>
      <c r="EN20" s="334"/>
      <c r="EO20" s="334"/>
      <c r="EP20" s="334"/>
      <c r="EQ20" s="65" t="str">
        <f t="shared" si="44"/>
        <v>SA/ME</v>
      </c>
      <c r="ER20" s="20"/>
      <c r="ES20" s="20"/>
      <c r="ET20" s="20"/>
      <c r="EU20" s="20"/>
      <c r="EV20" s="20"/>
      <c r="EW20" s="20"/>
      <c r="EX20" s="20"/>
    </row>
    <row r="21" spans="1:154" s="3" customFormat="1" ht="17.149999999999999" customHeight="1" x14ac:dyDescent="0.25">
      <c r="A21" s="56">
        <v>14</v>
      </c>
      <c r="B21" s="212">
        <v>879548</v>
      </c>
      <c r="C21" s="213">
        <f t="shared" si="8"/>
        <v>179</v>
      </c>
      <c r="D21" s="217">
        <v>9.4499999999999993</v>
      </c>
      <c r="E21" s="214">
        <v>783741</v>
      </c>
      <c r="F21" s="213">
        <f t="shared" si="9"/>
        <v>179</v>
      </c>
      <c r="G21" s="216">
        <v>1.89</v>
      </c>
      <c r="H21" s="212">
        <v>743923</v>
      </c>
      <c r="I21" s="213">
        <f t="shared" si="0"/>
        <v>103</v>
      </c>
      <c r="J21" s="60" t="s">
        <v>237</v>
      </c>
      <c r="K21" s="56">
        <v>14</v>
      </c>
      <c r="L21" s="212">
        <v>68903</v>
      </c>
      <c r="M21" s="213">
        <f t="shared" si="10"/>
        <v>56</v>
      </c>
      <c r="N21" s="214">
        <v>174428</v>
      </c>
      <c r="O21" s="213">
        <f t="shared" si="11"/>
        <v>58</v>
      </c>
      <c r="P21" s="212">
        <v>194749</v>
      </c>
      <c r="Q21" s="215" t="str">
        <f t="shared" si="1"/>
        <v/>
      </c>
      <c r="R21" s="57">
        <v>668</v>
      </c>
      <c r="S21" s="57">
        <v>675</v>
      </c>
      <c r="T21" s="57">
        <v>139</v>
      </c>
      <c r="U21" s="57">
        <v>136</v>
      </c>
      <c r="V21" s="58" t="str">
        <f t="shared" si="12"/>
        <v>SA/ME</v>
      </c>
      <c r="W21" s="56">
        <v>14</v>
      </c>
      <c r="X21" s="210">
        <v>11593.37</v>
      </c>
      <c r="Y21" s="211">
        <f t="shared" si="13"/>
        <v>2.0999999999985448</v>
      </c>
      <c r="Z21" s="210">
        <v>12371.05</v>
      </c>
      <c r="AA21" s="211">
        <f t="shared" si="14"/>
        <v>3.3000000000010914</v>
      </c>
      <c r="AB21" s="210">
        <v>9772.57</v>
      </c>
      <c r="AC21" s="211">
        <f t="shared" si="15"/>
        <v>1.1200000000008004</v>
      </c>
      <c r="AD21" s="210">
        <v>9861</v>
      </c>
      <c r="AE21" s="211">
        <f t="shared" si="2"/>
        <v>1.6200000000008004</v>
      </c>
      <c r="AF21" s="125" t="str">
        <f t="shared" si="16"/>
        <v>SA/ME</v>
      </c>
      <c r="AG21" s="56">
        <v>14</v>
      </c>
      <c r="AH21" s="210">
        <v>46286.82</v>
      </c>
      <c r="AI21" s="211">
        <f t="shared" si="17"/>
        <v>10.559999999997672</v>
      </c>
      <c r="AJ21" s="210">
        <v>48418.73</v>
      </c>
      <c r="AK21" s="211">
        <f t="shared" si="18"/>
        <v>15.649999999994179</v>
      </c>
      <c r="AL21" s="210">
        <v>586.09</v>
      </c>
      <c r="AM21" s="211" t="str">
        <f t="shared" si="19"/>
        <v/>
      </c>
      <c r="AN21" s="210">
        <v>547.38</v>
      </c>
      <c r="AO21" s="211" t="str">
        <f t="shared" si="3"/>
        <v/>
      </c>
      <c r="AP21" s="125" t="str">
        <f t="shared" si="20"/>
        <v>SA/ME</v>
      </c>
      <c r="AQ21" s="56">
        <v>14</v>
      </c>
      <c r="AR21" s="210">
        <v>6678.7</v>
      </c>
      <c r="AS21" s="211">
        <f t="shared" si="21"/>
        <v>2.1300000000001091</v>
      </c>
      <c r="AT21" s="210">
        <v>7389.76</v>
      </c>
      <c r="AU21" s="211">
        <f t="shared" si="22"/>
        <v>2.2600000000002183</v>
      </c>
      <c r="AV21" s="210">
        <v>252.57</v>
      </c>
      <c r="AW21" s="211">
        <f t="shared" si="23"/>
        <v>0.34000000000000341</v>
      </c>
      <c r="AX21" s="210">
        <v>240.59</v>
      </c>
      <c r="AY21" s="211">
        <f t="shared" si="4"/>
        <v>9.0000000000003411E-2</v>
      </c>
      <c r="AZ21" s="125" t="str">
        <f t="shared" si="24"/>
        <v>SA/ME</v>
      </c>
      <c r="BA21" s="56">
        <v>14</v>
      </c>
      <c r="BB21" s="64"/>
      <c r="BC21" s="62"/>
      <c r="BD21" s="61"/>
      <c r="BE21" s="61"/>
      <c r="BF21" s="61"/>
      <c r="BG21" s="61"/>
      <c r="BH21" s="64"/>
      <c r="BI21" s="64"/>
      <c r="BJ21" s="64"/>
      <c r="BK21" s="64"/>
      <c r="BL21" s="64"/>
      <c r="BM21" s="64"/>
      <c r="BN21" s="65" t="str">
        <f t="shared" si="25"/>
        <v>SA/ME</v>
      </c>
      <c r="BO21" s="56">
        <v>14</v>
      </c>
      <c r="BP21" s="64">
        <v>8.8999999999999996E-2</v>
      </c>
      <c r="BQ21" s="62">
        <v>0</v>
      </c>
      <c r="BR21" s="61">
        <v>7.3</v>
      </c>
      <c r="BS21" s="61">
        <v>8.3000000000000007</v>
      </c>
      <c r="BT21" s="61">
        <v>16.8</v>
      </c>
      <c r="BU21" s="64">
        <v>1.2E-2</v>
      </c>
      <c r="BV21" s="63">
        <v>1.1399999999999999</v>
      </c>
      <c r="BW21" s="63">
        <v>0.97</v>
      </c>
      <c r="BX21" s="66" t="s">
        <v>334</v>
      </c>
      <c r="BY21" s="172" t="s">
        <v>239</v>
      </c>
      <c r="BZ21" s="67" t="str">
        <f t="shared" si="26"/>
        <v>SA/ME</v>
      </c>
      <c r="CA21" s="56">
        <v>14</v>
      </c>
      <c r="CB21" s="61">
        <v>88.8</v>
      </c>
      <c r="CC21" s="61"/>
      <c r="CD21" s="68">
        <f t="shared" si="27"/>
        <v>0.59999999999999432</v>
      </c>
      <c r="CE21" s="69">
        <f t="shared" si="28"/>
        <v>2.792558999999974</v>
      </c>
      <c r="CF21" s="69">
        <f t="shared" si="29"/>
        <v>3.2534667961164745</v>
      </c>
      <c r="CG21" s="62">
        <v>66</v>
      </c>
      <c r="CH21" s="62">
        <v>100</v>
      </c>
      <c r="CI21" s="65" t="str">
        <f t="shared" si="30"/>
        <v>SA/ME</v>
      </c>
      <c r="CJ21" s="56">
        <v>14</v>
      </c>
      <c r="CK21" s="61">
        <v>77</v>
      </c>
      <c r="CL21" s="61">
        <v>99.5</v>
      </c>
      <c r="CM21" s="68">
        <f t="shared" si="31"/>
        <v>2.0999999999999943</v>
      </c>
      <c r="CN21" s="68">
        <f t="shared" si="32"/>
        <v>9.773956499999974</v>
      </c>
      <c r="CO21" s="68">
        <f t="shared" si="33"/>
        <v>21.712926269413352</v>
      </c>
      <c r="CP21" s="62">
        <v>57</v>
      </c>
      <c r="CQ21" s="62">
        <v>83</v>
      </c>
      <c r="CR21" s="65" t="str">
        <f t="shared" si="34"/>
        <v>SA/ME</v>
      </c>
      <c r="CS21" s="56">
        <v>14</v>
      </c>
      <c r="CT21" s="61">
        <v>72.2</v>
      </c>
      <c r="CU21" s="61">
        <v>96</v>
      </c>
      <c r="CV21" s="68">
        <f t="shared" si="35"/>
        <v>2.2000000000000028</v>
      </c>
      <c r="CW21" s="68">
        <f t="shared" si="36"/>
        <v>14.617328000000018</v>
      </c>
      <c r="CX21" s="69">
        <f t="shared" si="37"/>
        <v>8.1661050279329711E-2</v>
      </c>
      <c r="CY21" s="66" t="s">
        <v>251</v>
      </c>
      <c r="CZ21" s="66" t="s">
        <v>241</v>
      </c>
      <c r="DA21" s="66"/>
      <c r="DB21" s="65" t="str">
        <f t="shared" si="38"/>
        <v>SA/ME</v>
      </c>
      <c r="DC21" s="56">
        <v>14</v>
      </c>
      <c r="DD21" s="61">
        <v>93.3</v>
      </c>
      <c r="DE21" s="61">
        <v>105.3</v>
      </c>
      <c r="DF21" s="68">
        <f t="shared" si="45"/>
        <v>15.399999999999991</v>
      </c>
      <c r="DG21" s="69">
        <f t="shared" si="5"/>
        <v>0.83084892351999962</v>
      </c>
      <c r="DH21" s="68">
        <f t="shared" si="6"/>
        <v>4.6416140978770928</v>
      </c>
      <c r="DI21" s="62">
        <v>90</v>
      </c>
      <c r="DJ21" s="62">
        <v>54</v>
      </c>
      <c r="DK21" s="65" t="str">
        <f t="shared" si="39"/>
        <v>SA/ME</v>
      </c>
      <c r="DL21" s="56">
        <v>14</v>
      </c>
      <c r="DM21" s="63">
        <v>8.17</v>
      </c>
      <c r="DN21" s="64">
        <v>2.5999999999999999E-2</v>
      </c>
      <c r="DO21" s="64">
        <v>3.5000000000000003E-2</v>
      </c>
      <c r="DP21" s="64">
        <v>6.7000000000000004E-2</v>
      </c>
      <c r="DQ21" s="63" t="s">
        <v>335</v>
      </c>
      <c r="DR21" s="61">
        <v>8.3000000000000007</v>
      </c>
      <c r="DS21" s="64">
        <v>1.179</v>
      </c>
      <c r="DT21" s="61">
        <v>85.6</v>
      </c>
      <c r="DU21" s="63">
        <v>4.28</v>
      </c>
      <c r="DV21" s="64">
        <v>0.71099999999999997</v>
      </c>
      <c r="DW21" s="64">
        <v>1.51</v>
      </c>
      <c r="DX21" s="66" t="s">
        <v>242</v>
      </c>
      <c r="DY21" s="65" t="str">
        <f t="shared" si="40"/>
        <v>SA/ME</v>
      </c>
      <c r="DZ21" s="128">
        <v>14</v>
      </c>
      <c r="EA21" s="173">
        <f t="shared" si="41"/>
        <v>0.11965240641711231</v>
      </c>
      <c r="EB21" s="173">
        <f t="shared" si="42"/>
        <v>0.13161764705882353</v>
      </c>
      <c r="EC21" s="173">
        <f t="shared" si="43"/>
        <v>0.57541899441340782</v>
      </c>
      <c r="ED21" s="63">
        <v>1.1399999999999999</v>
      </c>
      <c r="EE21" s="63">
        <v>1.19</v>
      </c>
      <c r="EF21" s="63">
        <v>0.08</v>
      </c>
      <c r="EG21" s="284">
        <v>0.51</v>
      </c>
      <c r="EH21" s="127" t="str">
        <f t="shared" si="7"/>
        <v>SA/ME</v>
      </c>
      <c r="EI21" s="56">
        <v>14</v>
      </c>
      <c r="EJ21" s="334"/>
      <c r="EK21" s="334"/>
      <c r="EL21" s="334"/>
      <c r="EM21" s="334"/>
      <c r="EN21" s="334"/>
      <c r="EO21" s="334"/>
      <c r="EP21" s="334"/>
      <c r="EQ21" s="65" t="str">
        <f t="shared" si="44"/>
        <v>SA/ME</v>
      </c>
      <c r="ER21" s="20"/>
      <c r="ES21" s="20"/>
      <c r="ET21" s="20"/>
      <c r="EU21" s="20"/>
      <c r="EV21" s="20"/>
      <c r="EW21" s="20"/>
      <c r="EX21" s="20"/>
    </row>
    <row r="22" spans="1:154" s="3" customFormat="1" ht="17.149999999999999" customHeight="1" x14ac:dyDescent="0.35">
      <c r="A22" s="56">
        <v>15</v>
      </c>
      <c r="B22" s="212">
        <v>879727</v>
      </c>
      <c r="C22" s="213">
        <f t="shared" si="8"/>
        <v>150</v>
      </c>
      <c r="D22" s="217">
        <v>9.7100000000000009</v>
      </c>
      <c r="E22" s="214">
        <v>783920</v>
      </c>
      <c r="F22" s="213">
        <f t="shared" si="9"/>
        <v>122</v>
      </c>
      <c r="G22" s="216">
        <v>2.5099999999999998</v>
      </c>
      <c r="H22" s="212">
        <v>744026</v>
      </c>
      <c r="I22" s="213">
        <f t="shared" si="0"/>
        <v>129</v>
      </c>
      <c r="J22" s="60" t="s">
        <v>194</v>
      </c>
      <c r="K22" s="56">
        <v>15</v>
      </c>
      <c r="L22" s="212">
        <v>68959</v>
      </c>
      <c r="M22" s="213" t="str">
        <f t="shared" si="10"/>
        <v/>
      </c>
      <c r="N22" s="214">
        <v>174486</v>
      </c>
      <c r="O22" s="213">
        <f t="shared" si="11"/>
        <v>50</v>
      </c>
      <c r="P22" s="212">
        <v>194749</v>
      </c>
      <c r="Q22" s="215" t="str">
        <f t="shared" si="1"/>
        <v/>
      </c>
      <c r="R22" s="57">
        <v>668</v>
      </c>
      <c r="S22" s="57">
        <v>676</v>
      </c>
      <c r="T22" s="57">
        <v>139</v>
      </c>
      <c r="U22" s="57">
        <v>137</v>
      </c>
      <c r="V22" s="58" t="str">
        <f t="shared" si="12"/>
        <v>ME</v>
      </c>
      <c r="W22" s="56">
        <v>15</v>
      </c>
      <c r="X22" s="210">
        <v>11595.47</v>
      </c>
      <c r="Y22" s="211">
        <f t="shared" si="13"/>
        <v>2.4700000000011642</v>
      </c>
      <c r="Z22" s="210">
        <v>12374.35</v>
      </c>
      <c r="AA22" s="211">
        <f t="shared" si="14"/>
        <v>1.9699999999993452</v>
      </c>
      <c r="AB22" s="210">
        <v>9773.69</v>
      </c>
      <c r="AC22" s="211">
        <f t="shared" si="15"/>
        <v>1.5</v>
      </c>
      <c r="AD22" s="210">
        <v>9862.6200000000008</v>
      </c>
      <c r="AE22" s="211">
        <f t="shared" si="2"/>
        <v>1.929999999998472</v>
      </c>
      <c r="AF22" s="125" t="str">
        <f t="shared" si="16"/>
        <v>ME</v>
      </c>
      <c r="AG22" s="56">
        <v>15</v>
      </c>
      <c r="AH22" s="210">
        <v>46297.38</v>
      </c>
      <c r="AI22" s="211">
        <f t="shared" si="17"/>
        <v>13.450000000004366</v>
      </c>
      <c r="AJ22" s="210">
        <v>48434.38</v>
      </c>
      <c r="AK22" s="211">
        <f t="shared" si="18"/>
        <v>7.4200000000055297</v>
      </c>
      <c r="AL22" s="210">
        <v>586.09</v>
      </c>
      <c r="AM22" s="211" t="str">
        <f t="shared" si="19"/>
        <v/>
      </c>
      <c r="AN22" s="210">
        <v>547.38</v>
      </c>
      <c r="AO22" s="211" t="str">
        <f t="shared" si="3"/>
        <v/>
      </c>
      <c r="AP22" s="125" t="str">
        <f t="shared" si="20"/>
        <v>ME</v>
      </c>
      <c r="AQ22" s="56">
        <v>15</v>
      </c>
      <c r="AR22" s="210">
        <v>6680.83</v>
      </c>
      <c r="AS22" s="211">
        <f t="shared" si="21"/>
        <v>2.5</v>
      </c>
      <c r="AT22" s="210">
        <v>7392.02</v>
      </c>
      <c r="AU22" s="211">
        <f t="shared" si="22"/>
        <v>2.4199999999991633</v>
      </c>
      <c r="AV22" s="210">
        <v>252.91</v>
      </c>
      <c r="AW22" s="211" t="str">
        <f t="shared" si="23"/>
        <v/>
      </c>
      <c r="AX22" s="210">
        <v>240.68</v>
      </c>
      <c r="AY22" s="211" t="str">
        <f t="shared" si="4"/>
        <v/>
      </c>
      <c r="AZ22" s="125" t="str">
        <f t="shared" si="24"/>
        <v>ME</v>
      </c>
      <c r="BA22" s="56">
        <v>15</v>
      </c>
      <c r="BB22" s="64">
        <v>0.84399999999999997</v>
      </c>
      <c r="BC22" s="70">
        <v>41</v>
      </c>
      <c r="BD22" s="71">
        <v>7.1</v>
      </c>
      <c r="BE22" s="71">
        <v>3.3</v>
      </c>
      <c r="BF22" s="71">
        <v>16.399999999999999</v>
      </c>
      <c r="BG22" s="71">
        <v>7.1</v>
      </c>
      <c r="BH22" s="72">
        <v>0.222</v>
      </c>
      <c r="BI22" s="72">
        <v>0.224</v>
      </c>
      <c r="BJ22" s="72">
        <v>5.3999999999999999E-2</v>
      </c>
      <c r="BK22" s="72">
        <v>5.6000000000000001E-2</v>
      </c>
      <c r="BL22" s="64">
        <v>6.2E-2</v>
      </c>
      <c r="BM22" s="64">
        <v>6.5000000000000002E-2</v>
      </c>
      <c r="BN22" s="65" t="str">
        <f t="shared" si="25"/>
        <v>ME</v>
      </c>
      <c r="BO22" s="56">
        <v>15</v>
      </c>
      <c r="BP22" s="64">
        <v>0.107</v>
      </c>
      <c r="BQ22" s="62">
        <v>0</v>
      </c>
      <c r="BR22" s="61">
        <v>7.2</v>
      </c>
      <c r="BS22" s="61">
        <v>8.4</v>
      </c>
      <c r="BT22" s="61">
        <v>19.5</v>
      </c>
      <c r="BU22" s="64">
        <v>1.4E-2</v>
      </c>
      <c r="BV22" s="63">
        <v>1.0900000000000001</v>
      </c>
      <c r="BW22" s="63">
        <v>0.96</v>
      </c>
      <c r="BX22" s="66" t="s">
        <v>269</v>
      </c>
      <c r="BY22" s="172" t="s">
        <v>246</v>
      </c>
      <c r="BZ22" s="67" t="str">
        <f t="shared" si="26"/>
        <v>ME</v>
      </c>
      <c r="CA22" s="56">
        <v>15</v>
      </c>
      <c r="CB22" s="61">
        <v>88.2</v>
      </c>
      <c r="CC22" s="61"/>
      <c r="CD22" s="68">
        <f t="shared" si="27"/>
        <v>1.2999999999999972</v>
      </c>
      <c r="CE22" s="69">
        <f t="shared" si="28"/>
        <v>6.0505444999999876</v>
      </c>
      <c r="CF22" s="69">
        <f t="shared" si="29"/>
        <v>5.6284134883720807</v>
      </c>
      <c r="CG22" s="62">
        <v>52</v>
      </c>
      <c r="CH22" s="62">
        <v>100</v>
      </c>
      <c r="CI22" s="65" t="str">
        <f t="shared" si="30"/>
        <v>ME</v>
      </c>
      <c r="CJ22" s="56">
        <v>15</v>
      </c>
      <c r="CK22" s="61">
        <v>97.4</v>
      </c>
      <c r="CL22" s="61"/>
      <c r="CM22" s="68">
        <f t="shared" si="31"/>
        <v>2.1000000000000085</v>
      </c>
      <c r="CN22" s="68">
        <f t="shared" si="32"/>
        <v>9.7739565000000397</v>
      </c>
      <c r="CO22" s="68">
        <f t="shared" si="33"/>
        <v>25.910758681500109</v>
      </c>
      <c r="CP22" s="62">
        <v>52</v>
      </c>
      <c r="CQ22" s="62">
        <v>83</v>
      </c>
      <c r="CR22" s="65" t="str">
        <f t="shared" si="34"/>
        <v>ME</v>
      </c>
      <c r="CS22" s="56">
        <v>15</v>
      </c>
      <c r="CT22" s="61">
        <v>93.8</v>
      </c>
      <c r="CU22" s="61">
        <v>88.1</v>
      </c>
      <c r="CV22" s="68">
        <f t="shared" si="35"/>
        <v>1.5999999999999943</v>
      </c>
      <c r="CW22" s="68">
        <f t="shared" si="36"/>
        <v>10.630783999999961</v>
      </c>
      <c r="CX22" s="69">
        <f t="shared" si="37"/>
        <v>7.0871893333333075E-2</v>
      </c>
      <c r="CY22" s="66" t="s">
        <v>240</v>
      </c>
      <c r="CZ22" s="66" t="s">
        <v>241</v>
      </c>
      <c r="DA22" s="66" t="s">
        <v>242</v>
      </c>
      <c r="DB22" s="65" t="str">
        <f t="shared" si="38"/>
        <v>ME</v>
      </c>
      <c r="DC22" s="56">
        <v>15</v>
      </c>
      <c r="DD22" s="61">
        <v>89.9</v>
      </c>
      <c r="DE22" s="61">
        <v>104.2</v>
      </c>
      <c r="DF22" s="68">
        <f t="shared" si="45"/>
        <v>14</v>
      </c>
      <c r="DG22" s="69">
        <f t="shared" si="5"/>
        <v>0.75531720319999995</v>
      </c>
      <c r="DH22" s="68">
        <f t="shared" si="6"/>
        <v>5.035448021333333</v>
      </c>
      <c r="DI22" s="62">
        <v>90</v>
      </c>
      <c r="DJ22" s="62">
        <v>54</v>
      </c>
      <c r="DK22" s="65" t="str">
        <f t="shared" si="39"/>
        <v>ME</v>
      </c>
      <c r="DL22" s="56">
        <v>15</v>
      </c>
      <c r="DM22" s="63">
        <v>8.31</v>
      </c>
      <c r="DN22" s="64">
        <v>2.5999999999999999E-2</v>
      </c>
      <c r="DO22" s="64">
        <v>3.7999999999999999E-2</v>
      </c>
      <c r="DP22" s="64">
        <v>6.4000000000000001E-2</v>
      </c>
      <c r="DQ22" s="63">
        <v>6.84</v>
      </c>
      <c r="DR22" s="61">
        <v>8.4</v>
      </c>
      <c r="DS22" s="64">
        <v>1.143</v>
      </c>
      <c r="DT22" s="61">
        <v>85.7</v>
      </c>
      <c r="DU22" s="63">
        <v>4.16</v>
      </c>
      <c r="DV22" s="64">
        <v>1.58</v>
      </c>
      <c r="DW22" s="64">
        <v>1.58</v>
      </c>
      <c r="DX22" s="66" t="s">
        <v>242</v>
      </c>
      <c r="DY22" s="65" t="str">
        <f t="shared" si="40"/>
        <v>ME</v>
      </c>
      <c r="DZ22" s="128">
        <v>15</v>
      </c>
      <c r="EA22" s="173">
        <f t="shared" si="41"/>
        <v>0.10026737967914438</v>
      </c>
      <c r="EB22" s="173">
        <f t="shared" si="42"/>
        <v>8.9705882352941177E-2</v>
      </c>
      <c r="EC22" s="173">
        <f t="shared" si="43"/>
        <v>0.86</v>
      </c>
      <c r="ED22" s="63">
        <v>1.1200000000000001</v>
      </c>
      <c r="EE22" s="63">
        <v>1.1599999999999999</v>
      </c>
      <c r="EF22" s="63">
        <v>0.08</v>
      </c>
      <c r="EG22" s="284">
        <v>0.47</v>
      </c>
      <c r="EH22" s="127" t="str">
        <f t="shared" si="7"/>
        <v>ME</v>
      </c>
      <c r="EI22" s="56">
        <v>15</v>
      </c>
      <c r="EJ22" s="334"/>
      <c r="EK22" s="334"/>
      <c r="EL22" s="334"/>
      <c r="EM22" s="334"/>
      <c r="EN22" s="334"/>
      <c r="EO22" s="334"/>
      <c r="EP22" s="334"/>
      <c r="EQ22" s="65" t="str">
        <f t="shared" si="44"/>
        <v>ME</v>
      </c>
      <c r="ER22" s="20"/>
      <c r="ES22" s="20"/>
      <c r="ET22" s="20"/>
      <c r="EU22" s="20"/>
      <c r="EV22" s="20"/>
      <c r="EW22" s="20"/>
      <c r="EX22" s="20"/>
    </row>
    <row r="23" spans="1:154" s="3" customFormat="1" ht="17.149999999999999" customHeight="1" x14ac:dyDescent="0.35">
      <c r="A23" s="56">
        <v>16</v>
      </c>
      <c r="B23" s="212">
        <v>879877</v>
      </c>
      <c r="C23" s="213">
        <f t="shared" si="8"/>
        <v>142</v>
      </c>
      <c r="D23" s="217">
        <v>9.6999999999999993</v>
      </c>
      <c r="E23" s="214">
        <v>784042</v>
      </c>
      <c r="F23" s="213">
        <f t="shared" si="9"/>
        <v>167</v>
      </c>
      <c r="G23" s="216">
        <v>2.4900000000000002</v>
      </c>
      <c r="H23" s="212">
        <v>744155</v>
      </c>
      <c r="I23" s="213">
        <f t="shared" si="0"/>
        <v>121</v>
      </c>
      <c r="J23" s="60" t="s">
        <v>194</v>
      </c>
      <c r="K23" s="56">
        <v>16</v>
      </c>
      <c r="L23" s="212">
        <v>68959</v>
      </c>
      <c r="M23" s="213" t="str">
        <f t="shared" si="10"/>
        <v/>
      </c>
      <c r="N23" s="214">
        <v>174536</v>
      </c>
      <c r="O23" s="213">
        <f t="shared" si="11"/>
        <v>30</v>
      </c>
      <c r="P23" s="212">
        <v>194749</v>
      </c>
      <c r="Q23" s="215" t="str">
        <f t="shared" si="1"/>
        <v/>
      </c>
      <c r="R23" s="57">
        <v>668</v>
      </c>
      <c r="S23" s="57">
        <v>676</v>
      </c>
      <c r="T23" s="57">
        <v>139</v>
      </c>
      <c r="U23" s="57">
        <v>137</v>
      </c>
      <c r="V23" s="58" t="str">
        <f t="shared" si="12"/>
        <v>ME</v>
      </c>
      <c r="W23" s="56">
        <v>16</v>
      </c>
      <c r="X23" s="210">
        <v>11597.94</v>
      </c>
      <c r="Y23" s="211">
        <f t="shared" si="13"/>
        <v>2.1599999999998545</v>
      </c>
      <c r="Z23" s="210">
        <v>12376.32</v>
      </c>
      <c r="AA23" s="211">
        <f t="shared" si="14"/>
        <v>2.0100000000002183</v>
      </c>
      <c r="AB23" s="210">
        <v>9775.19</v>
      </c>
      <c r="AC23" s="211">
        <f t="shared" si="15"/>
        <v>1.5499999999992724</v>
      </c>
      <c r="AD23" s="210">
        <v>9864.5499999999993</v>
      </c>
      <c r="AE23" s="211">
        <f t="shared" si="2"/>
        <v>1.680000000000291</v>
      </c>
      <c r="AF23" s="125" t="str">
        <f t="shared" si="16"/>
        <v>ME</v>
      </c>
      <c r="AG23" s="56">
        <v>16</v>
      </c>
      <c r="AH23" s="210">
        <v>46310.83</v>
      </c>
      <c r="AI23" s="211">
        <f t="shared" si="17"/>
        <v>7.6999999999970896</v>
      </c>
      <c r="AJ23" s="210">
        <v>48441.8</v>
      </c>
      <c r="AK23" s="211">
        <f t="shared" si="18"/>
        <v>16.589999999996508</v>
      </c>
      <c r="AL23" s="210">
        <v>586.09</v>
      </c>
      <c r="AM23" s="211" t="str">
        <f t="shared" si="19"/>
        <v/>
      </c>
      <c r="AN23" s="210">
        <v>547.38</v>
      </c>
      <c r="AO23" s="211" t="str">
        <f t="shared" si="3"/>
        <v/>
      </c>
      <c r="AP23" s="125" t="str">
        <f t="shared" si="20"/>
        <v>ME</v>
      </c>
      <c r="AQ23" s="56">
        <v>16</v>
      </c>
      <c r="AR23" s="210">
        <v>6683.33</v>
      </c>
      <c r="AS23" s="211">
        <f t="shared" si="21"/>
        <v>1.5500000000001819</v>
      </c>
      <c r="AT23" s="210">
        <v>7394.44</v>
      </c>
      <c r="AU23" s="211">
        <f t="shared" si="22"/>
        <v>1.660000000000764</v>
      </c>
      <c r="AV23" s="210">
        <v>252.91</v>
      </c>
      <c r="AW23" s="211" t="str">
        <f t="shared" si="23"/>
        <v/>
      </c>
      <c r="AX23" s="210">
        <v>240.68</v>
      </c>
      <c r="AY23" s="211" t="str">
        <f t="shared" si="4"/>
        <v/>
      </c>
      <c r="AZ23" s="125" t="str">
        <f t="shared" si="24"/>
        <v>ME</v>
      </c>
      <c r="BA23" s="56">
        <v>16</v>
      </c>
      <c r="BB23" s="64"/>
      <c r="BC23" s="62"/>
      <c r="BD23" s="61"/>
      <c r="BE23" s="61"/>
      <c r="BF23" s="61"/>
      <c r="BG23" s="61"/>
      <c r="BH23" s="64"/>
      <c r="BI23" s="64"/>
      <c r="BJ23" s="64"/>
      <c r="BK23" s="64"/>
      <c r="BL23" s="64"/>
      <c r="BM23" s="64"/>
      <c r="BN23" s="65" t="str">
        <f t="shared" si="25"/>
        <v>ME</v>
      </c>
      <c r="BO23" s="56">
        <v>16</v>
      </c>
      <c r="BP23" s="64">
        <v>0.08</v>
      </c>
      <c r="BQ23" s="62"/>
      <c r="BR23" s="61"/>
      <c r="BS23" s="61"/>
      <c r="BT23" s="61"/>
      <c r="BU23" s="64"/>
      <c r="BV23" s="63">
        <v>1.06</v>
      </c>
      <c r="BW23" s="63">
        <v>0.96</v>
      </c>
      <c r="BX23" s="66" t="s">
        <v>245</v>
      </c>
      <c r="BY23" s="172" t="s">
        <v>246</v>
      </c>
      <c r="BZ23" s="67" t="str">
        <f t="shared" si="26"/>
        <v>ME</v>
      </c>
      <c r="CA23" s="56">
        <v>16</v>
      </c>
      <c r="CB23" s="61">
        <v>86.9</v>
      </c>
      <c r="CC23" s="61"/>
      <c r="CD23" s="68">
        <f t="shared" si="27"/>
        <v>0.90000000000000568</v>
      </c>
      <c r="CE23" s="69">
        <f t="shared" si="28"/>
        <v>4.1888385000000268</v>
      </c>
      <c r="CF23" s="69">
        <f t="shared" si="29"/>
        <v>4.1542200000000271</v>
      </c>
      <c r="CG23" s="62">
        <v>58</v>
      </c>
      <c r="CH23" s="62">
        <v>100</v>
      </c>
      <c r="CI23" s="65" t="str">
        <f t="shared" si="30"/>
        <v>ME</v>
      </c>
      <c r="CJ23" s="56">
        <v>16</v>
      </c>
      <c r="CK23" s="61">
        <v>95.3</v>
      </c>
      <c r="CL23" s="61"/>
      <c r="CM23" s="68">
        <f t="shared" si="31"/>
        <v>1.7000000000000028</v>
      </c>
      <c r="CN23" s="68">
        <f t="shared" si="32"/>
        <v>7.9122505000000141</v>
      </c>
      <c r="CO23" s="68">
        <f t="shared" si="33"/>
        <v>22.157087403697222</v>
      </c>
      <c r="CP23" s="62">
        <v>53</v>
      </c>
      <c r="CQ23" s="62">
        <v>83</v>
      </c>
      <c r="CR23" s="65" t="str">
        <f t="shared" si="34"/>
        <v>ME</v>
      </c>
      <c r="CS23" s="56">
        <v>16</v>
      </c>
      <c r="CT23" s="61">
        <v>86.5</v>
      </c>
      <c r="CU23" s="61">
        <v>111.8</v>
      </c>
      <c r="CV23" s="68">
        <f t="shared" si="35"/>
        <v>1.3999999999999915</v>
      </c>
      <c r="CW23" s="68">
        <f t="shared" si="36"/>
        <v>9.3019359999999427</v>
      </c>
      <c r="CX23" s="69">
        <f t="shared" si="37"/>
        <v>6.5506591549295376E-2</v>
      </c>
      <c r="CY23" s="66" t="s">
        <v>240</v>
      </c>
      <c r="CZ23" s="66" t="s">
        <v>241</v>
      </c>
      <c r="DA23" s="66"/>
      <c r="DB23" s="65" t="str">
        <f t="shared" si="38"/>
        <v>ME</v>
      </c>
      <c r="DC23" s="56">
        <v>16</v>
      </c>
      <c r="DD23" s="61">
        <v>90.2</v>
      </c>
      <c r="DE23" s="61">
        <v>102.8</v>
      </c>
      <c r="DF23" s="68">
        <f t="shared" si="45"/>
        <v>13.099999999999994</v>
      </c>
      <c r="DG23" s="69">
        <f t="shared" si="5"/>
        <v>0.70676109727999969</v>
      </c>
      <c r="DH23" s="68">
        <f t="shared" si="6"/>
        <v>4.9771908259154909</v>
      </c>
      <c r="DI23" s="62">
        <v>90</v>
      </c>
      <c r="DJ23" s="62">
        <v>54</v>
      </c>
      <c r="DK23" s="65" t="str">
        <f t="shared" si="39"/>
        <v>ME</v>
      </c>
      <c r="DL23" s="56">
        <v>16</v>
      </c>
      <c r="DM23" s="63">
        <v>8.41</v>
      </c>
      <c r="DN23" s="64">
        <v>2.5999999999999999E-2</v>
      </c>
      <c r="DO23" s="64">
        <v>3.6999999999999998E-2</v>
      </c>
      <c r="DP23" s="64">
        <v>6.4000000000000001E-2</v>
      </c>
      <c r="DQ23" s="63">
        <v>6.85</v>
      </c>
      <c r="DR23" s="61">
        <v>8.4</v>
      </c>
      <c r="DS23" s="64">
        <v>1.117</v>
      </c>
      <c r="DT23" s="61">
        <v>85.9</v>
      </c>
      <c r="DU23" s="63">
        <v>4.29</v>
      </c>
      <c r="DV23" s="64">
        <v>0.753</v>
      </c>
      <c r="DW23" s="64">
        <v>1.57</v>
      </c>
      <c r="DX23" s="66" t="s">
        <v>242</v>
      </c>
      <c r="DY23" s="65" t="str">
        <f t="shared" si="40"/>
        <v>ME</v>
      </c>
      <c r="DZ23" s="128">
        <v>16</v>
      </c>
      <c r="EA23" s="173">
        <f t="shared" si="41"/>
        <v>9.4919786096256689E-2</v>
      </c>
      <c r="EB23" s="173">
        <f t="shared" si="42"/>
        <v>0.12279411764705882</v>
      </c>
      <c r="EC23" s="173">
        <f t="shared" si="43"/>
        <v>0.852112676056338</v>
      </c>
      <c r="ED23" s="63">
        <v>1.0900000000000001</v>
      </c>
      <c r="EE23" s="63">
        <v>1.1399999999999999</v>
      </c>
      <c r="EF23" s="63">
        <v>7.0000000000000007E-2</v>
      </c>
      <c r="EG23" s="284">
        <v>0.32</v>
      </c>
      <c r="EH23" s="127" t="str">
        <f t="shared" si="7"/>
        <v>ME</v>
      </c>
      <c r="EI23" s="56">
        <v>16</v>
      </c>
      <c r="EJ23" s="334"/>
      <c r="EK23" s="334"/>
      <c r="EL23" s="334"/>
      <c r="EM23" s="334"/>
      <c r="EN23" s="334"/>
      <c r="EO23" s="334"/>
      <c r="EP23" s="334"/>
      <c r="EQ23" s="65" t="str">
        <f t="shared" si="44"/>
        <v>ME</v>
      </c>
      <c r="ER23" s="20"/>
      <c r="ES23" s="20"/>
      <c r="ET23" s="20"/>
      <c r="EU23" s="20"/>
      <c r="EV23" s="20"/>
      <c r="EW23" s="20"/>
      <c r="EX23" s="20"/>
    </row>
    <row r="24" spans="1:154" s="3" customFormat="1" ht="17.149999999999999" customHeight="1" x14ac:dyDescent="0.35">
      <c r="A24" s="56">
        <v>17</v>
      </c>
      <c r="B24" s="212">
        <v>880019</v>
      </c>
      <c r="C24" s="213">
        <f t="shared" si="8"/>
        <v>147</v>
      </c>
      <c r="D24" s="217">
        <v>9.4499999999999993</v>
      </c>
      <c r="E24" s="214">
        <v>784209</v>
      </c>
      <c r="F24" s="213">
        <f t="shared" si="9"/>
        <v>197</v>
      </c>
      <c r="G24" s="216">
        <v>1.05</v>
      </c>
      <c r="H24" s="212">
        <v>744276</v>
      </c>
      <c r="I24" s="213">
        <f t="shared" si="0"/>
        <v>123</v>
      </c>
      <c r="J24" s="60" t="s">
        <v>194</v>
      </c>
      <c r="K24" s="56">
        <v>17</v>
      </c>
      <c r="L24" s="212">
        <v>68959</v>
      </c>
      <c r="M24" s="213" t="str">
        <f t="shared" si="10"/>
        <v/>
      </c>
      <c r="N24" s="214">
        <v>174566</v>
      </c>
      <c r="O24" s="213">
        <f t="shared" si="11"/>
        <v>36</v>
      </c>
      <c r="P24" s="212">
        <v>194749</v>
      </c>
      <c r="Q24" s="215" t="str">
        <f t="shared" si="1"/>
        <v/>
      </c>
      <c r="R24" s="57">
        <v>668</v>
      </c>
      <c r="S24" s="57">
        <v>676</v>
      </c>
      <c r="T24" s="57">
        <v>139</v>
      </c>
      <c r="U24" s="57">
        <v>137</v>
      </c>
      <c r="V24" s="58" t="str">
        <f t="shared" si="12"/>
        <v>ME</v>
      </c>
      <c r="W24" s="56">
        <v>17</v>
      </c>
      <c r="X24" s="210">
        <v>11600.1</v>
      </c>
      <c r="Y24" s="211">
        <f t="shared" si="13"/>
        <v>2.3299999999999272</v>
      </c>
      <c r="Z24" s="210">
        <v>12378.33</v>
      </c>
      <c r="AA24" s="211">
        <f t="shared" si="14"/>
        <v>2</v>
      </c>
      <c r="AB24" s="210">
        <v>9776.74</v>
      </c>
      <c r="AC24" s="211">
        <f t="shared" si="15"/>
        <v>1.569999999999709</v>
      </c>
      <c r="AD24" s="210">
        <v>9866.23</v>
      </c>
      <c r="AE24" s="211">
        <f t="shared" si="2"/>
        <v>1.7100000000009459</v>
      </c>
      <c r="AF24" s="125" t="str">
        <f t="shared" si="16"/>
        <v>ME</v>
      </c>
      <c r="AG24" s="56">
        <v>17</v>
      </c>
      <c r="AH24" s="210">
        <v>46318.53</v>
      </c>
      <c r="AI24" s="211">
        <f t="shared" si="17"/>
        <v>16.30000000000291</v>
      </c>
      <c r="AJ24" s="210">
        <v>48458.39</v>
      </c>
      <c r="AK24" s="211">
        <f t="shared" si="18"/>
        <v>11.860000000000582</v>
      </c>
      <c r="AL24" s="210">
        <v>586.09</v>
      </c>
      <c r="AM24" s="211" t="str">
        <f t="shared" si="19"/>
        <v/>
      </c>
      <c r="AN24" s="210">
        <v>547.38</v>
      </c>
      <c r="AO24" s="211" t="str">
        <f t="shared" si="3"/>
        <v/>
      </c>
      <c r="AP24" s="125" t="str">
        <f t="shared" si="20"/>
        <v>ME</v>
      </c>
      <c r="AQ24" s="56">
        <v>17</v>
      </c>
      <c r="AR24" s="210">
        <v>6684.88</v>
      </c>
      <c r="AS24" s="211">
        <f t="shared" si="21"/>
        <v>1.8400000000001455</v>
      </c>
      <c r="AT24" s="210">
        <v>7396.1</v>
      </c>
      <c r="AU24" s="211">
        <f t="shared" si="22"/>
        <v>2.0599999999994907</v>
      </c>
      <c r="AV24" s="210">
        <v>252.91</v>
      </c>
      <c r="AW24" s="211" t="str">
        <f t="shared" si="23"/>
        <v/>
      </c>
      <c r="AX24" s="210">
        <v>240.68</v>
      </c>
      <c r="AY24" s="211" t="str">
        <f t="shared" si="4"/>
        <v/>
      </c>
      <c r="AZ24" s="125" t="str">
        <f t="shared" si="24"/>
        <v>ME</v>
      </c>
      <c r="BA24" s="56">
        <v>17</v>
      </c>
      <c r="BB24" s="64"/>
      <c r="BC24" s="62"/>
      <c r="BD24" s="61"/>
      <c r="BE24" s="61"/>
      <c r="BF24" s="61"/>
      <c r="BG24" s="61"/>
      <c r="BH24" s="64"/>
      <c r="BI24" s="64"/>
      <c r="BJ24" s="64"/>
      <c r="BK24" s="64"/>
      <c r="BL24" s="64"/>
      <c r="BM24" s="64"/>
      <c r="BN24" s="65" t="str">
        <f t="shared" si="25"/>
        <v>ME</v>
      </c>
      <c r="BO24" s="56">
        <v>17</v>
      </c>
      <c r="BP24" s="64">
        <v>8.4000000000000005E-2</v>
      </c>
      <c r="BQ24" s="62"/>
      <c r="BR24" s="61"/>
      <c r="BS24" s="61"/>
      <c r="BT24" s="61"/>
      <c r="BU24" s="64"/>
      <c r="BV24" s="63">
        <v>1.06</v>
      </c>
      <c r="BW24" s="63">
        <v>0.91</v>
      </c>
      <c r="BX24" s="66" t="s">
        <v>253</v>
      </c>
      <c r="BY24" s="172" t="s">
        <v>246</v>
      </c>
      <c r="BZ24" s="67" t="str">
        <f t="shared" si="26"/>
        <v>ME</v>
      </c>
      <c r="CA24" s="56">
        <v>17</v>
      </c>
      <c r="CB24" s="61">
        <v>86</v>
      </c>
      <c r="CC24" s="61"/>
      <c r="CD24" s="68">
        <f t="shared" si="27"/>
        <v>1</v>
      </c>
      <c r="CE24" s="69">
        <f t="shared" si="28"/>
        <v>4.6542650000000005</v>
      </c>
      <c r="CF24" s="69">
        <f t="shared" si="29"/>
        <v>4.5407463414634144</v>
      </c>
      <c r="CG24" s="62">
        <v>57</v>
      </c>
      <c r="CH24" s="62">
        <v>100</v>
      </c>
      <c r="CI24" s="65" t="str">
        <f t="shared" si="30"/>
        <v>ME</v>
      </c>
      <c r="CJ24" s="56">
        <v>17</v>
      </c>
      <c r="CK24" s="61">
        <v>93.6</v>
      </c>
      <c r="CL24" s="61"/>
      <c r="CM24" s="68">
        <f t="shared" si="31"/>
        <v>1.8999999999999915</v>
      </c>
      <c r="CN24" s="68">
        <f t="shared" si="32"/>
        <v>8.8431034999999607</v>
      </c>
      <c r="CO24" s="68">
        <f t="shared" si="33"/>
        <v>23.921497324999894</v>
      </c>
      <c r="CP24" s="62">
        <v>53</v>
      </c>
      <c r="CQ24" s="62">
        <v>83</v>
      </c>
      <c r="CR24" s="65" t="str">
        <f t="shared" si="34"/>
        <v>ME</v>
      </c>
      <c r="CS24" s="56">
        <v>17</v>
      </c>
      <c r="CT24" s="61">
        <v>110.4</v>
      </c>
      <c r="CU24" s="61"/>
      <c r="CV24" s="68">
        <f t="shared" si="35"/>
        <v>1.6000000000000085</v>
      </c>
      <c r="CW24" s="68">
        <f t="shared" si="36"/>
        <v>10.630784000000055</v>
      </c>
      <c r="CX24" s="69">
        <f t="shared" si="37"/>
        <v>7.2318258503401733E-2</v>
      </c>
      <c r="CY24" s="66" t="s">
        <v>240</v>
      </c>
      <c r="CZ24" s="66" t="s">
        <v>241</v>
      </c>
      <c r="DA24" s="66"/>
      <c r="DB24" s="65" t="str">
        <f t="shared" si="38"/>
        <v>ME</v>
      </c>
      <c r="DC24" s="56">
        <v>17</v>
      </c>
      <c r="DD24" s="61">
        <v>89.7</v>
      </c>
      <c r="DE24" s="61">
        <v>102.2</v>
      </c>
      <c r="DF24" s="68">
        <f t="shared" si="45"/>
        <v>13.100000000000009</v>
      </c>
      <c r="DG24" s="69">
        <f t="shared" si="5"/>
        <v>0.70676109728000047</v>
      </c>
      <c r="DH24" s="68">
        <f t="shared" si="6"/>
        <v>4.8078986209523844</v>
      </c>
      <c r="DI24" s="62">
        <v>90</v>
      </c>
      <c r="DJ24" s="62">
        <v>54</v>
      </c>
      <c r="DK24" s="65" t="str">
        <f t="shared" si="39"/>
        <v>ME</v>
      </c>
      <c r="DL24" s="56">
        <v>17</v>
      </c>
      <c r="DM24" s="63">
        <v>8.35</v>
      </c>
      <c r="DN24" s="64">
        <v>2.5000000000000001E-2</v>
      </c>
      <c r="DO24" s="64">
        <v>3.6999999999999998E-2</v>
      </c>
      <c r="DP24" s="64">
        <v>6.0999999999999999E-2</v>
      </c>
      <c r="DQ24" s="63">
        <v>6.84</v>
      </c>
      <c r="DR24" s="61">
        <v>8.4</v>
      </c>
      <c r="DS24" s="64">
        <v>1.0940000000000001</v>
      </c>
      <c r="DT24" s="61">
        <v>86.5</v>
      </c>
      <c r="DU24" s="63">
        <v>4.2699999999999996</v>
      </c>
      <c r="DV24" s="64">
        <v>0.67200000000000004</v>
      </c>
      <c r="DW24" s="64">
        <v>1.05</v>
      </c>
      <c r="DX24" s="66" t="s">
        <v>242</v>
      </c>
      <c r="DY24" s="65" t="str">
        <f t="shared" si="40"/>
        <v>ME</v>
      </c>
      <c r="DZ24" s="128">
        <v>17</v>
      </c>
      <c r="EA24" s="173">
        <f t="shared" si="41"/>
        <v>9.8262032085561501E-2</v>
      </c>
      <c r="EB24" s="173">
        <f t="shared" si="42"/>
        <v>0.1448529411764706</v>
      </c>
      <c r="EC24" s="173">
        <f t="shared" si="43"/>
        <v>0.83673469387755106</v>
      </c>
      <c r="ED24" s="63">
        <v>1.02</v>
      </c>
      <c r="EE24" s="63">
        <v>1.1100000000000001</v>
      </c>
      <c r="EF24" s="63">
        <v>7.0000000000000007E-2</v>
      </c>
      <c r="EG24" s="284">
        <v>0.68</v>
      </c>
      <c r="EH24" s="127" t="str">
        <f t="shared" si="7"/>
        <v>ME</v>
      </c>
      <c r="EI24" s="56">
        <v>17</v>
      </c>
      <c r="EJ24" s="334"/>
      <c r="EK24" s="334"/>
      <c r="EL24" s="334"/>
      <c r="EM24" s="334"/>
      <c r="EN24" s="334"/>
      <c r="EO24" s="334"/>
      <c r="EP24" s="334"/>
      <c r="EQ24" s="65" t="str">
        <f t="shared" si="44"/>
        <v>ME</v>
      </c>
      <c r="ER24" s="20"/>
      <c r="ES24" s="20"/>
      <c r="ET24" s="20"/>
      <c r="EU24" s="20"/>
      <c r="EV24" s="20"/>
      <c r="EW24" s="20"/>
      <c r="EX24" s="20"/>
    </row>
    <row r="25" spans="1:154" s="3" customFormat="1" ht="17.149999999999999" customHeight="1" x14ac:dyDescent="0.35">
      <c r="A25" s="56">
        <v>18</v>
      </c>
      <c r="B25" s="212">
        <v>880166</v>
      </c>
      <c r="C25" s="213">
        <f t="shared" si="8"/>
        <v>195</v>
      </c>
      <c r="D25" s="217">
        <v>9.34</v>
      </c>
      <c r="E25" s="214">
        <v>784406</v>
      </c>
      <c r="F25" s="213">
        <f t="shared" si="9"/>
        <v>156</v>
      </c>
      <c r="G25" s="216">
        <v>1.78</v>
      </c>
      <c r="H25" s="212">
        <v>744399</v>
      </c>
      <c r="I25" s="213">
        <f t="shared" si="0"/>
        <v>121</v>
      </c>
      <c r="J25" s="60" t="s">
        <v>194</v>
      </c>
      <c r="K25" s="56">
        <v>18</v>
      </c>
      <c r="L25" s="212">
        <v>68959</v>
      </c>
      <c r="M25" s="213">
        <f t="shared" si="10"/>
        <v>49</v>
      </c>
      <c r="N25" s="214">
        <v>174602</v>
      </c>
      <c r="O25" s="213">
        <f t="shared" si="11"/>
        <v>65</v>
      </c>
      <c r="P25" s="212">
        <v>194749</v>
      </c>
      <c r="Q25" s="215" t="str">
        <f t="shared" si="1"/>
        <v/>
      </c>
      <c r="R25" s="57">
        <v>668</v>
      </c>
      <c r="S25" s="57">
        <v>676</v>
      </c>
      <c r="T25" s="57">
        <v>139</v>
      </c>
      <c r="U25" s="57">
        <v>137</v>
      </c>
      <c r="V25" s="58" t="str">
        <f t="shared" si="12"/>
        <v>ME</v>
      </c>
      <c r="W25" s="56">
        <v>18</v>
      </c>
      <c r="X25" s="210">
        <v>11602.43</v>
      </c>
      <c r="Y25" s="211">
        <f t="shared" si="13"/>
        <v>3.9799999999995634</v>
      </c>
      <c r="Z25" s="210">
        <v>12380.33</v>
      </c>
      <c r="AA25" s="211">
        <f t="shared" si="14"/>
        <v>1.9200000000000728</v>
      </c>
      <c r="AB25" s="210">
        <v>9778.31</v>
      </c>
      <c r="AC25" s="211">
        <f t="shared" si="15"/>
        <v>1.4600000000009459</v>
      </c>
      <c r="AD25" s="210">
        <v>9867.94</v>
      </c>
      <c r="AE25" s="211">
        <f t="shared" si="2"/>
        <v>1.7699999999986176</v>
      </c>
      <c r="AF25" s="125" t="str">
        <f t="shared" si="16"/>
        <v>ME</v>
      </c>
      <c r="AG25" s="56">
        <v>18</v>
      </c>
      <c r="AH25" s="210">
        <v>46334.83</v>
      </c>
      <c r="AI25" s="211">
        <f t="shared" si="17"/>
        <v>12.650000000001455</v>
      </c>
      <c r="AJ25" s="210">
        <v>48470.25</v>
      </c>
      <c r="AK25" s="211">
        <f t="shared" si="18"/>
        <v>12.139999999999418</v>
      </c>
      <c r="AL25" s="210">
        <v>586.09</v>
      </c>
      <c r="AM25" s="211" t="str">
        <f t="shared" si="19"/>
        <v/>
      </c>
      <c r="AN25" s="210">
        <v>547.38</v>
      </c>
      <c r="AO25" s="211" t="str">
        <f t="shared" si="3"/>
        <v/>
      </c>
      <c r="AP25" s="125" t="str">
        <f t="shared" si="20"/>
        <v>ME</v>
      </c>
      <c r="AQ25" s="56">
        <v>18</v>
      </c>
      <c r="AR25" s="210">
        <v>6686.72</v>
      </c>
      <c r="AS25" s="211">
        <f t="shared" si="21"/>
        <v>3.0599999999994907</v>
      </c>
      <c r="AT25" s="210">
        <v>7398.16</v>
      </c>
      <c r="AU25" s="211">
        <f t="shared" si="22"/>
        <v>2.5500000000001819</v>
      </c>
      <c r="AV25" s="210">
        <v>252.91</v>
      </c>
      <c r="AW25" s="211">
        <f t="shared" si="23"/>
        <v>0.34000000000000341</v>
      </c>
      <c r="AX25" s="210">
        <v>240.68</v>
      </c>
      <c r="AY25" s="211" t="str">
        <f t="shared" si="4"/>
        <v/>
      </c>
      <c r="AZ25" s="125" t="str">
        <f t="shared" si="24"/>
        <v>ME</v>
      </c>
      <c r="BA25" s="56">
        <v>18</v>
      </c>
      <c r="BB25" s="286">
        <v>0.92100000000000004</v>
      </c>
      <c r="BC25" s="62">
        <v>42</v>
      </c>
      <c r="BD25" s="61">
        <v>6.9</v>
      </c>
      <c r="BE25" s="61">
        <v>3.5</v>
      </c>
      <c r="BF25" s="61">
        <v>16.5</v>
      </c>
      <c r="BG25" s="61">
        <v>6.9</v>
      </c>
      <c r="BH25" s="64">
        <v>0.22800000000000001</v>
      </c>
      <c r="BI25" s="64">
        <v>0.216</v>
      </c>
      <c r="BJ25" s="64">
        <v>5.3999999999999999E-2</v>
      </c>
      <c r="BK25" s="64">
        <v>6.0999999999999999E-2</v>
      </c>
      <c r="BL25" s="64">
        <v>5.0999999999999997E-2</v>
      </c>
      <c r="BM25" s="64">
        <v>5.5E-2</v>
      </c>
      <c r="BN25" s="65" t="str">
        <f t="shared" si="25"/>
        <v>ME</v>
      </c>
      <c r="BO25" s="56">
        <v>18</v>
      </c>
      <c r="BP25" s="64">
        <v>7.3999999999999996E-2</v>
      </c>
      <c r="BQ25" s="62">
        <v>0</v>
      </c>
      <c r="BR25" s="61">
        <v>7.3</v>
      </c>
      <c r="BS25" s="61">
        <v>8.3000000000000007</v>
      </c>
      <c r="BT25" s="61">
        <v>20.8</v>
      </c>
      <c r="BU25" s="64">
        <v>1.7000000000000001E-2</v>
      </c>
      <c r="BV25" s="63">
        <v>1.06</v>
      </c>
      <c r="BW25" s="63">
        <v>0.9</v>
      </c>
      <c r="BX25" s="66" t="s">
        <v>285</v>
      </c>
      <c r="BY25" s="172" t="s">
        <v>246</v>
      </c>
      <c r="BZ25" s="67" t="str">
        <f t="shared" si="26"/>
        <v>ME</v>
      </c>
      <c r="CA25" s="56">
        <v>18</v>
      </c>
      <c r="CB25" s="61">
        <v>85</v>
      </c>
      <c r="CC25" s="61">
        <v>95.1</v>
      </c>
      <c r="CD25" s="68">
        <f t="shared" si="27"/>
        <v>1</v>
      </c>
      <c r="CE25" s="69">
        <f t="shared" si="28"/>
        <v>4.6542650000000005</v>
      </c>
      <c r="CF25" s="69">
        <f t="shared" si="29"/>
        <v>4.6158000000000001</v>
      </c>
      <c r="CG25" s="62">
        <v>55</v>
      </c>
      <c r="CH25" s="62">
        <v>100</v>
      </c>
      <c r="CI25" s="65" t="str">
        <f t="shared" si="30"/>
        <v>ME</v>
      </c>
      <c r="CJ25" s="56">
        <v>18</v>
      </c>
      <c r="CK25" s="61">
        <v>91.7</v>
      </c>
      <c r="CL25" s="61"/>
      <c r="CM25" s="68">
        <f t="shared" si="31"/>
        <v>2.4000000000000057</v>
      </c>
      <c r="CN25" s="68">
        <f t="shared" si="32"/>
        <v>11.170236000000028</v>
      </c>
      <c r="CO25" s="68">
        <f t="shared" si="33"/>
        <v>22.77868895076929</v>
      </c>
      <c r="CP25" s="62">
        <v>55</v>
      </c>
      <c r="CQ25" s="62">
        <v>83</v>
      </c>
      <c r="CR25" s="65" t="str">
        <f t="shared" si="34"/>
        <v>ME</v>
      </c>
      <c r="CS25" s="56">
        <v>18</v>
      </c>
      <c r="CT25" s="61">
        <v>108.8</v>
      </c>
      <c r="CU25" s="61"/>
      <c r="CV25" s="68">
        <f t="shared" si="35"/>
        <v>2</v>
      </c>
      <c r="CW25" s="68">
        <f t="shared" si="36"/>
        <v>13.28848</v>
      </c>
      <c r="CX25" s="69">
        <f t="shared" si="37"/>
        <v>6.8146051282051284E-2</v>
      </c>
      <c r="CY25" s="66" t="s">
        <v>240</v>
      </c>
      <c r="CZ25" s="66" t="s">
        <v>241</v>
      </c>
      <c r="DA25" s="66"/>
      <c r="DB25" s="65" t="str">
        <f t="shared" si="38"/>
        <v>ME</v>
      </c>
      <c r="DC25" s="56">
        <v>18</v>
      </c>
      <c r="DD25" s="61">
        <v>89.1</v>
      </c>
      <c r="DE25" s="61">
        <v>103.1</v>
      </c>
      <c r="DF25" s="68">
        <f t="shared" si="45"/>
        <v>20.599999999999994</v>
      </c>
      <c r="DG25" s="69">
        <f t="shared" si="5"/>
        <v>1.1113953132799999</v>
      </c>
      <c r="DH25" s="68">
        <f t="shared" si="6"/>
        <v>5.6994631450256401</v>
      </c>
      <c r="DI25" s="62">
        <v>88</v>
      </c>
      <c r="DJ25" s="62">
        <v>54</v>
      </c>
      <c r="DK25" s="65" t="str">
        <f t="shared" si="39"/>
        <v>ME</v>
      </c>
      <c r="DL25" s="56">
        <v>18</v>
      </c>
      <c r="DM25" s="63">
        <v>7.93</v>
      </c>
      <c r="DN25" s="64">
        <v>1.7999999999999999E-2</v>
      </c>
      <c r="DO25" s="64">
        <v>3.3000000000000002E-2</v>
      </c>
      <c r="DP25" s="64">
        <v>5.8999999999999997E-2</v>
      </c>
      <c r="DQ25" s="63">
        <v>6.84</v>
      </c>
      <c r="DR25" s="61">
        <v>8.3000000000000007</v>
      </c>
      <c r="DS25" s="64">
        <v>1.0580000000000001</v>
      </c>
      <c r="DT25" s="61">
        <v>86</v>
      </c>
      <c r="DU25" s="63">
        <v>4.18</v>
      </c>
      <c r="DV25" s="64">
        <v>0.70699999999999996</v>
      </c>
      <c r="DW25" s="64">
        <v>0.85499999999999998</v>
      </c>
      <c r="DX25" s="66" t="s">
        <v>247</v>
      </c>
      <c r="DY25" s="65" t="str">
        <f t="shared" si="40"/>
        <v>ME</v>
      </c>
      <c r="DZ25" s="128">
        <v>18</v>
      </c>
      <c r="EA25" s="173">
        <f t="shared" si="41"/>
        <v>0.13034759358288769</v>
      </c>
      <c r="EB25" s="173">
        <f t="shared" si="42"/>
        <v>0.11470588235294117</v>
      </c>
      <c r="EC25" s="173">
        <f t="shared" si="43"/>
        <v>0.62051282051282053</v>
      </c>
      <c r="ED25" s="63">
        <v>1.04</v>
      </c>
      <c r="EE25" s="63">
        <v>1.08</v>
      </c>
      <c r="EF25" s="284">
        <v>3</v>
      </c>
      <c r="EG25" s="284">
        <v>3</v>
      </c>
      <c r="EH25" s="127" t="str">
        <f t="shared" si="7"/>
        <v>ME</v>
      </c>
      <c r="EI25" s="56">
        <v>18</v>
      </c>
      <c r="EJ25" s="334" t="s">
        <v>339</v>
      </c>
      <c r="EK25" s="334"/>
      <c r="EL25" s="334"/>
      <c r="EM25" s="334"/>
      <c r="EN25" s="334"/>
      <c r="EO25" s="334"/>
      <c r="EP25" s="334"/>
      <c r="EQ25" s="65" t="str">
        <f t="shared" si="44"/>
        <v>ME</v>
      </c>
      <c r="ER25" s="20"/>
      <c r="ES25" s="20"/>
      <c r="ET25" s="20"/>
      <c r="EU25" s="20"/>
      <c r="EV25" s="20"/>
      <c r="EW25" s="20"/>
      <c r="EX25" s="20"/>
    </row>
    <row r="26" spans="1:154" s="3" customFormat="1" ht="17.149999999999999" customHeight="1" x14ac:dyDescent="0.35">
      <c r="A26" s="56">
        <v>19</v>
      </c>
      <c r="B26" s="212">
        <v>880361</v>
      </c>
      <c r="C26" s="213">
        <f t="shared" si="8"/>
        <v>135</v>
      </c>
      <c r="D26" s="217">
        <v>9.73</v>
      </c>
      <c r="E26" s="214">
        <v>784562</v>
      </c>
      <c r="F26" s="213">
        <f t="shared" si="9"/>
        <v>153</v>
      </c>
      <c r="G26" s="216">
        <v>1.57</v>
      </c>
      <c r="H26" s="212">
        <v>744520</v>
      </c>
      <c r="I26" s="213">
        <f t="shared" si="0"/>
        <v>114</v>
      </c>
      <c r="J26" s="60" t="s">
        <v>194</v>
      </c>
      <c r="K26" s="56">
        <v>19</v>
      </c>
      <c r="L26" s="212">
        <v>69008</v>
      </c>
      <c r="M26" s="213" t="str">
        <f t="shared" si="10"/>
        <v/>
      </c>
      <c r="N26" s="214">
        <v>174667</v>
      </c>
      <c r="O26" s="213">
        <f t="shared" si="11"/>
        <v>36</v>
      </c>
      <c r="P26" s="212">
        <v>194749</v>
      </c>
      <c r="Q26" s="215" t="str">
        <f t="shared" si="1"/>
        <v/>
      </c>
      <c r="R26" s="57">
        <v>669</v>
      </c>
      <c r="S26" s="57">
        <v>676</v>
      </c>
      <c r="T26" s="57">
        <v>139</v>
      </c>
      <c r="U26" s="57">
        <v>137</v>
      </c>
      <c r="V26" s="58" t="str">
        <f t="shared" si="12"/>
        <v>ME</v>
      </c>
      <c r="W26" s="56">
        <v>19</v>
      </c>
      <c r="X26" s="210">
        <v>11606.41</v>
      </c>
      <c r="Y26" s="211">
        <f t="shared" si="13"/>
        <v>2.0400000000008731</v>
      </c>
      <c r="Z26" s="210">
        <v>12382.25</v>
      </c>
      <c r="AA26" s="211">
        <f t="shared" si="14"/>
        <v>1.9400000000005093</v>
      </c>
      <c r="AB26" s="210">
        <v>9779.77</v>
      </c>
      <c r="AC26" s="211">
        <f t="shared" si="15"/>
        <v>1.4799999999995634</v>
      </c>
      <c r="AD26" s="210">
        <v>9869.7099999999991</v>
      </c>
      <c r="AE26" s="211">
        <f t="shared" si="2"/>
        <v>1.570000000001528</v>
      </c>
      <c r="AF26" s="125" t="str">
        <f t="shared" si="16"/>
        <v>ME</v>
      </c>
      <c r="AG26" s="56">
        <v>19</v>
      </c>
      <c r="AH26" s="210">
        <v>46347.48</v>
      </c>
      <c r="AI26" s="211">
        <f t="shared" si="17"/>
        <v>9.3599999999933061</v>
      </c>
      <c r="AJ26" s="210">
        <v>48482.39</v>
      </c>
      <c r="AK26" s="211">
        <f t="shared" si="18"/>
        <v>12.360000000000582</v>
      </c>
      <c r="AL26" s="210">
        <v>586.09</v>
      </c>
      <c r="AM26" s="211" t="str">
        <f t="shared" si="19"/>
        <v/>
      </c>
      <c r="AN26" s="210">
        <v>547.38</v>
      </c>
      <c r="AO26" s="211" t="str">
        <f t="shared" si="3"/>
        <v/>
      </c>
      <c r="AP26" s="125" t="str">
        <f t="shared" si="20"/>
        <v>ME</v>
      </c>
      <c r="AQ26" s="56">
        <v>19</v>
      </c>
      <c r="AR26" s="210">
        <v>6689.78</v>
      </c>
      <c r="AS26" s="211">
        <f t="shared" si="21"/>
        <v>1.8699999999998909</v>
      </c>
      <c r="AT26" s="210">
        <v>7400.71</v>
      </c>
      <c r="AU26" s="211">
        <f t="shared" si="22"/>
        <v>2.0500000000001819</v>
      </c>
      <c r="AV26" s="210">
        <v>253.25</v>
      </c>
      <c r="AW26" s="211" t="str">
        <f t="shared" si="23"/>
        <v/>
      </c>
      <c r="AX26" s="210">
        <v>240.68</v>
      </c>
      <c r="AY26" s="211" t="str">
        <f t="shared" si="4"/>
        <v/>
      </c>
      <c r="AZ26" s="125" t="str">
        <f t="shared" si="24"/>
        <v>ME</v>
      </c>
      <c r="BA26" s="56">
        <v>19</v>
      </c>
      <c r="BB26" s="64">
        <v>0.88600000000000001</v>
      </c>
      <c r="BC26" s="62">
        <v>17</v>
      </c>
      <c r="BD26" s="61">
        <v>7.1</v>
      </c>
      <c r="BE26" s="61">
        <v>3.5</v>
      </c>
      <c r="BF26" s="61">
        <v>15.6</v>
      </c>
      <c r="BG26" s="61">
        <v>7.1</v>
      </c>
      <c r="BH26" s="64">
        <v>0.24299999999999999</v>
      </c>
      <c r="BI26" s="64">
        <v>0.249</v>
      </c>
      <c r="BJ26" s="64">
        <v>5.0999999999999997E-2</v>
      </c>
      <c r="BK26" s="64">
        <v>0.05</v>
      </c>
      <c r="BL26" s="64">
        <v>5.0999999999999997E-2</v>
      </c>
      <c r="BM26" s="64">
        <v>5.5E-2</v>
      </c>
      <c r="BN26" s="65" t="str">
        <f t="shared" si="25"/>
        <v>ME</v>
      </c>
      <c r="BO26" s="56">
        <v>19</v>
      </c>
      <c r="BP26" s="64">
        <v>8.1000000000000003E-2</v>
      </c>
      <c r="BQ26" s="62">
        <v>0</v>
      </c>
      <c r="BR26" s="61">
        <v>7.2</v>
      </c>
      <c r="BS26" s="61">
        <v>8.3000000000000007</v>
      </c>
      <c r="BT26" s="61">
        <v>19.2</v>
      </c>
      <c r="BU26" s="64">
        <v>1.0999999999999999E-2</v>
      </c>
      <c r="BV26" s="63">
        <v>1.01</v>
      </c>
      <c r="BW26" s="63">
        <v>0.91</v>
      </c>
      <c r="BX26" s="66" t="s">
        <v>245</v>
      </c>
      <c r="BY26" s="172" t="s">
        <v>246</v>
      </c>
      <c r="BZ26" s="67" t="str">
        <f t="shared" si="26"/>
        <v>ME</v>
      </c>
      <c r="CA26" s="56">
        <v>19</v>
      </c>
      <c r="CB26" s="61">
        <v>94.1</v>
      </c>
      <c r="CC26" s="61"/>
      <c r="CD26" s="68">
        <f t="shared" si="27"/>
        <v>1.5999999999999943</v>
      </c>
      <c r="CE26" s="69">
        <f t="shared" si="28"/>
        <v>7.4468239999999746</v>
      </c>
      <c r="CF26" s="69">
        <f t="shared" si="29"/>
        <v>7.8387621052631307</v>
      </c>
      <c r="CG26" s="62">
        <v>62</v>
      </c>
      <c r="CH26" s="62">
        <v>100</v>
      </c>
      <c r="CI26" s="65" t="str">
        <f t="shared" si="30"/>
        <v>ME</v>
      </c>
      <c r="CJ26" s="56">
        <v>19</v>
      </c>
      <c r="CK26" s="61">
        <v>89.3</v>
      </c>
      <c r="CL26" s="61"/>
      <c r="CM26" s="68">
        <f t="shared" si="31"/>
        <v>1.5999999999999943</v>
      </c>
      <c r="CN26" s="68">
        <f t="shared" si="32"/>
        <v>7.4468239999999746</v>
      </c>
      <c r="CO26" s="68">
        <f t="shared" si="33"/>
        <v>21.935033804444373</v>
      </c>
      <c r="CP26" s="62">
        <v>53</v>
      </c>
      <c r="CQ26" s="62">
        <v>83</v>
      </c>
      <c r="CR26" s="65" t="str">
        <f t="shared" si="34"/>
        <v>ME</v>
      </c>
      <c r="CS26" s="56">
        <v>19</v>
      </c>
      <c r="CT26" s="61">
        <v>106.8</v>
      </c>
      <c r="CU26" s="61"/>
      <c r="CV26" s="68">
        <f t="shared" si="35"/>
        <v>1.3999999999999915</v>
      </c>
      <c r="CW26" s="68">
        <f t="shared" si="36"/>
        <v>9.3019359999999427</v>
      </c>
      <c r="CX26" s="69">
        <f t="shared" si="37"/>
        <v>6.8903229629629206E-2</v>
      </c>
      <c r="CY26" s="66" t="s">
        <v>240</v>
      </c>
      <c r="CZ26" s="66" t="s">
        <v>241</v>
      </c>
      <c r="DA26" s="66"/>
      <c r="DB26" s="65" t="str">
        <f t="shared" si="38"/>
        <v>ME</v>
      </c>
      <c r="DC26" s="56">
        <v>19</v>
      </c>
      <c r="DD26" s="61">
        <v>82.5</v>
      </c>
      <c r="DE26" s="61">
        <v>101.9</v>
      </c>
      <c r="DF26" s="68">
        <f t="shared" si="45"/>
        <v>12.200000000000003</v>
      </c>
      <c r="DG26" s="69">
        <f t="shared" si="5"/>
        <v>0.65820499136000021</v>
      </c>
      <c r="DH26" s="68">
        <f t="shared" si="6"/>
        <v>4.8755925285925947</v>
      </c>
      <c r="DI26" s="62">
        <v>90</v>
      </c>
      <c r="DJ26" s="62">
        <v>54</v>
      </c>
      <c r="DK26" s="65" t="str">
        <f t="shared" si="39"/>
        <v>ME</v>
      </c>
      <c r="DL26" s="56">
        <v>19</v>
      </c>
      <c r="DM26" s="63">
        <v>8.33</v>
      </c>
      <c r="DN26" s="64">
        <v>2.5999999999999999E-2</v>
      </c>
      <c r="DO26" s="64">
        <v>3.3000000000000002E-2</v>
      </c>
      <c r="DP26" s="64">
        <v>6.2E-2</v>
      </c>
      <c r="DQ26" s="63">
        <v>6.85</v>
      </c>
      <c r="DR26" s="61">
        <v>8.3000000000000007</v>
      </c>
      <c r="DS26" s="64">
        <v>1.036</v>
      </c>
      <c r="DT26" s="61">
        <v>84.5</v>
      </c>
      <c r="DU26" s="63">
        <v>4.2</v>
      </c>
      <c r="DV26" s="64">
        <v>1.0069999999999999</v>
      </c>
      <c r="DW26" s="64">
        <v>1.99</v>
      </c>
      <c r="DX26" s="66" t="s">
        <v>242</v>
      </c>
      <c r="DY26" s="65" t="str">
        <f t="shared" si="40"/>
        <v>ME</v>
      </c>
      <c r="DZ26" s="128">
        <v>19</v>
      </c>
      <c r="EA26" s="173">
        <f t="shared" si="41"/>
        <v>9.0240641711229946E-2</v>
      </c>
      <c r="EB26" s="173">
        <f t="shared" si="42"/>
        <v>0.1125</v>
      </c>
      <c r="EC26" s="173">
        <f t="shared" si="43"/>
        <v>0.84444444444444444</v>
      </c>
      <c r="ED26" s="63">
        <v>1.02</v>
      </c>
      <c r="EE26" s="63">
        <v>1.05</v>
      </c>
      <c r="EF26" s="63">
        <v>0.05</v>
      </c>
      <c r="EG26" s="63">
        <v>0.19</v>
      </c>
      <c r="EH26" s="127" t="str">
        <f t="shared" si="7"/>
        <v>ME</v>
      </c>
      <c r="EI26" s="56">
        <v>19</v>
      </c>
      <c r="EJ26" s="334"/>
      <c r="EK26" s="334"/>
      <c r="EL26" s="334"/>
      <c r="EM26" s="334"/>
      <c r="EN26" s="334"/>
      <c r="EO26" s="334"/>
      <c r="EP26" s="334"/>
      <c r="EQ26" s="65" t="str">
        <f t="shared" si="44"/>
        <v>ME</v>
      </c>
      <c r="ER26" s="20"/>
      <c r="ES26" s="20"/>
      <c r="ET26" s="20"/>
      <c r="EU26" s="20"/>
      <c r="EV26" s="20"/>
      <c r="EW26" s="20"/>
      <c r="EX26" s="20"/>
    </row>
    <row r="27" spans="1:154" s="3" customFormat="1" ht="17.149999999999999" customHeight="1" x14ac:dyDescent="0.35">
      <c r="A27" s="56">
        <v>20</v>
      </c>
      <c r="B27" s="212">
        <v>880496</v>
      </c>
      <c r="C27" s="213">
        <f t="shared" si="8"/>
        <v>151</v>
      </c>
      <c r="D27" s="217">
        <v>9.3699999999999992</v>
      </c>
      <c r="E27" s="214">
        <v>784715</v>
      </c>
      <c r="F27" s="213">
        <f t="shared" si="9"/>
        <v>139</v>
      </c>
      <c r="G27" s="216">
        <v>1.18</v>
      </c>
      <c r="H27" s="212">
        <v>744634</v>
      </c>
      <c r="I27" s="213">
        <f t="shared" si="0"/>
        <v>128</v>
      </c>
      <c r="J27" s="60" t="s">
        <v>194</v>
      </c>
      <c r="K27" s="56">
        <v>20</v>
      </c>
      <c r="L27" s="212">
        <v>69008</v>
      </c>
      <c r="M27" s="213" t="str">
        <f t="shared" si="10"/>
        <v/>
      </c>
      <c r="N27" s="214">
        <v>174703</v>
      </c>
      <c r="O27" s="213">
        <f t="shared" si="11"/>
        <v>25</v>
      </c>
      <c r="P27" s="212">
        <v>194749</v>
      </c>
      <c r="Q27" s="215" t="str">
        <f t="shared" si="1"/>
        <v/>
      </c>
      <c r="R27" s="57">
        <v>669</v>
      </c>
      <c r="S27" s="57">
        <v>676</v>
      </c>
      <c r="T27" s="57">
        <v>139</v>
      </c>
      <c r="U27" s="57">
        <v>137</v>
      </c>
      <c r="V27" s="58" t="str">
        <f t="shared" si="12"/>
        <v>ME</v>
      </c>
      <c r="W27" s="56">
        <v>20</v>
      </c>
      <c r="X27" s="210">
        <v>11608.45</v>
      </c>
      <c r="Y27" s="211">
        <f t="shared" si="13"/>
        <v>2.2699999999986176</v>
      </c>
      <c r="Z27" s="210">
        <v>12384.19</v>
      </c>
      <c r="AA27" s="211">
        <f t="shared" si="14"/>
        <v>2.6599999999998545</v>
      </c>
      <c r="AB27" s="210">
        <v>9781.25</v>
      </c>
      <c r="AC27" s="211">
        <f t="shared" si="15"/>
        <v>1.6499999999996362</v>
      </c>
      <c r="AD27" s="210">
        <v>9871.2800000000007</v>
      </c>
      <c r="AE27" s="211">
        <f t="shared" si="2"/>
        <v>1.75</v>
      </c>
      <c r="AF27" s="125" t="str">
        <f t="shared" si="16"/>
        <v>ME</v>
      </c>
      <c r="AG27" s="56">
        <v>20</v>
      </c>
      <c r="AH27" s="210">
        <v>46356.84</v>
      </c>
      <c r="AI27" s="211">
        <f t="shared" si="17"/>
        <v>13.17000000000553</v>
      </c>
      <c r="AJ27" s="210">
        <v>48494.75</v>
      </c>
      <c r="AK27" s="211">
        <f t="shared" si="18"/>
        <v>11.650000000001455</v>
      </c>
      <c r="AL27" s="210">
        <v>586.09</v>
      </c>
      <c r="AM27" s="211" t="str">
        <f t="shared" si="19"/>
        <v/>
      </c>
      <c r="AN27" s="210">
        <v>547.38</v>
      </c>
      <c r="AO27" s="211" t="str">
        <f t="shared" si="3"/>
        <v/>
      </c>
      <c r="AP27" s="125" t="str">
        <f t="shared" si="20"/>
        <v>ME</v>
      </c>
      <c r="AQ27" s="56">
        <v>20</v>
      </c>
      <c r="AR27" s="210">
        <v>6691.65</v>
      </c>
      <c r="AS27" s="211">
        <f t="shared" si="21"/>
        <v>1.2700000000004366</v>
      </c>
      <c r="AT27" s="210">
        <v>7402.76</v>
      </c>
      <c r="AU27" s="211">
        <f t="shared" si="22"/>
        <v>1.2600000000002183</v>
      </c>
      <c r="AV27" s="210">
        <v>253.25</v>
      </c>
      <c r="AW27" s="211" t="str">
        <f t="shared" si="23"/>
        <v/>
      </c>
      <c r="AX27" s="210">
        <v>240.68</v>
      </c>
      <c r="AY27" s="211" t="str">
        <f t="shared" si="4"/>
        <v/>
      </c>
      <c r="AZ27" s="125" t="str">
        <f t="shared" si="24"/>
        <v>ME</v>
      </c>
      <c r="BA27" s="56">
        <v>20</v>
      </c>
      <c r="BB27" s="64">
        <v>0.95899999999999996</v>
      </c>
      <c r="BC27" s="62">
        <v>19</v>
      </c>
      <c r="BD27" s="61">
        <v>7.1</v>
      </c>
      <c r="BE27" s="61">
        <v>3.5</v>
      </c>
      <c r="BF27" s="61">
        <v>17</v>
      </c>
      <c r="BG27" s="61">
        <v>7.1</v>
      </c>
      <c r="BH27" s="64">
        <v>0.23200000000000001</v>
      </c>
      <c r="BI27" s="64">
        <v>0.251</v>
      </c>
      <c r="BJ27" s="64">
        <v>4.7E-2</v>
      </c>
      <c r="BK27" s="64">
        <v>0.05</v>
      </c>
      <c r="BL27" s="64">
        <v>5.3999999999999999E-2</v>
      </c>
      <c r="BM27" s="64">
        <v>5.5E-2</v>
      </c>
      <c r="BN27" s="65" t="str">
        <f t="shared" si="25"/>
        <v>ME</v>
      </c>
      <c r="BO27" s="56">
        <v>20</v>
      </c>
      <c r="BP27" s="64">
        <v>8.4000000000000005E-2</v>
      </c>
      <c r="BQ27" s="62">
        <v>0</v>
      </c>
      <c r="BR27" s="61">
        <v>7.2</v>
      </c>
      <c r="BS27" s="61">
        <v>8.4</v>
      </c>
      <c r="BT27" s="61">
        <v>18</v>
      </c>
      <c r="BU27" s="64">
        <v>1.2E-2</v>
      </c>
      <c r="BV27" s="63">
        <v>1.04</v>
      </c>
      <c r="BW27" s="63">
        <v>0.8</v>
      </c>
      <c r="BX27" s="66" t="s">
        <v>248</v>
      </c>
      <c r="BY27" s="172" t="s">
        <v>246</v>
      </c>
      <c r="BZ27" s="67" t="str">
        <f t="shared" si="26"/>
        <v>ME</v>
      </c>
      <c r="CA27" s="56">
        <v>20</v>
      </c>
      <c r="CB27" s="61">
        <v>92.5</v>
      </c>
      <c r="CC27" s="61"/>
      <c r="CD27" s="68">
        <f t="shared" si="27"/>
        <v>1.0999999999999943</v>
      </c>
      <c r="CE27" s="69">
        <f t="shared" si="28"/>
        <v>5.1196914999999734</v>
      </c>
      <c r="CF27" s="69">
        <f t="shared" si="29"/>
        <v>4.7997107812499751</v>
      </c>
      <c r="CG27" s="62">
        <v>67</v>
      </c>
      <c r="CH27" s="62">
        <v>100</v>
      </c>
      <c r="CI27" s="65" t="str">
        <f t="shared" si="30"/>
        <v>ME</v>
      </c>
      <c r="CJ27" s="56">
        <v>20</v>
      </c>
      <c r="CK27" s="61">
        <v>87.7</v>
      </c>
      <c r="CL27" s="61"/>
      <c r="CM27" s="68">
        <f t="shared" si="31"/>
        <v>2.1000000000000085</v>
      </c>
      <c r="CN27" s="68">
        <f t="shared" si="32"/>
        <v>9.7739565000000397</v>
      </c>
      <c r="CO27" s="68">
        <f t="shared" si="33"/>
        <v>25.739164253145802</v>
      </c>
      <c r="CP27" s="62">
        <v>54</v>
      </c>
      <c r="CQ27" s="62">
        <v>83</v>
      </c>
      <c r="CR27" s="65" t="str">
        <f t="shared" si="34"/>
        <v>ME</v>
      </c>
      <c r="CS27" s="56">
        <v>20</v>
      </c>
      <c r="CT27" s="61">
        <v>105.4</v>
      </c>
      <c r="CU27" s="61"/>
      <c r="CV27" s="68">
        <f t="shared" si="35"/>
        <v>1.5</v>
      </c>
      <c r="CW27" s="68">
        <f t="shared" si="36"/>
        <v>9.9663599999999999</v>
      </c>
      <c r="CX27" s="69">
        <f t="shared" si="37"/>
        <v>6.6002384105960266E-2</v>
      </c>
      <c r="CY27" s="66" t="s">
        <v>240</v>
      </c>
      <c r="CZ27" s="66" t="s">
        <v>241</v>
      </c>
      <c r="DA27" s="66"/>
      <c r="DB27" s="65" t="str">
        <f t="shared" si="38"/>
        <v>ME</v>
      </c>
      <c r="DC27" s="56">
        <v>20</v>
      </c>
      <c r="DD27" s="61">
        <v>89.7</v>
      </c>
      <c r="DE27" s="61">
        <v>102.5</v>
      </c>
      <c r="DF27" s="68">
        <f t="shared" si="45"/>
        <v>14.299999999999997</v>
      </c>
      <c r="DG27" s="69">
        <f t="shared" si="5"/>
        <v>0.77150257183999982</v>
      </c>
      <c r="DH27" s="68">
        <f t="shared" si="6"/>
        <v>5.109288555231787</v>
      </c>
      <c r="DI27" s="62">
        <v>88</v>
      </c>
      <c r="DJ27" s="62">
        <v>54</v>
      </c>
      <c r="DK27" s="65" t="str">
        <f t="shared" si="39"/>
        <v>ME</v>
      </c>
      <c r="DL27" s="56">
        <v>20</v>
      </c>
      <c r="DM27" s="63">
        <v>8.15</v>
      </c>
      <c r="DN27" s="64">
        <v>2.5999999999999999E-2</v>
      </c>
      <c r="DO27" s="64">
        <v>3.1E-2</v>
      </c>
      <c r="DP27" s="64">
        <v>6.0999999999999999E-2</v>
      </c>
      <c r="DQ27" s="63">
        <v>6.85</v>
      </c>
      <c r="DR27" s="61">
        <v>8.4</v>
      </c>
      <c r="DS27" s="64">
        <v>1.0449999999999999</v>
      </c>
      <c r="DT27" s="61">
        <v>85.7</v>
      </c>
      <c r="DU27" s="63">
        <v>4.2</v>
      </c>
      <c r="DV27" s="64">
        <v>0.71799999999999997</v>
      </c>
      <c r="DW27" s="64">
        <v>1.1100000000000001</v>
      </c>
      <c r="DX27" s="66" t="s">
        <v>247</v>
      </c>
      <c r="DY27" s="65" t="str">
        <f t="shared" si="40"/>
        <v>ME</v>
      </c>
      <c r="DZ27" s="128">
        <v>20</v>
      </c>
      <c r="EA27" s="173">
        <f t="shared" si="41"/>
        <v>0.10093582887700535</v>
      </c>
      <c r="EB27" s="173">
        <f t="shared" si="42"/>
        <v>0.10220588235294117</v>
      </c>
      <c r="EC27" s="173">
        <f t="shared" si="43"/>
        <v>0.84768211920529801</v>
      </c>
      <c r="ED27" s="63">
        <v>1</v>
      </c>
      <c r="EE27" s="63">
        <v>1.07</v>
      </c>
      <c r="EF27" s="63">
        <v>0.06</v>
      </c>
      <c r="EG27" s="284">
        <v>0.31</v>
      </c>
      <c r="EH27" s="127" t="str">
        <f t="shared" si="7"/>
        <v>ME</v>
      </c>
      <c r="EI27" s="56">
        <v>20</v>
      </c>
      <c r="EJ27" s="334"/>
      <c r="EK27" s="334"/>
      <c r="EL27" s="334"/>
      <c r="EM27" s="334"/>
      <c r="EN27" s="334"/>
      <c r="EO27" s="334"/>
      <c r="EP27" s="334"/>
      <c r="EQ27" s="65" t="str">
        <f t="shared" si="44"/>
        <v>ME</v>
      </c>
      <c r="ER27" s="20"/>
      <c r="ES27" s="20"/>
      <c r="ET27" s="20"/>
      <c r="EU27" s="20"/>
      <c r="EV27" s="20"/>
      <c r="EW27" s="20"/>
      <c r="EX27" s="20"/>
    </row>
    <row r="28" spans="1:154" s="3" customFormat="1" ht="17.149999999999999" customHeight="1" x14ac:dyDescent="0.35">
      <c r="A28" s="56">
        <v>21</v>
      </c>
      <c r="B28" s="212">
        <v>880647</v>
      </c>
      <c r="C28" s="213">
        <f t="shared" si="8"/>
        <v>121</v>
      </c>
      <c r="D28" s="217">
        <v>9.4</v>
      </c>
      <c r="E28" s="214">
        <v>784854</v>
      </c>
      <c r="F28" s="213">
        <f t="shared" si="9"/>
        <v>142</v>
      </c>
      <c r="G28" s="216">
        <v>1.06</v>
      </c>
      <c r="H28" s="212">
        <v>744762</v>
      </c>
      <c r="I28" s="213">
        <f t="shared" si="0"/>
        <v>101</v>
      </c>
      <c r="J28" s="60" t="s">
        <v>194</v>
      </c>
      <c r="K28" s="56">
        <v>21</v>
      </c>
      <c r="L28" s="212">
        <v>69008</v>
      </c>
      <c r="M28" s="213" t="str">
        <f t="shared" si="10"/>
        <v/>
      </c>
      <c r="N28" s="214">
        <v>174728</v>
      </c>
      <c r="O28" s="213">
        <f t="shared" si="11"/>
        <v>28</v>
      </c>
      <c r="P28" s="212">
        <v>194749</v>
      </c>
      <c r="Q28" s="215" t="str">
        <f t="shared" si="1"/>
        <v/>
      </c>
      <c r="R28" s="57">
        <v>669</v>
      </c>
      <c r="S28" s="57">
        <v>676</v>
      </c>
      <c r="T28" s="57">
        <v>139</v>
      </c>
      <c r="U28" s="57">
        <v>137</v>
      </c>
      <c r="V28" s="58" t="str">
        <f t="shared" si="12"/>
        <v>ME</v>
      </c>
      <c r="W28" s="56">
        <v>21</v>
      </c>
      <c r="X28" s="210">
        <v>11610.72</v>
      </c>
      <c r="Y28" s="211">
        <f t="shared" si="13"/>
        <v>1.3800000000010186</v>
      </c>
      <c r="Z28" s="210">
        <v>12386.85</v>
      </c>
      <c r="AA28" s="211">
        <f t="shared" si="14"/>
        <v>1.6900000000005093</v>
      </c>
      <c r="AB28" s="210">
        <v>9782.9</v>
      </c>
      <c r="AC28" s="211">
        <f t="shared" si="15"/>
        <v>1.6700000000000728</v>
      </c>
      <c r="AD28" s="210">
        <v>9873.0300000000007</v>
      </c>
      <c r="AE28" s="211">
        <f t="shared" si="2"/>
        <v>1.0299999999988358</v>
      </c>
      <c r="AF28" s="125" t="str">
        <f t="shared" si="16"/>
        <v>ME</v>
      </c>
      <c r="AG28" s="56">
        <v>21</v>
      </c>
      <c r="AH28" s="210">
        <v>46370.01</v>
      </c>
      <c r="AI28" s="211">
        <f t="shared" si="17"/>
        <v>12.839999999996508</v>
      </c>
      <c r="AJ28" s="210">
        <v>48506.400000000001</v>
      </c>
      <c r="AK28" s="211">
        <f t="shared" si="18"/>
        <v>9.1599999999962165</v>
      </c>
      <c r="AL28" s="210">
        <v>586.09</v>
      </c>
      <c r="AM28" s="211" t="str">
        <f t="shared" si="19"/>
        <v/>
      </c>
      <c r="AN28" s="210">
        <v>547.38</v>
      </c>
      <c r="AO28" s="211" t="str">
        <f t="shared" si="3"/>
        <v/>
      </c>
      <c r="AP28" s="125" t="str">
        <f t="shared" si="20"/>
        <v>ME</v>
      </c>
      <c r="AQ28" s="56">
        <v>21</v>
      </c>
      <c r="AR28" s="210">
        <v>6692.92</v>
      </c>
      <c r="AS28" s="211">
        <f t="shared" si="21"/>
        <v>0.93999999999959982</v>
      </c>
      <c r="AT28" s="210">
        <v>7404.02</v>
      </c>
      <c r="AU28" s="211">
        <f t="shared" si="22"/>
        <v>1.7199999999993452</v>
      </c>
      <c r="AV28" s="210">
        <v>253.25</v>
      </c>
      <c r="AW28" s="211" t="str">
        <f t="shared" si="23"/>
        <v/>
      </c>
      <c r="AX28" s="210">
        <v>240.68</v>
      </c>
      <c r="AY28" s="211" t="str">
        <f t="shared" si="4"/>
        <v/>
      </c>
      <c r="AZ28" s="125" t="str">
        <f t="shared" si="24"/>
        <v>ME</v>
      </c>
      <c r="BA28" s="56">
        <v>21</v>
      </c>
      <c r="BB28" s="64">
        <v>1.04</v>
      </c>
      <c r="BC28" s="62">
        <v>16</v>
      </c>
      <c r="BD28" s="61">
        <v>6.9</v>
      </c>
      <c r="BE28" s="61">
        <v>3.6</v>
      </c>
      <c r="BF28" s="61">
        <v>17.5</v>
      </c>
      <c r="BG28" s="61">
        <v>6.9</v>
      </c>
      <c r="BH28" s="64">
        <v>0.245</v>
      </c>
      <c r="BI28" s="64">
        <v>0.26800000000000002</v>
      </c>
      <c r="BJ28" s="64">
        <v>0.05</v>
      </c>
      <c r="BK28" s="64">
        <v>5.2999999999999999E-2</v>
      </c>
      <c r="BL28" s="64">
        <v>5.3999999999999999E-2</v>
      </c>
      <c r="BM28" s="64">
        <v>5.5E-2</v>
      </c>
      <c r="BN28" s="65" t="str">
        <f t="shared" si="25"/>
        <v>ME</v>
      </c>
      <c r="BO28" s="56">
        <v>21</v>
      </c>
      <c r="BP28" s="64">
        <v>8.2000000000000003E-2</v>
      </c>
      <c r="BQ28" s="62">
        <v>0</v>
      </c>
      <c r="BR28" s="61">
        <v>7.1</v>
      </c>
      <c r="BS28" s="61">
        <v>8.5</v>
      </c>
      <c r="BT28" s="61">
        <v>18.399999999999999</v>
      </c>
      <c r="BU28" s="64">
        <v>1.2E-2</v>
      </c>
      <c r="BV28" s="63">
        <v>1.05</v>
      </c>
      <c r="BW28" s="63">
        <v>0.85</v>
      </c>
      <c r="BX28" s="66" t="s">
        <v>253</v>
      </c>
      <c r="BY28" s="172" t="s">
        <v>246</v>
      </c>
      <c r="BZ28" s="67" t="str">
        <f t="shared" si="26"/>
        <v>ME</v>
      </c>
      <c r="CA28" s="56">
        <v>21</v>
      </c>
      <c r="CB28" s="61">
        <v>91.4</v>
      </c>
      <c r="CC28" s="61"/>
      <c r="CD28" s="68">
        <f t="shared" si="27"/>
        <v>0.90000000000000568</v>
      </c>
      <c r="CE28" s="69">
        <f t="shared" si="28"/>
        <v>4.1888385000000268</v>
      </c>
      <c r="CF28" s="69">
        <f t="shared" si="29"/>
        <v>4.97683782178221</v>
      </c>
      <c r="CG28" s="62">
        <v>67</v>
      </c>
      <c r="CH28" s="62">
        <v>100</v>
      </c>
      <c r="CI28" s="65" t="str">
        <f t="shared" si="30"/>
        <v>ME</v>
      </c>
      <c r="CJ28" s="56">
        <v>21</v>
      </c>
      <c r="CK28" s="61">
        <v>85.6</v>
      </c>
      <c r="CL28" s="61">
        <v>97.6</v>
      </c>
      <c r="CM28" s="68">
        <f t="shared" si="31"/>
        <v>1.5999999999999943</v>
      </c>
      <c r="CN28" s="68">
        <f t="shared" si="32"/>
        <v>7.4468239999999746</v>
      </c>
      <c r="CO28" s="68">
        <f t="shared" si="33"/>
        <v>24.472971599999919</v>
      </c>
      <c r="CP28" s="62">
        <v>55</v>
      </c>
      <c r="CQ28" s="62">
        <v>83</v>
      </c>
      <c r="CR28" s="65" t="str">
        <f t="shared" si="34"/>
        <v>ME</v>
      </c>
      <c r="CS28" s="56">
        <v>21</v>
      </c>
      <c r="CT28" s="61">
        <v>103.9</v>
      </c>
      <c r="CU28" s="61"/>
      <c r="CV28" s="68">
        <f t="shared" si="35"/>
        <v>1.2000000000000028</v>
      </c>
      <c r="CW28" s="68">
        <f t="shared" si="36"/>
        <v>7.9730880000000193</v>
      </c>
      <c r="CX28" s="69">
        <f t="shared" si="37"/>
        <v>6.5893289256198501E-2</v>
      </c>
      <c r="CY28" s="66" t="s">
        <v>240</v>
      </c>
      <c r="CZ28" s="66" t="s">
        <v>241</v>
      </c>
      <c r="DA28" s="66"/>
      <c r="DB28" s="65" t="str">
        <f t="shared" si="38"/>
        <v>ME</v>
      </c>
      <c r="DC28" s="56">
        <v>21</v>
      </c>
      <c r="DD28" s="61">
        <v>88.2</v>
      </c>
      <c r="DE28" s="61">
        <v>102.4</v>
      </c>
      <c r="DF28" s="68">
        <f t="shared" si="45"/>
        <v>10.100000000000009</v>
      </c>
      <c r="DG28" s="69">
        <f t="shared" si="5"/>
        <v>0.5449074108800005</v>
      </c>
      <c r="DH28" s="68">
        <f t="shared" si="6"/>
        <v>4.5033670320661194</v>
      </c>
      <c r="DI28" s="62">
        <v>88</v>
      </c>
      <c r="DJ28" s="62">
        <v>54</v>
      </c>
      <c r="DK28" s="65" t="str">
        <f t="shared" si="39"/>
        <v>ME</v>
      </c>
      <c r="DL28" s="56">
        <v>21</v>
      </c>
      <c r="DM28" s="63">
        <v>8.01</v>
      </c>
      <c r="DN28" s="64">
        <v>2.3E-2</v>
      </c>
      <c r="DO28" s="64">
        <v>3.2000000000000001E-2</v>
      </c>
      <c r="DP28" s="64">
        <v>6.2E-2</v>
      </c>
      <c r="DQ28" s="63">
        <v>6.85</v>
      </c>
      <c r="DR28" s="61">
        <v>8.5</v>
      </c>
      <c r="DS28" s="64">
        <v>1.083</v>
      </c>
      <c r="DT28" s="61">
        <v>85.2</v>
      </c>
      <c r="DU28" s="63">
        <v>4.28</v>
      </c>
      <c r="DV28" s="64">
        <v>0.73699999999999999</v>
      </c>
      <c r="DW28" s="64">
        <v>2.75</v>
      </c>
      <c r="DX28" s="66" t="s">
        <v>242</v>
      </c>
      <c r="DY28" s="65" t="str">
        <f t="shared" si="40"/>
        <v>ME</v>
      </c>
      <c r="DZ28" s="128">
        <v>21</v>
      </c>
      <c r="EA28" s="173">
        <f t="shared" si="41"/>
        <v>8.0882352941176475E-2</v>
      </c>
      <c r="EB28" s="173">
        <f t="shared" si="42"/>
        <v>0.10441176470588236</v>
      </c>
      <c r="EC28" s="173">
        <f t="shared" si="43"/>
        <v>0.83471074380165289</v>
      </c>
      <c r="ED28" s="63">
        <v>1.02</v>
      </c>
      <c r="EE28" s="63">
        <v>1.1000000000000001</v>
      </c>
      <c r="EF28" s="63">
        <v>7.0000000000000007E-2</v>
      </c>
      <c r="EG28" s="63">
        <v>0.28000000000000003</v>
      </c>
      <c r="EH28" s="127" t="str">
        <f t="shared" si="7"/>
        <v>ME</v>
      </c>
      <c r="EI28" s="56">
        <v>21</v>
      </c>
      <c r="EJ28" s="334"/>
      <c r="EK28" s="334"/>
      <c r="EL28" s="334"/>
      <c r="EM28" s="334"/>
      <c r="EN28" s="334"/>
      <c r="EO28" s="334"/>
      <c r="EP28" s="334"/>
      <c r="EQ28" s="65" t="str">
        <f t="shared" si="44"/>
        <v>ME</v>
      </c>
      <c r="ER28" s="20"/>
      <c r="ES28" s="20"/>
      <c r="ET28" s="20"/>
      <c r="EU28" s="20"/>
      <c r="EV28" s="20"/>
      <c r="EW28" s="20"/>
      <c r="EX28" s="20"/>
    </row>
    <row r="29" spans="1:154" s="3" customFormat="1" ht="17.149999999999999" customHeight="1" x14ac:dyDescent="0.35">
      <c r="A29" s="56">
        <v>22</v>
      </c>
      <c r="B29" s="212">
        <v>880768</v>
      </c>
      <c r="C29" s="213">
        <f t="shared" si="8"/>
        <v>131</v>
      </c>
      <c r="D29" s="217">
        <v>9.8000000000000007</v>
      </c>
      <c r="E29" s="214">
        <v>784996</v>
      </c>
      <c r="F29" s="213">
        <f t="shared" si="9"/>
        <v>132</v>
      </c>
      <c r="G29" s="216">
        <v>1.63</v>
      </c>
      <c r="H29" s="212">
        <v>744863</v>
      </c>
      <c r="I29" s="213">
        <f t="shared" si="0"/>
        <v>108</v>
      </c>
      <c r="J29" s="60" t="s">
        <v>194</v>
      </c>
      <c r="K29" s="56">
        <v>22</v>
      </c>
      <c r="L29" s="212">
        <v>69008</v>
      </c>
      <c r="M29" s="213" t="str">
        <f t="shared" si="10"/>
        <v/>
      </c>
      <c r="N29" s="214">
        <v>174756</v>
      </c>
      <c r="O29" s="213">
        <f t="shared" si="11"/>
        <v>28</v>
      </c>
      <c r="P29" s="212">
        <v>194749</v>
      </c>
      <c r="Q29" s="215" t="str">
        <f t="shared" si="1"/>
        <v/>
      </c>
      <c r="R29" s="57">
        <v>669</v>
      </c>
      <c r="S29" s="57">
        <v>676</v>
      </c>
      <c r="T29" s="57">
        <v>139</v>
      </c>
      <c r="U29" s="57">
        <v>137</v>
      </c>
      <c r="V29" s="58" t="str">
        <f t="shared" si="12"/>
        <v>ME</v>
      </c>
      <c r="W29" s="56">
        <v>22</v>
      </c>
      <c r="X29" s="210">
        <v>11612.1</v>
      </c>
      <c r="Y29" s="211">
        <f t="shared" si="13"/>
        <v>1.5799999999999272</v>
      </c>
      <c r="Z29" s="210">
        <v>12388.54</v>
      </c>
      <c r="AA29" s="211">
        <f t="shared" si="14"/>
        <v>2.2799999999988358</v>
      </c>
      <c r="AB29" s="210">
        <v>9784.57</v>
      </c>
      <c r="AC29" s="211">
        <f t="shared" si="15"/>
        <v>1.7100000000009459</v>
      </c>
      <c r="AD29" s="210">
        <v>9874.06</v>
      </c>
      <c r="AE29" s="211">
        <f t="shared" si="2"/>
        <v>1.1700000000000728</v>
      </c>
      <c r="AF29" s="125" t="str">
        <f t="shared" si="16"/>
        <v>ME</v>
      </c>
      <c r="AG29" s="56">
        <v>22</v>
      </c>
      <c r="AH29" s="210">
        <v>46382.85</v>
      </c>
      <c r="AI29" s="211">
        <f t="shared" si="17"/>
        <v>5.9700000000011642</v>
      </c>
      <c r="AJ29" s="210">
        <v>48515.56</v>
      </c>
      <c r="AK29" s="211">
        <f t="shared" si="18"/>
        <v>14.850000000005821</v>
      </c>
      <c r="AL29" s="210">
        <v>586.09</v>
      </c>
      <c r="AM29" s="211" t="str">
        <f t="shared" si="19"/>
        <v/>
      </c>
      <c r="AN29" s="210">
        <v>547.38</v>
      </c>
      <c r="AO29" s="211" t="str">
        <f t="shared" si="3"/>
        <v/>
      </c>
      <c r="AP29" s="125" t="str">
        <f t="shared" si="20"/>
        <v>ME</v>
      </c>
      <c r="AQ29" s="56">
        <v>22</v>
      </c>
      <c r="AR29" s="210">
        <v>6693.86</v>
      </c>
      <c r="AS29" s="211">
        <f t="shared" si="21"/>
        <v>1.2400000000006912</v>
      </c>
      <c r="AT29" s="210">
        <v>7405.74</v>
      </c>
      <c r="AU29" s="211">
        <f t="shared" si="22"/>
        <v>1.2899999999999636</v>
      </c>
      <c r="AV29" s="210">
        <v>253.25</v>
      </c>
      <c r="AW29" s="211" t="str">
        <f t="shared" si="23"/>
        <v/>
      </c>
      <c r="AX29" s="210">
        <v>240.68</v>
      </c>
      <c r="AY29" s="211" t="str">
        <f t="shared" si="4"/>
        <v/>
      </c>
      <c r="AZ29" s="125" t="str">
        <f t="shared" si="24"/>
        <v>ME</v>
      </c>
      <c r="BA29" s="56">
        <v>22</v>
      </c>
      <c r="BB29" s="64">
        <v>0.91600000000000004</v>
      </c>
      <c r="BC29" s="62">
        <v>21</v>
      </c>
      <c r="BD29" s="61">
        <v>6.8</v>
      </c>
      <c r="BE29" s="61">
        <v>3.6</v>
      </c>
      <c r="BF29" s="61">
        <v>16.2</v>
      </c>
      <c r="BG29" s="61">
        <v>6.8</v>
      </c>
      <c r="BH29" s="64">
        <v>0.24199999999999999</v>
      </c>
      <c r="BI29" s="64">
        <v>0.23100000000000001</v>
      </c>
      <c r="BJ29" s="64">
        <v>4.8000000000000001E-2</v>
      </c>
      <c r="BK29" s="64">
        <v>5.3999999999999999E-2</v>
      </c>
      <c r="BL29" s="64">
        <v>5.1999999999999998E-2</v>
      </c>
      <c r="BM29" s="64">
        <v>0.06</v>
      </c>
      <c r="BN29" s="65" t="str">
        <f t="shared" si="25"/>
        <v>ME</v>
      </c>
      <c r="BO29" s="56">
        <v>22</v>
      </c>
      <c r="BP29" s="64">
        <v>0.08</v>
      </c>
      <c r="BQ29" s="62">
        <v>0</v>
      </c>
      <c r="BR29" s="61">
        <v>7.1</v>
      </c>
      <c r="BS29" s="61">
        <v>8.5</v>
      </c>
      <c r="BT29" s="61">
        <v>18.8</v>
      </c>
      <c r="BU29" s="64">
        <v>1.2E-2</v>
      </c>
      <c r="BV29" s="63">
        <v>1.02</v>
      </c>
      <c r="BW29" s="63">
        <v>0.76</v>
      </c>
      <c r="BX29" s="66" t="s">
        <v>255</v>
      </c>
      <c r="BY29" s="172" t="s">
        <v>246</v>
      </c>
      <c r="BZ29" s="67" t="str">
        <f t="shared" si="26"/>
        <v>ME</v>
      </c>
      <c r="CA29" s="56">
        <v>22</v>
      </c>
      <c r="CB29" s="61">
        <v>90.5</v>
      </c>
      <c r="CC29" s="61"/>
      <c r="CD29" s="68">
        <f t="shared" si="27"/>
        <v>1.0999999999999943</v>
      </c>
      <c r="CE29" s="69">
        <f t="shared" si="28"/>
        <v>5.1196914999999734</v>
      </c>
      <c r="CF29" s="69">
        <f t="shared" si="29"/>
        <v>5.6885461111110818</v>
      </c>
      <c r="CG29" s="62">
        <v>73</v>
      </c>
      <c r="CH29" s="62">
        <v>100</v>
      </c>
      <c r="CI29" s="65" t="str">
        <f t="shared" si="30"/>
        <v>ME</v>
      </c>
      <c r="CJ29" s="56">
        <v>22</v>
      </c>
      <c r="CK29" s="61">
        <v>96</v>
      </c>
      <c r="CL29" s="61"/>
      <c r="CM29" s="68">
        <f t="shared" si="31"/>
        <v>1.7999999999999972</v>
      </c>
      <c r="CN29" s="68">
        <f t="shared" si="32"/>
        <v>8.3776769999999878</v>
      </c>
      <c r="CO29" s="68">
        <f t="shared" si="33"/>
        <v>25.430406557633553</v>
      </c>
      <c r="CP29" s="62">
        <v>54</v>
      </c>
      <c r="CQ29" s="62">
        <v>83</v>
      </c>
      <c r="CR29" s="65" t="str">
        <f t="shared" si="34"/>
        <v>ME</v>
      </c>
      <c r="CS29" s="56">
        <v>22</v>
      </c>
      <c r="CT29" s="61">
        <v>102.7</v>
      </c>
      <c r="CU29" s="61"/>
      <c r="CV29" s="68">
        <f t="shared" si="35"/>
        <v>1.4000000000000057</v>
      </c>
      <c r="CW29" s="68">
        <f t="shared" si="36"/>
        <v>9.3019360000000386</v>
      </c>
      <c r="CX29" s="69">
        <f t="shared" si="37"/>
        <v>7.100714503816824E-2</v>
      </c>
      <c r="CY29" s="66" t="s">
        <v>251</v>
      </c>
      <c r="CZ29" s="66" t="s">
        <v>241</v>
      </c>
      <c r="DA29" s="66"/>
      <c r="DB29" s="65" t="str">
        <f t="shared" si="38"/>
        <v>ME</v>
      </c>
      <c r="DC29" s="56">
        <v>22</v>
      </c>
      <c r="DD29" s="61">
        <v>92.3</v>
      </c>
      <c r="DE29" s="61">
        <v>102.5</v>
      </c>
      <c r="DF29" s="68">
        <f t="shared" si="45"/>
        <v>11.700000000000003</v>
      </c>
      <c r="DG29" s="69">
        <f t="shared" si="5"/>
        <v>0.63122937696000014</v>
      </c>
      <c r="DH29" s="68">
        <f t="shared" si="6"/>
        <v>4.8185448622900777</v>
      </c>
      <c r="DI29" s="62">
        <v>92</v>
      </c>
      <c r="DJ29" s="62">
        <v>54</v>
      </c>
      <c r="DK29" s="65" t="str">
        <f t="shared" si="39"/>
        <v>ME</v>
      </c>
      <c r="DL29" s="56">
        <v>22</v>
      </c>
      <c r="DM29" s="63">
        <v>8.1999999999999993</v>
      </c>
      <c r="DN29" s="64">
        <v>2.4E-2</v>
      </c>
      <c r="DO29" s="64">
        <v>0.03</v>
      </c>
      <c r="DP29" s="64">
        <v>6.2E-2</v>
      </c>
      <c r="DQ29" s="63">
        <v>6.85</v>
      </c>
      <c r="DR29" s="61">
        <v>8.5</v>
      </c>
      <c r="DS29" s="64">
        <v>1.085</v>
      </c>
      <c r="DT29" s="61">
        <v>85.4</v>
      </c>
      <c r="DU29" s="63">
        <v>4.26</v>
      </c>
      <c r="DV29" s="64">
        <v>0.69299999999999995</v>
      </c>
      <c r="DW29" s="64">
        <v>1.05</v>
      </c>
      <c r="DX29" s="66" t="s">
        <v>247</v>
      </c>
      <c r="DY29" s="65" t="str">
        <f t="shared" si="40"/>
        <v>ME</v>
      </c>
      <c r="DZ29" s="128">
        <v>22</v>
      </c>
      <c r="EA29" s="173">
        <f t="shared" si="41"/>
        <v>8.7566844919786099E-2</v>
      </c>
      <c r="EB29" s="173">
        <f t="shared" si="42"/>
        <v>9.7058823529411767E-2</v>
      </c>
      <c r="EC29" s="173">
        <f t="shared" si="43"/>
        <v>0.82442748091603058</v>
      </c>
      <c r="ED29" s="63">
        <v>1.07</v>
      </c>
      <c r="EE29" s="63">
        <v>1.1100000000000001</v>
      </c>
      <c r="EF29" s="63">
        <v>0.05</v>
      </c>
      <c r="EG29" s="284">
        <v>0.52</v>
      </c>
      <c r="EH29" s="127" t="str">
        <f t="shared" si="7"/>
        <v>ME</v>
      </c>
      <c r="EI29" s="56">
        <v>22</v>
      </c>
      <c r="EJ29" s="334"/>
      <c r="EK29" s="334"/>
      <c r="EL29" s="334"/>
      <c r="EM29" s="334"/>
      <c r="EN29" s="334"/>
      <c r="EO29" s="334"/>
      <c r="EP29" s="334"/>
      <c r="EQ29" s="65" t="str">
        <f t="shared" si="44"/>
        <v>ME</v>
      </c>
      <c r="ER29" s="20"/>
      <c r="ES29" s="20"/>
      <c r="ET29" s="20"/>
      <c r="EU29" s="20"/>
      <c r="EV29" s="20"/>
      <c r="EW29" s="20"/>
      <c r="EX29" s="20"/>
    </row>
    <row r="30" spans="1:154" s="3" customFormat="1" ht="17.149999999999999" customHeight="1" x14ac:dyDescent="0.35">
      <c r="A30" s="56">
        <v>23</v>
      </c>
      <c r="B30" s="212">
        <v>880899</v>
      </c>
      <c r="C30" s="213">
        <f t="shared" si="8"/>
        <v>152</v>
      </c>
      <c r="D30" s="217">
        <v>9.42</v>
      </c>
      <c r="E30" s="214">
        <v>785128</v>
      </c>
      <c r="F30" s="213">
        <f t="shared" si="9"/>
        <v>155</v>
      </c>
      <c r="G30" s="216">
        <v>0.49</v>
      </c>
      <c r="H30" s="212">
        <v>744971</v>
      </c>
      <c r="I30" s="213">
        <f t="shared" si="0"/>
        <v>87</v>
      </c>
      <c r="J30" s="60" t="s">
        <v>194</v>
      </c>
      <c r="K30" s="56">
        <v>23</v>
      </c>
      <c r="L30" s="212">
        <v>69008</v>
      </c>
      <c r="M30" s="213">
        <f t="shared" si="10"/>
        <v>49</v>
      </c>
      <c r="N30" s="214">
        <v>174784</v>
      </c>
      <c r="O30" s="213">
        <f t="shared" si="11"/>
        <v>63</v>
      </c>
      <c r="P30" s="212">
        <v>194749</v>
      </c>
      <c r="Q30" s="215" t="str">
        <f t="shared" si="1"/>
        <v/>
      </c>
      <c r="R30" s="57">
        <v>669</v>
      </c>
      <c r="S30" s="57">
        <v>676</v>
      </c>
      <c r="T30" s="57">
        <v>139</v>
      </c>
      <c r="U30" s="57">
        <v>137</v>
      </c>
      <c r="V30" s="58" t="str">
        <f t="shared" si="12"/>
        <v>ME</v>
      </c>
      <c r="W30" s="56">
        <v>23</v>
      </c>
      <c r="X30" s="210">
        <v>11613.68</v>
      </c>
      <c r="Y30" s="211">
        <f t="shared" si="13"/>
        <v>2.3400000000001455</v>
      </c>
      <c r="Z30" s="210">
        <v>12390.82</v>
      </c>
      <c r="AA30" s="211">
        <f t="shared" si="14"/>
        <v>2.319999999999709</v>
      </c>
      <c r="AB30" s="210">
        <v>9786.2800000000007</v>
      </c>
      <c r="AC30" s="211">
        <f t="shared" si="15"/>
        <v>1.819999999999709</v>
      </c>
      <c r="AD30" s="210">
        <v>9875.23</v>
      </c>
      <c r="AE30" s="211">
        <f t="shared" si="2"/>
        <v>0.5</v>
      </c>
      <c r="AF30" s="125" t="str">
        <f t="shared" si="16"/>
        <v>ME</v>
      </c>
      <c r="AG30" s="56">
        <v>23</v>
      </c>
      <c r="AH30" s="210">
        <v>46388.82</v>
      </c>
      <c r="AI30" s="211">
        <f t="shared" si="17"/>
        <v>18.029999999998836</v>
      </c>
      <c r="AJ30" s="210">
        <v>48530.41</v>
      </c>
      <c r="AK30" s="211">
        <f t="shared" si="18"/>
        <v>6.2199999999938882</v>
      </c>
      <c r="AL30" s="210">
        <v>586.09</v>
      </c>
      <c r="AM30" s="211" t="str">
        <f t="shared" si="19"/>
        <v/>
      </c>
      <c r="AN30" s="210">
        <v>547.38</v>
      </c>
      <c r="AO30" s="211" t="str">
        <f t="shared" si="3"/>
        <v/>
      </c>
      <c r="AP30" s="125" t="str">
        <f t="shared" si="20"/>
        <v>ME</v>
      </c>
      <c r="AQ30" s="56">
        <v>23</v>
      </c>
      <c r="AR30" s="210">
        <v>6695.1</v>
      </c>
      <c r="AS30" s="211">
        <f t="shared" si="21"/>
        <v>1.9699999999993452</v>
      </c>
      <c r="AT30" s="210">
        <v>7407.03</v>
      </c>
      <c r="AU30" s="211">
        <f t="shared" si="22"/>
        <v>2.6999999999998181</v>
      </c>
      <c r="AV30" s="210">
        <v>253.25</v>
      </c>
      <c r="AW30" s="211" t="str">
        <f t="shared" si="23"/>
        <v/>
      </c>
      <c r="AX30" s="210">
        <v>240.68</v>
      </c>
      <c r="AY30" s="211">
        <f t="shared" si="4"/>
        <v>0.34000000000000341</v>
      </c>
      <c r="AZ30" s="125" t="str">
        <f t="shared" si="24"/>
        <v>ME</v>
      </c>
      <c r="BA30" s="56">
        <v>23</v>
      </c>
      <c r="BB30" s="64"/>
      <c r="BC30" s="62"/>
      <c r="BD30" s="61"/>
      <c r="BE30" s="61"/>
      <c r="BF30" s="61"/>
      <c r="BG30" s="61"/>
      <c r="BH30" s="64"/>
      <c r="BI30" s="64"/>
      <c r="BJ30" s="64"/>
      <c r="BK30" s="64"/>
      <c r="BL30" s="64"/>
      <c r="BM30" s="64"/>
      <c r="BN30" s="65" t="str">
        <f t="shared" si="25"/>
        <v>ME</v>
      </c>
      <c r="BO30" s="56">
        <v>23</v>
      </c>
      <c r="BP30" s="64" t="s">
        <v>341</v>
      </c>
      <c r="BQ30" s="62"/>
      <c r="BR30" s="61"/>
      <c r="BS30" s="61"/>
      <c r="BT30" s="61"/>
      <c r="BU30" s="64"/>
      <c r="BV30" s="63">
        <v>1.0900000000000001</v>
      </c>
      <c r="BW30" s="63">
        <v>0.79</v>
      </c>
      <c r="BX30" s="66" t="s">
        <v>342</v>
      </c>
      <c r="BY30" s="172" t="s">
        <v>246</v>
      </c>
      <c r="BZ30" s="67" t="str">
        <f t="shared" si="26"/>
        <v>ME</v>
      </c>
      <c r="CA30" s="56">
        <v>23</v>
      </c>
      <c r="CB30" s="61">
        <v>89.4</v>
      </c>
      <c r="CC30" s="61"/>
      <c r="CD30" s="68">
        <f t="shared" si="27"/>
        <v>0.90000000000000568</v>
      </c>
      <c r="CE30" s="69">
        <f t="shared" si="28"/>
        <v>4.1888385000000268</v>
      </c>
      <c r="CF30" s="69">
        <f t="shared" si="29"/>
        <v>5.7777082758621061</v>
      </c>
      <c r="CG30" s="62">
        <v>73</v>
      </c>
      <c r="CH30" s="62">
        <v>100</v>
      </c>
      <c r="CI30" s="65" t="str">
        <f t="shared" si="30"/>
        <v>ME</v>
      </c>
      <c r="CJ30" s="56">
        <v>23</v>
      </c>
      <c r="CK30" s="61">
        <v>94.2</v>
      </c>
      <c r="CL30" s="61"/>
      <c r="CM30" s="68">
        <f t="shared" si="31"/>
        <v>2</v>
      </c>
      <c r="CN30" s="68">
        <f t="shared" si="32"/>
        <v>9.3085300000000011</v>
      </c>
      <c r="CO30" s="68">
        <f t="shared" si="33"/>
        <v>24.352216805921056</v>
      </c>
      <c r="CP30" s="62">
        <v>53</v>
      </c>
      <c r="CQ30" s="62">
        <v>83</v>
      </c>
      <c r="CR30" s="65" t="str">
        <f t="shared" si="34"/>
        <v>ME</v>
      </c>
      <c r="CS30" s="56">
        <v>23</v>
      </c>
      <c r="CT30" s="61">
        <v>101.3</v>
      </c>
      <c r="CU30" s="61">
        <v>97.2</v>
      </c>
      <c r="CV30" s="68">
        <f t="shared" si="35"/>
        <v>1.4000000000000057</v>
      </c>
      <c r="CW30" s="68">
        <f t="shared" si="36"/>
        <v>9.3019360000000386</v>
      </c>
      <c r="CX30" s="69">
        <f t="shared" si="37"/>
        <v>6.1196947368421309E-2</v>
      </c>
      <c r="CY30" s="66" t="s">
        <v>240</v>
      </c>
      <c r="CZ30" s="66" t="s">
        <v>241</v>
      </c>
      <c r="DA30" s="66" t="s">
        <v>242</v>
      </c>
      <c r="DB30" s="65" t="str">
        <f t="shared" si="38"/>
        <v>ME</v>
      </c>
      <c r="DC30" s="56">
        <v>23</v>
      </c>
      <c r="DD30" s="61">
        <v>90.8</v>
      </c>
      <c r="DE30" s="61">
        <v>101.6</v>
      </c>
      <c r="DF30" s="68">
        <f t="shared" si="45"/>
        <v>12.5</v>
      </c>
      <c r="DG30" s="69">
        <f t="shared" si="5"/>
        <v>0.67439035999999997</v>
      </c>
      <c r="DH30" s="68">
        <f t="shared" si="6"/>
        <v>4.4367786842105259</v>
      </c>
      <c r="DI30" s="62">
        <v>90</v>
      </c>
      <c r="DJ30" s="62">
        <v>54</v>
      </c>
      <c r="DK30" s="65" t="str">
        <f t="shared" si="39"/>
        <v>ME</v>
      </c>
      <c r="DL30" s="56">
        <v>23</v>
      </c>
      <c r="DM30" s="63">
        <v>8.18</v>
      </c>
      <c r="DN30" s="64">
        <v>2.4E-2</v>
      </c>
      <c r="DO30" s="64">
        <v>2.9000000000000001E-2</v>
      </c>
      <c r="DP30" s="64">
        <v>6.0999999999999999E-2</v>
      </c>
      <c r="DQ30" s="63">
        <v>6.85</v>
      </c>
      <c r="DR30" s="61">
        <v>8.6</v>
      </c>
      <c r="DS30" s="64">
        <v>1.103</v>
      </c>
      <c r="DT30" s="61">
        <v>83.6</v>
      </c>
      <c r="DU30" s="63">
        <v>4.3</v>
      </c>
      <c r="DV30" s="64">
        <v>0.68400000000000005</v>
      </c>
      <c r="DW30" s="64">
        <v>0.86199999999999999</v>
      </c>
      <c r="DX30" s="66" t="s">
        <v>242</v>
      </c>
      <c r="DY30" s="65" t="str">
        <f t="shared" si="40"/>
        <v>ME</v>
      </c>
      <c r="DZ30" s="128">
        <v>23</v>
      </c>
      <c r="EA30" s="173">
        <f t="shared" si="41"/>
        <v>0.10160427807486631</v>
      </c>
      <c r="EB30" s="173">
        <f t="shared" si="42"/>
        <v>0.11397058823529412</v>
      </c>
      <c r="EC30" s="173">
        <f t="shared" si="43"/>
        <v>0.57236842105263153</v>
      </c>
      <c r="ED30" s="63">
        <v>1.0900000000000001</v>
      </c>
      <c r="EE30" s="63">
        <v>1.1399999999999999</v>
      </c>
      <c r="EF30" s="63">
        <v>7.0000000000000007E-2</v>
      </c>
      <c r="EG30" s="284">
        <v>0.31</v>
      </c>
      <c r="EH30" s="127" t="str">
        <f t="shared" si="7"/>
        <v>ME</v>
      </c>
      <c r="EI30" s="56">
        <v>23</v>
      </c>
      <c r="EJ30" s="334"/>
      <c r="EK30" s="334"/>
      <c r="EL30" s="334"/>
      <c r="EM30" s="334"/>
      <c r="EN30" s="334"/>
      <c r="EO30" s="334"/>
      <c r="EP30" s="334"/>
      <c r="EQ30" s="65" t="str">
        <f t="shared" si="44"/>
        <v>ME</v>
      </c>
      <c r="ER30" s="20"/>
      <c r="ES30" s="20"/>
      <c r="ET30" s="20"/>
      <c r="EU30" s="20"/>
      <c r="EV30" s="20"/>
      <c r="EW30" s="20"/>
      <c r="EX30" s="20"/>
    </row>
    <row r="31" spans="1:154" s="3" customFormat="1" ht="17.149999999999999" customHeight="1" x14ac:dyDescent="0.35">
      <c r="A31" s="56">
        <v>24</v>
      </c>
      <c r="B31" s="212">
        <v>881051</v>
      </c>
      <c r="C31" s="213">
        <f t="shared" si="8"/>
        <v>157</v>
      </c>
      <c r="D31" s="217">
        <v>9.51</v>
      </c>
      <c r="E31" s="214">
        <v>785283</v>
      </c>
      <c r="F31" s="213">
        <f t="shared" si="9"/>
        <v>205</v>
      </c>
      <c r="G31" s="216">
        <v>0.74</v>
      </c>
      <c r="H31" s="212">
        <v>745058</v>
      </c>
      <c r="I31" s="213">
        <f t="shared" si="0"/>
        <v>136</v>
      </c>
      <c r="J31" s="60" t="s">
        <v>194</v>
      </c>
      <c r="K31" s="56">
        <v>24</v>
      </c>
      <c r="L31" s="212">
        <v>69057</v>
      </c>
      <c r="M31" s="213" t="str">
        <f t="shared" si="10"/>
        <v/>
      </c>
      <c r="N31" s="214">
        <v>174847</v>
      </c>
      <c r="O31" s="213">
        <f t="shared" si="11"/>
        <v>39</v>
      </c>
      <c r="P31" s="212">
        <v>194749</v>
      </c>
      <c r="Q31" s="215" t="str">
        <f t="shared" si="1"/>
        <v/>
      </c>
      <c r="R31" s="57">
        <v>669</v>
      </c>
      <c r="S31" s="57">
        <v>677</v>
      </c>
      <c r="T31" s="57">
        <v>139</v>
      </c>
      <c r="U31" s="57">
        <v>137</v>
      </c>
      <c r="V31" s="58" t="str">
        <f t="shared" si="12"/>
        <v>ME</v>
      </c>
      <c r="W31" s="56">
        <v>24</v>
      </c>
      <c r="X31" s="210">
        <v>11616.02</v>
      </c>
      <c r="Y31" s="211">
        <f t="shared" si="13"/>
        <v>2.2999999999992724</v>
      </c>
      <c r="Z31" s="210">
        <v>12393.14</v>
      </c>
      <c r="AA31" s="211">
        <f t="shared" si="14"/>
        <v>2.3500000000003638</v>
      </c>
      <c r="AB31" s="210">
        <v>9788.1</v>
      </c>
      <c r="AC31" s="211">
        <f t="shared" si="15"/>
        <v>1.8400000000001455</v>
      </c>
      <c r="AD31" s="210">
        <v>9875.73</v>
      </c>
      <c r="AE31" s="211">
        <f t="shared" si="2"/>
        <v>1.7700000000004366</v>
      </c>
      <c r="AF31" s="125" t="str">
        <f t="shared" si="16"/>
        <v>ME</v>
      </c>
      <c r="AG31" s="56">
        <v>24</v>
      </c>
      <c r="AH31" s="210">
        <v>46406.85</v>
      </c>
      <c r="AI31" s="211">
        <f t="shared" si="17"/>
        <v>11.520000000004075</v>
      </c>
      <c r="AJ31" s="210">
        <v>48536.63</v>
      </c>
      <c r="AK31" s="211">
        <f t="shared" si="18"/>
        <v>17.780000000006112</v>
      </c>
      <c r="AL31" s="210">
        <v>586.09</v>
      </c>
      <c r="AM31" s="211" t="str">
        <f t="shared" si="19"/>
        <v/>
      </c>
      <c r="AN31" s="210">
        <v>547.38</v>
      </c>
      <c r="AO31" s="211" t="str">
        <f t="shared" si="3"/>
        <v/>
      </c>
      <c r="AP31" s="125" t="str">
        <f t="shared" si="20"/>
        <v>ME</v>
      </c>
      <c r="AQ31" s="56">
        <v>24</v>
      </c>
      <c r="AR31" s="210">
        <v>6697.07</v>
      </c>
      <c r="AS31" s="211">
        <f t="shared" si="21"/>
        <v>1.3699999999998909</v>
      </c>
      <c r="AT31" s="210">
        <v>7409.73</v>
      </c>
      <c r="AU31" s="211">
        <f t="shared" si="22"/>
        <v>2.2600000000002183</v>
      </c>
      <c r="AV31" s="210">
        <v>253.25</v>
      </c>
      <c r="AW31" s="211" t="str">
        <f t="shared" si="23"/>
        <v/>
      </c>
      <c r="AX31" s="210">
        <v>241.02</v>
      </c>
      <c r="AY31" s="211" t="str">
        <f t="shared" si="4"/>
        <v/>
      </c>
      <c r="AZ31" s="125" t="str">
        <f t="shared" si="24"/>
        <v>ME</v>
      </c>
      <c r="BA31" s="56">
        <v>24</v>
      </c>
      <c r="BB31" s="64"/>
      <c r="BC31" s="62"/>
      <c r="BD31" s="61"/>
      <c r="BE31" s="289"/>
      <c r="BF31" s="289"/>
      <c r="BG31" s="61"/>
      <c r="BH31" s="64"/>
      <c r="BI31" s="64"/>
      <c r="BJ31" s="64"/>
      <c r="BK31" s="64"/>
      <c r="BL31" s="64"/>
      <c r="BM31" s="64"/>
      <c r="BN31" s="65" t="str">
        <f t="shared" si="25"/>
        <v>ME</v>
      </c>
      <c r="BO31" s="56">
        <v>24</v>
      </c>
      <c r="BP31" s="64">
        <v>8.1000000000000003E-2</v>
      </c>
      <c r="BQ31" s="62"/>
      <c r="BR31" s="61"/>
      <c r="BS31" s="61"/>
      <c r="BT31" s="61"/>
      <c r="BU31" s="64"/>
      <c r="BV31" s="63">
        <v>1.05</v>
      </c>
      <c r="BW31" s="63">
        <v>0.88</v>
      </c>
      <c r="BX31" s="66" t="s">
        <v>343</v>
      </c>
      <c r="BY31" s="172" t="s">
        <v>246</v>
      </c>
      <c r="BZ31" s="67" t="str">
        <f t="shared" si="26"/>
        <v>ME</v>
      </c>
      <c r="CA31" s="56">
        <v>24</v>
      </c>
      <c r="CB31" s="61">
        <v>88.5</v>
      </c>
      <c r="CC31" s="61"/>
      <c r="CD31" s="68">
        <f t="shared" si="27"/>
        <v>1.2000000000000028</v>
      </c>
      <c r="CE31" s="69">
        <f t="shared" si="28"/>
        <v>5.5851180000000138</v>
      </c>
      <c r="CF31" s="69">
        <f t="shared" si="29"/>
        <v>4.9280452941176591</v>
      </c>
      <c r="CG31" s="62">
        <v>73</v>
      </c>
      <c r="CH31" s="62">
        <v>100</v>
      </c>
      <c r="CI31" s="65" t="str">
        <f t="shared" si="30"/>
        <v>ME</v>
      </c>
      <c r="CJ31" s="56">
        <v>24</v>
      </c>
      <c r="CK31" s="61">
        <v>92.2</v>
      </c>
      <c r="CL31" s="61"/>
      <c r="CM31" s="68">
        <f t="shared" si="31"/>
        <v>1.9000000000000057</v>
      </c>
      <c r="CN31" s="68">
        <f t="shared" si="32"/>
        <v>8.8431035000000264</v>
      </c>
      <c r="CO31" s="68">
        <f t="shared" si="33"/>
        <v>22.397835075000071</v>
      </c>
      <c r="CP31" s="62">
        <v>53</v>
      </c>
      <c r="CQ31" s="62">
        <v>83</v>
      </c>
      <c r="CR31" s="65" t="str">
        <f t="shared" si="34"/>
        <v>ME</v>
      </c>
      <c r="CS31" s="56">
        <v>24</v>
      </c>
      <c r="CT31" s="61">
        <v>95.8</v>
      </c>
      <c r="CU31" s="61"/>
      <c r="CV31" s="68">
        <f t="shared" si="35"/>
        <v>1.5999999999999943</v>
      </c>
      <c r="CW31" s="68">
        <f t="shared" si="36"/>
        <v>10.630783999999961</v>
      </c>
      <c r="CX31" s="69">
        <f t="shared" si="37"/>
        <v>6.7711999999999758E-2</v>
      </c>
      <c r="CY31" s="66" t="s">
        <v>240</v>
      </c>
      <c r="CZ31" s="66" t="s">
        <v>241</v>
      </c>
      <c r="DA31" s="66"/>
      <c r="DB31" s="65" t="str">
        <f t="shared" si="38"/>
        <v>ME</v>
      </c>
      <c r="DC31" s="56">
        <v>24</v>
      </c>
      <c r="DD31" s="61">
        <v>89.1</v>
      </c>
      <c r="DE31" s="61">
        <v>103</v>
      </c>
      <c r="DF31" s="68">
        <f t="shared" si="45"/>
        <v>13.099999999999994</v>
      </c>
      <c r="DG31" s="69">
        <f t="shared" si="5"/>
        <v>0.70676109727999969</v>
      </c>
      <c r="DH31" s="68">
        <f t="shared" si="6"/>
        <v>4.5016630399999986</v>
      </c>
      <c r="DI31" s="62">
        <v>90</v>
      </c>
      <c r="DJ31" s="62">
        <v>54</v>
      </c>
      <c r="DK31" s="65" t="str">
        <f t="shared" si="39"/>
        <v>ME</v>
      </c>
      <c r="DL31" s="56">
        <v>24</v>
      </c>
      <c r="DM31" s="63">
        <v>8.2200000000000006</v>
      </c>
      <c r="DN31" s="64">
        <v>2.5000000000000001E-2</v>
      </c>
      <c r="DO31" s="64">
        <v>3.3000000000000002E-2</v>
      </c>
      <c r="DP31" s="64">
        <v>6.4000000000000001E-2</v>
      </c>
      <c r="DQ31" s="63">
        <v>6.87</v>
      </c>
      <c r="DR31" s="61">
        <v>8.6999999999999993</v>
      </c>
      <c r="DS31" s="64">
        <v>1.137</v>
      </c>
      <c r="DT31" s="61">
        <v>84.3</v>
      </c>
      <c r="DU31" s="63">
        <v>4.2</v>
      </c>
      <c r="DV31" s="64">
        <v>1.028</v>
      </c>
      <c r="DW31" s="64">
        <v>1.06</v>
      </c>
      <c r="DX31" s="66" t="s">
        <v>242</v>
      </c>
      <c r="DY31" s="65" t="str">
        <f t="shared" si="40"/>
        <v>ME</v>
      </c>
      <c r="DZ31" s="128">
        <v>24</v>
      </c>
      <c r="EA31" s="173">
        <f t="shared" si="41"/>
        <v>0.10494652406417113</v>
      </c>
      <c r="EB31" s="173">
        <f t="shared" si="42"/>
        <v>0.15073529411764705</v>
      </c>
      <c r="EC31" s="173">
        <f t="shared" si="43"/>
        <v>0.86624203821656054</v>
      </c>
      <c r="ED31" s="63">
        <v>1.1100000000000001</v>
      </c>
      <c r="EE31" s="63">
        <v>1.19</v>
      </c>
      <c r="EF31" s="63">
        <v>0.05</v>
      </c>
      <c r="EG31" s="63">
        <v>0.27</v>
      </c>
      <c r="EH31" s="127" t="str">
        <f t="shared" si="7"/>
        <v>ME</v>
      </c>
      <c r="EI31" s="56">
        <v>24</v>
      </c>
      <c r="EJ31" s="334"/>
      <c r="EK31" s="334"/>
      <c r="EL31" s="334"/>
      <c r="EM31" s="334"/>
      <c r="EN31" s="334"/>
      <c r="EO31" s="334"/>
      <c r="EP31" s="334"/>
      <c r="EQ31" s="65" t="str">
        <f t="shared" si="44"/>
        <v>ME</v>
      </c>
      <c r="ER31" s="20"/>
      <c r="ES31" s="20"/>
      <c r="ET31" s="20"/>
      <c r="EU31" s="20"/>
      <c r="EV31" s="20"/>
      <c r="EW31" s="20"/>
      <c r="EX31" s="20"/>
    </row>
    <row r="32" spans="1:154" s="3" customFormat="1" ht="17.149999999999999" customHeight="1" x14ac:dyDescent="0.35">
      <c r="A32" s="56">
        <v>25</v>
      </c>
      <c r="B32" s="212">
        <v>881208</v>
      </c>
      <c r="C32" s="213">
        <f t="shared" si="8"/>
        <v>175</v>
      </c>
      <c r="D32" s="217">
        <v>9.36</v>
      </c>
      <c r="E32" s="214">
        <v>785488</v>
      </c>
      <c r="F32" s="213">
        <f t="shared" si="9"/>
        <v>161</v>
      </c>
      <c r="G32" s="216">
        <v>1</v>
      </c>
      <c r="H32" s="212">
        <v>745194</v>
      </c>
      <c r="I32" s="213">
        <f t="shared" si="0"/>
        <v>141</v>
      </c>
      <c r="J32" s="60" t="s">
        <v>194</v>
      </c>
      <c r="K32" s="56">
        <v>25</v>
      </c>
      <c r="L32" s="212">
        <v>69057</v>
      </c>
      <c r="M32" s="213">
        <f t="shared" si="10"/>
        <v>8</v>
      </c>
      <c r="N32" s="214">
        <v>174886</v>
      </c>
      <c r="O32" s="213">
        <f t="shared" si="11"/>
        <v>38</v>
      </c>
      <c r="P32" s="212">
        <v>194749</v>
      </c>
      <c r="Q32" s="215" t="str">
        <f t="shared" si="1"/>
        <v/>
      </c>
      <c r="R32" s="57">
        <v>669</v>
      </c>
      <c r="S32" s="57">
        <v>677</v>
      </c>
      <c r="T32" s="57">
        <v>139</v>
      </c>
      <c r="U32" s="57">
        <v>137</v>
      </c>
      <c r="V32" s="58" t="str">
        <f t="shared" si="12"/>
        <v>ME</v>
      </c>
      <c r="W32" s="56">
        <v>25</v>
      </c>
      <c r="X32" s="210">
        <v>11618.32</v>
      </c>
      <c r="Y32" s="211">
        <f t="shared" si="13"/>
        <v>3.2000000000007276</v>
      </c>
      <c r="Z32" s="210">
        <v>12395.49</v>
      </c>
      <c r="AA32" s="211">
        <f t="shared" si="14"/>
        <v>1.9400000000005093</v>
      </c>
      <c r="AB32" s="210">
        <v>9789.94</v>
      </c>
      <c r="AC32" s="211">
        <f t="shared" si="15"/>
        <v>1.9799999999995634</v>
      </c>
      <c r="AD32" s="210">
        <v>9877.5</v>
      </c>
      <c r="AE32" s="211">
        <f t="shared" si="2"/>
        <v>1.9099999999998545</v>
      </c>
      <c r="AF32" s="125" t="str">
        <f t="shared" si="16"/>
        <v>ME</v>
      </c>
      <c r="AG32" s="56">
        <v>25</v>
      </c>
      <c r="AH32" s="210">
        <v>46418.37</v>
      </c>
      <c r="AI32" s="211">
        <f t="shared" si="17"/>
        <v>12.489999999997963</v>
      </c>
      <c r="AJ32" s="210">
        <v>48554.41</v>
      </c>
      <c r="AK32" s="211">
        <f t="shared" si="18"/>
        <v>13.589999999996508</v>
      </c>
      <c r="AL32" s="210">
        <v>586.09</v>
      </c>
      <c r="AM32" s="211" t="str">
        <f t="shared" si="19"/>
        <v/>
      </c>
      <c r="AN32" s="210">
        <v>547.38</v>
      </c>
      <c r="AO32" s="211" t="str">
        <f t="shared" si="3"/>
        <v/>
      </c>
      <c r="AP32" s="125" t="str">
        <f t="shared" si="20"/>
        <v>ME</v>
      </c>
      <c r="AQ32" s="56">
        <v>25</v>
      </c>
      <c r="AR32" s="210">
        <v>6698.44</v>
      </c>
      <c r="AS32" s="211">
        <f t="shared" si="21"/>
        <v>1.4800000000004729</v>
      </c>
      <c r="AT32" s="210">
        <v>7411.99</v>
      </c>
      <c r="AU32" s="211">
        <f t="shared" si="22"/>
        <v>2.4700000000002547</v>
      </c>
      <c r="AV32" s="210">
        <v>253.25</v>
      </c>
      <c r="AW32" s="211">
        <f t="shared" si="23"/>
        <v>9.0000000000003411E-2</v>
      </c>
      <c r="AX32" s="210">
        <v>241.02</v>
      </c>
      <c r="AY32" s="211" t="str">
        <f t="shared" si="4"/>
        <v/>
      </c>
      <c r="AZ32" s="125" t="str">
        <f t="shared" si="24"/>
        <v>ME</v>
      </c>
      <c r="BA32" s="56">
        <v>25</v>
      </c>
      <c r="BB32" s="64">
        <v>1.07</v>
      </c>
      <c r="BC32" s="62">
        <v>45</v>
      </c>
      <c r="BD32" s="287">
        <v>7.1</v>
      </c>
      <c r="BE32" s="291">
        <v>3.8</v>
      </c>
      <c r="BF32" s="292">
        <v>14.8</v>
      </c>
      <c r="BG32" s="288">
        <v>7.1</v>
      </c>
      <c r="BH32" s="64">
        <v>0.21199999999999999</v>
      </c>
      <c r="BI32" s="64">
        <v>0.19</v>
      </c>
      <c r="BJ32" s="64">
        <v>5.3999999999999999E-2</v>
      </c>
      <c r="BK32" s="64">
        <v>5.1999999999999998E-2</v>
      </c>
      <c r="BL32" s="64">
        <v>5.5E-2</v>
      </c>
      <c r="BM32" s="64">
        <v>5.6000000000000001E-2</v>
      </c>
      <c r="BN32" s="65" t="str">
        <f t="shared" si="25"/>
        <v>ME</v>
      </c>
      <c r="BO32" s="56">
        <v>25</v>
      </c>
      <c r="BP32" s="64">
        <v>8.4000000000000005E-2</v>
      </c>
      <c r="BQ32" s="62">
        <v>0</v>
      </c>
      <c r="BR32" s="61">
        <v>7.1</v>
      </c>
      <c r="BS32" s="61">
        <v>8.6</v>
      </c>
      <c r="BT32" s="61">
        <v>18.399999999999999</v>
      </c>
      <c r="BU32" s="64">
        <v>1.0999999999999999E-2</v>
      </c>
      <c r="BV32" s="63">
        <v>1.02</v>
      </c>
      <c r="BW32" s="63">
        <v>0.92</v>
      </c>
      <c r="BX32" s="66" t="s">
        <v>310</v>
      </c>
      <c r="BY32" s="172" t="s">
        <v>246</v>
      </c>
      <c r="BZ32" s="67" t="str">
        <f t="shared" si="26"/>
        <v>ME</v>
      </c>
      <c r="CA32" s="56">
        <v>25</v>
      </c>
      <c r="CB32" s="61">
        <v>87.3</v>
      </c>
      <c r="CC32" s="61">
        <v>97.1</v>
      </c>
      <c r="CD32" s="68">
        <f t="shared" si="27"/>
        <v>1.3999999999999915</v>
      </c>
      <c r="CE32" s="69">
        <f t="shared" si="28"/>
        <v>6.5159709999999604</v>
      </c>
      <c r="CF32" s="69">
        <f t="shared" si="29"/>
        <v>5.5455072340425193</v>
      </c>
      <c r="CG32" s="62">
        <v>74</v>
      </c>
      <c r="CH32" s="62">
        <v>100</v>
      </c>
      <c r="CI32" s="65" t="str">
        <f t="shared" si="30"/>
        <v>ME</v>
      </c>
      <c r="CJ32" s="56">
        <v>25</v>
      </c>
      <c r="CK32" s="61">
        <v>90.3</v>
      </c>
      <c r="CL32" s="61"/>
      <c r="CM32" s="68">
        <f t="shared" si="31"/>
        <v>2.2000000000000028</v>
      </c>
      <c r="CN32" s="68">
        <f t="shared" si="32"/>
        <v>10.239383000000014</v>
      </c>
      <c r="CO32" s="68">
        <f t="shared" si="33"/>
        <v>23.266803714000034</v>
      </c>
      <c r="CP32" s="62">
        <v>54</v>
      </c>
      <c r="CQ32" s="62">
        <v>83</v>
      </c>
      <c r="CR32" s="65" t="str">
        <f t="shared" si="34"/>
        <v>ME</v>
      </c>
      <c r="CS32" s="56">
        <v>25</v>
      </c>
      <c r="CT32" s="61">
        <v>94.2</v>
      </c>
      <c r="CU32" s="61"/>
      <c r="CV32" s="68">
        <f t="shared" si="35"/>
        <v>1.9000000000000057</v>
      </c>
      <c r="CW32" s="68">
        <f t="shared" si="36"/>
        <v>12.624056000000037</v>
      </c>
      <c r="CX32" s="69">
        <f t="shared" si="37"/>
        <v>7.2137462857143064E-2</v>
      </c>
      <c r="CY32" s="66" t="s">
        <v>240</v>
      </c>
      <c r="CZ32" s="66" t="s">
        <v>241</v>
      </c>
      <c r="DA32" s="66"/>
      <c r="DB32" s="65" t="str">
        <f t="shared" si="38"/>
        <v>ME</v>
      </c>
      <c r="DC32" s="56">
        <v>25</v>
      </c>
      <c r="DD32" s="61">
        <v>89.9</v>
      </c>
      <c r="DE32" s="61">
        <v>102.4</v>
      </c>
      <c r="DF32" s="68">
        <f t="shared" si="45"/>
        <v>15.100000000000009</v>
      </c>
      <c r="DG32" s="69">
        <f t="shared" si="5"/>
        <v>0.81466355488000042</v>
      </c>
      <c r="DH32" s="68">
        <f t="shared" si="6"/>
        <v>4.6552203136000028</v>
      </c>
      <c r="DI32" s="62">
        <v>90</v>
      </c>
      <c r="DJ32" s="62">
        <v>54</v>
      </c>
      <c r="DK32" s="65" t="str">
        <f t="shared" si="39"/>
        <v>ME</v>
      </c>
      <c r="DL32" s="56">
        <v>25</v>
      </c>
      <c r="DM32" s="63">
        <v>7</v>
      </c>
      <c r="DN32" s="64">
        <v>2.5000000000000001E-2</v>
      </c>
      <c r="DO32" s="64">
        <v>3.1E-2</v>
      </c>
      <c r="DP32" s="64">
        <v>6.2E-2</v>
      </c>
      <c r="DQ32" s="63">
        <v>6.86</v>
      </c>
      <c r="DR32" s="61">
        <v>8.6999999999999993</v>
      </c>
      <c r="DS32" s="64">
        <v>1.0329999999999999</v>
      </c>
      <c r="DT32" s="61">
        <v>84.5</v>
      </c>
      <c r="DU32" s="63">
        <v>4.13</v>
      </c>
      <c r="DV32" s="64">
        <v>0.71099999999999997</v>
      </c>
      <c r="DW32" s="64">
        <v>0.48699999999999999</v>
      </c>
      <c r="DX32" s="66" t="s">
        <v>247</v>
      </c>
      <c r="DY32" s="65" t="str">
        <f t="shared" si="40"/>
        <v>ME</v>
      </c>
      <c r="DZ32" s="128">
        <v>25</v>
      </c>
      <c r="EA32" s="173">
        <f t="shared" si="41"/>
        <v>0.11697860962566844</v>
      </c>
      <c r="EB32" s="173">
        <f t="shared" si="42"/>
        <v>0.11838235294117647</v>
      </c>
      <c r="EC32" s="173">
        <f t="shared" si="43"/>
        <v>0.80571428571428572</v>
      </c>
      <c r="ED32" s="63">
        <v>1.02</v>
      </c>
      <c r="EE32" s="63">
        <v>1.19</v>
      </c>
      <c r="EF32" s="63">
        <v>0.06</v>
      </c>
      <c r="EG32" s="284">
        <v>1.1599999999999999</v>
      </c>
      <c r="EH32" s="127" t="str">
        <f t="shared" si="7"/>
        <v>ME</v>
      </c>
      <c r="EI32" s="56">
        <v>25</v>
      </c>
      <c r="EJ32" s="334" t="s">
        <v>344</v>
      </c>
      <c r="EK32" s="334"/>
      <c r="EL32" s="334"/>
      <c r="EM32" s="334"/>
      <c r="EN32" s="334"/>
      <c r="EO32" s="334"/>
      <c r="EP32" s="334"/>
      <c r="EQ32" s="65" t="str">
        <f t="shared" si="44"/>
        <v>ME</v>
      </c>
      <c r="ER32" s="20"/>
      <c r="ES32" s="20"/>
      <c r="ET32" s="20"/>
      <c r="EU32" s="20"/>
      <c r="EV32" s="20"/>
      <c r="EW32" s="20"/>
      <c r="EX32" s="20"/>
    </row>
    <row r="33" spans="1:154" s="3" customFormat="1" ht="17.149999999999999" customHeight="1" x14ac:dyDescent="0.35">
      <c r="A33" s="56">
        <v>26</v>
      </c>
      <c r="B33" s="212">
        <v>881383</v>
      </c>
      <c r="C33" s="213">
        <f t="shared" si="8"/>
        <v>133</v>
      </c>
      <c r="D33" s="217">
        <v>9.7899999999999991</v>
      </c>
      <c r="E33" s="214">
        <v>785649</v>
      </c>
      <c r="F33" s="213">
        <f t="shared" si="9"/>
        <v>136</v>
      </c>
      <c r="G33" s="216">
        <v>0.93</v>
      </c>
      <c r="H33" s="212">
        <v>745335</v>
      </c>
      <c r="I33" s="213">
        <f t="shared" si="0"/>
        <v>113</v>
      </c>
      <c r="J33" s="60" t="s">
        <v>194</v>
      </c>
      <c r="K33" s="56">
        <v>26</v>
      </c>
      <c r="L33" s="212">
        <v>69065</v>
      </c>
      <c r="M33" s="213">
        <f t="shared" si="10"/>
        <v>6</v>
      </c>
      <c r="N33" s="214">
        <v>174924</v>
      </c>
      <c r="O33" s="213">
        <f t="shared" si="11"/>
        <v>25</v>
      </c>
      <c r="P33" s="212">
        <v>194749</v>
      </c>
      <c r="Q33" s="215" t="str">
        <f t="shared" si="1"/>
        <v/>
      </c>
      <c r="R33" s="57">
        <v>669</v>
      </c>
      <c r="S33" s="57">
        <v>677</v>
      </c>
      <c r="T33" s="57">
        <v>140</v>
      </c>
      <c r="U33" s="57">
        <v>137</v>
      </c>
      <c r="V33" s="58" t="str">
        <f t="shared" si="12"/>
        <v>ME</v>
      </c>
      <c r="W33" s="56">
        <v>26</v>
      </c>
      <c r="X33" s="210">
        <v>11621.52</v>
      </c>
      <c r="Y33" s="211">
        <f t="shared" si="13"/>
        <v>2.0399999999990541</v>
      </c>
      <c r="Z33" s="210">
        <v>12397.43</v>
      </c>
      <c r="AA33" s="211">
        <f t="shared" si="14"/>
        <v>1.930000000000291</v>
      </c>
      <c r="AB33" s="210">
        <v>9791.92</v>
      </c>
      <c r="AC33" s="211">
        <f t="shared" si="15"/>
        <v>1.4400000000005093</v>
      </c>
      <c r="AD33" s="210">
        <v>9879.41</v>
      </c>
      <c r="AE33" s="211">
        <f t="shared" si="2"/>
        <v>1.4500000000007276</v>
      </c>
      <c r="AF33" s="125" t="str">
        <f t="shared" si="16"/>
        <v>ME</v>
      </c>
      <c r="AG33" s="56">
        <v>26</v>
      </c>
      <c r="AH33" s="210">
        <v>46430.86</v>
      </c>
      <c r="AI33" s="211">
        <f t="shared" si="17"/>
        <v>11.440000000002328</v>
      </c>
      <c r="AJ33" s="210">
        <v>48568</v>
      </c>
      <c r="AK33" s="211">
        <f t="shared" si="18"/>
        <v>10.419999999998254</v>
      </c>
      <c r="AL33" s="210">
        <v>586.09</v>
      </c>
      <c r="AM33" s="211" t="str">
        <f t="shared" si="19"/>
        <v/>
      </c>
      <c r="AN33" s="210">
        <v>547.38</v>
      </c>
      <c r="AO33" s="211" t="str">
        <f t="shared" si="3"/>
        <v/>
      </c>
      <c r="AP33" s="125" t="str">
        <f t="shared" si="20"/>
        <v>ME</v>
      </c>
      <c r="AQ33" s="56">
        <v>26</v>
      </c>
      <c r="AR33" s="210">
        <v>6699.92</v>
      </c>
      <c r="AS33" s="211">
        <f t="shared" si="21"/>
        <v>0.97000000000025466</v>
      </c>
      <c r="AT33" s="210">
        <v>7414.46</v>
      </c>
      <c r="AU33" s="211">
        <f t="shared" si="22"/>
        <v>4.8800000000001091</v>
      </c>
      <c r="AV33" s="210">
        <v>253.34</v>
      </c>
      <c r="AW33" s="211" t="str">
        <f t="shared" si="23"/>
        <v/>
      </c>
      <c r="AX33" s="210">
        <v>241.02</v>
      </c>
      <c r="AY33" s="211" t="str">
        <f t="shared" si="4"/>
        <v/>
      </c>
      <c r="AZ33" s="125" t="str">
        <f t="shared" si="24"/>
        <v>ME</v>
      </c>
      <c r="BA33" s="56">
        <v>26</v>
      </c>
      <c r="BB33" s="64">
        <v>1.08</v>
      </c>
      <c r="BC33" s="62">
        <v>36</v>
      </c>
      <c r="BD33" s="287">
        <v>6.9</v>
      </c>
      <c r="BE33" s="291">
        <v>3.9</v>
      </c>
      <c r="BF33" s="292">
        <v>16.3</v>
      </c>
      <c r="BG33" s="288">
        <v>6.9</v>
      </c>
      <c r="BH33" s="64">
        <v>0.222</v>
      </c>
      <c r="BI33" s="64">
        <v>0.222</v>
      </c>
      <c r="BJ33" s="64">
        <v>5.6000000000000001E-2</v>
      </c>
      <c r="BK33" s="64">
        <v>5.1999999999999998E-2</v>
      </c>
      <c r="BL33" s="64">
        <v>5.1999999999999998E-2</v>
      </c>
      <c r="BM33" s="64">
        <v>5.3999999999999999E-2</v>
      </c>
      <c r="BN33" s="65" t="str">
        <f t="shared" si="25"/>
        <v>ME</v>
      </c>
      <c r="BO33" s="56">
        <v>26</v>
      </c>
      <c r="BP33" s="64">
        <v>8.1000000000000003E-2</v>
      </c>
      <c r="BQ33" s="62">
        <v>0</v>
      </c>
      <c r="BR33" s="61">
        <v>7.1</v>
      </c>
      <c r="BS33" s="61">
        <v>8.6</v>
      </c>
      <c r="BT33" s="61">
        <v>18.8</v>
      </c>
      <c r="BU33" s="64">
        <v>1.6E-2</v>
      </c>
      <c r="BV33" s="63">
        <v>1.1399999999999999</v>
      </c>
      <c r="BW33" s="63">
        <v>0.89</v>
      </c>
      <c r="BX33" s="66" t="s">
        <v>245</v>
      </c>
      <c r="BY33" s="172" t="s">
        <v>246</v>
      </c>
      <c r="BZ33" s="67" t="str">
        <f t="shared" si="26"/>
        <v>ME</v>
      </c>
      <c r="CA33" s="56">
        <v>26</v>
      </c>
      <c r="CB33" s="61">
        <v>95.7</v>
      </c>
      <c r="CC33" s="61"/>
      <c r="CD33" s="68">
        <f t="shared" si="27"/>
        <v>1.2000000000000028</v>
      </c>
      <c r="CE33" s="69">
        <f t="shared" si="28"/>
        <v>5.5851180000000138</v>
      </c>
      <c r="CF33" s="69">
        <f t="shared" si="29"/>
        <v>5.9310987610619623</v>
      </c>
      <c r="CG33" s="62">
        <v>73</v>
      </c>
      <c r="CH33" s="62">
        <v>100</v>
      </c>
      <c r="CI33" s="65" t="str">
        <f t="shared" si="30"/>
        <v>ME</v>
      </c>
      <c r="CJ33" s="56">
        <v>26</v>
      </c>
      <c r="CK33" s="61">
        <v>88.1</v>
      </c>
      <c r="CL33" s="61"/>
      <c r="CM33" s="68">
        <f t="shared" si="31"/>
        <v>1.7999999999999972</v>
      </c>
      <c r="CN33" s="68">
        <f t="shared" si="32"/>
        <v>8.3776769999999878</v>
      </c>
      <c r="CO33" s="68">
        <f t="shared" si="33"/>
        <v>25.047994428947334</v>
      </c>
      <c r="CP33" s="62">
        <v>56</v>
      </c>
      <c r="CQ33" s="62">
        <v>83</v>
      </c>
      <c r="CR33" s="65" t="str">
        <f t="shared" si="34"/>
        <v>ME</v>
      </c>
      <c r="CS33" s="56">
        <v>26</v>
      </c>
      <c r="CT33" s="61">
        <v>92.3</v>
      </c>
      <c r="CU33" s="61"/>
      <c r="CV33" s="68">
        <f t="shared" si="35"/>
        <v>1.2999999999999972</v>
      </c>
      <c r="CW33" s="68">
        <f t="shared" si="36"/>
        <v>8.6375119999999814</v>
      </c>
      <c r="CX33" s="69">
        <f t="shared" si="37"/>
        <v>6.4943699248120157E-2</v>
      </c>
      <c r="CY33" s="66" t="s">
        <v>240</v>
      </c>
      <c r="CZ33" s="66" t="s">
        <v>241</v>
      </c>
      <c r="DA33" s="66"/>
      <c r="DB33" s="65" t="str">
        <f t="shared" si="38"/>
        <v>ME</v>
      </c>
      <c r="DC33" s="56">
        <v>26</v>
      </c>
      <c r="DD33" s="61">
        <v>87.3</v>
      </c>
      <c r="DE33" s="61">
        <v>101.6</v>
      </c>
      <c r="DF33" s="68">
        <f t="shared" si="45"/>
        <v>11.5</v>
      </c>
      <c r="DG33" s="69">
        <f t="shared" si="5"/>
        <v>0.62043913120000005</v>
      </c>
      <c r="DH33" s="68">
        <f t="shared" si="6"/>
        <v>4.6649558736842103</v>
      </c>
      <c r="DI33" s="62">
        <v>91</v>
      </c>
      <c r="DJ33" s="62">
        <v>54</v>
      </c>
      <c r="DK33" s="65" t="str">
        <f t="shared" si="39"/>
        <v>ME</v>
      </c>
      <c r="DL33" s="56">
        <v>26</v>
      </c>
      <c r="DM33" s="63">
        <v>8.23</v>
      </c>
      <c r="DN33" s="64">
        <v>2.3E-2</v>
      </c>
      <c r="DO33" s="64">
        <v>2.3E-2</v>
      </c>
      <c r="DP33" s="64">
        <v>6.2E-2</v>
      </c>
      <c r="DQ33" s="63">
        <v>6.87</v>
      </c>
      <c r="DR33" s="61">
        <v>8.6999999999999993</v>
      </c>
      <c r="DS33" s="64">
        <v>1.0649999999999999</v>
      </c>
      <c r="DT33" s="61">
        <v>84.4</v>
      </c>
      <c r="DU33" s="63">
        <v>4.2</v>
      </c>
      <c r="DV33" s="64">
        <v>0.71199999999999997</v>
      </c>
      <c r="DW33" s="64">
        <v>0.93700000000000006</v>
      </c>
      <c r="DX33" s="66" t="s">
        <v>247</v>
      </c>
      <c r="DY33" s="65" t="str">
        <f t="shared" si="40"/>
        <v>ME</v>
      </c>
      <c r="DZ33" s="128">
        <v>26</v>
      </c>
      <c r="EA33" s="173">
        <f t="shared" si="41"/>
        <v>8.8903743315508016E-2</v>
      </c>
      <c r="EB33" s="173">
        <f t="shared" si="42"/>
        <v>0.1</v>
      </c>
      <c r="EC33" s="173">
        <f t="shared" si="43"/>
        <v>0.84962406015037595</v>
      </c>
      <c r="ED33" s="63">
        <v>1.03</v>
      </c>
      <c r="EE33" s="63">
        <v>1.08</v>
      </c>
      <c r="EF33" s="63">
        <v>0.05</v>
      </c>
      <c r="EG33" s="284">
        <v>0.43</v>
      </c>
      <c r="EH33" s="127" t="str">
        <f t="shared" si="7"/>
        <v>ME</v>
      </c>
      <c r="EI33" s="56">
        <v>26</v>
      </c>
      <c r="EJ33" s="334"/>
      <c r="EK33" s="334"/>
      <c r="EL33" s="334"/>
      <c r="EM33" s="334"/>
      <c r="EN33" s="334"/>
      <c r="EO33" s="334"/>
      <c r="EP33" s="334"/>
      <c r="EQ33" s="65" t="str">
        <f t="shared" si="44"/>
        <v>ME</v>
      </c>
      <c r="ER33" s="20"/>
      <c r="ES33" s="20"/>
      <c r="ET33" s="20"/>
      <c r="EU33" s="20"/>
      <c r="EV33" s="20"/>
      <c r="EW33" s="20"/>
      <c r="EX33" s="20"/>
    </row>
    <row r="34" spans="1:154" s="3" customFormat="1" ht="17.149999999999999" customHeight="1" x14ac:dyDescent="0.35">
      <c r="A34" s="56">
        <v>27</v>
      </c>
      <c r="B34" s="212">
        <v>881516</v>
      </c>
      <c r="C34" s="213">
        <f t="shared" si="8"/>
        <v>158</v>
      </c>
      <c r="D34" s="217">
        <v>9.5500000000000007</v>
      </c>
      <c r="E34" s="214">
        <v>785785</v>
      </c>
      <c r="F34" s="213">
        <f t="shared" si="9"/>
        <v>159</v>
      </c>
      <c r="G34" s="216">
        <v>1.4</v>
      </c>
      <c r="H34" s="212">
        <v>745448</v>
      </c>
      <c r="I34" s="213">
        <f t="shared" si="0"/>
        <v>90</v>
      </c>
      <c r="J34" s="60" t="s">
        <v>194</v>
      </c>
      <c r="K34" s="56">
        <v>27</v>
      </c>
      <c r="L34" s="212">
        <v>69071</v>
      </c>
      <c r="M34" s="213">
        <f t="shared" si="10"/>
        <v>49</v>
      </c>
      <c r="N34" s="214">
        <v>174949</v>
      </c>
      <c r="O34" s="213">
        <f t="shared" si="11"/>
        <v>46</v>
      </c>
      <c r="P34" s="212">
        <v>194749</v>
      </c>
      <c r="Q34" s="215" t="str">
        <f t="shared" si="1"/>
        <v/>
      </c>
      <c r="R34" s="57">
        <v>669</v>
      </c>
      <c r="S34" s="57">
        <v>677</v>
      </c>
      <c r="T34" s="57">
        <v>140</v>
      </c>
      <c r="U34" s="57">
        <v>137</v>
      </c>
      <c r="V34" s="58" t="str">
        <f t="shared" si="12"/>
        <v>ME</v>
      </c>
      <c r="W34" s="56">
        <v>27</v>
      </c>
      <c r="X34" s="210">
        <v>11623.56</v>
      </c>
      <c r="Y34" s="211">
        <f t="shared" si="13"/>
        <v>1.6599999999998545</v>
      </c>
      <c r="Z34" s="210">
        <v>12399.36</v>
      </c>
      <c r="AA34" s="211">
        <f t="shared" si="14"/>
        <v>3.1399999999994179</v>
      </c>
      <c r="AB34" s="210">
        <v>9793.36</v>
      </c>
      <c r="AC34" s="211">
        <f t="shared" si="15"/>
        <v>1.2399999999997817</v>
      </c>
      <c r="AD34" s="210">
        <v>9880.86</v>
      </c>
      <c r="AE34" s="211">
        <f t="shared" si="2"/>
        <v>1.180000000000291</v>
      </c>
      <c r="AF34" s="125" t="str">
        <f t="shared" si="16"/>
        <v>ME</v>
      </c>
      <c r="AG34" s="56">
        <v>27</v>
      </c>
      <c r="AH34" s="210">
        <v>46442.3</v>
      </c>
      <c r="AI34" s="211">
        <f t="shared" si="17"/>
        <v>12.569999999999709</v>
      </c>
      <c r="AJ34" s="210">
        <v>48578.42</v>
      </c>
      <c r="AK34" s="211">
        <f t="shared" si="18"/>
        <v>10.290000000000873</v>
      </c>
      <c r="AL34" s="210">
        <v>586.09</v>
      </c>
      <c r="AM34" s="211" t="str">
        <f t="shared" si="19"/>
        <v/>
      </c>
      <c r="AN34" s="210">
        <v>547.38</v>
      </c>
      <c r="AO34" s="211" t="str">
        <f t="shared" si="3"/>
        <v/>
      </c>
      <c r="AP34" s="125" t="str">
        <f t="shared" si="20"/>
        <v>ME</v>
      </c>
      <c r="AQ34" s="56">
        <v>27</v>
      </c>
      <c r="AR34" s="210">
        <v>6700.89</v>
      </c>
      <c r="AS34" s="211">
        <f t="shared" si="21"/>
        <v>1.5799999999999272</v>
      </c>
      <c r="AT34" s="210">
        <v>7419.34</v>
      </c>
      <c r="AU34" s="211">
        <f t="shared" si="22"/>
        <v>1.9799999999995634</v>
      </c>
      <c r="AV34" s="210">
        <v>253.34</v>
      </c>
      <c r="AW34" s="211" t="str">
        <f t="shared" si="23"/>
        <v/>
      </c>
      <c r="AX34" s="210">
        <v>241.02</v>
      </c>
      <c r="AY34" s="211">
        <f t="shared" si="4"/>
        <v>0.34000000000000341</v>
      </c>
      <c r="AZ34" s="125" t="str">
        <f t="shared" si="24"/>
        <v>ME</v>
      </c>
      <c r="BA34" s="56">
        <v>27</v>
      </c>
      <c r="BB34" s="64">
        <v>1.07</v>
      </c>
      <c r="BC34" s="62">
        <v>19</v>
      </c>
      <c r="BD34" s="61">
        <v>6.9</v>
      </c>
      <c r="BE34" s="290">
        <v>3.9</v>
      </c>
      <c r="BF34" s="290">
        <v>15.5</v>
      </c>
      <c r="BG34" s="61">
        <v>6.9</v>
      </c>
      <c r="BH34" s="64">
        <v>0.26200000000000001</v>
      </c>
      <c r="BI34" s="64">
        <v>0.312</v>
      </c>
      <c r="BJ34" s="64">
        <v>5.6000000000000001E-2</v>
      </c>
      <c r="BK34" s="64">
        <v>5.7000000000000002E-2</v>
      </c>
      <c r="BL34" s="64">
        <v>5.1999999999999998E-2</v>
      </c>
      <c r="BM34" s="64">
        <v>5.5E-2</v>
      </c>
      <c r="BN34" s="65" t="str">
        <f t="shared" si="25"/>
        <v>ME</v>
      </c>
      <c r="BO34" s="56">
        <v>27</v>
      </c>
      <c r="BP34" s="64">
        <v>8.2000000000000003E-2</v>
      </c>
      <c r="BQ34" s="62">
        <v>0</v>
      </c>
      <c r="BR34" s="61">
        <v>7.1</v>
      </c>
      <c r="BS34" s="61">
        <v>8.6999999999999993</v>
      </c>
      <c r="BT34" s="61">
        <v>17.5</v>
      </c>
      <c r="BU34" s="64">
        <v>1.6E-2</v>
      </c>
      <c r="BV34" s="63">
        <v>1.0900000000000001</v>
      </c>
      <c r="BW34" s="63">
        <v>0.85</v>
      </c>
      <c r="BX34" s="66" t="s">
        <v>253</v>
      </c>
      <c r="BY34" s="172" t="s">
        <v>246</v>
      </c>
      <c r="BZ34" s="67" t="str">
        <f t="shared" si="26"/>
        <v>ME</v>
      </c>
      <c r="CA34" s="56">
        <v>27</v>
      </c>
      <c r="CB34" s="61">
        <v>94.5</v>
      </c>
      <c r="CC34" s="61"/>
      <c r="CD34" s="68">
        <f t="shared" si="27"/>
        <v>1</v>
      </c>
      <c r="CE34" s="69">
        <f t="shared" si="28"/>
        <v>4.6542650000000005</v>
      </c>
      <c r="CF34" s="69">
        <f t="shared" si="29"/>
        <v>6.2056866666666668</v>
      </c>
      <c r="CG34" s="62">
        <v>73</v>
      </c>
      <c r="CH34" s="62">
        <v>100</v>
      </c>
      <c r="CI34" s="65" t="str">
        <f t="shared" si="30"/>
        <v>ME</v>
      </c>
      <c r="CJ34" s="56">
        <v>27</v>
      </c>
      <c r="CK34" s="61">
        <v>86.3</v>
      </c>
      <c r="CL34" s="61"/>
      <c r="CM34" s="68">
        <f t="shared" si="31"/>
        <v>2.0999999999999943</v>
      </c>
      <c r="CN34" s="68">
        <f t="shared" si="32"/>
        <v>9.773956499999974</v>
      </c>
      <c r="CO34" s="68">
        <f t="shared" si="33"/>
        <v>24.598821533069557</v>
      </c>
      <c r="CP34" s="62">
        <v>53</v>
      </c>
      <c r="CQ34" s="62">
        <v>83</v>
      </c>
      <c r="CR34" s="65" t="str">
        <f t="shared" si="34"/>
        <v>ME</v>
      </c>
      <c r="CS34" s="56">
        <v>27</v>
      </c>
      <c r="CT34" s="61">
        <v>91</v>
      </c>
      <c r="CU34" s="61"/>
      <c r="CV34" s="68">
        <f t="shared" si="35"/>
        <v>1.7000000000000028</v>
      </c>
      <c r="CW34" s="68">
        <f t="shared" si="36"/>
        <v>11.295208000000018</v>
      </c>
      <c r="CX34" s="69">
        <f t="shared" si="37"/>
        <v>7.1488658227848223E-2</v>
      </c>
      <c r="CY34" s="66" t="s">
        <v>240</v>
      </c>
      <c r="CZ34" s="66" t="s">
        <v>241</v>
      </c>
      <c r="DA34" s="66"/>
      <c r="DB34" s="65" t="str">
        <f t="shared" si="38"/>
        <v>ME</v>
      </c>
      <c r="DC34" s="56">
        <v>27</v>
      </c>
      <c r="DD34" s="61">
        <v>90.1</v>
      </c>
      <c r="DE34" s="61">
        <v>103.7</v>
      </c>
      <c r="DF34" s="68">
        <f t="shared" si="45"/>
        <v>14.299999999999997</v>
      </c>
      <c r="DG34" s="69">
        <f t="shared" si="5"/>
        <v>0.77150257183999982</v>
      </c>
      <c r="DH34" s="68">
        <f t="shared" si="6"/>
        <v>4.8829276698734168</v>
      </c>
      <c r="DI34" s="62">
        <v>90</v>
      </c>
      <c r="DJ34" s="62">
        <v>54</v>
      </c>
      <c r="DK34" s="65" t="str">
        <f t="shared" si="39"/>
        <v>ME</v>
      </c>
      <c r="DL34" s="56">
        <v>27</v>
      </c>
      <c r="DM34" s="63">
        <v>7.92</v>
      </c>
      <c r="DN34" s="64">
        <v>2.3E-2</v>
      </c>
      <c r="DO34" s="64">
        <v>0.03</v>
      </c>
      <c r="DP34" s="64">
        <v>6.0999999999999999E-2</v>
      </c>
      <c r="DQ34" s="63">
        <v>6.87</v>
      </c>
      <c r="DR34" s="61">
        <v>8.6999999999999993</v>
      </c>
      <c r="DS34" s="64">
        <v>1.071</v>
      </c>
      <c r="DT34" s="61">
        <v>83.5</v>
      </c>
      <c r="DU34" s="63">
        <v>4.24</v>
      </c>
      <c r="DV34" s="64">
        <v>0.71799999999999997</v>
      </c>
      <c r="DW34" s="64">
        <v>1.1299999999999999</v>
      </c>
      <c r="DX34" s="66" t="s">
        <v>247</v>
      </c>
      <c r="DY34" s="65" t="str">
        <f t="shared" si="40"/>
        <v>ME</v>
      </c>
      <c r="DZ34" s="128">
        <v>27</v>
      </c>
      <c r="EA34" s="173">
        <f t="shared" si="41"/>
        <v>0.10561497326203209</v>
      </c>
      <c r="EB34" s="173">
        <f t="shared" si="42"/>
        <v>0.11691176470588235</v>
      </c>
      <c r="EC34" s="173">
        <f t="shared" si="43"/>
        <v>0.569620253164557</v>
      </c>
      <c r="ED34" s="63">
        <v>1.04</v>
      </c>
      <c r="EE34" s="63">
        <v>1.0900000000000001</v>
      </c>
      <c r="EF34" s="63">
        <v>0.04</v>
      </c>
      <c r="EG34" s="284">
        <v>0.43</v>
      </c>
      <c r="EH34" s="127" t="str">
        <f t="shared" si="7"/>
        <v>ME</v>
      </c>
      <c r="EI34" s="56">
        <v>27</v>
      </c>
      <c r="EJ34" s="334"/>
      <c r="EK34" s="334"/>
      <c r="EL34" s="334"/>
      <c r="EM34" s="334"/>
      <c r="EN34" s="334"/>
      <c r="EO34" s="334"/>
      <c r="EP34" s="334"/>
      <c r="EQ34" s="65" t="str">
        <f t="shared" si="44"/>
        <v>ME</v>
      </c>
      <c r="ER34" s="20"/>
      <c r="ES34" s="20"/>
      <c r="ET34" s="20"/>
      <c r="EU34" s="20"/>
      <c r="EV34" s="20"/>
      <c r="EW34" s="20"/>
      <c r="EX34" s="20"/>
    </row>
    <row r="35" spans="1:154" s="3" customFormat="1" ht="17.149999999999999" customHeight="1" x14ac:dyDescent="0.35">
      <c r="A35" s="56">
        <v>28</v>
      </c>
      <c r="B35" s="212">
        <v>881674</v>
      </c>
      <c r="C35" s="213">
        <f t="shared" si="8"/>
        <v>166</v>
      </c>
      <c r="D35" s="217">
        <v>9.43</v>
      </c>
      <c r="E35" s="214">
        <v>785944</v>
      </c>
      <c r="F35" s="213">
        <f t="shared" si="9"/>
        <v>140</v>
      </c>
      <c r="G35" s="216">
        <v>2.08</v>
      </c>
      <c r="H35" s="212">
        <v>745538</v>
      </c>
      <c r="I35" s="213">
        <f t="shared" si="0"/>
        <v>144</v>
      </c>
      <c r="J35" s="60" t="s">
        <v>194</v>
      </c>
      <c r="K35" s="56">
        <v>28</v>
      </c>
      <c r="L35" s="212">
        <v>69120</v>
      </c>
      <c r="M35" s="213" t="str">
        <f t="shared" si="10"/>
        <v/>
      </c>
      <c r="N35" s="214">
        <v>174995</v>
      </c>
      <c r="O35" s="213">
        <f t="shared" si="11"/>
        <v>53</v>
      </c>
      <c r="P35" s="212">
        <v>194749</v>
      </c>
      <c r="Q35" s="215" t="str">
        <f t="shared" si="1"/>
        <v/>
      </c>
      <c r="R35" s="57">
        <v>670</v>
      </c>
      <c r="S35" s="57">
        <v>677</v>
      </c>
      <c r="T35" s="57">
        <v>140</v>
      </c>
      <c r="U35" s="57">
        <v>137</v>
      </c>
      <c r="V35" s="58" t="str">
        <f t="shared" si="12"/>
        <v>ME</v>
      </c>
      <c r="W35" s="56">
        <v>28</v>
      </c>
      <c r="X35" s="210">
        <v>11625.22</v>
      </c>
      <c r="Y35" s="211">
        <f t="shared" si="13"/>
        <v>2.8500000000003638</v>
      </c>
      <c r="Z35" s="210">
        <v>12402.5</v>
      </c>
      <c r="AA35" s="211">
        <f t="shared" si="14"/>
        <v>2.0499999999992724</v>
      </c>
      <c r="AB35" s="210">
        <v>9794.6</v>
      </c>
      <c r="AC35" s="211">
        <f t="shared" si="15"/>
        <v>2.2700000000004366</v>
      </c>
      <c r="AD35" s="210">
        <v>9882.0400000000009</v>
      </c>
      <c r="AE35" s="211">
        <f t="shared" si="2"/>
        <v>1.5599999999994907</v>
      </c>
      <c r="AF35" s="125" t="str">
        <f t="shared" si="16"/>
        <v>ME</v>
      </c>
      <c r="AG35" s="56">
        <v>28</v>
      </c>
      <c r="AH35" s="210">
        <v>46454.87</v>
      </c>
      <c r="AI35" s="211">
        <f t="shared" si="17"/>
        <v>7.8899999999994179</v>
      </c>
      <c r="AJ35" s="210">
        <v>48588.71</v>
      </c>
      <c r="AK35" s="211">
        <f t="shared" si="18"/>
        <v>13.690000000002328</v>
      </c>
      <c r="AL35" s="210">
        <v>586.09</v>
      </c>
      <c r="AM35" s="211" t="str">
        <f t="shared" si="19"/>
        <v/>
      </c>
      <c r="AN35" s="210">
        <v>547.38</v>
      </c>
      <c r="AO35" s="211" t="str">
        <f t="shared" si="3"/>
        <v/>
      </c>
      <c r="AP35" s="125" t="str">
        <f t="shared" si="20"/>
        <v>ME</v>
      </c>
      <c r="AQ35" s="56">
        <v>28</v>
      </c>
      <c r="AR35" s="210">
        <v>6702.47</v>
      </c>
      <c r="AS35" s="211">
        <f t="shared" si="21"/>
        <v>1.7599999999993088</v>
      </c>
      <c r="AT35" s="210">
        <v>7421.32</v>
      </c>
      <c r="AU35" s="211">
        <f t="shared" si="22"/>
        <v>2.5500000000001819</v>
      </c>
      <c r="AV35" s="210">
        <v>253.34</v>
      </c>
      <c r="AW35" s="211" t="str">
        <f t="shared" si="23"/>
        <v/>
      </c>
      <c r="AX35" s="210">
        <v>241.36</v>
      </c>
      <c r="AY35" s="211" t="str">
        <f t="shared" si="4"/>
        <v/>
      </c>
      <c r="AZ35" s="125" t="str">
        <f t="shared" si="24"/>
        <v>ME</v>
      </c>
      <c r="BA35" s="56">
        <v>28</v>
      </c>
      <c r="BB35" s="64">
        <v>1.77</v>
      </c>
      <c r="BC35" s="62">
        <v>71</v>
      </c>
      <c r="BD35" s="61">
        <v>6.6</v>
      </c>
      <c r="BE35" s="61">
        <v>4</v>
      </c>
      <c r="BF35" s="61">
        <v>15.8</v>
      </c>
      <c r="BG35" s="61">
        <v>6.7</v>
      </c>
      <c r="BH35" s="64">
        <v>0.218</v>
      </c>
      <c r="BI35" s="64">
        <v>0.23499999999999999</v>
      </c>
      <c r="BJ35" s="64">
        <v>4.9000000000000002E-2</v>
      </c>
      <c r="BK35" s="64">
        <v>6.8000000000000005E-2</v>
      </c>
      <c r="BL35" s="64">
        <v>4.7E-2</v>
      </c>
      <c r="BM35" s="64">
        <v>0.05</v>
      </c>
      <c r="BN35" s="65" t="str">
        <f t="shared" si="25"/>
        <v>ME</v>
      </c>
      <c r="BO35" s="56">
        <v>28</v>
      </c>
      <c r="BP35" s="64">
        <v>7.9000000000000001E-2</v>
      </c>
      <c r="BQ35" s="62">
        <v>0</v>
      </c>
      <c r="BR35" s="61">
        <v>7</v>
      </c>
      <c r="BS35" s="61">
        <v>8.6999999999999993</v>
      </c>
      <c r="BT35" s="61">
        <v>19.100000000000001</v>
      </c>
      <c r="BU35" s="64">
        <v>1.0999999999999999E-2</v>
      </c>
      <c r="BV35" s="63">
        <v>1.1200000000000001</v>
      </c>
      <c r="BW35" s="63">
        <v>0.87</v>
      </c>
      <c r="BX35" s="66" t="s">
        <v>245</v>
      </c>
      <c r="BY35" s="172" t="s">
        <v>246</v>
      </c>
      <c r="BZ35" s="67" t="str">
        <f t="shared" si="26"/>
        <v>ME</v>
      </c>
      <c r="CA35" s="56">
        <v>28</v>
      </c>
      <c r="CB35" s="61">
        <v>93.5</v>
      </c>
      <c r="CC35" s="61"/>
      <c r="CD35" s="68">
        <f t="shared" si="27"/>
        <v>1.4000000000000057</v>
      </c>
      <c r="CE35" s="69">
        <f t="shared" si="28"/>
        <v>6.515971000000027</v>
      </c>
      <c r="CF35" s="69">
        <f t="shared" si="29"/>
        <v>5.429975833333355</v>
      </c>
      <c r="CG35" s="62">
        <v>63</v>
      </c>
      <c r="CH35" s="62">
        <v>100</v>
      </c>
      <c r="CI35" s="65" t="str">
        <f t="shared" si="30"/>
        <v>ME</v>
      </c>
      <c r="CJ35" s="56">
        <v>28</v>
      </c>
      <c r="CK35" s="61">
        <v>84.2</v>
      </c>
      <c r="CL35" s="61">
        <v>99.8</v>
      </c>
      <c r="CM35" s="68">
        <f t="shared" si="31"/>
        <v>2</v>
      </c>
      <c r="CN35" s="68">
        <f t="shared" si="32"/>
        <v>9.3085300000000011</v>
      </c>
      <c r="CO35" s="68">
        <f t="shared" si="33"/>
        <v>22.298415388554222</v>
      </c>
      <c r="CP35" s="62">
        <v>53</v>
      </c>
      <c r="CQ35" s="62">
        <v>83</v>
      </c>
      <c r="CR35" s="65" t="str">
        <f t="shared" si="34"/>
        <v>ME</v>
      </c>
      <c r="CS35" s="56">
        <v>28</v>
      </c>
      <c r="CT35" s="61">
        <v>89.3</v>
      </c>
      <c r="CU35" s="61">
        <v>113.5</v>
      </c>
      <c r="CV35" s="68">
        <f t="shared" si="35"/>
        <v>1.2000000000000028</v>
      </c>
      <c r="CW35" s="68">
        <f t="shared" si="36"/>
        <v>7.9730880000000193</v>
      </c>
      <c r="CX35" s="69">
        <f t="shared" si="37"/>
        <v>4.8030650602409755E-2</v>
      </c>
      <c r="CY35" s="66" t="s">
        <v>240</v>
      </c>
      <c r="CZ35" s="66" t="s">
        <v>241</v>
      </c>
      <c r="DA35" s="66"/>
      <c r="DB35" s="65" t="str">
        <f t="shared" si="38"/>
        <v>ME</v>
      </c>
      <c r="DC35" s="56">
        <v>28</v>
      </c>
      <c r="DD35" s="61">
        <v>89.4</v>
      </c>
      <c r="DE35" s="61">
        <v>103.2</v>
      </c>
      <c r="DF35" s="68">
        <f t="shared" si="45"/>
        <v>15.5</v>
      </c>
      <c r="DG35" s="69">
        <f t="shared" si="5"/>
        <v>0.83624404640000016</v>
      </c>
      <c r="DH35" s="68">
        <f t="shared" si="6"/>
        <v>5.037614737349398</v>
      </c>
      <c r="DI35" s="62">
        <v>90</v>
      </c>
      <c r="DJ35" s="62">
        <v>54</v>
      </c>
      <c r="DK35" s="65" t="str">
        <f t="shared" si="39"/>
        <v>ME</v>
      </c>
      <c r="DL35" s="56">
        <v>28</v>
      </c>
      <c r="DM35" s="63">
        <v>8.23</v>
      </c>
      <c r="DN35" s="64">
        <v>2.5000000000000001E-2</v>
      </c>
      <c r="DO35" s="64">
        <v>0.03</v>
      </c>
      <c r="DP35" s="64">
        <v>6.0999999999999999E-2</v>
      </c>
      <c r="DQ35" s="63">
        <v>6.87</v>
      </c>
      <c r="DR35" s="61">
        <v>8.6999999999999993</v>
      </c>
      <c r="DS35" s="64">
        <v>1.087</v>
      </c>
      <c r="DT35" s="61">
        <v>83</v>
      </c>
      <c r="DU35" s="63">
        <v>4.1399999999999997</v>
      </c>
      <c r="DV35" s="64">
        <v>1.6240000000000001</v>
      </c>
      <c r="DW35" s="64">
        <v>0.92800000000000005</v>
      </c>
      <c r="DX35" s="66" t="s">
        <v>242</v>
      </c>
      <c r="DY35" s="65" t="str">
        <f t="shared" si="40"/>
        <v>ME</v>
      </c>
      <c r="DZ35" s="128">
        <v>28</v>
      </c>
      <c r="EA35" s="173">
        <f t="shared" si="41"/>
        <v>0.11096256684491979</v>
      </c>
      <c r="EB35" s="173">
        <f t="shared" si="42"/>
        <v>0.10294117647058823</v>
      </c>
      <c r="EC35" s="173">
        <f t="shared" si="43"/>
        <v>0.86746987951807231</v>
      </c>
      <c r="ED35" s="63">
        <v>1.03</v>
      </c>
      <c r="EE35" s="63">
        <v>1.1100000000000001</v>
      </c>
      <c r="EF35" s="63">
        <v>0.05</v>
      </c>
      <c r="EG35" s="63">
        <v>0.15</v>
      </c>
      <c r="EH35" s="127" t="str">
        <f t="shared" si="7"/>
        <v>ME</v>
      </c>
      <c r="EI35" s="56">
        <v>28</v>
      </c>
      <c r="EJ35" s="334"/>
      <c r="EK35" s="334"/>
      <c r="EL35" s="334"/>
      <c r="EM35" s="334"/>
      <c r="EN35" s="334"/>
      <c r="EO35" s="334"/>
      <c r="EP35" s="334"/>
      <c r="EQ35" s="65" t="str">
        <f t="shared" si="44"/>
        <v>ME</v>
      </c>
      <c r="ER35" s="20"/>
      <c r="ES35" s="20"/>
      <c r="ET35" s="20"/>
      <c r="EU35" s="20"/>
      <c r="EV35" s="20"/>
      <c r="EW35" s="20"/>
      <c r="EX35" s="20"/>
    </row>
    <row r="36" spans="1:154" s="3" customFormat="1" ht="17.149999999999999" customHeight="1" x14ac:dyDescent="0.35">
      <c r="A36" s="56">
        <v>29</v>
      </c>
      <c r="B36" s="212">
        <v>881840</v>
      </c>
      <c r="C36" s="213">
        <f t="shared" si="8"/>
        <v>138</v>
      </c>
      <c r="D36" s="217">
        <v>9.69</v>
      </c>
      <c r="E36" s="214">
        <v>786084</v>
      </c>
      <c r="F36" s="213">
        <f>IF(E37="","",IF(E37=E36,"",(E37-E36)))</f>
        <v>166</v>
      </c>
      <c r="G36" s="216">
        <v>2.31</v>
      </c>
      <c r="H36" s="212">
        <v>745682</v>
      </c>
      <c r="I36" s="213">
        <f t="shared" si="0"/>
        <v>117</v>
      </c>
      <c r="J36" s="60" t="s">
        <v>237</v>
      </c>
      <c r="K36" s="56">
        <v>29</v>
      </c>
      <c r="L36" s="212">
        <v>69120</v>
      </c>
      <c r="M36" s="213" t="str">
        <f t="shared" si="10"/>
        <v/>
      </c>
      <c r="N36" s="214">
        <v>175048</v>
      </c>
      <c r="O36" s="213">
        <v>30</v>
      </c>
      <c r="P36" s="212">
        <v>194749</v>
      </c>
      <c r="Q36" s="215" t="str">
        <f t="shared" si="1"/>
        <v/>
      </c>
      <c r="R36" s="57">
        <v>670</v>
      </c>
      <c r="S36" s="57">
        <v>677</v>
      </c>
      <c r="T36" s="57">
        <v>140</v>
      </c>
      <c r="U36" s="57">
        <v>137</v>
      </c>
      <c r="V36" s="58" t="str">
        <f t="shared" si="12"/>
        <v>SA/ME</v>
      </c>
      <c r="W36" s="56">
        <v>29</v>
      </c>
      <c r="X36" s="210">
        <v>11628.07</v>
      </c>
      <c r="Y36" s="211">
        <f t="shared" si="13"/>
        <v>2.0500000000010914</v>
      </c>
      <c r="Z36" s="210">
        <v>12404.55</v>
      </c>
      <c r="AA36" s="211">
        <f t="shared" si="14"/>
        <v>2.0100000000002183</v>
      </c>
      <c r="AB36" s="210">
        <v>9796.8700000000008</v>
      </c>
      <c r="AC36" s="211">
        <f t="shared" si="15"/>
        <v>1.5599999999994907</v>
      </c>
      <c r="AD36" s="210">
        <v>9883.6</v>
      </c>
      <c r="AE36" s="211">
        <f t="shared" si="2"/>
        <v>1.5399999999990541</v>
      </c>
      <c r="AF36" s="125" t="str">
        <f t="shared" si="16"/>
        <v>SA/ME</v>
      </c>
      <c r="AG36" s="56">
        <v>29</v>
      </c>
      <c r="AH36" s="210">
        <v>46462.76</v>
      </c>
      <c r="AI36" s="211">
        <f t="shared" si="17"/>
        <v>16.110000000000582</v>
      </c>
      <c r="AJ36" s="210">
        <v>48602.400000000001</v>
      </c>
      <c r="AK36" s="211">
        <f t="shared" si="18"/>
        <v>9.8799999999973807</v>
      </c>
      <c r="AL36" s="210">
        <v>586.09</v>
      </c>
      <c r="AM36" s="211" t="str">
        <f t="shared" si="19"/>
        <v/>
      </c>
      <c r="AN36" s="210">
        <v>547.38</v>
      </c>
      <c r="AO36" s="211" t="str">
        <f t="shared" si="3"/>
        <v/>
      </c>
      <c r="AP36" s="125" t="str">
        <f t="shared" si="20"/>
        <v>SA/ME</v>
      </c>
      <c r="AQ36" s="56">
        <v>29</v>
      </c>
      <c r="AR36" s="210">
        <v>6704.23</v>
      </c>
      <c r="AS36" s="211">
        <f t="shared" si="21"/>
        <v>1.0300000000006548</v>
      </c>
      <c r="AT36" s="210">
        <v>7423.87</v>
      </c>
      <c r="AU36" s="211">
        <f t="shared" si="22"/>
        <v>1.6300000000001091</v>
      </c>
      <c r="AV36" s="210">
        <v>253.34</v>
      </c>
      <c r="AW36" s="211" t="str">
        <f t="shared" si="23"/>
        <v/>
      </c>
      <c r="AX36" s="210">
        <v>241.36</v>
      </c>
      <c r="AY36" s="211" t="str">
        <f t="shared" si="4"/>
        <v/>
      </c>
      <c r="AZ36" s="125" t="str">
        <f t="shared" si="24"/>
        <v>SA/ME</v>
      </c>
      <c r="BA36" s="56">
        <v>29</v>
      </c>
      <c r="BB36" s="64">
        <v>1.04</v>
      </c>
      <c r="BC36" s="62">
        <v>59</v>
      </c>
      <c r="BD36" s="61">
        <v>7.3</v>
      </c>
      <c r="BE36" s="61">
        <v>4.2</v>
      </c>
      <c r="BF36" s="61">
        <v>14.8</v>
      </c>
      <c r="BG36" s="61">
        <v>7.3</v>
      </c>
      <c r="BH36" s="64">
        <v>0.23699999999999999</v>
      </c>
      <c r="BI36" s="64">
        <v>0.309</v>
      </c>
      <c r="BJ36" s="64">
        <v>5.8999999999999997E-2</v>
      </c>
      <c r="BK36" s="64">
        <v>6.7000000000000004E-2</v>
      </c>
      <c r="BL36" s="64">
        <v>0.05</v>
      </c>
      <c r="BM36" s="64">
        <v>6.0999999999999999E-2</v>
      </c>
      <c r="BN36" s="65" t="str">
        <f t="shared" si="25"/>
        <v>SA/ME</v>
      </c>
      <c r="BO36" s="56">
        <v>29</v>
      </c>
      <c r="BP36" s="64">
        <v>8.8999999999999996E-2</v>
      </c>
      <c r="BQ36" s="62">
        <v>0</v>
      </c>
      <c r="BR36" s="61">
        <v>7.2</v>
      </c>
      <c r="BS36" s="61">
        <v>8.6999999999999993</v>
      </c>
      <c r="BT36" s="61">
        <v>17.5</v>
      </c>
      <c r="BU36" s="64">
        <v>1.2999999999999999E-2</v>
      </c>
      <c r="BV36" s="63">
        <v>1.24</v>
      </c>
      <c r="BW36" s="63">
        <v>1.05</v>
      </c>
      <c r="BX36" s="66" t="s">
        <v>263</v>
      </c>
      <c r="BY36" s="172" t="s">
        <v>239</v>
      </c>
      <c r="BZ36" s="67" t="str">
        <f t="shared" si="26"/>
        <v>SA/ME</v>
      </c>
      <c r="CA36" s="56">
        <v>29</v>
      </c>
      <c r="CB36" s="61">
        <v>92.1</v>
      </c>
      <c r="CC36" s="61"/>
      <c r="CD36" s="68">
        <f t="shared" si="27"/>
        <v>1</v>
      </c>
      <c r="CE36" s="69">
        <f t="shared" si="28"/>
        <v>4.6542650000000005</v>
      </c>
      <c r="CF36" s="69">
        <f t="shared" si="29"/>
        <v>4.7736051282051282</v>
      </c>
      <c r="CG36" s="62">
        <v>63</v>
      </c>
      <c r="CH36" s="62">
        <v>100</v>
      </c>
      <c r="CI36" s="65" t="str">
        <f t="shared" si="30"/>
        <v>SA/ME</v>
      </c>
      <c r="CJ36" s="56">
        <v>29</v>
      </c>
      <c r="CK36" s="61">
        <v>97.8</v>
      </c>
      <c r="CL36" s="61"/>
      <c r="CM36" s="68">
        <f t="shared" si="31"/>
        <v>1.7000000000000028</v>
      </c>
      <c r="CN36" s="68">
        <f t="shared" si="32"/>
        <v>7.9122505000000141</v>
      </c>
      <c r="CO36" s="68">
        <f t="shared" si="33"/>
        <v>22.799321821195694</v>
      </c>
      <c r="CP36" s="62">
        <v>53</v>
      </c>
      <c r="CQ36" s="62">
        <v>83</v>
      </c>
      <c r="CR36" s="65" t="str">
        <f t="shared" si="34"/>
        <v>SA/ME</v>
      </c>
      <c r="CS36" s="56">
        <v>29</v>
      </c>
      <c r="CT36" s="61">
        <v>112.3</v>
      </c>
      <c r="CU36" s="61"/>
      <c r="CV36" s="68">
        <f t="shared" si="35"/>
        <v>1</v>
      </c>
      <c r="CW36" s="68">
        <f t="shared" si="36"/>
        <v>6.6442399999999999</v>
      </c>
      <c r="CX36" s="69">
        <f t="shared" si="37"/>
        <v>4.8146666666666664E-2</v>
      </c>
      <c r="CY36" s="66" t="s">
        <v>240</v>
      </c>
      <c r="CZ36" s="66" t="s">
        <v>241</v>
      </c>
      <c r="DA36" s="66"/>
      <c r="DB36" s="65" t="str">
        <f t="shared" si="38"/>
        <v>SA/ME</v>
      </c>
      <c r="DC36" s="56">
        <v>29</v>
      </c>
      <c r="DD36" s="61">
        <v>87.7</v>
      </c>
      <c r="DE36" s="61">
        <v>106.7</v>
      </c>
      <c r="DF36" s="68">
        <f t="shared" si="45"/>
        <v>12.799999999999997</v>
      </c>
      <c r="DG36" s="69">
        <f t="shared" si="5"/>
        <v>0.69057572863999983</v>
      </c>
      <c r="DH36" s="68">
        <f t="shared" si="6"/>
        <v>5.0041719466666654</v>
      </c>
      <c r="DI36" s="62">
        <v>90</v>
      </c>
      <c r="DJ36" s="62">
        <v>54</v>
      </c>
      <c r="DK36" s="65" t="str">
        <f t="shared" si="39"/>
        <v>SA/ME</v>
      </c>
      <c r="DL36" s="56">
        <v>29</v>
      </c>
      <c r="DM36" s="63">
        <v>8.5</v>
      </c>
      <c r="DN36" s="64">
        <v>2.5000000000000001E-2</v>
      </c>
      <c r="DO36" s="64">
        <v>0.03</v>
      </c>
      <c r="DP36" s="64">
        <v>0.06</v>
      </c>
      <c r="DQ36" s="63">
        <v>6.87</v>
      </c>
      <c r="DR36" s="61">
        <v>8.6999999999999993</v>
      </c>
      <c r="DS36" s="64">
        <v>1.1060000000000001</v>
      </c>
      <c r="DT36" s="61">
        <v>86.4</v>
      </c>
      <c r="DU36" s="63">
        <v>4.26</v>
      </c>
      <c r="DV36" s="64">
        <v>0.75900000000000001</v>
      </c>
      <c r="DW36" s="64">
        <v>1.4</v>
      </c>
      <c r="DX36" s="66" t="s">
        <v>242</v>
      </c>
      <c r="DY36" s="65" t="str">
        <f t="shared" si="40"/>
        <v>SA/ME</v>
      </c>
      <c r="DZ36" s="128">
        <v>29</v>
      </c>
      <c r="EA36" s="173">
        <f t="shared" si="41"/>
        <v>9.2245989304812828E-2</v>
      </c>
      <c r="EB36" s="173">
        <f t="shared" si="42"/>
        <v>0.12205882352941176</v>
      </c>
      <c r="EC36" s="173">
        <f t="shared" si="43"/>
        <v>0.84782608695652173</v>
      </c>
      <c r="ED36" s="63">
        <v>0.92</v>
      </c>
      <c r="EE36" s="63">
        <v>1.1399999999999999</v>
      </c>
      <c r="EF36" s="63">
        <v>0.05</v>
      </c>
      <c r="EG36" s="63">
        <v>0.28999999999999998</v>
      </c>
      <c r="EH36" s="127" t="str">
        <f t="shared" si="7"/>
        <v>SA/ME</v>
      </c>
      <c r="EI36" s="56">
        <v>29</v>
      </c>
      <c r="EJ36" s="334"/>
      <c r="EK36" s="334"/>
      <c r="EL36" s="334"/>
      <c r="EM36" s="334"/>
      <c r="EN36" s="334"/>
      <c r="EO36" s="334"/>
      <c r="EP36" s="334"/>
      <c r="EQ36" s="65" t="str">
        <f t="shared" si="44"/>
        <v>SA/ME</v>
      </c>
      <c r="ER36" s="20"/>
      <c r="ES36" s="20"/>
      <c r="ET36" s="20"/>
      <c r="EU36" s="20"/>
      <c r="EV36" s="20"/>
      <c r="EW36" s="20"/>
      <c r="EX36" s="20"/>
    </row>
    <row r="37" spans="1:154" s="3" customFormat="1" ht="17.149999999999999" customHeight="1" x14ac:dyDescent="0.35">
      <c r="A37" s="56">
        <v>30</v>
      </c>
      <c r="B37" s="212">
        <v>881978</v>
      </c>
      <c r="C37" s="213">
        <f>IF(May!B8="","",IF(May!B8=B37,"",(May!B8-B37)))</f>
        <v>205</v>
      </c>
      <c r="D37" s="217">
        <v>9.57</v>
      </c>
      <c r="E37" s="214">
        <v>786250</v>
      </c>
      <c r="F37" s="213">
        <f>IF(May!E8="","",IF(May!E8=E37,"",(May!E8-E37)))</f>
        <v>194</v>
      </c>
      <c r="G37" s="216">
        <v>2.04</v>
      </c>
      <c r="H37" s="212">
        <v>745799</v>
      </c>
      <c r="I37" s="213">
        <f>IF(May!H8="","",IF(May!H8=H37,"",(May!H8-H37)))</f>
        <v>187</v>
      </c>
      <c r="J37" s="60" t="s">
        <v>237</v>
      </c>
      <c r="K37" s="56">
        <v>30</v>
      </c>
      <c r="L37" s="212">
        <v>69120</v>
      </c>
      <c r="M37" s="213" t="str">
        <f>IF(May!L8="","",IF(May!L8=L37,"",(May!L8-L37)))</f>
        <v/>
      </c>
      <c r="N37" s="214">
        <v>175078</v>
      </c>
      <c r="O37" s="213">
        <f>IF(May!N8="","",IF(May!N8=N37,"",(May!N8-N37)))</f>
        <v>33</v>
      </c>
      <c r="P37" s="212">
        <v>194749</v>
      </c>
      <c r="Q37" s="213" t="str">
        <f>IF(May!P8="","",IF(May!P8=P37,"",(May!P8-P37)))</f>
        <v/>
      </c>
      <c r="R37" s="57">
        <v>670</v>
      </c>
      <c r="S37" s="57">
        <v>677</v>
      </c>
      <c r="T37" s="57">
        <v>140</v>
      </c>
      <c r="U37" s="57">
        <v>137</v>
      </c>
      <c r="V37" s="58" t="str">
        <f t="shared" si="12"/>
        <v>SA/ME</v>
      </c>
      <c r="W37" s="56">
        <v>30</v>
      </c>
      <c r="X37" s="210">
        <v>11630.12</v>
      </c>
      <c r="Y37" s="211">
        <f>IF(May!X8="","",IF(May!X8=X37,"",May!X8-X37))</f>
        <v>3.3699999999989814</v>
      </c>
      <c r="Z37" s="210">
        <v>12406.56</v>
      </c>
      <c r="AA37" s="211">
        <f>IF(May!Z8="","",IF(May!Z8=Z37,"",May!Z8-Z37))</f>
        <v>2.1200000000008004</v>
      </c>
      <c r="AB37" s="210">
        <v>9798.43</v>
      </c>
      <c r="AC37" s="211">
        <f>IF(May!AB8="","",IF(May!AB8=AB37,"",May!AB8-AB37))</f>
        <v>3.4099999999998545</v>
      </c>
      <c r="AD37" s="210">
        <v>9885.14</v>
      </c>
      <c r="AE37" s="211">
        <f>IF(May!AD8="","",IF(May!AD8=AD37,"",May!AD8-AD37))</f>
        <v>1.569999999999709</v>
      </c>
      <c r="AF37" s="125" t="str">
        <f t="shared" si="16"/>
        <v>SA/ME</v>
      </c>
      <c r="AG37" s="56">
        <v>30</v>
      </c>
      <c r="AH37" s="210">
        <v>46478.87</v>
      </c>
      <c r="AI37" s="211">
        <f>IF(May!AH8="","",IF(May!AH8=AH37,"",May!AH8-AH37))</f>
        <v>12.19999999999709</v>
      </c>
      <c r="AJ37" s="210">
        <v>48612.28</v>
      </c>
      <c r="AK37" s="211">
        <f>IF(May!AJ8="","",IF(May!AJ8=AJ37,"",May!AJ8-AJ37))</f>
        <v>14.150000000001455</v>
      </c>
      <c r="AL37" s="210">
        <v>586.09</v>
      </c>
      <c r="AM37" s="211">
        <f>IF(May!AL8="","",IF(May!AL8=AL37,"",May!AL8-AL37))</f>
        <v>9.9999999999909051E-3</v>
      </c>
      <c r="AN37" s="210">
        <v>547.38</v>
      </c>
      <c r="AO37" s="211">
        <f>IF(May!AN8="","",IF(May!AN8=AN37,"",May!AN8-AN37))</f>
        <v>7.0000000000050022E-2</v>
      </c>
      <c r="AP37" s="125" t="str">
        <f t="shared" si="20"/>
        <v>SA/ME</v>
      </c>
      <c r="AQ37" s="56">
        <v>30</v>
      </c>
      <c r="AR37" s="210">
        <v>6705.26</v>
      </c>
      <c r="AS37" s="211">
        <f>IF(May!AR8="","",IF(May!AR8=AR37,"",May!AR8-AR37))</f>
        <v>1.1700000000000728</v>
      </c>
      <c r="AT37" s="210">
        <v>7425.5</v>
      </c>
      <c r="AU37" s="211">
        <f>IF(May!AT8="","",IF(May!AT8=AT37,"",May!AT8-AT37))</f>
        <v>1.7399999999997817</v>
      </c>
      <c r="AV37" s="210">
        <v>253.34</v>
      </c>
      <c r="AW37" s="211" t="str">
        <f>IF(May!AV8="","",IF(May!AV8=AV37,"",May!AV8-AV37))</f>
        <v/>
      </c>
      <c r="AX37" s="210">
        <v>241.36</v>
      </c>
      <c r="AY37" s="211" t="str">
        <f>IF(May!AX8="","",IF(May!AX8=AX37,"",May!AX8-AX37))</f>
        <v/>
      </c>
      <c r="AZ37" s="125" t="str">
        <f t="shared" si="24"/>
        <v>SA/ME</v>
      </c>
      <c r="BA37" s="56">
        <v>30</v>
      </c>
      <c r="BB37" s="64"/>
      <c r="BC37" s="62"/>
      <c r="BD37" s="61"/>
      <c r="BE37" s="61"/>
      <c r="BF37" s="61"/>
      <c r="BG37" s="61"/>
      <c r="BH37" s="64"/>
      <c r="BI37" s="64"/>
      <c r="BJ37" s="64"/>
      <c r="BK37" s="64"/>
      <c r="BL37" s="64"/>
      <c r="BM37" s="64"/>
      <c r="BN37" s="65" t="str">
        <f t="shared" si="25"/>
        <v>SA/ME</v>
      </c>
      <c r="BO37" s="56">
        <v>30</v>
      </c>
      <c r="BP37" s="64">
        <v>9.5000000000000001E-2</v>
      </c>
      <c r="BQ37" s="62">
        <v>0</v>
      </c>
      <c r="BR37" s="61">
        <v>7.2</v>
      </c>
      <c r="BS37" s="61">
        <v>8.6999999999999993</v>
      </c>
      <c r="BT37" s="61">
        <v>18.899999999999999</v>
      </c>
      <c r="BU37" s="64">
        <v>0.01</v>
      </c>
      <c r="BV37" s="63">
        <v>1.21</v>
      </c>
      <c r="BW37" s="63">
        <v>1.03</v>
      </c>
      <c r="BX37" s="66" t="s">
        <v>330</v>
      </c>
      <c r="BY37" s="172" t="s">
        <v>239</v>
      </c>
      <c r="BZ37" s="67" t="str">
        <f t="shared" si="26"/>
        <v>SA/ME</v>
      </c>
      <c r="CA37" s="56">
        <v>30</v>
      </c>
      <c r="CB37" s="61">
        <v>91.1</v>
      </c>
      <c r="CC37" s="61"/>
      <c r="CD37" s="68">
        <f>IF(May!CB8="","",IF(CC37="",IF(CB37=May!CB8,"",(CB37-May!CB8)),IF(CC37=May!CB8,"",(CC37-May!CB8))))</f>
        <v>1.7999999999999972</v>
      </c>
      <c r="CE37" s="69">
        <f t="shared" si="28"/>
        <v>8.3776769999999878</v>
      </c>
      <c r="CF37" s="69">
        <f t="shared" si="29"/>
        <v>5.3760494117646971</v>
      </c>
      <c r="CG37" s="62">
        <v>63</v>
      </c>
      <c r="CH37" s="62">
        <v>100</v>
      </c>
      <c r="CI37" s="65" t="str">
        <f t="shared" si="30"/>
        <v>SA/ME</v>
      </c>
      <c r="CJ37" s="56">
        <v>30</v>
      </c>
      <c r="CK37" s="61">
        <v>96.1</v>
      </c>
      <c r="CL37" s="61"/>
      <c r="CM37" s="68">
        <f>IF(May!CK8="","",IF(CL37="",IF(CK37=May!CK8,"",(CK37-May!CK8)),IF(CL37=May!CK8,"",(CL37-May!CK8))))</f>
        <v>2.5999999999999943</v>
      </c>
      <c r="CN37" s="68">
        <f t="shared" si="32"/>
        <v>12.101088999999975</v>
      </c>
      <c r="CO37" s="68">
        <f t="shared" si="33"/>
        <v>23.473161174878001</v>
      </c>
      <c r="CP37" s="62">
        <v>53</v>
      </c>
      <c r="CQ37" s="62">
        <v>83</v>
      </c>
      <c r="CR37" s="65" t="str">
        <f t="shared" si="34"/>
        <v>SA/ME</v>
      </c>
      <c r="CS37" s="56">
        <v>30</v>
      </c>
      <c r="CT37" s="61">
        <v>111.3</v>
      </c>
      <c r="CU37" s="61"/>
      <c r="CV37" s="68">
        <f>IF(May!CT8="","",IF(CU37="",IF(CT37=May!CT8,"",(CT37-May!CT8)),IF(CU37=May!CT8,"",(CU37-May!CT8))))</f>
        <v>2.2999999999999972</v>
      </c>
      <c r="CW37" s="68">
        <f t="shared" si="36"/>
        <v>15.28175199999998</v>
      </c>
      <c r="CX37" s="69">
        <f t="shared" si="37"/>
        <v>7.4545131707316969E-2</v>
      </c>
      <c r="CY37" s="66" t="s">
        <v>240</v>
      </c>
      <c r="CZ37" s="66" t="s">
        <v>241</v>
      </c>
      <c r="DA37" s="66"/>
      <c r="DB37" s="65" t="str">
        <f t="shared" si="38"/>
        <v>SA/ME</v>
      </c>
      <c r="DC37" s="56">
        <v>30</v>
      </c>
      <c r="DD37" s="61">
        <v>93.9</v>
      </c>
      <c r="DE37" s="61">
        <v>106.4</v>
      </c>
      <c r="DF37" s="68">
        <f>IF(May!DD8="","",IF(DE37="",IF(DD37=May!DD8,"",(DD37-May!DD8)),IF(DE37=May!DD8,"",(DE37-May!DD8))))</f>
        <v>17.900000000000006</v>
      </c>
      <c r="DG37" s="69">
        <f t="shared" si="5"/>
        <v>0.96572699552000041</v>
      </c>
      <c r="DH37" s="68">
        <f t="shared" si="6"/>
        <v>4.7108633927804897</v>
      </c>
      <c r="DI37" s="62">
        <v>90</v>
      </c>
      <c r="DJ37" s="62">
        <v>54</v>
      </c>
      <c r="DK37" s="65" t="str">
        <f t="shared" si="39"/>
        <v>SA/ME</v>
      </c>
      <c r="DL37" s="56">
        <v>30</v>
      </c>
      <c r="DM37" s="63">
        <v>8.34</v>
      </c>
      <c r="DN37" s="64">
        <v>2.5000000000000001E-2</v>
      </c>
      <c r="DO37" s="64">
        <v>2.9000000000000001E-2</v>
      </c>
      <c r="DP37" s="64">
        <v>7.1999999999999995E-2</v>
      </c>
      <c r="DQ37" s="63">
        <v>6.87</v>
      </c>
      <c r="DR37" s="61">
        <v>8.6999999999999993</v>
      </c>
      <c r="DS37" s="64">
        <v>1.141</v>
      </c>
      <c r="DT37" s="61">
        <v>84.8</v>
      </c>
      <c r="DU37" s="63">
        <v>4.24</v>
      </c>
      <c r="DV37" s="64">
        <v>0.70899999999999996</v>
      </c>
      <c r="DW37" s="64">
        <v>0.81799999999999995</v>
      </c>
      <c r="DX37" s="66" t="s">
        <v>247</v>
      </c>
      <c r="DY37" s="65" t="str">
        <f t="shared" si="40"/>
        <v>SA/ME</v>
      </c>
      <c r="DZ37" s="128">
        <v>30</v>
      </c>
      <c r="EA37" s="173">
        <f t="shared" si="41"/>
        <v>0.13703208556149732</v>
      </c>
      <c r="EB37" s="173">
        <f t="shared" si="42"/>
        <v>0.1426470588235294</v>
      </c>
      <c r="EC37" s="173">
        <f t="shared" si="43"/>
        <v>0.91219512195121955</v>
      </c>
      <c r="ED37" s="63">
        <v>1.1200000000000001</v>
      </c>
      <c r="EE37" s="63">
        <v>1.18</v>
      </c>
      <c r="EF37" s="63">
        <v>0.04</v>
      </c>
      <c r="EG37" s="63">
        <v>0.19</v>
      </c>
      <c r="EH37" s="127" t="str">
        <f t="shared" si="7"/>
        <v>SA/ME</v>
      </c>
      <c r="EI37" s="56">
        <v>30</v>
      </c>
      <c r="EJ37" s="334"/>
      <c r="EK37" s="334"/>
      <c r="EL37" s="334"/>
      <c r="EM37" s="334"/>
      <c r="EN37" s="334"/>
      <c r="EO37" s="334"/>
      <c r="EP37" s="334"/>
      <c r="EQ37" s="65" t="str">
        <f t="shared" si="44"/>
        <v>SA/ME</v>
      </c>
      <c r="ER37" s="20"/>
      <c r="ES37" s="20"/>
      <c r="ET37" s="20"/>
      <c r="EU37" s="20"/>
      <c r="EV37" s="20"/>
      <c r="EW37" s="20"/>
      <c r="EX37" s="20"/>
    </row>
    <row r="38" spans="1:154" s="3" customFormat="1" ht="17.149999999999999" customHeight="1" thickBot="1" x14ac:dyDescent="0.4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124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  <c r="DR38" s="73"/>
      <c r="DS38" s="73"/>
      <c r="DT38" s="73"/>
      <c r="DU38" s="73"/>
      <c r="DV38" s="73"/>
      <c r="DW38" s="73"/>
      <c r="DX38" s="73"/>
      <c r="DY38" s="73"/>
      <c r="DZ38" s="73"/>
      <c r="EA38" s="73"/>
      <c r="EB38" s="73"/>
      <c r="EC38" s="73"/>
      <c r="ED38" s="73"/>
      <c r="EE38" s="73"/>
      <c r="EF38" s="73"/>
      <c r="EG38" s="73"/>
      <c r="EH38" s="73"/>
      <c r="EI38" s="73"/>
      <c r="EJ38" s="351"/>
      <c r="EK38" s="351"/>
      <c r="EL38" s="351"/>
      <c r="EM38" s="351"/>
      <c r="EN38" s="351"/>
      <c r="EO38" s="351"/>
      <c r="EP38" s="351"/>
      <c r="EQ38" s="73"/>
      <c r="ER38" s="20"/>
      <c r="ES38" s="20"/>
      <c r="ET38" s="20"/>
      <c r="EU38" s="20"/>
      <c r="EV38" s="20"/>
      <c r="EW38" s="20"/>
      <c r="EX38" s="20"/>
    </row>
    <row r="39" spans="1:154" s="3" customFormat="1" ht="18.649999999999999" customHeight="1" thickBot="1" x14ac:dyDescent="0.4">
      <c r="A39" s="73"/>
      <c r="B39" s="74"/>
      <c r="C39" s="74"/>
      <c r="D39" s="75"/>
      <c r="E39" s="74"/>
      <c r="F39" s="74"/>
      <c r="G39" s="75"/>
      <c r="H39" s="74"/>
      <c r="I39" s="74"/>
      <c r="J39" s="73"/>
      <c r="K39" s="73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3"/>
      <c r="W39" s="73"/>
      <c r="X39" s="75"/>
      <c r="Y39" s="75"/>
      <c r="Z39" s="75"/>
      <c r="AA39" s="75"/>
      <c r="AB39" s="75"/>
      <c r="AC39" s="75"/>
      <c r="AD39" s="75"/>
      <c r="AE39" s="75"/>
      <c r="AF39" s="73"/>
      <c r="AG39" s="73"/>
      <c r="AH39" s="75"/>
      <c r="AI39" s="75"/>
      <c r="AJ39" s="75"/>
      <c r="AK39" s="75"/>
      <c r="AL39" s="75"/>
      <c r="AM39" s="75"/>
      <c r="AN39" s="75"/>
      <c r="AO39" s="75"/>
      <c r="AP39" s="73"/>
      <c r="AQ39" s="73"/>
      <c r="AR39" s="75"/>
      <c r="AS39" s="75"/>
      <c r="AT39" s="75"/>
      <c r="AU39" s="75"/>
      <c r="AV39" s="75"/>
      <c r="AW39" s="75"/>
      <c r="AX39" s="75"/>
      <c r="AY39" s="75"/>
      <c r="AZ39" s="73"/>
      <c r="BA39" s="73"/>
      <c r="BB39" s="124"/>
      <c r="BC39" s="74"/>
      <c r="BD39" s="73"/>
      <c r="BE39" s="73"/>
      <c r="BF39" s="73"/>
      <c r="BG39" s="73"/>
      <c r="BH39" s="124"/>
      <c r="BI39" s="124"/>
      <c r="BJ39" s="124"/>
      <c r="BK39" s="124"/>
      <c r="BL39" s="124"/>
      <c r="BM39" s="124"/>
      <c r="BN39" s="73"/>
      <c r="BO39" s="73"/>
      <c r="BP39" s="124"/>
      <c r="BQ39" s="74"/>
      <c r="BR39" s="73"/>
      <c r="BS39" s="73"/>
      <c r="BT39" s="73"/>
      <c r="BU39" s="124"/>
      <c r="BV39" s="75"/>
      <c r="BW39" s="75"/>
      <c r="BX39" s="73"/>
      <c r="BY39" s="73"/>
      <c r="BZ39" s="73"/>
      <c r="CA39" s="73"/>
      <c r="CB39" s="73"/>
      <c r="CC39" s="73"/>
      <c r="CD39" s="73"/>
      <c r="CE39" s="75"/>
      <c r="CF39" s="75"/>
      <c r="CG39" s="74"/>
      <c r="CH39" s="74"/>
      <c r="CI39" s="73"/>
      <c r="CJ39" s="73"/>
      <c r="CK39" s="73"/>
      <c r="CL39" s="73"/>
      <c r="CM39" s="73"/>
      <c r="CN39" s="73"/>
      <c r="CO39" s="73"/>
      <c r="CP39" s="74"/>
      <c r="CQ39" s="74"/>
      <c r="CR39" s="73"/>
      <c r="CS39" s="73"/>
      <c r="CT39" s="73"/>
      <c r="CU39" s="73"/>
      <c r="CV39" s="73"/>
      <c r="CW39" s="73"/>
      <c r="CX39" s="75"/>
      <c r="CY39" s="74"/>
      <c r="CZ39" s="74"/>
      <c r="DA39" s="74"/>
      <c r="DB39" s="73"/>
      <c r="DC39" s="73"/>
      <c r="DD39" s="73"/>
      <c r="DE39" s="73"/>
      <c r="DF39" s="73"/>
      <c r="DG39" s="75"/>
      <c r="DH39" s="73"/>
      <c r="DI39" s="74"/>
      <c r="DJ39" s="74"/>
      <c r="DK39" s="73"/>
      <c r="DL39" s="73"/>
      <c r="DM39" s="75"/>
      <c r="DN39" s="124"/>
      <c r="DO39" s="124"/>
      <c r="DP39" s="124"/>
      <c r="DQ39" s="75"/>
      <c r="DR39" s="73"/>
      <c r="DS39" s="124"/>
      <c r="DT39" s="73"/>
      <c r="DU39" s="75"/>
      <c r="DV39" s="124"/>
      <c r="DW39" s="124"/>
      <c r="DX39" s="124"/>
      <c r="DY39" s="73"/>
      <c r="DZ39" s="195" t="s">
        <v>199</v>
      </c>
      <c r="EA39" s="198">
        <f>IF(COUNT(EA7:EA37)=0,"",AVERAGE(EA7:EA37))*100</f>
        <v>10.532531194295901</v>
      </c>
      <c r="EB39" s="199">
        <f>IF(COUNT(EB7:EB37)=0,"",AVERAGE(EB7:EB37))*100</f>
        <v>11.8578431372549</v>
      </c>
      <c r="EC39" s="200">
        <f>IF(COUNT(EC7:EC37)=0,"",AVERAGE(EC7:EC37))*100</f>
        <v>79.262565011464446</v>
      </c>
      <c r="ED39" s="75"/>
      <c r="EE39" s="75"/>
      <c r="EF39" s="75"/>
      <c r="EG39" s="75"/>
      <c r="EH39" s="73"/>
      <c r="EI39" s="73"/>
      <c r="EJ39" s="351"/>
      <c r="EK39" s="351"/>
      <c r="EL39" s="351"/>
      <c r="EM39" s="351"/>
      <c r="EN39" s="351"/>
      <c r="EO39" s="351"/>
      <c r="EP39" s="351"/>
      <c r="EQ39" s="73"/>
      <c r="ER39" s="20"/>
      <c r="ES39" s="20"/>
      <c r="ET39" s="20"/>
      <c r="EU39" s="20"/>
      <c r="EV39" s="20"/>
      <c r="EW39" s="20"/>
      <c r="EX39" s="20"/>
    </row>
    <row r="40" spans="1:154" s="3" customFormat="1" ht="18.649999999999999" customHeight="1" x14ac:dyDescent="0.35">
      <c r="A40" s="56" t="s">
        <v>2</v>
      </c>
      <c r="B40" s="77"/>
      <c r="C40" s="78">
        <f>IF(COUNT(C8:C38)=0,"",SUM(C8:C38))</f>
        <v>4727</v>
      </c>
      <c r="D40" s="75"/>
      <c r="E40" s="74"/>
      <c r="F40" s="78">
        <f>IF(COUNT(F8:F38)=0,"",SUM(F8:F38))</f>
        <v>4802</v>
      </c>
      <c r="G40" s="81"/>
      <c r="H40" s="74"/>
      <c r="I40" s="78">
        <f>IF(COUNT(I8:I38)=0,"",SUM(I8:I38))</f>
        <v>3712</v>
      </c>
      <c r="J40" s="79"/>
      <c r="K40" s="56" t="s">
        <v>2</v>
      </c>
      <c r="L40" s="77"/>
      <c r="M40" s="78">
        <f>IF(COUNT(M8:M38)=0,"",SUM(M8:M38))</f>
        <v>393</v>
      </c>
      <c r="N40" s="74"/>
      <c r="O40" s="78">
        <f>IF(COUNT(O8:O38)=0,"",SUM(O8:O38))</f>
        <v>1204</v>
      </c>
      <c r="P40" s="74"/>
      <c r="Q40" s="78">
        <f>IF(COUNT(Q8:Q38)=0,"",SUM(Q8:Q38))</f>
        <v>36</v>
      </c>
      <c r="R40" s="77"/>
      <c r="S40" s="77"/>
      <c r="T40" s="77"/>
      <c r="U40" s="77"/>
      <c r="V40" s="79"/>
      <c r="W40" s="56" t="s">
        <v>2</v>
      </c>
      <c r="X40" s="81"/>
      <c r="Y40" s="82">
        <f>IF(COUNT(Y8:Y38)=0,"",SUM(Y8:Y38))</f>
        <v>72.979999999999563</v>
      </c>
      <c r="Z40" s="75"/>
      <c r="AA40" s="82">
        <f>IF(COUNT(AA8:AA38)=0,"",SUM(AA8:AA38))</f>
        <v>66.860000000000582</v>
      </c>
      <c r="AB40" s="75"/>
      <c r="AC40" s="82">
        <f>IF(COUNT(AC8:AC38)=0,"",SUM(AC8:AC38))</f>
        <v>51.940000000000509</v>
      </c>
      <c r="AD40" s="75"/>
      <c r="AE40" s="82">
        <f>IF(COUNT(AE8:AE38)=0,"",SUM(AE8:AE38))</f>
        <v>46.979999999999563</v>
      </c>
      <c r="AF40" s="79"/>
      <c r="AG40" s="56" t="s">
        <v>2</v>
      </c>
      <c r="AH40" s="81"/>
      <c r="AI40" s="82">
        <f>IF(COUNT(AI8:AI38)=0,"",SUM(AI8:AI38))</f>
        <v>362.44999999999709</v>
      </c>
      <c r="AJ40" s="75"/>
      <c r="AK40" s="82">
        <f>IF(COUNT(AK8:AK38)=0,"",SUM(AK8:AK38))</f>
        <v>360.09000000000378</v>
      </c>
      <c r="AL40" s="75"/>
      <c r="AM40" s="82">
        <f>IF(COUNT(AM8:AM38)=0,"",SUM(AM8:AM38))</f>
        <v>0.35000000000002274</v>
      </c>
      <c r="AN40" s="75"/>
      <c r="AO40" s="82">
        <f>IF(COUNT(AO8:AO38)=0,"",SUM(AO8:AO38))</f>
        <v>0.44000000000005457</v>
      </c>
      <c r="AP40" s="79"/>
      <c r="AQ40" s="56" t="s">
        <v>2</v>
      </c>
      <c r="AR40" s="81"/>
      <c r="AS40" s="82">
        <f>IF(COUNT(AS8:AS38)=0,"",SUM(AS8:AS38))</f>
        <v>51.52000000000055</v>
      </c>
      <c r="AT40" s="75"/>
      <c r="AU40" s="82">
        <f>IF(COUNT(AU8:AU38)=0,"",SUM(AU8:AU38))</f>
        <v>61.139999999999418</v>
      </c>
      <c r="AV40" s="75"/>
      <c r="AW40" s="82">
        <f>IF(COUNT(AW8:AW38)=0,"",SUM(AW8:AW38))</f>
        <v>1.1100000000000136</v>
      </c>
      <c r="AX40" s="75"/>
      <c r="AY40" s="82">
        <f>IF(COUNT(AY8:AY38)=0,"",SUM(AY8:AY38))</f>
        <v>1.4500000000000171</v>
      </c>
      <c r="AZ40" s="79"/>
      <c r="BA40" s="264" t="s">
        <v>2</v>
      </c>
      <c r="BB40" s="265">
        <f>COUNTA(BB8:BB37)</f>
        <v>20</v>
      </c>
      <c r="BC40" s="265">
        <f t="shared" ref="BC40:BM40" si="46">COUNTA(BC8:BC37)</f>
        <v>20</v>
      </c>
      <c r="BD40" s="265">
        <f t="shared" si="46"/>
        <v>20</v>
      </c>
      <c r="BE40" s="265">
        <f t="shared" si="46"/>
        <v>20</v>
      </c>
      <c r="BF40" s="265">
        <f t="shared" si="46"/>
        <v>20</v>
      </c>
      <c r="BG40" s="265">
        <f t="shared" si="46"/>
        <v>20</v>
      </c>
      <c r="BH40" s="265">
        <f t="shared" si="46"/>
        <v>20</v>
      </c>
      <c r="BI40" s="265">
        <f t="shared" si="46"/>
        <v>20</v>
      </c>
      <c r="BJ40" s="265">
        <f t="shared" si="46"/>
        <v>20</v>
      </c>
      <c r="BK40" s="265">
        <f t="shared" si="46"/>
        <v>20</v>
      </c>
      <c r="BL40" s="265">
        <f t="shared" si="46"/>
        <v>20</v>
      </c>
      <c r="BM40" s="265">
        <f t="shared" si="46"/>
        <v>20</v>
      </c>
      <c r="BN40" s="266" t="s">
        <v>208</v>
      </c>
      <c r="BO40" s="264" t="s">
        <v>2</v>
      </c>
      <c r="BP40" s="265">
        <f t="shared" ref="BP40:BW40" si="47">COUNTA(BP8:BP37)</f>
        <v>30</v>
      </c>
      <c r="BQ40" s="265">
        <f t="shared" si="47"/>
        <v>24</v>
      </c>
      <c r="BR40" s="265">
        <f t="shared" si="47"/>
        <v>24</v>
      </c>
      <c r="BS40" s="265">
        <f t="shared" si="47"/>
        <v>24</v>
      </c>
      <c r="BT40" s="265">
        <f t="shared" si="47"/>
        <v>24</v>
      </c>
      <c r="BU40" s="265">
        <f t="shared" si="47"/>
        <v>24</v>
      </c>
      <c r="BV40" s="265">
        <f t="shared" si="47"/>
        <v>30</v>
      </c>
      <c r="BW40" s="265">
        <f t="shared" si="47"/>
        <v>30</v>
      </c>
      <c r="BX40" s="267" t="s">
        <v>208</v>
      </c>
      <c r="BY40" s="83"/>
      <c r="BZ40" s="73"/>
      <c r="CA40" s="56" t="s">
        <v>2</v>
      </c>
      <c r="CB40" s="73"/>
      <c r="CC40" s="73"/>
      <c r="CD40" s="80">
        <f>IF(COUNT(CD8:CD38)=0,"",SUM(CD8:CD38))</f>
        <v>33.199999999999989</v>
      </c>
      <c r="CE40" s="82">
        <f>IF(COUNT(CE8:CE38)=0,"",SUM(CE8:CE38))</f>
        <v>154.52159799999998</v>
      </c>
      <c r="CF40" s="75"/>
      <c r="CG40" s="74"/>
      <c r="CH40" s="74"/>
      <c r="CI40" s="73"/>
      <c r="CJ40" s="56" t="s">
        <v>2</v>
      </c>
      <c r="CK40" s="73"/>
      <c r="CL40" s="73"/>
      <c r="CM40" s="80">
        <f>IF(COUNT(CM8:CM38)=0,"",SUM(CM8:CM38))</f>
        <v>60.3</v>
      </c>
      <c r="CN40" s="80">
        <f>IF(COUNT(CN8:CN38)=0,"",SUM(CN8:CN38))</f>
        <v>280.65217949999993</v>
      </c>
      <c r="CO40" s="73"/>
      <c r="CP40" s="74"/>
      <c r="CQ40" s="74"/>
      <c r="CR40" s="73"/>
      <c r="CS40" s="56" t="s">
        <v>2</v>
      </c>
      <c r="CT40" s="73"/>
      <c r="CU40" s="73"/>
      <c r="CV40" s="80">
        <f>IF(COUNT(CV8:CV38)=0,"",SUM(CV8:CV38))</f>
        <v>46.600000000000023</v>
      </c>
      <c r="CW40" s="80">
        <f>IF(COUNT(CW8:CW38)=0,"",SUM(CW8:CW38))</f>
        <v>309.62158400000015</v>
      </c>
      <c r="CX40" s="75"/>
      <c r="CY40" s="74"/>
      <c r="CZ40" s="74"/>
      <c r="DA40" s="74"/>
      <c r="DB40" s="73"/>
      <c r="DC40" s="56" t="s">
        <v>2</v>
      </c>
      <c r="DD40" s="73"/>
      <c r="DE40" s="73"/>
      <c r="DF40" s="80">
        <f>IF(COUNT(DF8:DF38)=0,"",SUM(DF8:DF38))</f>
        <v>427.5</v>
      </c>
      <c r="DG40" s="82">
        <f>IF(COUNT(DG8:DG38)=0,"",SUM(DG8:DG38))</f>
        <v>23.064150312000006</v>
      </c>
      <c r="DH40" s="73"/>
      <c r="DI40" s="74"/>
      <c r="DJ40" s="74"/>
      <c r="DK40" s="73"/>
      <c r="DL40" s="56" t="s">
        <v>2</v>
      </c>
      <c r="DM40" s="75"/>
      <c r="DN40" s="124"/>
      <c r="DO40" s="124"/>
      <c r="DP40" s="124"/>
      <c r="DQ40" s="75"/>
      <c r="DR40" s="73"/>
      <c r="DS40" s="124"/>
      <c r="DT40" s="73"/>
      <c r="DU40" s="75"/>
      <c r="DV40" s="124"/>
      <c r="DW40" s="124"/>
      <c r="DX40" s="124"/>
      <c r="DY40" s="73"/>
      <c r="DZ40" s="84" t="s">
        <v>27</v>
      </c>
      <c r="EA40" s="82">
        <f>IF(COUNT(EA8:EA38)=0,"",MIN(EA8:EA38))*100</f>
        <v>8.0882352941176467</v>
      </c>
      <c r="EB40" s="82">
        <f>IF(COUNT(EB8:EB38)=0,"",MIN(EB8:EB38))*100</f>
        <v>8.9705882352941178</v>
      </c>
      <c r="EC40" s="82">
        <f>IF(COUNT(EC8:EC38)=0,"",MIN(EC8:EC38))*100</f>
        <v>56.962025316455701</v>
      </c>
      <c r="ED40" s="82">
        <f>IF(COUNT(ED8:ED38)=0,"",MIN(ED8:ED38))</f>
        <v>0.92</v>
      </c>
      <c r="EE40" s="75"/>
      <c r="EF40" s="75"/>
      <c r="EG40" s="75"/>
      <c r="EH40" s="73"/>
      <c r="EI40" s="73"/>
      <c r="EJ40" s="351"/>
      <c r="EK40" s="351"/>
      <c r="EL40" s="351"/>
      <c r="EM40" s="351"/>
      <c r="EN40" s="351"/>
      <c r="EO40" s="351"/>
      <c r="EP40" s="351"/>
      <c r="EQ40" s="73"/>
      <c r="ER40" s="20"/>
      <c r="ES40" s="20"/>
      <c r="ET40" s="20"/>
      <c r="EU40" s="20"/>
      <c r="EV40" s="20"/>
      <c r="EW40" s="20"/>
      <c r="EX40" s="20"/>
    </row>
    <row r="41" spans="1:154" s="3" customFormat="1" ht="18" customHeight="1" x14ac:dyDescent="0.35">
      <c r="A41" s="56" t="s">
        <v>7</v>
      </c>
      <c r="B41" s="77"/>
      <c r="C41" s="78">
        <f>IF(COUNT(C8:C38)=0,"",AVERAGE(C8:C38))</f>
        <v>157.56666666666666</v>
      </c>
      <c r="D41" s="75"/>
      <c r="E41" s="74"/>
      <c r="F41" s="78">
        <f>IF(COUNT(F8:F38)=0,"",AVERAGE(F8:F38))</f>
        <v>160.06666666666666</v>
      </c>
      <c r="G41" s="81"/>
      <c r="H41" s="74"/>
      <c r="I41" s="78">
        <f>IF(COUNT(I8:I38)=0,"",AVERAGE(I8:I38))</f>
        <v>123.73333333333333</v>
      </c>
      <c r="J41" s="79"/>
      <c r="K41" s="56" t="s">
        <v>7</v>
      </c>
      <c r="L41" s="77"/>
      <c r="M41" s="78">
        <f>IF(COUNT(M8:M38)=0,"",AVERAGE(M8:M38))</f>
        <v>32.75</v>
      </c>
      <c r="N41" s="74"/>
      <c r="O41" s="78">
        <f>IF(COUNT(O8:O38)=0,"",AVERAGE(O8:O38))</f>
        <v>40.133333333333333</v>
      </c>
      <c r="P41" s="74"/>
      <c r="Q41" s="78">
        <f>IF(COUNT(Q8:Q38)=0,"",AVERAGE(Q8:Q38))</f>
        <v>36</v>
      </c>
      <c r="R41" s="77"/>
      <c r="S41" s="77"/>
      <c r="T41" s="77"/>
      <c r="U41" s="77"/>
      <c r="V41" s="79"/>
      <c r="W41" s="56" t="s">
        <v>7</v>
      </c>
      <c r="X41" s="75"/>
      <c r="Y41" s="75"/>
      <c r="Z41" s="75"/>
      <c r="AA41" s="75"/>
      <c r="AB41" s="75"/>
      <c r="AC41" s="75"/>
      <c r="AD41" s="75"/>
      <c r="AE41" s="75"/>
      <c r="AF41" s="79"/>
      <c r="AG41" s="56" t="s">
        <v>7</v>
      </c>
      <c r="AH41" s="75"/>
      <c r="AI41" s="75"/>
      <c r="AJ41" s="75"/>
      <c r="AK41" s="75"/>
      <c r="AL41" s="75"/>
      <c r="AM41" s="75"/>
      <c r="AN41" s="75"/>
      <c r="AO41" s="75"/>
      <c r="AP41" s="79"/>
      <c r="AQ41" s="56" t="s">
        <v>7</v>
      </c>
      <c r="AR41" s="75"/>
      <c r="AS41" s="75"/>
      <c r="AT41" s="75"/>
      <c r="AU41" s="75"/>
      <c r="AV41" s="75"/>
      <c r="AW41" s="75"/>
      <c r="AX41" s="75"/>
      <c r="AY41" s="75"/>
      <c r="AZ41" s="79"/>
      <c r="BA41" s="56" t="s">
        <v>7</v>
      </c>
      <c r="BB41" s="84">
        <f>IF(COUNT(BB8:BB38)=0,"",AVERAGE(BB8:BB38))</f>
        <v>0.90355000000000008</v>
      </c>
      <c r="BC41" s="78">
        <f t="shared" ref="BC41:BM41" si="48">IF(COUNT(BC8:BC38)=0,"",AVERAGE(BC8:BC38))</f>
        <v>34.450000000000003</v>
      </c>
      <c r="BD41" s="80">
        <f t="shared" si="48"/>
        <v>7.0750000000000002</v>
      </c>
      <c r="BE41" s="80">
        <f t="shared" si="48"/>
        <v>3.4850000000000003</v>
      </c>
      <c r="BF41" s="80">
        <f t="shared" si="48"/>
        <v>16.475000000000001</v>
      </c>
      <c r="BG41" s="80">
        <f t="shared" si="48"/>
        <v>7.08</v>
      </c>
      <c r="BH41" s="84">
        <f t="shared" si="48"/>
        <v>0.25205</v>
      </c>
      <c r="BI41" s="84">
        <f t="shared" si="48"/>
        <v>0.26850000000000007</v>
      </c>
      <c r="BJ41" s="84">
        <f t="shared" si="48"/>
        <v>5.2900000000000023E-2</v>
      </c>
      <c r="BK41" s="84">
        <f t="shared" si="48"/>
        <v>5.7050000000000024E-2</v>
      </c>
      <c r="BL41" s="84">
        <f t="shared" si="48"/>
        <v>5.4500000000000028E-2</v>
      </c>
      <c r="BM41" s="84">
        <f t="shared" si="48"/>
        <v>5.825000000000001E-2</v>
      </c>
      <c r="BN41" s="73"/>
      <c r="BO41" s="56" t="s">
        <v>7</v>
      </c>
      <c r="BP41" s="84">
        <f>IF(COUNT(BP8:BP38)=0,"",AVERAGE(BP8:BP38))</f>
        <v>0.13500000000000001</v>
      </c>
      <c r="BQ41" s="78">
        <f t="shared" ref="BQ41:BW41" si="49">IF(COUNT(BQ8:BQ38)=0,"",AVERAGE(BQ8:BQ38))</f>
        <v>0.16666666666666666</v>
      </c>
      <c r="BR41" s="80">
        <f t="shared" si="49"/>
        <v>7.1999999999999984</v>
      </c>
      <c r="BS41" s="80">
        <f t="shared" si="49"/>
        <v>8.3833333333333311</v>
      </c>
      <c r="BT41" s="80">
        <f t="shared" si="49"/>
        <v>18.954166666666666</v>
      </c>
      <c r="BU41" s="84">
        <f t="shared" si="49"/>
        <v>1.2833333333333337E-2</v>
      </c>
      <c r="BV41" s="82">
        <f t="shared" si="49"/>
        <v>1.1303333333333332</v>
      </c>
      <c r="BW41" s="82">
        <f t="shared" si="49"/>
        <v>0.94466666666666688</v>
      </c>
      <c r="BX41" s="75"/>
      <c r="BY41" s="83"/>
      <c r="BZ41" s="73"/>
      <c r="CA41" s="56" t="s">
        <v>7</v>
      </c>
      <c r="CB41" s="73"/>
      <c r="CC41" s="73"/>
      <c r="CD41" s="80">
        <f>IF(COUNT(CD8:CD38)=0,"",AVERAGE(CD8:CD38))</f>
        <v>1.1066666666666662</v>
      </c>
      <c r="CE41" s="82">
        <f>IF(COUNT(CE8:CE38)=0,"",AVERAGE(CE8:CE38))</f>
        <v>5.1507199333333329</v>
      </c>
      <c r="CF41" s="82">
        <f>IF(COUNT(CF8:CF38)=0,"",AVERAGE(CF8:CF38))</f>
        <v>4.9838422617683307</v>
      </c>
      <c r="CG41" s="74"/>
      <c r="CH41" s="74"/>
      <c r="CI41" s="73"/>
      <c r="CJ41" s="56" t="s">
        <v>7</v>
      </c>
      <c r="CK41" s="73"/>
      <c r="CL41" s="73"/>
      <c r="CM41" s="80">
        <f>IF(COUNT(CM8:CM38)=0,"",AVERAGE(CM8:CM38))</f>
        <v>2.0099999999999998</v>
      </c>
      <c r="CN41" s="80">
        <f>IF(COUNT(CN8:CN38)=0,"",AVERAGE(CN8:CN38))</f>
        <v>9.3550726499999985</v>
      </c>
      <c r="CO41" s="80">
        <f>IF(COUNT(CO8:CO38)=0,"",AVERAGE(CO8:CO38))</f>
        <v>23.648034905106837</v>
      </c>
      <c r="CP41" s="74"/>
      <c r="CQ41" s="74"/>
      <c r="CR41" s="73"/>
      <c r="CS41" s="56" t="s">
        <v>7</v>
      </c>
      <c r="CT41" s="73"/>
      <c r="CU41" s="73"/>
      <c r="CV41" s="80">
        <f>IF(COUNT(CV8:CV38)=0,"",AVERAGE(CV8:CV38))</f>
        <v>1.5533333333333341</v>
      </c>
      <c r="CW41" s="80">
        <f>IF(COUNT(CW8:CW38)=0,"",AVERAGE(CW8:CW38))</f>
        <v>10.320719466666672</v>
      </c>
      <c r="CX41" s="82">
        <f>IF(COUNT(CX8:CX38)=0,"",AVERAGE(CX8:CX38))</f>
        <v>6.4851807970271916E-2</v>
      </c>
      <c r="CY41" s="74"/>
      <c r="CZ41" s="74"/>
      <c r="DA41" s="74"/>
      <c r="DB41" s="73"/>
      <c r="DC41" s="56" t="s">
        <v>7</v>
      </c>
      <c r="DD41" s="73"/>
      <c r="DE41" s="73"/>
      <c r="DF41" s="80">
        <f>IF(COUNT(DF8:DF38)=0,"",AVERAGE(DF8:DF38))</f>
        <v>14.25</v>
      </c>
      <c r="DG41" s="82">
        <f>IF(COUNT(DG8:DG38)=0,"",AVERAGE(DG8:DG38))</f>
        <v>0.76880501040000016</v>
      </c>
      <c r="DH41" s="80">
        <f>IF(COUNT(DH8:DH38)=0,"",AVERAGE(DH8:DH38))</f>
        <v>4.8766473874832252</v>
      </c>
      <c r="DI41" s="74"/>
      <c r="DJ41" s="74"/>
      <c r="DK41" s="73"/>
      <c r="DL41" s="56" t="s">
        <v>7</v>
      </c>
      <c r="DM41" s="82">
        <f t="shared" ref="DM41:DW41" si="50">IF(COUNT(DM8:DM38)=0,"",AVERAGE(DM8:DM38))</f>
        <v>8.1873333333333331</v>
      </c>
      <c r="DN41" s="84">
        <f t="shared" si="50"/>
        <v>2.3900000000000012E-2</v>
      </c>
      <c r="DO41" s="84">
        <f t="shared" si="50"/>
        <v>3.3033333333333345E-2</v>
      </c>
      <c r="DP41" s="84">
        <f t="shared" si="50"/>
        <v>0.11509999999999998</v>
      </c>
      <c r="DQ41" s="82">
        <f t="shared" si="50"/>
        <v>6.8389655172413795</v>
      </c>
      <c r="DR41" s="80">
        <f t="shared" si="50"/>
        <v>8.3999999999999986</v>
      </c>
      <c r="DS41" s="84">
        <f t="shared" si="50"/>
        <v>1.1386666666666667</v>
      </c>
      <c r="DT41" s="80">
        <f t="shared" si="50"/>
        <v>85.226666666666688</v>
      </c>
      <c r="DU41" s="82">
        <f t="shared" si="50"/>
        <v>4.2386666666666661</v>
      </c>
      <c r="DV41" s="84">
        <f t="shared" si="50"/>
        <v>1.0039666666666667</v>
      </c>
      <c r="DW41" s="84">
        <f t="shared" si="50"/>
        <v>1.2503666666666666</v>
      </c>
      <c r="DX41" s="124"/>
      <c r="DY41" s="73"/>
      <c r="DZ41" s="84" t="s">
        <v>28</v>
      </c>
      <c r="EA41" s="82">
        <f>IF(COUNT(EA8:EA38)=0,"",MAX(EA8:EA38))*100</f>
        <v>15.040106951871657</v>
      </c>
      <c r="EB41" s="82">
        <f>IF(COUNT(EB8:EB38)=0,"",MAX(EB8:EB38))*100</f>
        <v>15.073529411764705</v>
      </c>
      <c r="EC41" s="82">
        <f>IF(COUNT(EC8:EC38)=0,"",MAX(EC8:EC38))*100</f>
        <v>91.219512195121951</v>
      </c>
      <c r="ED41" s="75"/>
      <c r="EE41" s="82">
        <f>IF(COUNT(EE8:EE38)=0,"",MAX(EE8:EE38))</f>
        <v>1.29</v>
      </c>
      <c r="EF41" s="82">
        <f>IF(COUNT(EF8:EF38)=0,"",MAX(EF8:EF38))</f>
        <v>3</v>
      </c>
      <c r="EG41" s="82">
        <f>IF(COUNT(EG8:EG38)=0,"",MAX(EG8:EG38))</f>
        <v>3</v>
      </c>
      <c r="EH41" s="73"/>
      <c r="EI41" s="73"/>
      <c r="EJ41" s="351"/>
      <c r="EK41" s="351"/>
      <c r="EL41" s="351"/>
      <c r="EM41" s="351"/>
      <c r="EN41" s="351"/>
      <c r="EO41" s="351"/>
      <c r="EP41" s="351"/>
      <c r="EQ41" s="73"/>
      <c r="ER41" s="20"/>
      <c r="ES41" s="20"/>
      <c r="ET41" s="20"/>
      <c r="EU41" s="20"/>
      <c r="EV41" s="20"/>
      <c r="EW41" s="20"/>
      <c r="EX41" s="20"/>
    </row>
    <row r="42" spans="1:154" ht="25.5" customHeight="1" x14ac:dyDescent="0.5">
      <c r="A42" s="314" t="s">
        <v>449</v>
      </c>
      <c r="B42" s="314"/>
      <c r="C42" s="314"/>
      <c r="D42" s="314"/>
      <c r="E42" s="314"/>
      <c r="F42" s="315" t="s">
        <v>115</v>
      </c>
      <c r="G42" s="315"/>
      <c r="H42" s="315"/>
      <c r="I42" s="315"/>
      <c r="J42" s="315"/>
      <c r="K42" s="314" t="str">
        <f>IF(A42="","",A42)</f>
        <v>Drinking Water System</v>
      </c>
      <c r="L42" s="314"/>
      <c r="M42" s="314"/>
      <c r="N42" s="314"/>
      <c r="O42" s="315" t="s">
        <v>125</v>
      </c>
      <c r="P42" s="315"/>
      <c r="Q42" s="315"/>
      <c r="R42" s="315"/>
      <c r="S42" s="315"/>
      <c r="T42" s="315"/>
      <c r="U42" s="315"/>
      <c r="V42" s="315"/>
      <c r="W42" s="314" t="str">
        <f>IF(A42="","",A42)</f>
        <v>Drinking Water System</v>
      </c>
      <c r="X42" s="314"/>
      <c r="Y42" s="314"/>
      <c r="Z42" s="314"/>
      <c r="AA42" s="314"/>
      <c r="AB42" s="315" t="s">
        <v>129</v>
      </c>
      <c r="AC42" s="315"/>
      <c r="AD42" s="315"/>
      <c r="AE42" s="315"/>
      <c r="AF42" s="315"/>
      <c r="AG42" s="314" t="str">
        <f>IF(A42="","",A42)</f>
        <v>Drinking Water System</v>
      </c>
      <c r="AH42" s="314"/>
      <c r="AI42" s="314"/>
      <c r="AJ42" s="314"/>
      <c r="AK42" s="314"/>
      <c r="AL42" s="315" t="s">
        <v>93</v>
      </c>
      <c r="AM42" s="315"/>
      <c r="AN42" s="315"/>
      <c r="AO42" s="315"/>
      <c r="AP42" s="315"/>
      <c r="AQ42" s="314" t="str">
        <f>IF(A42="","",A42)</f>
        <v>Drinking Water System</v>
      </c>
      <c r="AR42" s="314"/>
      <c r="AS42" s="314"/>
      <c r="AT42" s="314"/>
      <c r="AU42" s="314"/>
      <c r="AV42" s="315" t="s">
        <v>135</v>
      </c>
      <c r="AW42" s="315"/>
      <c r="AX42" s="315"/>
      <c r="AY42" s="315"/>
      <c r="AZ42" s="315"/>
      <c r="BA42" s="314" t="str">
        <f>IF(A42="","",A42)</f>
        <v>Drinking Water System</v>
      </c>
      <c r="BB42" s="314"/>
      <c r="BC42" s="314"/>
      <c r="BD42" s="314"/>
      <c r="BE42" s="314"/>
      <c r="BF42" s="352" t="s">
        <v>145</v>
      </c>
      <c r="BG42" s="352"/>
      <c r="BH42" s="352"/>
      <c r="BI42" s="352"/>
      <c r="BJ42" s="352"/>
      <c r="BK42" s="352"/>
      <c r="BL42" s="352"/>
      <c r="BM42" s="352"/>
      <c r="BN42" s="352"/>
      <c r="BO42" s="314" t="str">
        <f>IF(A42="","",A42)</f>
        <v>Drinking Water System</v>
      </c>
      <c r="BP42" s="314"/>
      <c r="BQ42" s="314"/>
      <c r="BR42" s="314"/>
      <c r="BS42" s="314"/>
      <c r="BT42" s="315" t="s">
        <v>100</v>
      </c>
      <c r="BU42" s="315"/>
      <c r="BV42" s="315"/>
      <c r="BW42" s="315"/>
      <c r="BX42" s="315"/>
      <c r="BY42" s="315"/>
      <c r="BZ42" s="315"/>
      <c r="CA42" s="314" t="str">
        <f>IF(A42="","",A42)</f>
        <v>Drinking Water System</v>
      </c>
      <c r="CB42" s="314"/>
      <c r="CC42" s="314"/>
      <c r="CD42" s="314"/>
      <c r="CE42" s="315" t="s">
        <v>154</v>
      </c>
      <c r="CF42" s="315"/>
      <c r="CG42" s="315"/>
      <c r="CH42" s="315"/>
      <c r="CI42" s="315"/>
      <c r="CJ42" s="314" t="str">
        <f>IF(A42="","",A42)</f>
        <v>Drinking Water System</v>
      </c>
      <c r="CK42" s="314"/>
      <c r="CL42" s="314"/>
      <c r="CM42" s="314"/>
      <c r="CN42" s="315" t="s">
        <v>155</v>
      </c>
      <c r="CO42" s="315"/>
      <c r="CP42" s="315"/>
      <c r="CQ42" s="315"/>
      <c r="CR42" s="315"/>
      <c r="CS42" s="314" t="str">
        <f>IF(A42="","",A42)</f>
        <v>Drinking Water System</v>
      </c>
      <c r="CT42" s="314"/>
      <c r="CU42" s="314"/>
      <c r="CV42" s="314"/>
      <c r="CW42" s="315" t="s">
        <v>101</v>
      </c>
      <c r="CX42" s="315"/>
      <c r="CY42" s="315"/>
      <c r="CZ42" s="315"/>
      <c r="DA42" s="315"/>
      <c r="DB42" s="315"/>
      <c r="DC42" s="314" t="str">
        <f>IF(A42="","",A42)</f>
        <v>Drinking Water System</v>
      </c>
      <c r="DD42" s="314"/>
      <c r="DE42" s="314"/>
      <c r="DF42" s="314"/>
      <c r="DG42" s="315" t="s">
        <v>159</v>
      </c>
      <c r="DH42" s="315"/>
      <c r="DI42" s="315"/>
      <c r="DJ42" s="315"/>
      <c r="DK42" s="315"/>
      <c r="DL42" s="324" t="str">
        <f>IF(A42="","",A42)</f>
        <v>Drinking Water System</v>
      </c>
      <c r="DM42" s="324"/>
      <c r="DN42" s="324"/>
      <c r="DO42" s="324"/>
      <c r="DP42" s="324"/>
      <c r="DQ42" s="325" t="s">
        <v>168</v>
      </c>
      <c r="DR42" s="325"/>
      <c r="DS42" s="325"/>
      <c r="DT42" s="325"/>
      <c r="DU42" s="325"/>
      <c r="DV42" s="325"/>
      <c r="DW42" s="325"/>
      <c r="DX42" s="325"/>
      <c r="DY42" s="325"/>
      <c r="DZ42" s="324" t="str">
        <f>IF(A42="","",A42)</f>
        <v>Drinking Water System</v>
      </c>
      <c r="EA42" s="324"/>
      <c r="EB42" s="324"/>
      <c r="EC42" s="324"/>
      <c r="ED42" s="324"/>
      <c r="EE42" s="324"/>
      <c r="EF42" s="325" t="s">
        <v>91</v>
      </c>
      <c r="EG42" s="325"/>
      <c r="EH42" s="325"/>
      <c r="EI42" s="314" t="str">
        <f>IF(A42="","",A42)</f>
        <v>Drinking Water System</v>
      </c>
      <c r="EJ42" s="314"/>
      <c r="EK42" s="314"/>
      <c r="EL42" s="314"/>
      <c r="EM42" s="315" t="s">
        <v>33</v>
      </c>
      <c r="EN42" s="315"/>
      <c r="EO42" s="315"/>
      <c r="EP42" s="315"/>
      <c r="EQ42" s="315"/>
    </row>
    <row r="43" spans="1:154" ht="14.15" customHeight="1" x14ac:dyDescent="0.35"/>
    <row r="44" spans="1:154" s="10" customFormat="1" ht="14.15" customHeight="1" x14ac:dyDescent="0.35">
      <c r="A44" s="20"/>
      <c r="B44" s="5"/>
      <c r="C44" s="5"/>
      <c r="D44" s="23"/>
      <c r="E44" s="5"/>
      <c r="F44" s="5"/>
      <c r="G44" s="23"/>
      <c r="H44" s="5"/>
      <c r="I44" s="5"/>
      <c r="J44" s="20"/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3"/>
      <c r="Y44" s="23"/>
      <c r="Z44" s="23"/>
      <c r="AA44" s="23"/>
      <c r="AB44" s="23"/>
      <c r="AC44" s="23"/>
      <c r="AD44" s="23"/>
      <c r="AE44" s="23"/>
      <c r="AF44" s="22"/>
      <c r="AG44" s="20"/>
      <c r="AH44" s="20"/>
      <c r="AI44" s="5"/>
      <c r="AJ44" s="5"/>
      <c r="AK44" s="5"/>
      <c r="AL44" s="5"/>
      <c r="AM44" s="5"/>
      <c r="AN44" s="5"/>
      <c r="AO44" s="22"/>
      <c r="AP44" s="5"/>
      <c r="AQ44" s="5"/>
      <c r="AR44" s="23"/>
      <c r="AS44" s="23"/>
      <c r="AT44" s="23"/>
      <c r="AU44" s="23"/>
      <c r="AV44" s="23"/>
      <c r="AW44" s="23"/>
      <c r="AX44" s="23"/>
      <c r="AY44" s="23"/>
      <c r="AZ44" s="5"/>
      <c r="BA44" s="38"/>
      <c r="BB44" s="13"/>
      <c r="BC44" s="11"/>
      <c r="BD44" s="12"/>
      <c r="BE44" s="12"/>
      <c r="BF44" s="12"/>
      <c r="BG44" s="12"/>
      <c r="BH44" s="38"/>
      <c r="BI44" s="38"/>
      <c r="BJ44" s="38"/>
      <c r="BK44" s="38"/>
      <c r="BL44" s="38"/>
      <c r="BM44" s="38"/>
      <c r="BN44" s="12"/>
      <c r="BO44" s="13"/>
      <c r="BP44" s="38"/>
      <c r="BQ44" s="11"/>
      <c r="BR44" s="12"/>
      <c r="BS44" s="12"/>
      <c r="BT44" s="12"/>
      <c r="BU44" s="38"/>
      <c r="BV44" s="13"/>
      <c r="BW44" s="13"/>
      <c r="BX44" s="12"/>
      <c r="BY44" s="11"/>
      <c r="BZ44" s="11"/>
      <c r="CB44" s="12"/>
      <c r="CC44" s="12"/>
      <c r="CD44" s="12"/>
      <c r="CE44" s="13"/>
      <c r="CF44" s="13"/>
      <c r="CG44" s="11"/>
      <c r="CH44" s="11"/>
      <c r="CI44" s="12"/>
      <c r="CJ44" s="13"/>
      <c r="CK44" s="12"/>
      <c r="CL44" s="12"/>
      <c r="CM44" s="12"/>
      <c r="CN44" s="12"/>
      <c r="CO44" s="12"/>
      <c r="CU44" s="13"/>
      <c r="CV44" s="11"/>
      <c r="CW44" s="12"/>
      <c r="CX44" s="13"/>
      <c r="CY44" s="12"/>
      <c r="CZ44" s="12"/>
      <c r="DA44" s="38"/>
      <c r="DB44" s="12"/>
      <c r="DC44" s="38"/>
      <c r="DD44" s="12"/>
      <c r="DE44" s="12"/>
      <c r="DF44" s="12"/>
      <c r="DG44" s="13"/>
      <c r="DH44" s="12"/>
      <c r="DI44" s="11"/>
      <c r="DJ44" s="11"/>
      <c r="DK44" s="38"/>
      <c r="DM44" s="13"/>
      <c r="DN44" s="38"/>
      <c r="DO44" s="38"/>
      <c r="DP44" s="38"/>
      <c r="DQ44" s="13"/>
      <c r="DR44" s="12"/>
      <c r="DS44" s="38"/>
      <c r="DT44" s="12"/>
      <c r="DU44" s="13"/>
      <c r="DV44" s="38"/>
      <c r="DW44" s="38"/>
      <c r="EB44" s="55"/>
      <c r="EC44" s="55"/>
      <c r="ED44" s="13"/>
      <c r="EE44" s="13"/>
      <c r="EF44" s="13"/>
      <c r="EG44" s="13"/>
    </row>
    <row r="45" spans="1:154" ht="22.5" customHeight="1" x14ac:dyDescent="0.35"/>
  </sheetData>
  <sheetProtection selectLockedCells="1"/>
  <mergeCells count="282">
    <mergeCell ref="A3:E3"/>
    <mergeCell ref="F3:J3"/>
    <mergeCell ref="K3:N3"/>
    <mergeCell ref="O3:V3"/>
    <mergeCell ref="W3:AA3"/>
    <mergeCell ref="AB3:AF3"/>
    <mergeCell ref="BO1:BZ2"/>
    <mergeCell ref="A1:J2"/>
    <mergeCell ref="K1:V2"/>
    <mergeCell ref="W1:AF2"/>
    <mergeCell ref="AG1:AP2"/>
    <mergeCell ref="AQ1:AZ2"/>
    <mergeCell ref="BA1:BN2"/>
    <mergeCell ref="BT3:BZ3"/>
    <mergeCell ref="AG3:AK3"/>
    <mergeCell ref="AL3:AP3"/>
    <mergeCell ref="EI1:EQ2"/>
    <mergeCell ref="CA1:CI2"/>
    <mergeCell ref="CJ1:CR2"/>
    <mergeCell ref="CS1:DB2"/>
    <mergeCell ref="DC1:DK2"/>
    <mergeCell ref="DL1:DP2"/>
    <mergeCell ref="DZ1:EA2"/>
    <mergeCell ref="EB1:EG2"/>
    <mergeCell ref="EI3:EL3"/>
    <mergeCell ref="EM3:EQ3"/>
    <mergeCell ref="DQ3:DY3"/>
    <mergeCell ref="DZ3:EE3"/>
    <mergeCell ref="EF3:EH3"/>
    <mergeCell ref="CA3:CD3"/>
    <mergeCell ref="CE3:CI3"/>
    <mergeCell ref="CJ3:CM3"/>
    <mergeCell ref="CN3:CR3"/>
    <mergeCell ref="CS3:CV3"/>
    <mergeCell ref="A4:A7"/>
    <mergeCell ref="B4:D4"/>
    <mergeCell ref="E4:G4"/>
    <mergeCell ref="H4:I4"/>
    <mergeCell ref="J4:J7"/>
    <mergeCell ref="CW3:DB3"/>
    <mergeCell ref="AQ3:AU3"/>
    <mergeCell ref="AV3:AZ3"/>
    <mergeCell ref="DL3:DP3"/>
    <mergeCell ref="AZ4:AZ7"/>
    <mergeCell ref="BA4:BA7"/>
    <mergeCell ref="BB4:BF4"/>
    <mergeCell ref="BG4:BG7"/>
    <mergeCell ref="S5:S7"/>
    <mergeCell ref="T5:T7"/>
    <mergeCell ref="U5:U7"/>
    <mergeCell ref="BA3:BE3"/>
    <mergeCell ref="BF3:BN3"/>
    <mergeCell ref="K4:K7"/>
    <mergeCell ref="L4:M4"/>
    <mergeCell ref="N4:O4"/>
    <mergeCell ref="DC3:DF3"/>
    <mergeCell ref="DG3:DK3"/>
    <mergeCell ref="BO3:BS3"/>
    <mergeCell ref="CC4:CC7"/>
    <mergeCell ref="CM4:CM7"/>
    <mergeCell ref="CN4:CN7"/>
    <mergeCell ref="CO4:CO7"/>
    <mergeCell ref="CP4:CP7"/>
    <mergeCell ref="AV6:AV7"/>
    <mergeCell ref="AW6:AW7"/>
    <mergeCell ref="AX6:AX7"/>
    <mergeCell ref="AY6:AY7"/>
    <mergeCell ref="BF5:BF7"/>
    <mergeCell ref="BH4:BI4"/>
    <mergeCell ref="BW4:BY4"/>
    <mergeCell ref="BK5:BK7"/>
    <mergeCell ref="BL5:BL7"/>
    <mergeCell ref="BM5:BM7"/>
    <mergeCell ref="AV5:AW5"/>
    <mergeCell ref="AX5:AY5"/>
    <mergeCell ref="BB5:BB7"/>
    <mergeCell ref="BC5:BC7"/>
    <mergeCell ref="BD5:BD7"/>
    <mergeCell ref="BT5:BT7"/>
    <mergeCell ref="BU5:BU7"/>
    <mergeCell ref="DP5:DP7"/>
    <mergeCell ref="BE5:BE7"/>
    <mergeCell ref="BI5:BI7"/>
    <mergeCell ref="BJ5:BJ7"/>
    <mergeCell ref="BQ5:BQ7"/>
    <mergeCell ref="BP5:BP7"/>
    <mergeCell ref="BR5:BR7"/>
    <mergeCell ref="BS5:BS7"/>
    <mergeCell ref="BW5:BW7"/>
    <mergeCell ref="BX5:BX7"/>
    <mergeCell ref="DJ4:DJ7"/>
    <mergeCell ref="DK4:DK7"/>
    <mergeCell ref="DL4:DL7"/>
    <mergeCell ref="BV5:BV7"/>
    <mergeCell ref="BJ4:BK4"/>
    <mergeCell ref="BL4:BM4"/>
    <mergeCell ref="BN4:BN7"/>
    <mergeCell ref="BO4:BO7"/>
    <mergeCell ref="BP4:BV4"/>
    <mergeCell ref="BH5:BH7"/>
    <mergeCell ref="CI4:CI7"/>
    <mergeCell ref="CJ4:CJ7"/>
    <mergeCell ref="CA4:CA7"/>
    <mergeCell ref="CB4:CB7"/>
    <mergeCell ref="EQ4:EQ7"/>
    <mergeCell ref="B5:B7"/>
    <mergeCell ref="C5:C7"/>
    <mergeCell ref="D5:D7"/>
    <mergeCell ref="E5:E7"/>
    <mergeCell ref="F5:F7"/>
    <mergeCell ref="G5:G7"/>
    <mergeCell ref="H5:H7"/>
    <mergeCell ref="DD4:DD7"/>
    <mergeCell ref="DE4:DE7"/>
    <mergeCell ref="ED4:EE4"/>
    <mergeCell ref="EH4:EH7"/>
    <mergeCell ref="X5:Y5"/>
    <mergeCell ref="Z5:AA5"/>
    <mergeCell ref="AB5:AC5"/>
    <mergeCell ref="AD5:AE5"/>
    <mergeCell ref="DO5:DO7"/>
    <mergeCell ref="DF4:DF7"/>
    <mergeCell ref="DG4:DG7"/>
    <mergeCell ref="DH4:DH7"/>
    <mergeCell ref="I5:I7"/>
    <mergeCell ref="DY4:DY7"/>
    <mergeCell ref="DZ4:DZ7"/>
    <mergeCell ref="EA4:EC4"/>
    <mergeCell ref="DB4:DB7"/>
    <mergeCell ref="DC4:DC7"/>
    <mergeCell ref="AV4:AY4"/>
    <mergeCell ref="DT5:DT7"/>
    <mergeCell ref="DU5:DU7"/>
    <mergeCell ref="CR4:CR7"/>
    <mergeCell ref="DN5:DN7"/>
    <mergeCell ref="DQ5:DQ7"/>
    <mergeCell ref="DR5:DR7"/>
    <mergeCell ref="CS4:CS7"/>
    <mergeCell ref="BY5:BY7"/>
    <mergeCell ref="BZ4:BZ7"/>
    <mergeCell ref="CD4:CD7"/>
    <mergeCell ref="CE4:CE7"/>
    <mergeCell ref="DS5:DS7"/>
    <mergeCell ref="CQ4:CQ7"/>
    <mergeCell ref="CF4:CF7"/>
    <mergeCell ref="CG4:CG7"/>
    <mergeCell ref="CH4:CH7"/>
    <mergeCell ref="CK4:CK7"/>
    <mergeCell ref="DN4:DO4"/>
    <mergeCell ref="DM5:DM7"/>
    <mergeCell ref="DI4:DI7"/>
    <mergeCell ref="DP4:DU4"/>
    <mergeCell ref="L5:L7"/>
    <mergeCell ref="M5:M7"/>
    <mergeCell ref="N5:N7"/>
    <mergeCell ref="O5:O7"/>
    <mergeCell ref="P5:P7"/>
    <mergeCell ref="Q5:Q7"/>
    <mergeCell ref="P4:Q4"/>
    <mergeCell ref="R4:U4"/>
    <mergeCell ref="V4:V7"/>
    <mergeCell ref="W4:W7"/>
    <mergeCell ref="X4:AA4"/>
    <mergeCell ref="AB4:AE4"/>
    <mergeCell ref="R5:R7"/>
    <mergeCell ref="X6:X7"/>
    <mergeCell ref="Y6:Y7"/>
    <mergeCell ref="Z6:Z7"/>
    <mergeCell ref="CZ4:CZ7"/>
    <mergeCell ref="DA4:DA7"/>
    <mergeCell ref="AH4:AO4"/>
    <mergeCell ref="AL5:AM5"/>
    <mergeCell ref="AN5:AO5"/>
    <mergeCell ref="AH5:AI5"/>
    <mergeCell ref="AJ5:AK5"/>
    <mergeCell ref="CL4:CL7"/>
    <mergeCell ref="CT4:CT7"/>
    <mergeCell ref="CU4:CU7"/>
    <mergeCell ref="CV4:CV7"/>
    <mergeCell ref="CW4:CW7"/>
    <mergeCell ref="CX4:CX7"/>
    <mergeCell ref="CY4:CY7"/>
    <mergeCell ref="AA6:AA7"/>
    <mergeCell ref="AB6:AB7"/>
    <mergeCell ref="AC6:AC7"/>
    <mergeCell ref="AD6:AD7"/>
    <mergeCell ref="AE6:AE7"/>
    <mergeCell ref="AH6:AH7"/>
    <mergeCell ref="AO6:AO7"/>
    <mergeCell ref="AR6:AR7"/>
    <mergeCell ref="AS6:AS7"/>
    <mergeCell ref="AQ4:AQ7"/>
    <mergeCell ref="AR4:AU4"/>
    <mergeCell ref="AR5:AS5"/>
    <mergeCell ref="AT5:AU5"/>
    <mergeCell ref="AT6:AT7"/>
    <mergeCell ref="AU6:AU7"/>
    <mergeCell ref="AP4:AP7"/>
    <mergeCell ref="AI6:AI7"/>
    <mergeCell ref="AJ6:AJ7"/>
    <mergeCell ref="AK6:AK7"/>
    <mergeCell ref="AL6:AL7"/>
    <mergeCell ref="AM6:AM7"/>
    <mergeCell ref="AN6:AN7"/>
    <mergeCell ref="AF4:AF7"/>
    <mergeCell ref="AG4:AG7"/>
    <mergeCell ref="EJ9:EP9"/>
    <mergeCell ref="EJ10:EP10"/>
    <mergeCell ref="EJ11:EP11"/>
    <mergeCell ref="EJ12:EP12"/>
    <mergeCell ref="EJ13:EP13"/>
    <mergeCell ref="DV5:DV7"/>
    <mergeCell ref="DW5:DW7"/>
    <mergeCell ref="DX5:DX7"/>
    <mergeCell ref="EA5:EA7"/>
    <mergeCell ref="EJ8:EP8"/>
    <mergeCell ref="EG5:EG7"/>
    <mergeCell ref="EJ4:EP7"/>
    <mergeCell ref="DV4:DX4"/>
    <mergeCell ref="EI4:EI7"/>
    <mergeCell ref="EB5:EB7"/>
    <mergeCell ref="EC5:EC7"/>
    <mergeCell ref="ED5:EE5"/>
    <mergeCell ref="EF5:EF7"/>
    <mergeCell ref="ED6:ED7"/>
    <mergeCell ref="EE6:EE7"/>
    <mergeCell ref="EJ21:EP21"/>
    <mergeCell ref="EJ22:EP22"/>
    <mergeCell ref="EJ23:EP23"/>
    <mergeCell ref="EJ24:EP24"/>
    <mergeCell ref="EJ25:EP25"/>
    <mergeCell ref="EJ14:EP14"/>
    <mergeCell ref="EJ36:EP36"/>
    <mergeCell ref="EJ37:EP37"/>
    <mergeCell ref="EJ38:EP38"/>
    <mergeCell ref="EJ26:EP26"/>
    <mergeCell ref="EJ15:EP15"/>
    <mergeCell ref="EJ16:EP16"/>
    <mergeCell ref="EJ17:EP17"/>
    <mergeCell ref="EJ18:EP18"/>
    <mergeCell ref="EJ19:EP19"/>
    <mergeCell ref="EJ20:EP20"/>
    <mergeCell ref="BF42:BN42"/>
    <mergeCell ref="BO42:BS42"/>
    <mergeCell ref="EJ27:EP27"/>
    <mergeCell ref="EJ28:EP28"/>
    <mergeCell ref="EJ29:EP29"/>
    <mergeCell ref="EJ30:EP30"/>
    <mergeCell ref="EJ31:EP31"/>
    <mergeCell ref="EJ32:EP32"/>
    <mergeCell ref="EJ33:EP33"/>
    <mergeCell ref="EJ34:EP34"/>
    <mergeCell ref="EJ35:EP35"/>
    <mergeCell ref="DC42:DF42"/>
    <mergeCell ref="DG42:DK42"/>
    <mergeCell ref="DL42:DP42"/>
    <mergeCell ref="DQ42:DY42"/>
    <mergeCell ref="DZ42:EE42"/>
    <mergeCell ref="A42:E42"/>
    <mergeCell ref="F42:J42"/>
    <mergeCell ref="K42:N42"/>
    <mergeCell ref="O42:V42"/>
    <mergeCell ref="W42:AA42"/>
    <mergeCell ref="EJ39:EP39"/>
    <mergeCell ref="EJ40:EP40"/>
    <mergeCell ref="EJ41:EP41"/>
    <mergeCell ref="EF42:EH42"/>
    <mergeCell ref="EI42:EL42"/>
    <mergeCell ref="AG42:AK42"/>
    <mergeCell ref="BT42:BZ42"/>
    <mergeCell ref="CA42:CD42"/>
    <mergeCell ref="EM42:EQ42"/>
    <mergeCell ref="CW42:DB42"/>
    <mergeCell ref="AB42:AF42"/>
    <mergeCell ref="CE42:CI42"/>
    <mergeCell ref="CJ42:CM42"/>
    <mergeCell ref="CN42:CR42"/>
    <mergeCell ref="CS42:CV42"/>
    <mergeCell ref="AL42:AP42"/>
    <mergeCell ref="AQ42:AU42"/>
    <mergeCell ref="AV42:AZ42"/>
    <mergeCell ref="BA42:BE42"/>
  </mergeCells>
  <pageMargins left="0.23622047244094491" right="0.23622047244094491" top="0.31496062992125984" bottom="0.74803149606299213" header="0.31496062992125984" footer="0.31496062992125984"/>
  <pageSetup pageOrder="overThenDown" orientation="portrait" horizontalDpi="4294967293" verticalDpi="4294967293" r:id="rId1"/>
  <headerFooter>
    <evenHeader>&amp;L&amp;28Red Lake WPCP&amp;R&amp;28New Plant</even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EX45"/>
  <sheetViews>
    <sheetView showGridLines="0" view="pageLayout" workbookViewId="0">
      <selection activeCell="D18" sqref="D18"/>
    </sheetView>
  </sheetViews>
  <sheetFormatPr defaultColWidth="9.1796875" defaultRowHeight="14.5" x14ac:dyDescent="0.35"/>
  <cols>
    <col min="1" max="1" width="6" style="20" customWidth="1"/>
    <col min="2" max="2" width="14" style="5" customWidth="1"/>
    <col min="3" max="3" width="8.54296875" style="5" customWidth="1"/>
    <col min="4" max="4" width="9.7265625" style="23" customWidth="1"/>
    <col min="5" max="5" width="14" style="5" customWidth="1"/>
    <col min="6" max="6" width="8.54296875" style="5" customWidth="1"/>
    <col min="7" max="7" width="9.7265625" style="23" customWidth="1"/>
    <col min="8" max="8" width="14" style="5" customWidth="1"/>
    <col min="9" max="9" width="8.54296875" style="5" customWidth="1"/>
    <col min="10" max="10" width="8.26953125" style="20" customWidth="1"/>
    <col min="11" max="11" width="5.54296875" style="20" customWidth="1"/>
    <col min="12" max="12" width="11.453125" style="5" customWidth="1"/>
    <col min="13" max="13" width="8" style="5" customWidth="1"/>
    <col min="14" max="14" width="11.453125" style="5" customWidth="1"/>
    <col min="15" max="15" width="8" style="5" customWidth="1"/>
    <col min="16" max="16" width="11.453125" style="5" customWidth="1"/>
    <col min="17" max="17" width="8" style="5" customWidth="1"/>
    <col min="18" max="21" width="7.453125" style="5" customWidth="1"/>
    <col min="22" max="22" width="7.7265625" style="5" customWidth="1"/>
    <col min="23" max="23" width="6" style="5" customWidth="1"/>
    <col min="24" max="24" width="12.7265625" style="23" customWidth="1"/>
    <col min="25" max="25" width="9" style="23" customWidth="1"/>
    <col min="26" max="26" width="12.7265625" style="23" customWidth="1"/>
    <col min="27" max="27" width="9" style="23" customWidth="1"/>
    <col min="28" max="28" width="12.7265625" style="23" customWidth="1"/>
    <col min="29" max="29" width="9" style="23" customWidth="1"/>
    <col min="30" max="30" width="12.7265625" style="23" customWidth="1"/>
    <col min="31" max="31" width="9" style="23" customWidth="1"/>
    <col min="32" max="32" width="8" style="22" customWidth="1"/>
    <col min="33" max="33" width="6" style="20" customWidth="1"/>
    <col min="34" max="34" width="12.7265625" style="20" customWidth="1"/>
    <col min="35" max="35" width="9" style="5" customWidth="1"/>
    <col min="36" max="36" width="12.7265625" style="5" customWidth="1"/>
    <col min="37" max="37" width="9" style="5" customWidth="1"/>
    <col min="38" max="38" width="12.7265625" style="5" customWidth="1"/>
    <col min="39" max="39" width="9" style="5" customWidth="1"/>
    <col min="40" max="40" width="12.7265625" style="5" customWidth="1"/>
    <col min="41" max="41" width="9" style="22" customWidth="1"/>
    <col min="42" max="42" width="8" style="5" customWidth="1"/>
    <col min="43" max="43" width="6" style="5" customWidth="1"/>
    <col min="44" max="44" width="12.7265625" style="23" customWidth="1"/>
    <col min="45" max="45" width="9" style="23" customWidth="1"/>
    <col min="46" max="46" width="12.7265625" style="23" customWidth="1"/>
    <col min="47" max="47" width="9" style="23" customWidth="1"/>
    <col min="48" max="48" width="12.7265625" style="23" customWidth="1"/>
    <col min="49" max="49" width="9" style="23" customWidth="1"/>
    <col min="50" max="50" width="12.7265625" style="23" customWidth="1"/>
    <col min="51" max="51" width="9" style="23" customWidth="1"/>
    <col min="52" max="52" width="8" style="5" customWidth="1"/>
    <col min="53" max="53" width="5.7265625" style="21" customWidth="1"/>
    <col min="54" max="54" width="7.1796875" style="23" customWidth="1"/>
    <col min="55" max="55" width="6.7265625" style="5" customWidth="1"/>
    <col min="56" max="57" width="6.7265625" style="22" customWidth="1"/>
    <col min="58" max="58" width="7.1796875" style="22" customWidth="1"/>
    <col min="59" max="59" width="6.7265625" style="22" customWidth="1"/>
    <col min="60" max="65" width="8" style="21" customWidth="1"/>
    <col min="66" max="66" width="6.81640625" style="22" customWidth="1"/>
    <col min="67" max="67" width="5.7265625" style="23" customWidth="1"/>
    <col min="68" max="68" width="8.54296875" style="21" customWidth="1"/>
    <col min="69" max="69" width="6.81640625" style="5" customWidth="1"/>
    <col min="70" max="70" width="6.7265625" style="22" customWidth="1"/>
    <col min="71" max="71" width="7.1796875" style="22" customWidth="1"/>
    <col min="72" max="72" width="8" style="22" customWidth="1"/>
    <col min="73" max="73" width="8.453125" style="21" customWidth="1"/>
    <col min="74" max="75" width="8.26953125" style="23" customWidth="1"/>
    <col min="76" max="76" width="8" style="22" customWidth="1"/>
    <col min="77" max="77" width="18.1796875" style="5" customWidth="1"/>
    <col min="78" max="78" width="7.453125" style="5" customWidth="1"/>
    <col min="79" max="79" width="7.1796875" style="20" customWidth="1"/>
    <col min="80" max="82" width="12" style="22" customWidth="1"/>
    <col min="83" max="84" width="12" style="23" customWidth="1"/>
    <col min="85" max="86" width="12" style="5" customWidth="1"/>
    <col min="87" max="87" width="9.1796875" style="22" customWidth="1"/>
    <col min="88" max="88" width="7.1796875" style="23" customWidth="1"/>
    <col min="89" max="93" width="12" style="22" customWidth="1"/>
    <col min="94" max="95" width="12" style="20" customWidth="1"/>
    <col min="96" max="96" width="9.1796875" style="20" customWidth="1"/>
    <col min="97" max="97" width="6.26953125" style="20" customWidth="1"/>
    <col min="98" max="98" width="9.453125" style="20" customWidth="1"/>
    <col min="99" max="99" width="13.81640625" style="23" customWidth="1"/>
    <col min="100" max="100" width="9.7265625" style="5" customWidth="1"/>
    <col min="101" max="101" width="9.7265625" style="22" customWidth="1"/>
    <col min="102" max="102" width="10" style="23" customWidth="1"/>
    <col min="103" max="104" width="12" style="22" customWidth="1"/>
    <col min="105" max="105" width="10.54296875" style="21" customWidth="1"/>
    <col min="106" max="106" width="8" style="22" customWidth="1"/>
    <col min="107" max="107" width="7.1796875" style="21" customWidth="1"/>
    <col min="108" max="110" width="12" style="22" customWidth="1"/>
    <col min="111" max="111" width="12" style="23" customWidth="1"/>
    <col min="112" max="112" width="12" style="22" customWidth="1"/>
    <col min="113" max="114" width="12" style="5" customWidth="1"/>
    <col min="115" max="115" width="9.1796875" style="21" customWidth="1"/>
    <col min="116" max="116" width="4.81640625" style="20" customWidth="1"/>
    <col min="117" max="117" width="6.453125" style="23" customWidth="1"/>
    <col min="118" max="120" width="7.7265625" style="21" customWidth="1"/>
    <col min="121" max="121" width="6.81640625" style="23" customWidth="1"/>
    <col min="122" max="122" width="6.81640625" style="22" customWidth="1"/>
    <col min="123" max="123" width="7.7265625" style="21" customWidth="1"/>
    <col min="124" max="124" width="7.1796875" style="22" customWidth="1"/>
    <col min="125" max="125" width="7.453125" style="23" customWidth="1"/>
    <col min="126" max="127" width="8.54296875" style="21" customWidth="1"/>
    <col min="128" max="128" width="7.1796875" style="20" customWidth="1"/>
    <col min="129" max="129" width="6.81640625" style="20" customWidth="1"/>
    <col min="130" max="130" width="6.54296875" style="20" customWidth="1"/>
    <col min="131" max="131" width="13" style="20" customWidth="1"/>
    <col min="132" max="133" width="13" style="54" customWidth="1"/>
    <col min="134" max="137" width="10" style="23" customWidth="1"/>
    <col min="138" max="138" width="11.453125" style="20" customWidth="1"/>
    <col min="139" max="139" width="7.26953125" style="20" customWidth="1"/>
    <col min="140" max="146" width="12" style="20" customWidth="1"/>
    <col min="147" max="16384" width="9.1796875" style="20"/>
  </cols>
  <sheetData>
    <row r="1" spans="1:154" ht="15" customHeight="1" x14ac:dyDescent="0.35">
      <c r="A1" s="373" t="s">
        <v>229</v>
      </c>
      <c r="B1" s="373"/>
      <c r="C1" s="373"/>
      <c r="D1" s="373"/>
      <c r="E1" s="373"/>
      <c r="F1" s="373"/>
      <c r="G1" s="373"/>
      <c r="H1" s="373"/>
      <c r="I1" s="373"/>
      <c r="J1" s="373"/>
      <c r="K1" s="345" t="str">
        <f>IF(A1="","",A1)</f>
        <v>May 2016</v>
      </c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 t="str">
        <f>IF(A1="","",A1)</f>
        <v>May 2016</v>
      </c>
      <c r="X1" s="345"/>
      <c r="Y1" s="345"/>
      <c r="Z1" s="345"/>
      <c r="AA1" s="345"/>
      <c r="AB1" s="345"/>
      <c r="AC1" s="345"/>
      <c r="AD1" s="345"/>
      <c r="AE1" s="345"/>
      <c r="AF1" s="345"/>
      <c r="AG1" s="345" t="str">
        <f>IF(A1="","",A1)</f>
        <v>May 2016</v>
      </c>
      <c r="AH1" s="345"/>
      <c r="AI1" s="345"/>
      <c r="AJ1" s="345"/>
      <c r="AK1" s="345"/>
      <c r="AL1" s="345"/>
      <c r="AM1" s="345"/>
      <c r="AN1" s="345"/>
      <c r="AO1" s="345"/>
      <c r="AP1" s="345"/>
      <c r="AQ1" s="345" t="str">
        <f>IF(A1="","",A1)</f>
        <v>May 2016</v>
      </c>
      <c r="AR1" s="345"/>
      <c r="AS1" s="345"/>
      <c r="AT1" s="345"/>
      <c r="AU1" s="345"/>
      <c r="AV1" s="345"/>
      <c r="AW1" s="345"/>
      <c r="AX1" s="345"/>
      <c r="AY1" s="345"/>
      <c r="AZ1" s="345"/>
      <c r="BA1" s="371" t="str">
        <f>IF(A1="","",A1)</f>
        <v>May 2016</v>
      </c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07" t="str">
        <f>IF(A1="","",A1)</f>
        <v>May 2016</v>
      </c>
      <c r="BP1" s="307"/>
      <c r="BQ1" s="307"/>
      <c r="BR1" s="307"/>
      <c r="BS1" s="307"/>
      <c r="BT1" s="307"/>
      <c r="BU1" s="307"/>
      <c r="BV1" s="307"/>
      <c r="BW1" s="307"/>
      <c r="BX1" s="307"/>
      <c r="BY1" s="307"/>
      <c r="BZ1" s="307"/>
      <c r="CA1" s="372" t="str">
        <f>IF(A1="","",A1)</f>
        <v>May 2016</v>
      </c>
      <c r="CB1" s="372"/>
      <c r="CC1" s="372"/>
      <c r="CD1" s="372"/>
      <c r="CE1" s="372"/>
      <c r="CF1" s="372"/>
      <c r="CG1" s="372"/>
      <c r="CH1" s="372"/>
      <c r="CI1" s="372"/>
      <c r="CJ1" s="372" t="str">
        <f>IF(A1="","",A1)</f>
        <v>May 2016</v>
      </c>
      <c r="CK1" s="372"/>
      <c r="CL1" s="372"/>
      <c r="CM1" s="372"/>
      <c r="CN1" s="372"/>
      <c r="CO1" s="372"/>
      <c r="CP1" s="372"/>
      <c r="CQ1" s="372"/>
      <c r="CR1" s="372"/>
      <c r="CS1" s="372" t="str">
        <f>IF(A1="","",A1)</f>
        <v>May 2016</v>
      </c>
      <c r="CT1" s="372"/>
      <c r="CU1" s="372"/>
      <c r="CV1" s="372"/>
      <c r="CW1" s="372"/>
      <c r="CX1" s="372"/>
      <c r="CY1" s="372"/>
      <c r="CZ1" s="372"/>
      <c r="DA1" s="372"/>
      <c r="DB1" s="372"/>
      <c r="DC1" s="372" t="str">
        <f>IF(A1="","",A1)</f>
        <v>May 2016</v>
      </c>
      <c r="DD1" s="372"/>
      <c r="DE1" s="372"/>
      <c r="DF1" s="372"/>
      <c r="DG1" s="372"/>
      <c r="DH1" s="372"/>
      <c r="DI1" s="372"/>
      <c r="DJ1" s="372"/>
      <c r="DK1" s="372"/>
      <c r="DL1" s="307" t="str">
        <f>IF(A1="","",A1)</f>
        <v>May 2016</v>
      </c>
      <c r="DM1" s="307"/>
      <c r="DN1" s="307"/>
      <c r="DO1" s="307"/>
      <c r="DP1" s="307"/>
      <c r="DQ1" s="53"/>
      <c r="DR1" s="85"/>
      <c r="DS1" s="39"/>
      <c r="DT1" s="85"/>
      <c r="DU1" s="53"/>
      <c r="DV1" s="39"/>
      <c r="DW1" s="39"/>
      <c r="DX1" s="39"/>
      <c r="DY1" s="126"/>
      <c r="DZ1" s="307" t="str">
        <f>IF(A1="","",A1)</f>
        <v>May 2016</v>
      </c>
      <c r="EA1" s="307"/>
      <c r="EB1" s="308" t="s">
        <v>196</v>
      </c>
      <c r="EC1" s="309"/>
      <c r="ED1" s="309"/>
      <c r="EE1" s="309"/>
      <c r="EF1" s="309"/>
      <c r="EG1" s="310"/>
      <c r="EH1" s="189"/>
      <c r="EI1" s="307" t="str">
        <f>IF(A1="","",A1)</f>
        <v>May 2016</v>
      </c>
      <c r="EJ1" s="307"/>
      <c r="EK1" s="307"/>
      <c r="EL1" s="307"/>
      <c r="EM1" s="307"/>
      <c r="EN1" s="307"/>
      <c r="EO1" s="307"/>
      <c r="EP1" s="307"/>
      <c r="EQ1" s="307"/>
    </row>
    <row r="2" spans="1:154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07"/>
      <c r="BP2" s="307"/>
      <c r="BQ2" s="307"/>
      <c r="BR2" s="307"/>
      <c r="BS2" s="307"/>
      <c r="BT2" s="307"/>
      <c r="BU2" s="307"/>
      <c r="BV2" s="307"/>
      <c r="BW2" s="307"/>
      <c r="BX2" s="307"/>
      <c r="BY2" s="307"/>
      <c r="BZ2" s="307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  <c r="CL2" s="372"/>
      <c r="CM2" s="372"/>
      <c r="CN2" s="372"/>
      <c r="CO2" s="372"/>
      <c r="CP2" s="372"/>
      <c r="CQ2" s="372"/>
      <c r="CR2" s="372"/>
      <c r="CS2" s="372"/>
      <c r="CT2" s="372"/>
      <c r="CU2" s="372"/>
      <c r="CV2" s="372"/>
      <c r="CW2" s="372"/>
      <c r="CX2" s="372"/>
      <c r="CY2" s="372"/>
      <c r="CZ2" s="372"/>
      <c r="DA2" s="372"/>
      <c r="DB2" s="372"/>
      <c r="DC2" s="372"/>
      <c r="DD2" s="372"/>
      <c r="DE2" s="372"/>
      <c r="DF2" s="372"/>
      <c r="DG2" s="372"/>
      <c r="DH2" s="372"/>
      <c r="DI2" s="372"/>
      <c r="DJ2" s="372"/>
      <c r="DK2" s="372"/>
      <c r="DL2" s="307"/>
      <c r="DM2" s="307"/>
      <c r="DN2" s="307"/>
      <c r="DO2" s="307"/>
      <c r="DP2" s="307"/>
      <c r="DQ2" s="53"/>
      <c r="DR2" s="85"/>
      <c r="DS2" s="39"/>
      <c r="DT2" s="85"/>
      <c r="DU2" s="53"/>
      <c r="DV2" s="39"/>
      <c r="DW2" s="39"/>
      <c r="DX2" s="39"/>
      <c r="DY2" s="126"/>
      <c r="DZ2" s="307"/>
      <c r="EA2" s="307"/>
      <c r="EB2" s="311"/>
      <c r="EC2" s="312"/>
      <c r="ED2" s="312"/>
      <c r="EE2" s="312"/>
      <c r="EF2" s="312"/>
      <c r="EG2" s="313"/>
      <c r="EH2" s="189"/>
      <c r="EI2" s="307"/>
      <c r="EJ2" s="307"/>
      <c r="EK2" s="307"/>
      <c r="EL2" s="307"/>
      <c r="EM2" s="307"/>
      <c r="EN2" s="307"/>
      <c r="EO2" s="307"/>
      <c r="EP2" s="307"/>
      <c r="EQ2" s="307"/>
    </row>
    <row r="3" spans="1:154" ht="25.5" customHeight="1" x14ac:dyDescent="0.25">
      <c r="A3" s="314" t="s">
        <v>449</v>
      </c>
      <c r="B3" s="314"/>
      <c r="C3" s="314"/>
      <c r="D3" s="314"/>
      <c r="E3" s="314"/>
      <c r="F3" s="315" t="s">
        <v>114</v>
      </c>
      <c r="G3" s="315"/>
      <c r="H3" s="315"/>
      <c r="I3" s="315"/>
      <c r="J3" s="315"/>
      <c r="K3" s="314" t="str">
        <f>IF(A3="","",A3)</f>
        <v>Drinking Water System</v>
      </c>
      <c r="L3" s="314"/>
      <c r="M3" s="314"/>
      <c r="N3" s="314"/>
      <c r="O3" s="315" t="s">
        <v>125</v>
      </c>
      <c r="P3" s="315"/>
      <c r="Q3" s="315"/>
      <c r="R3" s="315"/>
      <c r="S3" s="315"/>
      <c r="T3" s="315"/>
      <c r="U3" s="315"/>
      <c r="V3" s="315"/>
      <c r="W3" s="314" t="str">
        <f>IF(A3="","",A3)</f>
        <v>Drinking Water System</v>
      </c>
      <c r="X3" s="314"/>
      <c r="Y3" s="314"/>
      <c r="Z3" s="314"/>
      <c r="AA3" s="314"/>
      <c r="AB3" s="315" t="s">
        <v>129</v>
      </c>
      <c r="AC3" s="315"/>
      <c r="AD3" s="315"/>
      <c r="AE3" s="315"/>
      <c r="AF3" s="315"/>
      <c r="AG3" s="314" t="str">
        <f>IF(A3="","",A3)</f>
        <v>Drinking Water System</v>
      </c>
      <c r="AH3" s="314"/>
      <c r="AI3" s="314"/>
      <c r="AJ3" s="314"/>
      <c r="AK3" s="314"/>
      <c r="AL3" s="315" t="s">
        <v>93</v>
      </c>
      <c r="AM3" s="315"/>
      <c r="AN3" s="315"/>
      <c r="AO3" s="315"/>
      <c r="AP3" s="315"/>
      <c r="AQ3" s="314" t="str">
        <f>IF(A3="","",A3)</f>
        <v>Drinking Water System</v>
      </c>
      <c r="AR3" s="314"/>
      <c r="AS3" s="314"/>
      <c r="AT3" s="314"/>
      <c r="AU3" s="314"/>
      <c r="AV3" s="315" t="s">
        <v>135</v>
      </c>
      <c r="AW3" s="315"/>
      <c r="AX3" s="315"/>
      <c r="AY3" s="315"/>
      <c r="AZ3" s="315"/>
      <c r="BA3" s="314" t="str">
        <f>IF(A3="","",A3)</f>
        <v>Drinking Water System</v>
      </c>
      <c r="BB3" s="314"/>
      <c r="BC3" s="314"/>
      <c r="BD3" s="314"/>
      <c r="BE3" s="314"/>
      <c r="BF3" s="369" t="s">
        <v>145</v>
      </c>
      <c r="BG3" s="369"/>
      <c r="BH3" s="369"/>
      <c r="BI3" s="369"/>
      <c r="BJ3" s="369"/>
      <c r="BK3" s="369"/>
      <c r="BL3" s="369"/>
      <c r="BM3" s="369"/>
      <c r="BN3" s="369"/>
      <c r="BO3" s="314" t="str">
        <f>IF(A3="","",A3)</f>
        <v>Drinking Water System</v>
      </c>
      <c r="BP3" s="314"/>
      <c r="BQ3" s="314"/>
      <c r="BR3" s="314"/>
      <c r="BS3" s="314"/>
      <c r="BT3" s="315" t="s">
        <v>100</v>
      </c>
      <c r="BU3" s="315"/>
      <c r="BV3" s="315"/>
      <c r="BW3" s="315"/>
      <c r="BX3" s="315"/>
      <c r="BY3" s="315"/>
      <c r="BZ3" s="315"/>
      <c r="CA3" s="314" t="str">
        <f>IF(A3="","",A3)</f>
        <v>Drinking Water System</v>
      </c>
      <c r="CB3" s="314"/>
      <c r="CC3" s="314"/>
      <c r="CD3" s="314"/>
      <c r="CE3" s="315" t="s">
        <v>154</v>
      </c>
      <c r="CF3" s="315"/>
      <c r="CG3" s="315"/>
      <c r="CH3" s="315"/>
      <c r="CI3" s="315"/>
      <c r="CJ3" s="314" t="str">
        <f>IF(A3="","",A3)</f>
        <v>Drinking Water System</v>
      </c>
      <c r="CK3" s="314"/>
      <c r="CL3" s="314"/>
      <c r="CM3" s="314"/>
      <c r="CN3" s="315" t="s">
        <v>155</v>
      </c>
      <c r="CO3" s="315"/>
      <c r="CP3" s="315"/>
      <c r="CQ3" s="315"/>
      <c r="CR3" s="315"/>
      <c r="CS3" s="314" t="str">
        <f>IF(A3="","",A3)</f>
        <v>Drinking Water System</v>
      </c>
      <c r="CT3" s="314"/>
      <c r="CU3" s="314"/>
      <c r="CV3" s="314"/>
      <c r="CW3" s="315" t="s">
        <v>101</v>
      </c>
      <c r="CX3" s="315"/>
      <c r="CY3" s="315"/>
      <c r="CZ3" s="315"/>
      <c r="DA3" s="315"/>
      <c r="DB3" s="315"/>
      <c r="DC3" s="314" t="str">
        <f>IF(A3="","",A3)</f>
        <v>Drinking Water System</v>
      </c>
      <c r="DD3" s="314"/>
      <c r="DE3" s="314"/>
      <c r="DF3" s="314"/>
      <c r="DG3" s="315" t="s">
        <v>159</v>
      </c>
      <c r="DH3" s="315"/>
      <c r="DI3" s="315"/>
      <c r="DJ3" s="315"/>
      <c r="DK3" s="315"/>
      <c r="DL3" s="329" t="str">
        <f>IF(A3="","",A3)</f>
        <v>Drinking Water System</v>
      </c>
      <c r="DM3" s="329"/>
      <c r="DN3" s="329"/>
      <c r="DO3" s="329"/>
      <c r="DP3" s="329"/>
      <c r="DQ3" s="370" t="s">
        <v>168</v>
      </c>
      <c r="DR3" s="370"/>
      <c r="DS3" s="370"/>
      <c r="DT3" s="370"/>
      <c r="DU3" s="370"/>
      <c r="DV3" s="370"/>
      <c r="DW3" s="370"/>
      <c r="DX3" s="370"/>
      <c r="DY3" s="370"/>
      <c r="DZ3" s="329" t="str">
        <f>IF(A3="","",A3)</f>
        <v>Drinking Water System</v>
      </c>
      <c r="EA3" s="329"/>
      <c r="EB3" s="329"/>
      <c r="EC3" s="329"/>
      <c r="ED3" s="329"/>
      <c r="EE3" s="329"/>
      <c r="EF3" s="370" t="s">
        <v>91</v>
      </c>
      <c r="EG3" s="370"/>
      <c r="EH3" s="370"/>
      <c r="EI3" s="314" t="str">
        <f>IF(A3="","",A3)</f>
        <v>Drinking Water System</v>
      </c>
      <c r="EJ3" s="314"/>
      <c r="EK3" s="314"/>
      <c r="EL3" s="314"/>
      <c r="EM3" s="315" t="s">
        <v>33</v>
      </c>
      <c r="EN3" s="315"/>
      <c r="EO3" s="315"/>
      <c r="EP3" s="315"/>
      <c r="EQ3" s="315"/>
    </row>
    <row r="4" spans="1:154" ht="17.149999999999999" customHeight="1" x14ac:dyDescent="0.35">
      <c r="A4" s="359" t="s">
        <v>1</v>
      </c>
      <c r="B4" s="359" t="s">
        <v>38</v>
      </c>
      <c r="C4" s="359"/>
      <c r="D4" s="359"/>
      <c r="E4" s="317" t="s">
        <v>24</v>
      </c>
      <c r="F4" s="317"/>
      <c r="G4" s="317"/>
      <c r="H4" s="358" t="s">
        <v>112</v>
      </c>
      <c r="I4" s="358"/>
      <c r="J4" s="360" t="s">
        <v>0</v>
      </c>
      <c r="K4" s="359" t="s">
        <v>1</v>
      </c>
      <c r="L4" s="358" t="s">
        <v>117</v>
      </c>
      <c r="M4" s="358"/>
      <c r="N4" s="358" t="s">
        <v>118</v>
      </c>
      <c r="O4" s="358"/>
      <c r="P4" s="358" t="s">
        <v>119</v>
      </c>
      <c r="Q4" s="358"/>
      <c r="R4" s="362" t="s">
        <v>120</v>
      </c>
      <c r="S4" s="363"/>
      <c r="T4" s="363"/>
      <c r="U4" s="364"/>
      <c r="V4" s="360" t="s">
        <v>0</v>
      </c>
      <c r="W4" s="346" t="s">
        <v>1</v>
      </c>
      <c r="X4" s="344" t="s">
        <v>63</v>
      </c>
      <c r="Y4" s="344"/>
      <c r="Z4" s="344"/>
      <c r="AA4" s="344"/>
      <c r="AB4" s="344" t="s">
        <v>126</v>
      </c>
      <c r="AC4" s="344"/>
      <c r="AD4" s="344"/>
      <c r="AE4" s="344"/>
      <c r="AF4" s="342" t="s">
        <v>0</v>
      </c>
      <c r="AG4" s="346" t="s">
        <v>1</v>
      </c>
      <c r="AH4" s="330" t="s">
        <v>93</v>
      </c>
      <c r="AI4" s="331"/>
      <c r="AJ4" s="331"/>
      <c r="AK4" s="331"/>
      <c r="AL4" s="331"/>
      <c r="AM4" s="331"/>
      <c r="AN4" s="331"/>
      <c r="AO4" s="332"/>
      <c r="AP4" s="342" t="s">
        <v>0</v>
      </c>
      <c r="AQ4" s="346" t="s">
        <v>1</v>
      </c>
      <c r="AR4" s="344" t="s">
        <v>132</v>
      </c>
      <c r="AS4" s="344"/>
      <c r="AT4" s="344"/>
      <c r="AU4" s="344"/>
      <c r="AV4" s="344" t="s">
        <v>94</v>
      </c>
      <c r="AW4" s="344"/>
      <c r="AX4" s="344"/>
      <c r="AY4" s="344"/>
      <c r="AZ4" s="342" t="s">
        <v>0</v>
      </c>
      <c r="BA4" s="317" t="s">
        <v>1</v>
      </c>
      <c r="BB4" s="317" t="s">
        <v>38</v>
      </c>
      <c r="BC4" s="317"/>
      <c r="BD4" s="317"/>
      <c r="BE4" s="317"/>
      <c r="BF4" s="317"/>
      <c r="BG4" s="326" t="s">
        <v>146</v>
      </c>
      <c r="BH4" s="316" t="s">
        <v>136</v>
      </c>
      <c r="BI4" s="316"/>
      <c r="BJ4" s="316" t="s">
        <v>139</v>
      </c>
      <c r="BK4" s="316"/>
      <c r="BL4" s="316" t="s">
        <v>142</v>
      </c>
      <c r="BM4" s="316"/>
      <c r="BN4" s="347" t="s">
        <v>0</v>
      </c>
      <c r="BO4" s="317" t="s">
        <v>1</v>
      </c>
      <c r="BP4" s="344" t="s">
        <v>147</v>
      </c>
      <c r="BQ4" s="344"/>
      <c r="BR4" s="344"/>
      <c r="BS4" s="344"/>
      <c r="BT4" s="344"/>
      <c r="BU4" s="344"/>
      <c r="BV4" s="344"/>
      <c r="BW4" s="344" t="s">
        <v>148</v>
      </c>
      <c r="BX4" s="344"/>
      <c r="BY4" s="344"/>
      <c r="BZ4" s="347" t="s">
        <v>0</v>
      </c>
      <c r="CA4" s="317" t="s">
        <v>1</v>
      </c>
      <c r="CB4" s="318" t="s">
        <v>150</v>
      </c>
      <c r="CC4" s="318" t="s">
        <v>151</v>
      </c>
      <c r="CD4" s="318" t="s">
        <v>78</v>
      </c>
      <c r="CE4" s="321" t="s">
        <v>79</v>
      </c>
      <c r="CF4" s="321" t="s">
        <v>77</v>
      </c>
      <c r="CG4" s="336" t="s">
        <v>152</v>
      </c>
      <c r="CH4" s="336" t="s">
        <v>153</v>
      </c>
      <c r="CI4" s="342" t="s">
        <v>0</v>
      </c>
      <c r="CJ4" s="317" t="s">
        <v>1</v>
      </c>
      <c r="CK4" s="318" t="s">
        <v>150</v>
      </c>
      <c r="CL4" s="318" t="s">
        <v>151</v>
      </c>
      <c r="CM4" s="318" t="s">
        <v>78</v>
      </c>
      <c r="CN4" s="318" t="s">
        <v>79</v>
      </c>
      <c r="CO4" s="318" t="s">
        <v>77</v>
      </c>
      <c r="CP4" s="336" t="s">
        <v>152</v>
      </c>
      <c r="CQ4" s="336" t="s">
        <v>153</v>
      </c>
      <c r="CR4" s="342" t="s">
        <v>0</v>
      </c>
      <c r="CS4" s="317" t="s">
        <v>1</v>
      </c>
      <c r="CT4" s="318" t="s">
        <v>150</v>
      </c>
      <c r="CU4" s="318" t="s">
        <v>157</v>
      </c>
      <c r="CV4" s="318" t="s">
        <v>78</v>
      </c>
      <c r="CW4" s="318" t="s">
        <v>158</v>
      </c>
      <c r="CX4" s="321" t="s">
        <v>77</v>
      </c>
      <c r="CY4" s="336" t="s">
        <v>152</v>
      </c>
      <c r="CZ4" s="336" t="s">
        <v>153</v>
      </c>
      <c r="DA4" s="339" t="s">
        <v>156</v>
      </c>
      <c r="DB4" s="342" t="s">
        <v>0</v>
      </c>
      <c r="DC4" s="317" t="s">
        <v>1</v>
      </c>
      <c r="DD4" s="318" t="s">
        <v>150</v>
      </c>
      <c r="DE4" s="318" t="s">
        <v>151</v>
      </c>
      <c r="DF4" s="318" t="s">
        <v>78</v>
      </c>
      <c r="DG4" s="321" t="s">
        <v>160</v>
      </c>
      <c r="DH4" s="318" t="s">
        <v>77</v>
      </c>
      <c r="DI4" s="336" t="s">
        <v>152</v>
      </c>
      <c r="DJ4" s="336" t="s">
        <v>153</v>
      </c>
      <c r="DK4" s="342" t="s">
        <v>0</v>
      </c>
      <c r="DL4" s="317" t="s">
        <v>1</v>
      </c>
      <c r="DM4" s="129" t="s">
        <v>37</v>
      </c>
      <c r="DN4" s="316" t="s">
        <v>76</v>
      </c>
      <c r="DO4" s="316"/>
      <c r="DP4" s="316" t="s">
        <v>92</v>
      </c>
      <c r="DQ4" s="316"/>
      <c r="DR4" s="316"/>
      <c r="DS4" s="316"/>
      <c r="DT4" s="316"/>
      <c r="DU4" s="316"/>
      <c r="DV4" s="316" t="s">
        <v>165</v>
      </c>
      <c r="DW4" s="316"/>
      <c r="DX4" s="316"/>
      <c r="DY4" s="347" t="s">
        <v>0</v>
      </c>
      <c r="DZ4" s="368" t="s">
        <v>1</v>
      </c>
      <c r="EA4" s="344" t="s">
        <v>170</v>
      </c>
      <c r="EB4" s="344"/>
      <c r="EC4" s="344"/>
      <c r="ED4" s="344" t="s">
        <v>104</v>
      </c>
      <c r="EE4" s="344"/>
      <c r="EF4" s="132" t="s">
        <v>121</v>
      </c>
      <c r="EG4" s="132" t="s">
        <v>122</v>
      </c>
      <c r="EH4" s="367" t="s">
        <v>0</v>
      </c>
      <c r="EI4" s="346" t="s">
        <v>1</v>
      </c>
      <c r="EJ4" s="361" t="s">
        <v>34</v>
      </c>
      <c r="EK4" s="361"/>
      <c r="EL4" s="361"/>
      <c r="EM4" s="361"/>
      <c r="EN4" s="361"/>
      <c r="EO4" s="361"/>
      <c r="EP4" s="361"/>
      <c r="EQ4" s="365" t="s">
        <v>0</v>
      </c>
    </row>
    <row r="5" spans="1:154" ht="17.149999999999999" customHeight="1" x14ac:dyDescent="0.35">
      <c r="A5" s="359"/>
      <c r="B5" s="357" t="s">
        <v>83</v>
      </c>
      <c r="C5" s="357" t="s">
        <v>111</v>
      </c>
      <c r="D5" s="356" t="s">
        <v>32</v>
      </c>
      <c r="E5" s="357" t="s">
        <v>83</v>
      </c>
      <c r="F5" s="357" t="s">
        <v>110</v>
      </c>
      <c r="G5" s="356" t="s">
        <v>32</v>
      </c>
      <c r="H5" s="357" t="s">
        <v>83</v>
      </c>
      <c r="I5" s="357" t="s">
        <v>109</v>
      </c>
      <c r="J5" s="360"/>
      <c r="K5" s="359"/>
      <c r="L5" s="357" t="s">
        <v>83</v>
      </c>
      <c r="M5" s="357" t="s">
        <v>116</v>
      </c>
      <c r="N5" s="357" t="s">
        <v>83</v>
      </c>
      <c r="O5" s="357" t="s">
        <v>66</v>
      </c>
      <c r="P5" s="357" t="s">
        <v>83</v>
      </c>
      <c r="Q5" s="357" t="s">
        <v>116</v>
      </c>
      <c r="R5" s="336" t="s">
        <v>121</v>
      </c>
      <c r="S5" s="336" t="s">
        <v>122</v>
      </c>
      <c r="T5" s="336" t="s">
        <v>123</v>
      </c>
      <c r="U5" s="336" t="s">
        <v>124</v>
      </c>
      <c r="V5" s="360"/>
      <c r="W5" s="346"/>
      <c r="X5" s="333" t="s">
        <v>20</v>
      </c>
      <c r="Y5" s="333"/>
      <c r="Z5" s="333" t="s">
        <v>21</v>
      </c>
      <c r="AA5" s="333"/>
      <c r="AB5" s="333" t="s">
        <v>127</v>
      </c>
      <c r="AC5" s="333"/>
      <c r="AD5" s="333" t="s">
        <v>128</v>
      </c>
      <c r="AE5" s="333"/>
      <c r="AF5" s="342"/>
      <c r="AG5" s="346"/>
      <c r="AH5" s="333" t="s">
        <v>130</v>
      </c>
      <c r="AI5" s="333"/>
      <c r="AJ5" s="333" t="s">
        <v>131</v>
      </c>
      <c r="AK5" s="333"/>
      <c r="AL5" s="333" t="s">
        <v>65</v>
      </c>
      <c r="AM5" s="333"/>
      <c r="AN5" s="333" t="s">
        <v>75</v>
      </c>
      <c r="AO5" s="333"/>
      <c r="AP5" s="342"/>
      <c r="AQ5" s="346"/>
      <c r="AR5" s="333" t="s">
        <v>133</v>
      </c>
      <c r="AS5" s="333"/>
      <c r="AT5" s="333" t="s">
        <v>134</v>
      </c>
      <c r="AU5" s="333"/>
      <c r="AV5" s="333" t="s">
        <v>95</v>
      </c>
      <c r="AW5" s="333"/>
      <c r="AX5" s="333" t="s">
        <v>96</v>
      </c>
      <c r="AY5" s="333"/>
      <c r="AZ5" s="342"/>
      <c r="BA5" s="317"/>
      <c r="BB5" s="353" t="s">
        <v>25</v>
      </c>
      <c r="BC5" s="366" t="s">
        <v>29</v>
      </c>
      <c r="BD5" s="335" t="s">
        <v>4</v>
      </c>
      <c r="BE5" s="335" t="s">
        <v>80</v>
      </c>
      <c r="BF5" s="335" t="s">
        <v>81</v>
      </c>
      <c r="BG5" s="326"/>
      <c r="BH5" s="343" t="s">
        <v>137</v>
      </c>
      <c r="BI5" s="343" t="s">
        <v>138</v>
      </c>
      <c r="BJ5" s="343" t="s">
        <v>140</v>
      </c>
      <c r="BK5" s="343" t="s">
        <v>141</v>
      </c>
      <c r="BL5" s="343" t="s">
        <v>143</v>
      </c>
      <c r="BM5" s="343" t="s">
        <v>144</v>
      </c>
      <c r="BN5" s="347"/>
      <c r="BO5" s="317"/>
      <c r="BP5" s="328" t="s">
        <v>31</v>
      </c>
      <c r="BQ5" s="354" t="s">
        <v>22</v>
      </c>
      <c r="BR5" s="326" t="s">
        <v>4</v>
      </c>
      <c r="BS5" s="326" t="s">
        <v>82</v>
      </c>
      <c r="BT5" s="326" t="s">
        <v>149</v>
      </c>
      <c r="BU5" s="328" t="s">
        <v>23</v>
      </c>
      <c r="BV5" s="327" t="s">
        <v>99</v>
      </c>
      <c r="BW5" s="327" t="s">
        <v>98</v>
      </c>
      <c r="BX5" s="355" t="s">
        <v>26</v>
      </c>
      <c r="BY5" s="355" t="s">
        <v>97</v>
      </c>
      <c r="BZ5" s="347"/>
      <c r="CA5" s="317"/>
      <c r="CB5" s="319"/>
      <c r="CC5" s="319"/>
      <c r="CD5" s="319"/>
      <c r="CE5" s="322"/>
      <c r="CF5" s="322"/>
      <c r="CG5" s="337"/>
      <c r="CH5" s="337"/>
      <c r="CI5" s="342"/>
      <c r="CJ5" s="317"/>
      <c r="CK5" s="319"/>
      <c r="CL5" s="319"/>
      <c r="CM5" s="319"/>
      <c r="CN5" s="319"/>
      <c r="CO5" s="319"/>
      <c r="CP5" s="337"/>
      <c r="CQ5" s="337"/>
      <c r="CR5" s="342"/>
      <c r="CS5" s="317"/>
      <c r="CT5" s="319"/>
      <c r="CU5" s="319"/>
      <c r="CV5" s="319"/>
      <c r="CW5" s="319"/>
      <c r="CX5" s="322"/>
      <c r="CY5" s="337"/>
      <c r="CZ5" s="337"/>
      <c r="DA5" s="340"/>
      <c r="DB5" s="342"/>
      <c r="DC5" s="317"/>
      <c r="DD5" s="319"/>
      <c r="DE5" s="319"/>
      <c r="DF5" s="319"/>
      <c r="DG5" s="322"/>
      <c r="DH5" s="319"/>
      <c r="DI5" s="337"/>
      <c r="DJ5" s="337"/>
      <c r="DK5" s="342"/>
      <c r="DL5" s="317"/>
      <c r="DM5" s="327" t="s">
        <v>4</v>
      </c>
      <c r="DN5" s="328" t="s">
        <v>161</v>
      </c>
      <c r="DO5" s="328" t="s">
        <v>162</v>
      </c>
      <c r="DP5" s="328" t="s">
        <v>85</v>
      </c>
      <c r="DQ5" s="327" t="s">
        <v>4</v>
      </c>
      <c r="DR5" s="326" t="s">
        <v>82</v>
      </c>
      <c r="DS5" s="328" t="s">
        <v>163</v>
      </c>
      <c r="DT5" s="326" t="s">
        <v>164</v>
      </c>
      <c r="DU5" s="327" t="s">
        <v>169</v>
      </c>
      <c r="DV5" s="328" t="s">
        <v>172</v>
      </c>
      <c r="DW5" s="328" t="s">
        <v>166</v>
      </c>
      <c r="DX5" s="328" t="s">
        <v>167</v>
      </c>
      <c r="DY5" s="347"/>
      <c r="DZ5" s="368"/>
      <c r="EA5" s="348" t="s">
        <v>173</v>
      </c>
      <c r="EB5" s="348" t="s">
        <v>174</v>
      </c>
      <c r="EC5" s="348" t="s">
        <v>171</v>
      </c>
      <c r="ED5" s="327" t="s">
        <v>86</v>
      </c>
      <c r="EE5" s="327"/>
      <c r="EF5" s="327" t="s">
        <v>84</v>
      </c>
      <c r="EG5" s="327" t="s">
        <v>84</v>
      </c>
      <c r="EH5" s="367"/>
      <c r="EI5" s="346"/>
      <c r="EJ5" s="361"/>
      <c r="EK5" s="361"/>
      <c r="EL5" s="361"/>
      <c r="EM5" s="361"/>
      <c r="EN5" s="361"/>
      <c r="EO5" s="361"/>
      <c r="EP5" s="361"/>
      <c r="EQ5" s="365"/>
    </row>
    <row r="6" spans="1:154" ht="17.149999999999999" customHeight="1" x14ac:dyDescent="0.35">
      <c r="A6" s="359"/>
      <c r="B6" s="357"/>
      <c r="C6" s="357"/>
      <c r="D6" s="356"/>
      <c r="E6" s="357"/>
      <c r="F6" s="357"/>
      <c r="G6" s="356"/>
      <c r="H6" s="357"/>
      <c r="I6" s="357"/>
      <c r="J6" s="360"/>
      <c r="K6" s="359"/>
      <c r="L6" s="357"/>
      <c r="M6" s="357"/>
      <c r="N6" s="357"/>
      <c r="O6" s="357"/>
      <c r="P6" s="357"/>
      <c r="Q6" s="357"/>
      <c r="R6" s="337"/>
      <c r="S6" s="337"/>
      <c r="T6" s="337"/>
      <c r="U6" s="337"/>
      <c r="V6" s="360"/>
      <c r="W6" s="346"/>
      <c r="X6" s="333" t="s">
        <v>5</v>
      </c>
      <c r="Y6" s="333" t="s">
        <v>6</v>
      </c>
      <c r="Z6" s="333" t="s">
        <v>5</v>
      </c>
      <c r="AA6" s="333" t="s">
        <v>6</v>
      </c>
      <c r="AB6" s="333" t="s">
        <v>5</v>
      </c>
      <c r="AC6" s="333" t="s">
        <v>6</v>
      </c>
      <c r="AD6" s="333" t="s">
        <v>5</v>
      </c>
      <c r="AE6" s="333" t="s">
        <v>6</v>
      </c>
      <c r="AF6" s="342"/>
      <c r="AG6" s="346"/>
      <c r="AH6" s="333" t="s">
        <v>5</v>
      </c>
      <c r="AI6" s="333" t="s">
        <v>6</v>
      </c>
      <c r="AJ6" s="333" t="s">
        <v>5</v>
      </c>
      <c r="AK6" s="333" t="s">
        <v>6</v>
      </c>
      <c r="AL6" s="333" t="s">
        <v>5</v>
      </c>
      <c r="AM6" s="333" t="s">
        <v>6</v>
      </c>
      <c r="AN6" s="333" t="s">
        <v>5</v>
      </c>
      <c r="AO6" s="333" t="s">
        <v>6</v>
      </c>
      <c r="AP6" s="342"/>
      <c r="AQ6" s="346"/>
      <c r="AR6" s="333" t="s">
        <v>5</v>
      </c>
      <c r="AS6" s="333" t="s">
        <v>6</v>
      </c>
      <c r="AT6" s="333" t="s">
        <v>5</v>
      </c>
      <c r="AU6" s="333" t="s">
        <v>6</v>
      </c>
      <c r="AV6" s="333" t="s">
        <v>5</v>
      </c>
      <c r="AW6" s="333" t="s">
        <v>6</v>
      </c>
      <c r="AX6" s="333" t="s">
        <v>5</v>
      </c>
      <c r="AY6" s="333" t="s">
        <v>6</v>
      </c>
      <c r="AZ6" s="342"/>
      <c r="BA6" s="317"/>
      <c r="BB6" s="353"/>
      <c r="BC6" s="366"/>
      <c r="BD6" s="335"/>
      <c r="BE6" s="335"/>
      <c r="BF6" s="335"/>
      <c r="BG6" s="326"/>
      <c r="BH6" s="343"/>
      <c r="BI6" s="343"/>
      <c r="BJ6" s="343"/>
      <c r="BK6" s="343"/>
      <c r="BL6" s="343"/>
      <c r="BM6" s="343"/>
      <c r="BN6" s="347"/>
      <c r="BO6" s="317"/>
      <c r="BP6" s="328"/>
      <c r="BQ6" s="354"/>
      <c r="BR6" s="326"/>
      <c r="BS6" s="326"/>
      <c r="BT6" s="326"/>
      <c r="BU6" s="328"/>
      <c r="BV6" s="327"/>
      <c r="BW6" s="327"/>
      <c r="BX6" s="355"/>
      <c r="BY6" s="355"/>
      <c r="BZ6" s="347"/>
      <c r="CA6" s="317"/>
      <c r="CB6" s="319"/>
      <c r="CC6" s="319"/>
      <c r="CD6" s="319"/>
      <c r="CE6" s="322"/>
      <c r="CF6" s="322"/>
      <c r="CG6" s="337"/>
      <c r="CH6" s="337"/>
      <c r="CI6" s="342"/>
      <c r="CJ6" s="317"/>
      <c r="CK6" s="319"/>
      <c r="CL6" s="319"/>
      <c r="CM6" s="319"/>
      <c r="CN6" s="319"/>
      <c r="CO6" s="319"/>
      <c r="CP6" s="337"/>
      <c r="CQ6" s="337"/>
      <c r="CR6" s="342"/>
      <c r="CS6" s="317"/>
      <c r="CT6" s="319"/>
      <c r="CU6" s="319"/>
      <c r="CV6" s="319"/>
      <c r="CW6" s="319"/>
      <c r="CX6" s="322"/>
      <c r="CY6" s="337"/>
      <c r="CZ6" s="337"/>
      <c r="DA6" s="340"/>
      <c r="DB6" s="342"/>
      <c r="DC6" s="317"/>
      <c r="DD6" s="319"/>
      <c r="DE6" s="319"/>
      <c r="DF6" s="319"/>
      <c r="DG6" s="322"/>
      <c r="DH6" s="319"/>
      <c r="DI6" s="337"/>
      <c r="DJ6" s="337"/>
      <c r="DK6" s="342"/>
      <c r="DL6" s="317"/>
      <c r="DM6" s="327"/>
      <c r="DN6" s="328"/>
      <c r="DO6" s="328"/>
      <c r="DP6" s="328"/>
      <c r="DQ6" s="327"/>
      <c r="DR6" s="326"/>
      <c r="DS6" s="328"/>
      <c r="DT6" s="326"/>
      <c r="DU6" s="327"/>
      <c r="DV6" s="328"/>
      <c r="DW6" s="328"/>
      <c r="DX6" s="328"/>
      <c r="DY6" s="347"/>
      <c r="DZ6" s="368"/>
      <c r="EA6" s="348"/>
      <c r="EB6" s="348"/>
      <c r="EC6" s="348"/>
      <c r="ED6" s="327" t="s">
        <v>102</v>
      </c>
      <c r="EE6" s="327" t="s">
        <v>103</v>
      </c>
      <c r="EF6" s="327"/>
      <c r="EG6" s="327"/>
      <c r="EH6" s="367"/>
      <c r="EI6" s="346"/>
      <c r="EJ6" s="361"/>
      <c r="EK6" s="361"/>
      <c r="EL6" s="361"/>
      <c r="EM6" s="361"/>
      <c r="EN6" s="361"/>
      <c r="EO6" s="361"/>
      <c r="EP6" s="361"/>
      <c r="EQ6" s="365"/>
    </row>
    <row r="7" spans="1:154" ht="17.149999999999999" customHeight="1" x14ac:dyDescent="0.35">
      <c r="A7" s="359"/>
      <c r="B7" s="357"/>
      <c r="C7" s="357"/>
      <c r="D7" s="356"/>
      <c r="E7" s="357"/>
      <c r="F7" s="357"/>
      <c r="G7" s="356"/>
      <c r="H7" s="357"/>
      <c r="I7" s="357"/>
      <c r="J7" s="360"/>
      <c r="K7" s="359"/>
      <c r="L7" s="357"/>
      <c r="M7" s="357"/>
      <c r="N7" s="357"/>
      <c r="O7" s="357"/>
      <c r="P7" s="357"/>
      <c r="Q7" s="357"/>
      <c r="R7" s="338"/>
      <c r="S7" s="338"/>
      <c r="T7" s="338"/>
      <c r="U7" s="338"/>
      <c r="V7" s="360"/>
      <c r="W7" s="346"/>
      <c r="X7" s="333"/>
      <c r="Y7" s="333"/>
      <c r="Z7" s="333"/>
      <c r="AA7" s="333"/>
      <c r="AB7" s="333"/>
      <c r="AC7" s="333"/>
      <c r="AD7" s="333"/>
      <c r="AE7" s="333"/>
      <c r="AF7" s="342"/>
      <c r="AG7" s="346"/>
      <c r="AH7" s="333"/>
      <c r="AI7" s="333"/>
      <c r="AJ7" s="333"/>
      <c r="AK7" s="333"/>
      <c r="AL7" s="333"/>
      <c r="AM7" s="333"/>
      <c r="AN7" s="333"/>
      <c r="AO7" s="333"/>
      <c r="AP7" s="342"/>
      <c r="AQ7" s="346"/>
      <c r="AR7" s="333"/>
      <c r="AS7" s="333"/>
      <c r="AT7" s="333"/>
      <c r="AU7" s="333"/>
      <c r="AV7" s="333"/>
      <c r="AW7" s="333"/>
      <c r="AX7" s="333"/>
      <c r="AY7" s="333"/>
      <c r="AZ7" s="342"/>
      <c r="BA7" s="317"/>
      <c r="BB7" s="353"/>
      <c r="BC7" s="366"/>
      <c r="BD7" s="335"/>
      <c r="BE7" s="335"/>
      <c r="BF7" s="335"/>
      <c r="BG7" s="326"/>
      <c r="BH7" s="343"/>
      <c r="BI7" s="343"/>
      <c r="BJ7" s="343"/>
      <c r="BK7" s="343"/>
      <c r="BL7" s="343"/>
      <c r="BM7" s="343"/>
      <c r="BN7" s="347"/>
      <c r="BO7" s="317"/>
      <c r="BP7" s="328"/>
      <c r="BQ7" s="354"/>
      <c r="BR7" s="326"/>
      <c r="BS7" s="326"/>
      <c r="BT7" s="326"/>
      <c r="BU7" s="328"/>
      <c r="BV7" s="327"/>
      <c r="BW7" s="327"/>
      <c r="BX7" s="355"/>
      <c r="BY7" s="355"/>
      <c r="BZ7" s="347"/>
      <c r="CA7" s="317"/>
      <c r="CB7" s="320"/>
      <c r="CC7" s="320"/>
      <c r="CD7" s="320"/>
      <c r="CE7" s="323"/>
      <c r="CF7" s="323"/>
      <c r="CG7" s="338"/>
      <c r="CH7" s="338"/>
      <c r="CI7" s="342"/>
      <c r="CJ7" s="317"/>
      <c r="CK7" s="320"/>
      <c r="CL7" s="320"/>
      <c r="CM7" s="320"/>
      <c r="CN7" s="320"/>
      <c r="CO7" s="320"/>
      <c r="CP7" s="338"/>
      <c r="CQ7" s="338"/>
      <c r="CR7" s="342"/>
      <c r="CS7" s="317"/>
      <c r="CT7" s="320"/>
      <c r="CU7" s="320"/>
      <c r="CV7" s="320"/>
      <c r="CW7" s="320"/>
      <c r="CX7" s="323"/>
      <c r="CY7" s="338"/>
      <c r="CZ7" s="338"/>
      <c r="DA7" s="341"/>
      <c r="DB7" s="342"/>
      <c r="DC7" s="317"/>
      <c r="DD7" s="320"/>
      <c r="DE7" s="320"/>
      <c r="DF7" s="320"/>
      <c r="DG7" s="323"/>
      <c r="DH7" s="320"/>
      <c r="DI7" s="338"/>
      <c r="DJ7" s="338"/>
      <c r="DK7" s="342"/>
      <c r="DL7" s="317"/>
      <c r="DM7" s="327"/>
      <c r="DN7" s="328"/>
      <c r="DO7" s="328"/>
      <c r="DP7" s="328"/>
      <c r="DQ7" s="327"/>
      <c r="DR7" s="326"/>
      <c r="DS7" s="328"/>
      <c r="DT7" s="326"/>
      <c r="DU7" s="327"/>
      <c r="DV7" s="328"/>
      <c r="DW7" s="328"/>
      <c r="DX7" s="328"/>
      <c r="DY7" s="347"/>
      <c r="DZ7" s="368"/>
      <c r="EA7" s="348"/>
      <c r="EB7" s="348"/>
      <c r="EC7" s="348"/>
      <c r="ED7" s="327"/>
      <c r="EE7" s="327"/>
      <c r="EF7" s="327"/>
      <c r="EG7" s="327"/>
      <c r="EH7" s="367"/>
      <c r="EI7" s="346"/>
      <c r="EJ7" s="361"/>
      <c r="EK7" s="361"/>
      <c r="EL7" s="361"/>
      <c r="EM7" s="361"/>
      <c r="EN7" s="361"/>
      <c r="EO7" s="361"/>
      <c r="EP7" s="361"/>
      <c r="EQ7" s="365"/>
    </row>
    <row r="8" spans="1:154" s="3" customFormat="1" ht="17.149999999999999" customHeight="1" x14ac:dyDescent="0.25">
      <c r="A8" s="56">
        <v>1</v>
      </c>
      <c r="B8" s="57">
        <v>882183</v>
      </c>
      <c r="C8" s="58">
        <f>IF(B9="","",IF(B9=B8,"",(B9-B8)))</f>
        <v>95</v>
      </c>
      <c r="D8" s="167">
        <v>9.5</v>
      </c>
      <c r="E8" s="59">
        <v>786444</v>
      </c>
      <c r="F8" s="58">
        <f>IF(E9="","",IF(E9=E8,"",(E9-E8)))</f>
        <v>185</v>
      </c>
      <c r="G8" s="168">
        <v>1.82</v>
      </c>
      <c r="H8" s="57">
        <v>745986</v>
      </c>
      <c r="I8" s="58">
        <f t="shared" ref="I8:I37" si="0">IF(H9="","",IF(H9=H8,"",(H9-H8)))</f>
        <v>70</v>
      </c>
      <c r="J8" s="60" t="s">
        <v>237</v>
      </c>
      <c r="K8" s="56">
        <v>1</v>
      </c>
      <c r="L8" s="57">
        <v>69120</v>
      </c>
      <c r="M8" s="58" t="str">
        <f>IF(L9="","",IF(L9=L8,"",(L9-L8)))</f>
        <v/>
      </c>
      <c r="N8" s="59">
        <v>175111</v>
      </c>
      <c r="O8" s="58">
        <f>IF(N9="","",IF(N9=N8,"",(N9-N8)))</f>
        <v>23</v>
      </c>
      <c r="P8" s="57">
        <v>194749</v>
      </c>
      <c r="Q8" s="58" t="str">
        <f t="shared" ref="Q8:Q37" si="1">IF(P9="","",IF(P9=P8,"",(P9-P8)))</f>
        <v/>
      </c>
      <c r="R8" s="57">
        <v>670</v>
      </c>
      <c r="S8" s="57">
        <v>677</v>
      </c>
      <c r="T8" s="170">
        <v>140</v>
      </c>
      <c r="U8" s="57">
        <v>137</v>
      </c>
      <c r="V8" s="58" t="str">
        <f>IF(J8="","",J8)</f>
        <v>SA/ME</v>
      </c>
      <c r="W8" s="56">
        <v>1</v>
      </c>
      <c r="X8" s="63">
        <v>11633.49</v>
      </c>
      <c r="Y8" s="130">
        <f>IF(X9="","",IF(X9=X8,"",X9-X8))</f>
        <v>1.0900000000001455</v>
      </c>
      <c r="Z8" s="63">
        <v>12408.68</v>
      </c>
      <c r="AA8" s="130">
        <f>IF(Z9="","",IF(Z9=Z8,"",Z9-Z8))</f>
        <v>2.2899999999990541</v>
      </c>
      <c r="AB8" s="63">
        <v>9801.84</v>
      </c>
      <c r="AC8" s="130" t="str">
        <f>IF(AB9="","",IF(AB9=AB8,"",AB9-AB8))</f>
        <v/>
      </c>
      <c r="AD8" s="63">
        <v>9886.7099999999991</v>
      </c>
      <c r="AE8" s="130">
        <f t="shared" ref="AE8:AE37" si="2">IF(AD9="","",IF(AD9=AD8,"",AD9-AD8))</f>
        <v>1.8700000000008004</v>
      </c>
      <c r="AF8" s="125" t="str">
        <f>IF(J8="","",J8)</f>
        <v>SA/ME</v>
      </c>
      <c r="AG8" s="56">
        <v>1</v>
      </c>
      <c r="AH8" s="63">
        <v>46491.07</v>
      </c>
      <c r="AI8" s="130">
        <f>IF(AH9="","",IF(AH9=AH8,"",AH9-AH8))</f>
        <v>11.809999999997672</v>
      </c>
      <c r="AJ8" s="63">
        <v>48626.43</v>
      </c>
      <c r="AK8" s="130">
        <f>IF(AJ9="","",IF(AJ9=AJ8,"",AJ9-AJ8))</f>
        <v>11.919999999998254</v>
      </c>
      <c r="AL8" s="63">
        <v>586.1</v>
      </c>
      <c r="AM8" s="130" t="str">
        <f>IF(AL9="","",IF(AL9=AL8,"",AL9-AL8))</f>
        <v/>
      </c>
      <c r="AN8" s="63">
        <v>547.45000000000005</v>
      </c>
      <c r="AO8" s="130" t="str">
        <f t="shared" ref="AO8:AO37" si="3">IF(AN9="","",IF(AN9=AN8,"",AN9-AN8))</f>
        <v/>
      </c>
      <c r="AP8" s="125" t="str">
        <f>IF(J8="","",J8)</f>
        <v>SA/ME</v>
      </c>
      <c r="AQ8" s="56">
        <v>1</v>
      </c>
      <c r="AR8" s="63">
        <v>6706.43</v>
      </c>
      <c r="AS8" s="130">
        <f>IF(AR9="","",IF(AR9=AR8,"",AR9-AR8))</f>
        <v>0.75999999999930878</v>
      </c>
      <c r="AT8" s="63">
        <v>7427.24</v>
      </c>
      <c r="AU8" s="130">
        <f>IF(AT9="","",IF(AT9=AT8,"",AT9-AT8))</f>
        <v>2.180000000000291</v>
      </c>
      <c r="AV8" s="63">
        <v>253.34</v>
      </c>
      <c r="AW8" s="130" t="str">
        <f>IF(AV9="","",IF(AV9=AV8,"",AV9-AV8))</f>
        <v/>
      </c>
      <c r="AX8" s="63">
        <v>241.36</v>
      </c>
      <c r="AY8" s="130" t="str">
        <f t="shared" ref="AY8:AY37" si="4">IF(AX9="","",IF(AX9=AX8,"",AX9-AX8))</f>
        <v/>
      </c>
      <c r="AZ8" s="125" t="str">
        <f>IF(J8="","",J8)</f>
        <v>SA/ME</v>
      </c>
      <c r="BA8" s="56">
        <v>1</v>
      </c>
      <c r="BB8" s="64"/>
      <c r="BC8" s="62"/>
      <c r="BD8" s="61"/>
      <c r="BE8" s="61"/>
      <c r="BF8" s="61"/>
      <c r="BG8" s="61"/>
      <c r="BH8" s="64"/>
      <c r="BI8" s="64"/>
      <c r="BJ8" s="64"/>
      <c r="BK8" s="64"/>
      <c r="BL8" s="64"/>
      <c r="BM8" s="64"/>
      <c r="BN8" s="65" t="str">
        <f>IF(J8="","",J8)</f>
        <v>SA/ME</v>
      </c>
      <c r="BO8" s="56">
        <v>1</v>
      </c>
      <c r="BP8" s="64">
        <v>8.5000000000000006E-2</v>
      </c>
      <c r="BQ8" s="62">
        <v>0</v>
      </c>
      <c r="BR8" s="61">
        <v>7.3</v>
      </c>
      <c r="BS8" s="61">
        <v>8.6</v>
      </c>
      <c r="BT8" s="61">
        <v>17.7</v>
      </c>
      <c r="BU8" s="64">
        <v>1.2E-2</v>
      </c>
      <c r="BV8" s="63">
        <v>1.24</v>
      </c>
      <c r="BW8" s="63">
        <v>1.05</v>
      </c>
      <c r="BX8" s="66" t="s">
        <v>345</v>
      </c>
      <c r="BY8" s="172" t="s">
        <v>239</v>
      </c>
      <c r="BZ8" s="67" t="str">
        <f>IF(J8="","",J8)</f>
        <v>SA/ME</v>
      </c>
      <c r="CA8" s="56">
        <v>1</v>
      </c>
      <c r="CB8" s="61">
        <v>89.3</v>
      </c>
      <c r="CC8" s="61"/>
      <c r="CD8" s="68">
        <f>IF(CB9="","",IF(CC8="",IF(CB8=CB9,"",(CB8-CB9)),IF(CC8=CB9,"",(CC8-CB9))))</f>
        <v>0.59999999999999432</v>
      </c>
      <c r="CE8" s="69">
        <f>IF(CD8="","",(CD8*(0.785*77*77)/1000))</f>
        <v>2.792558999999974</v>
      </c>
      <c r="CF8" s="69">
        <f>IF(CE8="","",(CE8*0.12*1000)/I8)</f>
        <v>4.787243999999955</v>
      </c>
      <c r="CG8" s="62">
        <v>63</v>
      </c>
      <c r="CH8" s="62">
        <v>100</v>
      </c>
      <c r="CI8" s="65" t="str">
        <f>IF(J8="","",J8)</f>
        <v>SA/ME</v>
      </c>
      <c r="CJ8" s="56">
        <v>1</v>
      </c>
      <c r="CK8" s="61">
        <v>93.5</v>
      </c>
      <c r="CL8" s="61"/>
      <c r="CM8" s="68">
        <f>IF(CK9="","",IF(CL8="",IF(CK8=CK9,"",(CK8-CK9)),IF(CL8=CK9,"",(CL8-CK9))))</f>
        <v>1.4000000000000057</v>
      </c>
      <c r="CN8" s="68">
        <f>IF(CM8="","",(CM8*(0.785*77*77)/1000))</f>
        <v>6.515971000000027</v>
      </c>
      <c r="CO8" s="68">
        <f>IF(CN8="","",(CN8*0.33*1.205*1000)/C8)</f>
        <v>27.274482822631697</v>
      </c>
      <c r="CP8" s="62">
        <v>53</v>
      </c>
      <c r="CQ8" s="62">
        <v>83</v>
      </c>
      <c r="CR8" s="65" t="str">
        <f>IF(J8="","",J8)</f>
        <v>SA/ME</v>
      </c>
      <c r="CS8" s="56">
        <v>1</v>
      </c>
      <c r="CT8" s="61">
        <v>109</v>
      </c>
      <c r="CU8" s="61"/>
      <c r="CV8" s="68">
        <f>IF(CT9="","",IF(CU8="",IF(CT8=CT9,"",(CT8-CT9)),IF(CU8=CT9,"",(CU8-CT9))))</f>
        <v>1.0999999999999943</v>
      </c>
      <c r="CW8" s="68">
        <f>IF(CV8="","",(CV8*(0.785*92*92)/1000))</f>
        <v>7.3086639999999612</v>
      </c>
      <c r="CX8" s="69">
        <f>IF(CW8="","",(CW8)/C8)</f>
        <v>7.6933305263157489E-2</v>
      </c>
      <c r="CY8" s="66" t="s">
        <v>240</v>
      </c>
      <c r="CZ8" s="66" t="s">
        <v>241</v>
      </c>
      <c r="DA8" s="66"/>
      <c r="DB8" s="65" t="str">
        <f>IF(J8="","",J8)</f>
        <v>SA/ME</v>
      </c>
      <c r="DC8" s="56">
        <v>1</v>
      </c>
      <c r="DD8" s="61">
        <v>88.5</v>
      </c>
      <c r="DE8" s="61">
        <v>103.9</v>
      </c>
      <c r="DF8" s="68">
        <f>IF(DD9="","",IF(DE8="",IF(DD8=DD9,"",(DD8-DD9)),IF(DE8=DD9,"",(DE8-DD9))))</f>
        <v>8.7000000000000028</v>
      </c>
      <c r="DG8" s="69">
        <f>IF(DF8="","",(DF8*(0.785*92*92)*0.00812/1000))</f>
        <v>0.46937569056000011</v>
      </c>
      <c r="DH8" s="68">
        <f>IF(DG8="","",(DG8*1000)/C8)</f>
        <v>4.9407967427368433</v>
      </c>
      <c r="DI8" s="62">
        <v>90</v>
      </c>
      <c r="DJ8" s="62">
        <v>54</v>
      </c>
      <c r="DK8" s="65" t="str">
        <f>IF(J8="","",J8)</f>
        <v>SA/ME</v>
      </c>
      <c r="DL8" s="56">
        <v>1</v>
      </c>
      <c r="DM8" s="63">
        <v>7.96</v>
      </c>
      <c r="DN8" s="64">
        <v>1.6E-2</v>
      </c>
      <c r="DO8" s="64">
        <v>3.2000000000000001E-2</v>
      </c>
      <c r="DP8" s="64">
        <v>6.3E-2</v>
      </c>
      <c r="DQ8" s="63">
        <v>6.85</v>
      </c>
      <c r="DR8" s="61">
        <v>8.6</v>
      </c>
      <c r="DS8" s="64">
        <v>1.1819999999999999</v>
      </c>
      <c r="DT8" s="61">
        <v>85.9</v>
      </c>
      <c r="DU8" s="63">
        <v>4.37</v>
      </c>
      <c r="DV8" s="64">
        <v>0.67400000000000004</v>
      </c>
      <c r="DW8" s="64">
        <v>1.89</v>
      </c>
      <c r="DX8" s="66" t="s">
        <v>242</v>
      </c>
      <c r="DY8" s="65" t="str">
        <f>IF(J8="","",J8)</f>
        <v>SA/ME</v>
      </c>
      <c r="DZ8" s="128">
        <v>1</v>
      </c>
      <c r="EA8" s="173">
        <f>IF(C8="","",C8/1496)</f>
        <v>6.3502673796791448E-2</v>
      </c>
      <c r="EB8" s="173">
        <f>IF(F8="","",IF(Q8="",F8/1360,(F8+Q8)/1360))</f>
        <v>0.13602941176470587</v>
      </c>
      <c r="EC8" s="173">
        <f>IF(I8="","",IF(C8="","",I8/C8))</f>
        <v>0.73684210526315785</v>
      </c>
      <c r="ED8" s="63">
        <v>1.1299999999999999</v>
      </c>
      <c r="EE8" s="63">
        <v>1.21</v>
      </c>
      <c r="EF8" s="63">
        <v>0.05</v>
      </c>
      <c r="EG8" s="63">
        <v>0.55000000000000004</v>
      </c>
      <c r="EH8" s="127" t="str">
        <f t="shared" ref="EH8:EH38" si="5">IF(J8="","",J8)</f>
        <v>SA/ME</v>
      </c>
      <c r="EI8" s="56">
        <v>1</v>
      </c>
      <c r="EJ8" s="334"/>
      <c r="EK8" s="334"/>
      <c r="EL8" s="334"/>
      <c r="EM8" s="334"/>
      <c r="EN8" s="334"/>
      <c r="EO8" s="334"/>
      <c r="EP8" s="334"/>
      <c r="EQ8" s="65" t="str">
        <f>IF(J8="","",J8)</f>
        <v>SA/ME</v>
      </c>
      <c r="ER8" s="20"/>
      <c r="ES8" s="20"/>
      <c r="ET8" s="20"/>
      <c r="EU8" s="20"/>
      <c r="EV8" s="20"/>
      <c r="EW8" s="20"/>
      <c r="EX8" s="20"/>
    </row>
    <row r="9" spans="1:154" s="3" customFormat="1" ht="17.149999999999999" customHeight="1" x14ac:dyDescent="0.25">
      <c r="A9" s="56">
        <v>2</v>
      </c>
      <c r="B9" s="57">
        <v>882278</v>
      </c>
      <c r="C9" s="58">
        <f t="shared" ref="C9:C37" si="6">IF(B10="","",IF(B10=B9,"",(B10-B9)))</f>
        <v>386</v>
      </c>
      <c r="D9" s="167">
        <v>9.09</v>
      </c>
      <c r="E9" s="57">
        <v>786629</v>
      </c>
      <c r="F9" s="58">
        <f t="shared" ref="F9:F37" si="7">IF(E10="","",IF(E10=E9,"",(E10-E9)))</f>
        <v>187</v>
      </c>
      <c r="G9" s="168">
        <v>1.93</v>
      </c>
      <c r="H9" s="57">
        <v>746056</v>
      </c>
      <c r="I9" s="58">
        <f t="shared" si="0"/>
        <v>164</v>
      </c>
      <c r="J9" s="60" t="s">
        <v>194</v>
      </c>
      <c r="K9" s="56">
        <v>2</v>
      </c>
      <c r="L9" s="57">
        <v>69120</v>
      </c>
      <c r="M9" s="58">
        <f t="shared" ref="M9:M37" si="8">IF(L10="","",IF(L10=L9,"",(L10-L9)))</f>
        <v>48</v>
      </c>
      <c r="N9" s="57">
        <v>175134</v>
      </c>
      <c r="O9" s="58">
        <f t="shared" ref="O9:O37" si="9">IF(N10="","",IF(N10=N9,"",(N10-N9)))</f>
        <v>61</v>
      </c>
      <c r="P9" s="57">
        <v>194749</v>
      </c>
      <c r="Q9" s="58" t="str">
        <f t="shared" si="1"/>
        <v/>
      </c>
      <c r="R9" s="57">
        <v>670</v>
      </c>
      <c r="S9" s="57">
        <v>677</v>
      </c>
      <c r="T9" s="170">
        <v>140</v>
      </c>
      <c r="U9" s="57">
        <v>137</v>
      </c>
      <c r="V9" s="58" t="str">
        <f t="shared" ref="V9:V38" si="10">IF(J9="","",J9)</f>
        <v>ME</v>
      </c>
      <c r="W9" s="56">
        <v>2</v>
      </c>
      <c r="X9" s="63">
        <v>11634.58</v>
      </c>
      <c r="Y9" s="130">
        <f t="shared" ref="Y9:Y37" si="11">IF(X10="","",IF(X10=X9,"",X10-X9))</f>
        <v>9.7299999999995634</v>
      </c>
      <c r="Z9" s="63">
        <v>12410.97</v>
      </c>
      <c r="AA9" s="130">
        <f t="shared" ref="AA9:AA37" si="12">IF(Z10="","",IF(Z10=Z9,"",Z10-Z9))</f>
        <v>1.9000000000014552</v>
      </c>
      <c r="AB9" s="63">
        <v>9801.84</v>
      </c>
      <c r="AC9" s="130">
        <f t="shared" ref="AC9:AC37" si="13">IF(AB10="","",IF(AB10=AB9,"",AB10-AB9))</f>
        <v>1.3799999999991996</v>
      </c>
      <c r="AD9" s="63">
        <v>9888.58</v>
      </c>
      <c r="AE9" s="130">
        <f t="shared" si="2"/>
        <v>4.8500000000003638</v>
      </c>
      <c r="AF9" s="125" t="str">
        <f t="shared" ref="AF9:AF38" si="14">IF(J9="","",J9)</f>
        <v>ME</v>
      </c>
      <c r="AG9" s="56">
        <v>2</v>
      </c>
      <c r="AH9" s="63">
        <v>46502.879999999997</v>
      </c>
      <c r="AI9" s="130">
        <f t="shared" ref="AI9:AI37" si="15">IF(AH10="","",IF(AH10=AH9,"",AH10-AH9))</f>
        <v>12.720000000001164</v>
      </c>
      <c r="AJ9" s="63">
        <v>48638.35</v>
      </c>
      <c r="AK9" s="130">
        <f t="shared" ref="AK9:AK37" si="16">IF(AJ10="","",IF(AJ10=AJ9,"",AJ10-AJ9))</f>
        <v>12.090000000003783</v>
      </c>
      <c r="AL9" s="63">
        <v>586.1</v>
      </c>
      <c r="AM9" s="130" t="str">
        <f t="shared" ref="AM9:AM37" si="17">IF(AL10="","",IF(AL10=AL9,"",AL10-AL9))</f>
        <v/>
      </c>
      <c r="AN9" s="63">
        <v>547.45000000000005</v>
      </c>
      <c r="AO9" s="130" t="str">
        <f t="shared" si="3"/>
        <v/>
      </c>
      <c r="AP9" s="125" t="str">
        <f t="shared" ref="AP9:AP38" si="18">IF(J9="","",J9)</f>
        <v>ME</v>
      </c>
      <c r="AQ9" s="56">
        <v>2</v>
      </c>
      <c r="AR9" s="63">
        <v>6707.19</v>
      </c>
      <c r="AS9" s="130">
        <f t="shared" ref="AS9:AS37" si="19">IF(AR10="","",IF(AR10=AR9,"",AR10-AR9))</f>
        <v>1.4000000000005457</v>
      </c>
      <c r="AT9" s="63">
        <v>7429.42</v>
      </c>
      <c r="AU9" s="130">
        <f t="shared" ref="AU9:AU37" si="20">IF(AT10="","",IF(AT10=AT9,"",AT10-AT9))</f>
        <v>1.8800000000001091</v>
      </c>
      <c r="AV9" s="63">
        <v>253.34</v>
      </c>
      <c r="AW9" s="130">
        <f t="shared" ref="AW9:AW37" si="21">IF(AV10="","",IF(AV10=AV9,"",AV10-AV9))</f>
        <v>0.32999999999998408</v>
      </c>
      <c r="AX9" s="63">
        <v>241.36</v>
      </c>
      <c r="AY9" s="130" t="str">
        <f t="shared" si="4"/>
        <v/>
      </c>
      <c r="AZ9" s="125" t="str">
        <f t="shared" ref="AZ9:AZ38" si="22">IF(J9="","",J9)</f>
        <v>ME</v>
      </c>
      <c r="BA9" s="56">
        <v>2</v>
      </c>
      <c r="BB9" s="64">
        <v>0.79200000000000004</v>
      </c>
      <c r="BC9" s="62">
        <v>24</v>
      </c>
      <c r="BD9" s="61">
        <v>6.9</v>
      </c>
      <c r="BE9" s="61">
        <v>4.9000000000000004</v>
      </c>
      <c r="BF9" s="61">
        <v>17.7</v>
      </c>
      <c r="BG9" s="61">
        <v>6.9</v>
      </c>
      <c r="BH9" s="64">
        <v>0.20699999999999999</v>
      </c>
      <c r="BI9" s="64">
        <v>0.19600000000000001</v>
      </c>
      <c r="BJ9" s="64">
        <v>4.8000000000000001E-2</v>
      </c>
      <c r="BK9" s="64">
        <v>5.1999999999999998E-2</v>
      </c>
      <c r="BL9" s="64">
        <v>0.05</v>
      </c>
      <c r="BM9" s="64">
        <v>5.0999999999999997E-2</v>
      </c>
      <c r="BN9" s="65" t="str">
        <f t="shared" ref="BN9:BN38" si="23">IF(J9="","",J9)</f>
        <v>ME</v>
      </c>
      <c r="BO9" s="56">
        <v>2</v>
      </c>
      <c r="BP9" s="64">
        <v>8.2000000000000003E-2</v>
      </c>
      <c r="BQ9" s="62">
        <v>0</v>
      </c>
      <c r="BR9" s="61">
        <v>7</v>
      </c>
      <c r="BS9" s="61">
        <v>8.8000000000000007</v>
      </c>
      <c r="BT9" s="61">
        <v>20.5</v>
      </c>
      <c r="BU9" s="64">
        <v>0.01</v>
      </c>
      <c r="BV9" s="63">
        <v>1.21</v>
      </c>
      <c r="BW9" s="63">
        <v>1.01</v>
      </c>
      <c r="BX9" s="66" t="s">
        <v>245</v>
      </c>
      <c r="BY9" s="172" t="s">
        <v>246</v>
      </c>
      <c r="BZ9" s="67" t="str">
        <f t="shared" ref="BZ9:BZ38" si="24">IF(J9="","",J9)</f>
        <v>ME</v>
      </c>
      <c r="CA9" s="56">
        <v>2</v>
      </c>
      <c r="CB9" s="61">
        <v>88.7</v>
      </c>
      <c r="CC9" s="61"/>
      <c r="CD9" s="68">
        <f t="shared" ref="CD9:CD37" si="25">IF(CB10="","",IF(CC9="",IF(CB9=CB10,"",(CB9-CB10)),IF(CC9=CB10,"",(CC9-CB10))))</f>
        <v>1.5</v>
      </c>
      <c r="CE9" s="69">
        <f t="shared" ref="CE9:CE38" si="26">IF(CD9="","",(CD9*(0.785*77*77)/1000))</f>
        <v>6.9813975000000008</v>
      </c>
      <c r="CF9" s="69">
        <f t="shared" ref="CF9:CF38" si="27">IF(CE9="","",(CE9*0.12*1000)/I9)</f>
        <v>5.1083396341463425</v>
      </c>
      <c r="CG9" s="62">
        <v>58</v>
      </c>
      <c r="CH9" s="62">
        <v>100</v>
      </c>
      <c r="CI9" s="65" t="str">
        <f t="shared" ref="CI9:CI38" si="28">IF(J9="","",J9)</f>
        <v>ME</v>
      </c>
      <c r="CJ9" s="56">
        <v>2</v>
      </c>
      <c r="CK9" s="61">
        <v>92.1</v>
      </c>
      <c r="CL9" s="61"/>
      <c r="CM9" s="68">
        <f t="shared" ref="CM9:CM37" si="29">IF(CK10="","",IF(CL9="",IF(CK9=CK10,"",(CK9-CK10)),IF(CL9=CK10,"",(CL9-CK10))))</f>
        <v>4.6999999999999886</v>
      </c>
      <c r="CN9" s="68">
        <f t="shared" ref="CN9:CN38" si="30">IF(CM9="","",(CM9*(0.785*77*77)/1000))</f>
        <v>21.875045499999949</v>
      </c>
      <c r="CO9" s="68">
        <f t="shared" ref="CO9:CO38" si="31">IF(CN9="","",(CN9*0.33*1.205*1000)/C9)</f>
        <v>22.535263842163157</v>
      </c>
      <c r="CP9" s="62">
        <v>52</v>
      </c>
      <c r="CQ9" s="62">
        <v>83</v>
      </c>
      <c r="CR9" s="65" t="str">
        <f t="shared" ref="CR9:CR38" si="32">IF(J9="","",J9)</f>
        <v>ME</v>
      </c>
      <c r="CS9" s="56">
        <v>2</v>
      </c>
      <c r="CT9" s="61">
        <v>107.9</v>
      </c>
      <c r="CU9" s="61"/>
      <c r="CV9" s="68">
        <f t="shared" ref="CV9:CV37" si="33">IF(CT10="","",IF(CU9="",IF(CT9=CT10,"",(CT9-CT10)),IF(CU9=CT10,"",(CU9-CT10))))</f>
        <v>4</v>
      </c>
      <c r="CW9" s="68">
        <f t="shared" ref="CW9:CW38" si="34">IF(CV9="","",(CV9*(0.785*92*92)/1000))</f>
        <v>26.57696</v>
      </c>
      <c r="CX9" s="69">
        <f t="shared" ref="CX9:CX38" si="35">IF(CW9="","",(CW9)/C9)</f>
        <v>6.8852227979274608E-2</v>
      </c>
      <c r="CY9" s="66" t="s">
        <v>240</v>
      </c>
      <c r="CZ9" s="66" t="s">
        <v>241</v>
      </c>
      <c r="DA9" s="66"/>
      <c r="DB9" s="65" t="str">
        <f t="shared" ref="DB9:DB38" si="36">IF(J9="","",J9)</f>
        <v>ME</v>
      </c>
      <c r="DC9" s="56">
        <v>2</v>
      </c>
      <c r="DD9" s="61">
        <v>95.2</v>
      </c>
      <c r="DE9" s="61"/>
      <c r="DF9" s="68">
        <f t="shared" ref="DF9:DF37" si="37">IF(DD10="","",IF(DE9="",IF(DD9=DD10,"",(DD9-DD10)),IF(DE9=DD10,"",(DE9-DD10))))</f>
        <v>30.600000000000009</v>
      </c>
      <c r="DG9" s="69">
        <f t="shared" ref="DG9:DG38" si="38">IF(DF9="","",(DF9*(0.785*92*92)*0.00812/1000))</f>
        <v>1.6509076012800006</v>
      </c>
      <c r="DH9" s="68">
        <f t="shared" ref="DH9:DH38" si="39">IF(DG9="","",(DG9*1000)/C9)</f>
        <v>4.2769626976165815</v>
      </c>
      <c r="DI9" s="62">
        <v>88</v>
      </c>
      <c r="DJ9" s="62">
        <v>54</v>
      </c>
      <c r="DK9" s="65" t="str">
        <f t="shared" ref="DK9:DK38" si="40">IF(J9="","",J9)</f>
        <v>ME</v>
      </c>
      <c r="DL9" s="56">
        <v>2</v>
      </c>
      <c r="DM9" s="63">
        <v>7.31</v>
      </c>
      <c r="DN9" s="64">
        <v>2.4E-2</v>
      </c>
      <c r="DO9" s="64">
        <v>2.8000000000000001E-2</v>
      </c>
      <c r="DP9" s="64">
        <v>6.2E-2</v>
      </c>
      <c r="DQ9" s="63">
        <v>6.85</v>
      </c>
      <c r="DR9" s="61">
        <v>8.8000000000000007</v>
      </c>
      <c r="DS9" s="64">
        <v>1.1910000000000001</v>
      </c>
      <c r="DT9" s="61">
        <v>84.5</v>
      </c>
      <c r="DU9" s="63">
        <v>4.1100000000000003</v>
      </c>
      <c r="DV9" s="64">
        <v>0.70599999999999996</v>
      </c>
      <c r="DW9" s="64">
        <v>1.4</v>
      </c>
      <c r="DX9" s="66" t="s">
        <v>247</v>
      </c>
      <c r="DY9" s="65" t="str">
        <f t="shared" ref="DY9:DY38" si="41">IF(J9="","",J9)</f>
        <v>ME</v>
      </c>
      <c r="DZ9" s="128">
        <v>2</v>
      </c>
      <c r="EA9" s="173">
        <f t="shared" ref="EA9:EA38" si="42">IF(C9="","",C9/1496)</f>
        <v>0.25802139037433153</v>
      </c>
      <c r="EB9" s="173">
        <f t="shared" ref="EB9:EB38" si="43">IF(F9="","",IF(Q9="",F9/1360,(F9+Q9)/1360))</f>
        <v>0.13750000000000001</v>
      </c>
      <c r="EC9" s="173">
        <f t="shared" ref="EC9:EC38" si="44">IF(I9="","",IF(C9="","",I9/C9))</f>
        <v>0.42487046632124353</v>
      </c>
      <c r="ED9" s="63">
        <v>1.1599999999999999</v>
      </c>
      <c r="EE9" s="63">
        <v>1.21</v>
      </c>
      <c r="EF9" s="63">
        <v>0.05</v>
      </c>
      <c r="EG9" s="63">
        <v>0.06</v>
      </c>
      <c r="EH9" s="127" t="str">
        <f t="shared" si="5"/>
        <v>ME</v>
      </c>
      <c r="EI9" s="56">
        <v>2</v>
      </c>
      <c r="EJ9" s="334" t="s">
        <v>347</v>
      </c>
      <c r="EK9" s="334"/>
      <c r="EL9" s="334"/>
      <c r="EM9" s="334"/>
      <c r="EN9" s="334"/>
      <c r="EO9" s="334"/>
      <c r="EP9" s="334"/>
      <c r="EQ9" s="65" t="str">
        <f t="shared" ref="EQ9:EQ38" si="45">IF(J9="","",J9)</f>
        <v>ME</v>
      </c>
      <c r="ER9" s="20"/>
      <c r="ES9" s="20"/>
      <c r="ET9" s="20"/>
      <c r="EU9" s="20"/>
      <c r="EV9" s="20"/>
      <c r="EW9" s="20"/>
      <c r="EX9" s="20"/>
    </row>
    <row r="10" spans="1:154" s="3" customFormat="1" ht="17.149999999999999" customHeight="1" x14ac:dyDescent="0.25">
      <c r="A10" s="56">
        <v>3</v>
      </c>
      <c r="B10" s="57">
        <v>882664</v>
      </c>
      <c r="C10" s="58">
        <f t="shared" si="6"/>
        <v>152</v>
      </c>
      <c r="D10" s="167">
        <v>9.44</v>
      </c>
      <c r="E10" s="57">
        <v>786816</v>
      </c>
      <c r="F10" s="58">
        <f t="shared" si="7"/>
        <v>158</v>
      </c>
      <c r="G10" s="168">
        <v>2.2599999999999998</v>
      </c>
      <c r="H10" s="57">
        <v>746220</v>
      </c>
      <c r="I10" s="58">
        <f t="shared" si="0"/>
        <v>130</v>
      </c>
      <c r="J10" s="60" t="s">
        <v>194</v>
      </c>
      <c r="K10" s="56">
        <v>3</v>
      </c>
      <c r="L10" s="57">
        <v>69168</v>
      </c>
      <c r="M10" s="58">
        <f t="shared" si="8"/>
        <v>4</v>
      </c>
      <c r="N10" s="57">
        <v>175195</v>
      </c>
      <c r="O10" s="58">
        <f t="shared" si="9"/>
        <v>53</v>
      </c>
      <c r="P10" s="57">
        <v>194749</v>
      </c>
      <c r="Q10" s="58" t="str">
        <f t="shared" si="1"/>
        <v/>
      </c>
      <c r="R10" s="57">
        <v>670</v>
      </c>
      <c r="S10" s="57">
        <v>678</v>
      </c>
      <c r="T10" s="170">
        <v>140</v>
      </c>
      <c r="U10" s="57">
        <v>137</v>
      </c>
      <c r="V10" s="58" t="str">
        <f t="shared" si="10"/>
        <v>ME</v>
      </c>
      <c r="W10" s="56">
        <v>3</v>
      </c>
      <c r="X10" s="63">
        <v>11644.31</v>
      </c>
      <c r="Y10" s="130">
        <f t="shared" si="11"/>
        <v>2.5400000000008731</v>
      </c>
      <c r="Z10" s="63">
        <v>12412.87</v>
      </c>
      <c r="AA10" s="130">
        <f t="shared" si="12"/>
        <v>1.9599999999991269</v>
      </c>
      <c r="AB10" s="63">
        <v>9803.2199999999993</v>
      </c>
      <c r="AC10" s="130">
        <f t="shared" si="13"/>
        <v>1.9899999999997817</v>
      </c>
      <c r="AD10" s="63">
        <v>9893.43</v>
      </c>
      <c r="AE10" s="130">
        <f t="shared" si="2"/>
        <v>1.4899999999997817</v>
      </c>
      <c r="AF10" s="125" t="str">
        <f t="shared" si="14"/>
        <v>ME</v>
      </c>
      <c r="AG10" s="56">
        <v>3</v>
      </c>
      <c r="AH10" s="63">
        <v>46515.6</v>
      </c>
      <c r="AI10" s="130">
        <f t="shared" si="15"/>
        <v>11.279999999998836</v>
      </c>
      <c r="AJ10" s="63">
        <v>48650.44</v>
      </c>
      <c r="AK10" s="130">
        <f t="shared" si="16"/>
        <v>10.919999999998254</v>
      </c>
      <c r="AL10" s="63">
        <v>586.1</v>
      </c>
      <c r="AM10" s="130" t="str">
        <f t="shared" si="17"/>
        <v/>
      </c>
      <c r="AN10" s="63">
        <v>547.45000000000005</v>
      </c>
      <c r="AO10" s="130" t="str">
        <f t="shared" si="3"/>
        <v/>
      </c>
      <c r="AP10" s="125" t="str">
        <f t="shared" si="18"/>
        <v>ME</v>
      </c>
      <c r="AQ10" s="56">
        <v>3</v>
      </c>
      <c r="AR10" s="63">
        <v>6708.59</v>
      </c>
      <c r="AS10" s="130">
        <f t="shared" si="19"/>
        <v>1.3400000000001455</v>
      </c>
      <c r="AT10" s="63">
        <v>7431.3</v>
      </c>
      <c r="AU10" s="130">
        <f t="shared" si="20"/>
        <v>1.5599999999994907</v>
      </c>
      <c r="AV10" s="63">
        <v>253.67</v>
      </c>
      <c r="AW10" s="130" t="str">
        <f t="shared" si="21"/>
        <v/>
      </c>
      <c r="AX10" s="63">
        <v>241.36</v>
      </c>
      <c r="AY10" s="130" t="str">
        <f t="shared" si="4"/>
        <v/>
      </c>
      <c r="AZ10" s="125" t="str">
        <f t="shared" si="22"/>
        <v>ME</v>
      </c>
      <c r="BA10" s="56">
        <v>3</v>
      </c>
      <c r="BB10" s="64">
        <v>0.91100000000000003</v>
      </c>
      <c r="BC10" s="62">
        <v>15</v>
      </c>
      <c r="BD10" s="61">
        <v>6.9</v>
      </c>
      <c r="BE10" s="61">
        <v>4.8</v>
      </c>
      <c r="BF10" s="61">
        <v>16.8</v>
      </c>
      <c r="BG10" s="61">
        <v>6.9</v>
      </c>
      <c r="BH10" s="64">
        <v>0.23699999999999999</v>
      </c>
      <c r="BI10" s="64">
        <v>0.214</v>
      </c>
      <c r="BJ10" s="64">
        <v>5.2999999999999999E-2</v>
      </c>
      <c r="BK10" s="64">
        <v>5.8000000000000003E-2</v>
      </c>
      <c r="BL10" s="64">
        <v>6.3E-2</v>
      </c>
      <c r="BM10" s="64">
        <v>5.2999999999999999E-2</v>
      </c>
      <c r="BN10" s="65" t="str">
        <f t="shared" si="23"/>
        <v>ME</v>
      </c>
      <c r="BO10" s="56">
        <v>3</v>
      </c>
      <c r="BP10" s="64">
        <v>8.5000000000000006E-2</v>
      </c>
      <c r="BQ10" s="62">
        <v>0</v>
      </c>
      <c r="BR10" s="61">
        <v>7.2</v>
      </c>
      <c r="BS10" s="61">
        <v>8.8000000000000007</v>
      </c>
      <c r="BT10" s="61">
        <v>20.5</v>
      </c>
      <c r="BU10" s="64">
        <v>0.01</v>
      </c>
      <c r="BV10" s="63">
        <v>1.22</v>
      </c>
      <c r="BW10" s="63">
        <v>1.1200000000000001</v>
      </c>
      <c r="BX10" s="66" t="s">
        <v>248</v>
      </c>
      <c r="BY10" s="172" t="s">
        <v>246</v>
      </c>
      <c r="BZ10" s="67" t="str">
        <f t="shared" si="24"/>
        <v>ME</v>
      </c>
      <c r="CA10" s="56">
        <v>3</v>
      </c>
      <c r="CB10" s="61">
        <v>87.2</v>
      </c>
      <c r="CC10" s="61"/>
      <c r="CD10" s="68">
        <f t="shared" si="25"/>
        <v>0.90000000000000568</v>
      </c>
      <c r="CE10" s="69">
        <f t="shared" si="26"/>
        <v>4.1888385000000268</v>
      </c>
      <c r="CF10" s="69">
        <f t="shared" si="27"/>
        <v>3.8666201538461786</v>
      </c>
      <c r="CG10" s="62">
        <v>51</v>
      </c>
      <c r="CH10" s="62">
        <v>100</v>
      </c>
      <c r="CI10" s="65" t="str">
        <f t="shared" si="28"/>
        <v>ME</v>
      </c>
      <c r="CJ10" s="56">
        <v>3</v>
      </c>
      <c r="CK10" s="61">
        <v>87.4</v>
      </c>
      <c r="CL10" s="61"/>
      <c r="CM10" s="68">
        <f t="shared" si="29"/>
        <v>1.9000000000000057</v>
      </c>
      <c r="CN10" s="68">
        <f t="shared" si="30"/>
        <v>8.8431035000000264</v>
      </c>
      <c r="CO10" s="68">
        <f t="shared" si="31"/>
        <v>23.13460596562507</v>
      </c>
      <c r="CP10" s="62">
        <v>55</v>
      </c>
      <c r="CQ10" s="62">
        <v>83</v>
      </c>
      <c r="CR10" s="65" t="str">
        <f t="shared" si="32"/>
        <v>ME</v>
      </c>
      <c r="CS10" s="56">
        <v>3</v>
      </c>
      <c r="CT10" s="61">
        <v>103.9</v>
      </c>
      <c r="CU10" s="61"/>
      <c r="CV10" s="68">
        <f t="shared" si="33"/>
        <v>1.4000000000000057</v>
      </c>
      <c r="CW10" s="68">
        <f t="shared" si="34"/>
        <v>9.3019360000000386</v>
      </c>
      <c r="CX10" s="69">
        <f t="shared" si="35"/>
        <v>6.1196947368421309E-2</v>
      </c>
      <c r="CY10" s="66" t="s">
        <v>240</v>
      </c>
      <c r="CZ10" s="66" t="s">
        <v>241</v>
      </c>
      <c r="DA10" s="66"/>
      <c r="DB10" s="65" t="str">
        <f t="shared" si="36"/>
        <v>ME</v>
      </c>
      <c r="DC10" s="56">
        <v>3</v>
      </c>
      <c r="DD10" s="61">
        <v>64.599999999999994</v>
      </c>
      <c r="DE10" s="61">
        <v>103.3</v>
      </c>
      <c r="DF10" s="68">
        <f t="shared" si="37"/>
        <v>14.200000000000003</v>
      </c>
      <c r="DG10" s="69">
        <f t="shared" si="38"/>
        <v>0.76610744896000016</v>
      </c>
      <c r="DH10" s="68">
        <f t="shared" si="39"/>
        <v>5.0401805852631592</v>
      </c>
      <c r="DI10" s="62">
        <v>90</v>
      </c>
      <c r="DJ10" s="62">
        <v>54</v>
      </c>
      <c r="DK10" s="65" t="str">
        <f t="shared" si="40"/>
        <v>ME</v>
      </c>
      <c r="DL10" s="56">
        <v>3</v>
      </c>
      <c r="DM10" s="63">
        <v>8.11</v>
      </c>
      <c r="DN10" s="64">
        <v>2.4E-2</v>
      </c>
      <c r="DO10" s="64">
        <v>3.2000000000000001E-2</v>
      </c>
      <c r="DP10" s="64">
        <v>0.06</v>
      </c>
      <c r="DQ10" s="63">
        <v>6.84</v>
      </c>
      <c r="DR10" s="61">
        <v>8.8000000000000007</v>
      </c>
      <c r="DS10" s="64">
        <v>1.2130000000000001</v>
      </c>
      <c r="DT10" s="61">
        <v>83.4</v>
      </c>
      <c r="DU10" s="63">
        <v>4.17</v>
      </c>
      <c r="DV10" s="64">
        <v>3.4990000000000001</v>
      </c>
      <c r="DW10" s="64">
        <v>11.81</v>
      </c>
      <c r="DX10" s="66" t="s">
        <v>242</v>
      </c>
      <c r="DY10" s="65" t="str">
        <f t="shared" si="41"/>
        <v>ME</v>
      </c>
      <c r="DZ10" s="128">
        <v>3</v>
      </c>
      <c r="EA10" s="173">
        <f t="shared" si="42"/>
        <v>0.10160427807486631</v>
      </c>
      <c r="EB10" s="173">
        <f t="shared" si="43"/>
        <v>0.1161764705882353</v>
      </c>
      <c r="EC10" s="173">
        <f t="shared" si="44"/>
        <v>0.85526315789473684</v>
      </c>
      <c r="ED10" s="63">
        <v>1.19</v>
      </c>
      <c r="EE10" s="63">
        <v>1.23</v>
      </c>
      <c r="EF10" s="63">
        <v>0.05</v>
      </c>
      <c r="EG10" s="284">
        <v>0.34</v>
      </c>
      <c r="EH10" s="127" t="str">
        <f t="shared" si="5"/>
        <v>ME</v>
      </c>
      <c r="EI10" s="56">
        <v>3</v>
      </c>
      <c r="EJ10" s="334"/>
      <c r="EK10" s="334"/>
      <c r="EL10" s="334"/>
      <c r="EM10" s="334"/>
      <c r="EN10" s="334"/>
      <c r="EO10" s="334"/>
      <c r="EP10" s="334"/>
      <c r="EQ10" s="65" t="str">
        <f t="shared" si="45"/>
        <v>ME</v>
      </c>
      <c r="ER10" s="20"/>
      <c r="ES10" s="20"/>
      <c r="ET10" s="20"/>
      <c r="EU10" s="20"/>
      <c r="EV10" s="20"/>
      <c r="EW10" s="20"/>
      <c r="EX10" s="20"/>
    </row>
    <row r="11" spans="1:154" s="3" customFormat="1" ht="17.149999999999999" customHeight="1" x14ac:dyDescent="0.25">
      <c r="A11" s="56">
        <v>4</v>
      </c>
      <c r="B11" s="57">
        <v>882816</v>
      </c>
      <c r="C11" s="58">
        <f t="shared" si="6"/>
        <v>146</v>
      </c>
      <c r="D11" s="167">
        <v>8.9700000000000006</v>
      </c>
      <c r="E11" s="57">
        <v>786974</v>
      </c>
      <c r="F11" s="58">
        <f t="shared" si="7"/>
        <v>173</v>
      </c>
      <c r="G11" s="168">
        <v>1.1599999999999999</v>
      </c>
      <c r="H11" s="57">
        <v>746350</v>
      </c>
      <c r="I11" s="58">
        <f t="shared" si="0"/>
        <v>127</v>
      </c>
      <c r="J11" s="60" t="s">
        <v>194</v>
      </c>
      <c r="K11" s="56">
        <v>4</v>
      </c>
      <c r="L11" s="57">
        <v>69172</v>
      </c>
      <c r="M11" s="58">
        <f t="shared" si="8"/>
        <v>1</v>
      </c>
      <c r="N11" s="57">
        <v>175248</v>
      </c>
      <c r="O11" s="58">
        <f t="shared" si="9"/>
        <v>55</v>
      </c>
      <c r="P11" s="57">
        <v>194749</v>
      </c>
      <c r="Q11" s="169" t="str">
        <f t="shared" si="1"/>
        <v/>
      </c>
      <c r="R11" s="57">
        <v>670</v>
      </c>
      <c r="S11" s="57">
        <v>678</v>
      </c>
      <c r="T11" s="57">
        <v>140</v>
      </c>
      <c r="U11" s="57">
        <v>137</v>
      </c>
      <c r="V11" s="58" t="str">
        <f t="shared" si="10"/>
        <v>ME</v>
      </c>
      <c r="W11" s="56">
        <v>4</v>
      </c>
      <c r="X11" s="63">
        <v>11646.85</v>
      </c>
      <c r="Y11" s="130">
        <f t="shared" si="11"/>
        <v>2.1299999999991996</v>
      </c>
      <c r="Z11" s="63">
        <v>12414.83</v>
      </c>
      <c r="AA11" s="130">
        <f t="shared" si="12"/>
        <v>2.2199999999993452</v>
      </c>
      <c r="AB11" s="63">
        <v>9805.2099999999991</v>
      </c>
      <c r="AC11" s="130">
        <f t="shared" si="13"/>
        <v>1.6300000000010186</v>
      </c>
      <c r="AD11" s="63">
        <v>9894.92</v>
      </c>
      <c r="AE11" s="130">
        <f t="shared" si="2"/>
        <v>1.7299999999995634</v>
      </c>
      <c r="AF11" s="125" t="str">
        <f t="shared" si="14"/>
        <v>ME</v>
      </c>
      <c r="AG11" s="56">
        <v>4</v>
      </c>
      <c r="AH11" s="63">
        <v>46526.879999999997</v>
      </c>
      <c r="AI11" s="130">
        <f t="shared" si="15"/>
        <v>9.9400000000023283</v>
      </c>
      <c r="AJ11" s="63">
        <v>48661.36</v>
      </c>
      <c r="AK11" s="130">
        <f t="shared" si="16"/>
        <v>13.080000000001746</v>
      </c>
      <c r="AL11" s="63">
        <v>586.1</v>
      </c>
      <c r="AM11" s="130" t="str">
        <f t="shared" si="17"/>
        <v/>
      </c>
      <c r="AN11" s="63">
        <v>547.45000000000005</v>
      </c>
      <c r="AO11" s="130" t="str">
        <f t="shared" si="3"/>
        <v/>
      </c>
      <c r="AP11" s="125" t="str">
        <f t="shared" si="18"/>
        <v>ME</v>
      </c>
      <c r="AQ11" s="56">
        <v>4</v>
      </c>
      <c r="AR11" s="63">
        <v>6709.93</v>
      </c>
      <c r="AS11" s="130">
        <f t="shared" si="19"/>
        <v>1.8899999999994179</v>
      </c>
      <c r="AT11" s="63">
        <v>7432.86</v>
      </c>
      <c r="AU11" s="130">
        <f t="shared" si="20"/>
        <v>2.6500000000005457</v>
      </c>
      <c r="AV11" s="63">
        <v>253.67</v>
      </c>
      <c r="AW11" s="130" t="str">
        <f t="shared" si="21"/>
        <v/>
      </c>
      <c r="AX11" s="63">
        <v>241.36</v>
      </c>
      <c r="AY11" s="130" t="str">
        <f t="shared" si="4"/>
        <v/>
      </c>
      <c r="AZ11" s="125" t="str">
        <f t="shared" si="22"/>
        <v>ME</v>
      </c>
      <c r="BA11" s="56">
        <v>4</v>
      </c>
      <c r="BB11" s="64">
        <v>0.94899999999999995</v>
      </c>
      <c r="BC11" s="62">
        <v>20</v>
      </c>
      <c r="BD11" s="61">
        <v>6.9</v>
      </c>
      <c r="BE11" s="61">
        <v>5.2</v>
      </c>
      <c r="BF11" s="61">
        <v>18.3</v>
      </c>
      <c r="BG11" s="61">
        <v>6.9</v>
      </c>
      <c r="BH11" s="64">
        <v>0.21299999999999999</v>
      </c>
      <c r="BI11" s="64">
        <v>0.20499999999999999</v>
      </c>
      <c r="BJ11" s="64">
        <v>5.7000000000000002E-2</v>
      </c>
      <c r="BK11" s="64">
        <v>4.8000000000000001E-2</v>
      </c>
      <c r="BL11" s="64">
        <v>5.0999999999999997E-2</v>
      </c>
      <c r="BM11" s="64">
        <v>5.1999999999999998E-2</v>
      </c>
      <c r="BN11" s="65" t="str">
        <f t="shared" si="23"/>
        <v>ME</v>
      </c>
      <c r="BO11" s="56">
        <v>4</v>
      </c>
      <c r="BP11" s="64">
        <v>8.2000000000000003E-2</v>
      </c>
      <c r="BQ11" s="62">
        <v>0</v>
      </c>
      <c r="BR11" s="61">
        <v>7.1</v>
      </c>
      <c r="BS11" s="61">
        <v>8.8000000000000007</v>
      </c>
      <c r="BT11" s="61">
        <v>21.8</v>
      </c>
      <c r="BU11" s="64">
        <v>1.2E-2</v>
      </c>
      <c r="BV11" s="63">
        <v>1.27</v>
      </c>
      <c r="BW11" s="63">
        <v>1.0900000000000001</v>
      </c>
      <c r="BX11" s="66" t="s">
        <v>245</v>
      </c>
      <c r="BY11" s="172" t="s">
        <v>246</v>
      </c>
      <c r="BZ11" s="67" t="str">
        <f t="shared" si="24"/>
        <v>ME</v>
      </c>
      <c r="CA11" s="56">
        <v>4</v>
      </c>
      <c r="CB11" s="61">
        <v>86.3</v>
      </c>
      <c r="CC11" s="61">
        <v>98.6</v>
      </c>
      <c r="CD11" s="68">
        <f t="shared" si="25"/>
        <v>0.89999999999999147</v>
      </c>
      <c r="CE11" s="69">
        <f t="shared" si="26"/>
        <v>4.1888384999999611</v>
      </c>
      <c r="CF11" s="69">
        <f t="shared" si="27"/>
        <v>3.9579576377952388</v>
      </c>
      <c r="CG11" s="62">
        <v>53</v>
      </c>
      <c r="CH11" s="62">
        <v>100</v>
      </c>
      <c r="CI11" s="65" t="str">
        <f t="shared" si="28"/>
        <v>ME</v>
      </c>
      <c r="CJ11" s="56">
        <v>4</v>
      </c>
      <c r="CK11" s="61">
        <v>85.5</v>
      </c>
      <c r="CL11" s="61">
        <v>98.5</v>
      </c>
      <c r="CM11" s="68">
        <f t="shared" si="29"/>
        <v>1.7999999999999972</v>
      </c>
      <c r="CN11" s="68">
        <f t="shared" si="30"/>
        <v>8.3776769999999878</v>
      </c>
      <c r="CO11" s="68">
        <f t="shared" si="31"/>
        <v>22.817693555136955</v>
      </c>
      <c r="CP11" s="62">
        <v>52</v>
      </c>
      <c r="CQ11" s="62">
        <v>83</v>
      </c>
      <c r="CR11" s="65" t="str">
        <f t="shared" si="32"/>
        <v>ME</v>
      </c>
      <c r="CS11" s="56">
        <v>4</v>
      </c>
      <c r="CT11" s="61">
        <v>102.5</v>
      </c>
      <c r="CU11" s="61">
        <v>97.7</v>
      </c>
      <c r="CV11" s="68">
        <f t="shared" si="33"/>
        <v>1.6000000000000085</v>
      </c>
      <c r="CW11" s="68">
        <f t="shared" si="34"/>
        <v>10.630784000000055</v>
      </c>
      <c r="CX11" s="69">
        <f t="shared" si="35"/>
        <v>7.2813589041096263E-2</v>
      </c>
      <c r="CY11" s="66" t="s">
        <v>240</v>
      </c>
      <c r="CZ11" s="66" t="s">
        <v>241</v>
      </c>
      <c r="DA11" s="66" t="s">
        <v>242</v>
      </c>
      <c r="DB11" s="65" t="str">
        <f t="shared" si="36"/>
        <v>ME</v>
      </c>
      <c r="DC11" s="56">
        <v>4</v>
      </c>
      <c r="DD11" s="61">
        <v>89.1</v>
      </c>
      <c r="DE11" s="61">
        <v>103</v>
      </c>
      <c r="DF11" s="68">
        <f t="shared" si="37"/>
        <v>12.900000000000006</v>
      </c>
      <c r="DG11" s="69">
        <f t="shared" si="38"/>
        <v>0.69597085152000038</v>
      </c>
      <c r="DH11" s="68">
        <f t="shared" si="39"/>
        <v>4.7669236405479474</v>
      </c>
      <c r="DI11" s="62">
        <v>90</v>
      </c>
      <c r="DJ11" s="62">
        <v>54</v>
      </c>
      <c r="DK11" s="65" t="str">
        <f t="shared" si="40"/>
        <v>ME</v>
      </c>
      <c r="DL11" s="56">
        <v>4</v>
      </c>
      <c r="DM11" s="63">
        <v>8</v>
      </c>
      <c r="DN11" s="64">
        <v>2.3E-2</v>
      </c>
      <c r="DO11" s="64">
        <v>2.9000000000000001E-2</v>
      </c>
      <c r="DP11" s="64">
        <v>5.8999999999999997E-2</v>
      </c>
      <c r="DQ11" s="63">
        <v>6.86</v>
      </c>
      <c r="DR11" s="61">
        <v>8.8000000000000007</v>
      </c>
      <c r="DS11" s="64">
        <v>1.232</v>
      </c>
      <c r="DT11" s="61">
        <v>83.9</v>
      </c>
      <c r="DU11" s="63">
        <v>4.2</v>
      </c>
      <c r="DV11" s="64">
        <v>2.0529999999999999</v>
      </c>
      <c r="DW11" s="64">
        <v>0.89500000000000002</v>
      </c>
      <c r="DX11" s="66" t="s">
        <v>242</v>
      </c>
      <c r="DY11" s="65" t="str">
        <f t="shared" si="41"/>
        <v>ME</v>
      </c>
      <c r="DZ11" s="128">
        <v>4</v>
      </c>
      <c r="EA11" s="173">
        <f t="shared" si="42"/>
        <v>9.7593582887700536E-2</v>
      </c>
      <c r="EB11" s="173">
        <f t="shared" si="43"/>
        <v>0.12720588235294117</v>
      </c>
      <c r="EC11" s="173">
        <f t="shared" si="44"/>
        <v>0.86986301369863017</v>
      </c>
      <c r="ED11" s="63">
        <v>1.19</v>
      </c>
      <c r="EE11" s="63">
        <v>1.25</v>
      </c>
      <c r="EF11" s="63">
        <v>0.04</v>
      </c>
      <c r="EG11" s="284">
        <v>0.53</v>
      </c>
      <c r="EH11" s="127" t="str">
        <f t="shared" si="5"/>
        <v>ME</v>
      </c>
      <c r="EI11" s="56">
        <v>4</v>
      </c>
      <c r="EJ11" s="334"/>
      <c r="EK11" s="334"/>
      <c r="EL11" s="334"/>
      <c r="EM11" s="334"/>
      <c r="EN11" s="334"/>
      <c r="EO11" s="334"/>
      <c r="EP11" s="334"/>
      <c r="EQ11" s="65" t="str">
        <f t="shared" si="45"/>
        <v>ME</v>
      </c>
      <c r="ER11" s="20"/>
      <c r="ES11" s="20"/>
      <c r="ET11" s="20"/>
      <c r="EU11" s="20"/>
      <c r="EV11" s="20"/>
      <c r="EW11" s="20"/>
      <c r="EX11" s="20"/>
    </row>
    <row r="12" spans="1:154" s="3" customFormat="1" ht="17.149999999999999" customHeight="1" x14ac:dyDescent="0.25">
      <c r="A12" s="56">
        <v>5</v>
      </c>
      <c r="B12" s="57">
        <v>882962</v>
      </c>
      <c r="C12" s="58">
        <f t="shared" si="6"/>
        <v>221</v>
      </c>
      <c r="D12" s="167">
        <v>8.76</v>
      </c>
      <c r="E12" s="57">
        <v>787147</v>
      </c>
      <c r="F12" s="58">
        <f t="shared" si="7"/>
        <v>194</v>
      </c>
      <c r="G12" s="168">
        <v>1.94</v>
      </c>
      <c r="H12" s="57">
        <v>746477</v>
      </c>
      <c r="I12" s="58">
        <f t="shared" si="0"/>
        <v>150</v>
      </c>
      <c r="J12" s="60" t="s">
        <v>194</v>
      </c>
      <c r="K12" s="56">
        <v>5</v>
      </c>
      <c r="L12" s="57">
        <v>69173</v>
      </c>
      <c r="M12" s="58">
        <f t="shared" si="8"/>
        <v>49</v>
      </c>
      <c r="N12" s="57">
        <v>175303</v>
      </c>
      <c r="O12" s="58">
        <f t="shared" si="9"/>
        <v>54</v>
      </c>
      <c r="P12" s="57">
        <v>194749</v>
      </c>
      <c r="Q12" s="169" t="str">
        <f t="shared" si="1"/>
        <v/>
      </c>
      <c r="R12" s="57">
        <v>670</v>
      </c>
      <c r="S12" s="57">
        <v>678</v>
      </c>
      <c r="T12" s="57">
        <v>140</v>
      </c>
      <c r="U12" s="57">
        <v>137</v>
      </c>
      <c r="V12" s="58" t="str">
        <f t="shared" si="10"/>
        <v>ME</v>
      </c>
      <c r="W12" s="56">
        <v>5</v>
      </c>
      <c r="X12" s="63">
        <v>11648.98</v>
      </c>
      <c r="Y12" s="130">
        <f t="shared" si="11"/>
        <v>4.5400000000008731</v>
      </c>
      <c r="Z12" s="63">
        <v>12417.05</v>
      </c>
      <c r="AA12" s="130">
        <f t="shared" si="12"/>
        <v>2.1500000000014552</v>
      </c>
      <c r="AB12" s="63">
        <v>9806.84</v>
      </c>
      <c r="AC12" s="130">
        <f t="shared" si="13"/>
        <v>2.3600000000005821</v>
      </c>
      <c r="AD12" s="63">
        <v>9896.65</v>
      </c>
      <c r="AE12" s="130">
        <f t="shared" si="2"/>
        <v>1.6400000000012369</v>
      </c>
      <c r="AF12" s="125" t="str">
        <f t="shared" si="14"/>
        <v>ME</v>
      </c>
      <c r="AG12" s="56">
        <v>5</v>
      </c>
      <c r="AH12" s="63">
        <v>46536.82</v>
      </c>
      <c r="AI12" s="130">
        <f t="shared" si="15"/>
        <v>14.069999999999709</v>
      </c>
      <c r="AJ12" s="63">
        <v>48674.44</v>
      </c>
      <c r="AK12" s="130">
        <f t="shared" si="16"/>
        <v>9.7399999999979627</v>
      </c>
      <c r="AL12" s="63">
        <v>586.1</v>
      </c>
      <c r="AM12" s="130" t="str">
        <f t="shared" si="17"/>
        <v/>
      </c>
      <c r="AN12" s="63">
        <v>547.45000000000005</v>
      </c>
      <c r="AO12" s="130" t="str">
        <f t="shared" si="3"/>
        <v/>
      </c>
      <c r="AP12" s="125" t="str">
        <f t="shared" si="18"/>
        <v>ME</v>
      </c>
      <c r="AQ12" s="56">
        <v>5</v>
      </c>
      <c r="AR12" s="63">
        <v>6711.82</v>
      </c>
      <c r="AS12" s="130">
        <f t="shared" si="19"/>
        <v>1.6300000000001091</v>
      </c>
      <c r="AT12" s="63">
        <v>7435.51</v>
      </c>
      <c r="AU12" s="130">
        <f t="shared" si="20"/>
        <v>2.1300000000001091</v>
      </c>
      <c r="AV12" s="63">
        <v>253.67</v>
      </c>
      <c r="AW12" s="130" t="str">
        <f t="shared" si="21"/>
        <v/>
      </c>
      <c r="AX12" s="63">
        <v>241.36</v>
      </c>
      <c r="AY12" s="130">
        <f t="shared" si="4"/>
        <v>0.33999999999997499</v>
      </c>
      <c r="AZ12" s="125" t="str">
        <f t="shared" si="22"/>
        <v>ME</v>
      </c>
      <c r="BA12" s="56">
        <v>5</v>
      </c>
      <c r="BB12" s="64">
        <v>1.04</v>
      </c>
      <c r="BC12" s="62">
        <v>9</v>
      </c>
      <c r="BD12" s="61">
        <v>6.7</v>
      </c>
      <c r="BE12" s="61">
        <v>5.0999999999999996</v>
      </c>
      <c r="BF12" s="61">
        <v>15.8</v>
      </c>
      <c r="BG12" s="61">
        <v>6.7</v>
      </c>
      <c r="BH12" s="64">
        <v>0.20899999999999999</v>
      </c>
      <c r="BI12" s="64">
        <v>0.21299999999999999</v>
      </c>
      <c r="BJ12" s="64">
        <v>0.05</v>
      </c>
      <c r="BK12" s="64">
        <v>5.7000000000000002E-2</v>
      </c>
      <c r="BL12" s="64">
        <v>5.1999999999999998E-2</v>
      </c>
      <c r="BM12" s="64">
        <v>5.1999999999999998E-2</v>
      </c>
      <c r="BN12" s="65" t="str">
        <f t="shared" si="23"/>
        <v>ME</v>
      </c>
      <c r="BO12" s="56">
        <v>5</v>
      </c>
      <c r="BP12" s="64">
        <v>8.3000000000000004E-2</v>
      </c>
      <c r="BQ12" s="62">
        <v>0</v>
      </c>
      <c r="BR12" s="61">
        <v>7</v>
      </c>
      <c r="BS12" s="61">
        <v>8.9</v>
      </c>
      <c r="BT12" s="61">
        <v>19.5</v>
      </c>
      <c r="BU12" s="64">
        <v>0.02</v>
      </c>
      <c r="BV12" s="63">
        <v>1.0900000000000001</v>
      </c>
      <c r="BW12" s="63">
        <v>1.1200000000000001</v>
      </c>
      <c r="BX12" s="66" t="s">
        <v>245</v>
      </c>
      <c r="BY12" s="172" t="s">
        <v>246</v>
      </c>
      <c r="BZ12" s="67" t="str">
        <f t="shared" si="24"/>
        <v>ME</v>
      </c>
      <c r="CA12" s="56">
        <v>5</v>
      </c>
      <c r="CB12" s="61">
        <v>97.7</v>
      </c>
      <c r="CC12" s="61"/>
      <c r="CD12" s="68">
        <f t="shared" si="25"/>
        <v>1.2999999999999972</v>
      </c>
      <c r="CE12" s="69">
        <f t="shared" si="26"/>
        <v>6.0505444999999876</v>
      </c>
      <c r="CF12" s="69">
        <f t="shared" si="27"/>
        <v>4.8404355999999895</v>
      </c>
      <c r="CG12" s="62">
        <v>52</v>
      </c>
      <c r="CH12" s="62">
        <v>100</v>
      </c>
      <c r="CI12" s="65" t="str">
        <f t="shared" si="28"/>
        <v>ME</v>
      </c>
      <c r="CJ12" s="56">
        <v>5</v>
      </c>
      <c r="CK12" s="61">
        <v>96.7</v>
      </c>
      <c r="CL12" s="61"/>
      <c r="CM12" s="68">
        <f t="shared" si="29"/>
        <v>2.9000000000000057</v>
      </c>
      <c r="CN12" s="68">
        <f t="shared" si="30"/>
        <v>13.497368500000027</v>
      </c>
      <c r="CO12" s="68">
        <f t="shared" si="31"/>
        <v>24.286102190158424</v>
      </c>
      <c r="CP12" s="62">
        <v>51</v>
      </c>
      <c r="CQ12" s="62">
        <v>83</v>
      </c>
      <c r="CR12" s="65" t="str">
        <f t="shared" si="32"/>
        <v>ME</v>
      </c>
      <c r="CS12" s="56">
        <v>5</v>
      </c>
      <c r="CT12" s="61">
        <v>96.1</v>
      </c>
      <c r="CU12" s="61"/>
      <c r="CV12" s="68">
        <f t="shared" si="33"/>
        <v>2.1999999999999886</v>
      </c>
      <c r="CW12" s="68">
        <f t="shared" si="34"/>
        <v>14.617327999999922</v>
      </c>
      <c r="CX12" s="69">
        <f t="shared" si="35"/>
        <v>6.6141755656108248E-2</v>
      </c>
      <c r="CY12" s="66" t="s">
        <v>256</v>
      </c>
      <c r="CZ12" s="66" t="s">
        <v>241</v>
      </c>
      <c r="DA12" s="66"/>
      <c r="DB12" s="65" t="str">
        <f t="shared" si="36"/>
        <v>ME</v>
      </c>
      <c r="DC12" s="56">
        <v>5</v>
      </c>
      <c r="DD12" s="61">
        <v>90.1</v>
      </c>
      <c r="DE12" s="61">
        <v>102.4</v>
      </c>
      <c r="DF12" s="68">
        <f t="shared" si="37"/>
        <v>20.800000000000011</v>
      </c>
      <c r="DG12" s="69">
        <f t="shared" si="38"/>
        <v>1.1221855590400007</v>
      </c>
      <c r="DH12" s="68">
        <f t="shared" si="39"/>
        <v>5.0777627105882388</v>
      </c>
      <c r="DI12" s="62">
        <v>87</v>
      </c>
      <c r="DJ12" s="62">
        <v>54</v>
      </c>
      <c r="DK12" s="65" t="str">
        <f t="shared" si="40"/>
        <v>ME</v>
      </c>
      <c r="DL12" s="56">
        <v>5</v>
      </c>
      <c r="DM12" s="63">
        <v>7.32</v>
      </c>
      <c r="DN12" s="64">
        <v>2.3E-2</v>
      </c>
      <c r="DO12" s="64">
        <v>2.9000000000000001E-2</v>
      </c>
      <c r="DP12" s="64">
        <v>5.8999999999999997E-2</v>
      </c>
      <c r="DQ12" s="63">
        <v>6.85</v>
      </c>
      <c r="DR12" s="61">
        <v>8.9</v>
      </c>
      <c r="DS12" s="64">
        <v>1.2310000000000001</v>
      </c>
      <c r="DT12" s="61">
        <v>85.9</v>
      </c>
      <c r="DU12" s="63">
        <v>4.17</v>
      </c>
      <c r="DV12" s="64">
        <v>0.72099999999999997</v>
      </c>
      <c r="DW12" s="64">
        <v>1.02</v>
      </c>
      <c r="DX12" s="66" t="s">
        <v>242</v>
      </c>
      <c r="DY12" s="65" t="str">
        <f t="shared" si="41"/>
        <v>ME</v>
      </c>
      <c r="DZ12" s="128">
        <v>5</v>
      </c>
      <c r="EA12" s="173">
        <f t="shared" si="42"/>
        <v>0.14772727272727273</v>
      </c>
      <c r="EB12" s="173">
        <f t="shared" si="43"/>
        <v>0.1426470588235294</v>
      </c>
      <c r="EC12" s="173">
        <f t="shared" si="44"/>
        <v>0.67873303167420818</v>
      </c>
      <c r="ED12" s="63">
        <v>1.21</v>
      </c>
      <c r="EE12" s="63">
        <v>1.25</v>
      </c>
      <c r="EF12" s="63">
        <v>0.04</v>
      </c>
      <c r="EG12" s="284">
        <v>0.52</v>
      </c>
      <c r="EH12" s="127" t="str">
        <f t="shared" si="5"/>
        <v>ME</v>
      </c>
      <c r="EI12" s="56">
        <v>5</v>
      </c>
      <c r="EJ12" s="334"/>
      <c r="EK12" s="334"/>
      <c r="EL12" s="334"/>
      <c r="EM12" s="334"/>
      <c r="EN12" s="334"/>
      <c r="EO12" s="334"/>
      <c r="EP12" s="334"/>
      <c r="EQ12" s="65" t="str">
        <f t="shared" si="45"/>
        <v>ME</v>
      </c>
      <c r="ER12" s="20"/>
      <c r="ES12" s="20"/>
      <c r="ET12" s="20"/>
      <c r="EU12" s="20"/>
      <c r="EV12" s="20"/>
      <c r="EW12" s="20"/>
      <c r="EX12" s="20"/>
    </row>
    <row r="13" spans="1:154" s="3" customFormat="1" ht="17.149999999999999" customHeight="1" x14ac:dyDescent="0.25">
      <c r="A13" s="56">
        <v>6</v>
      </c>
      <c r="B13" s="57">
        <v>883183</v>
      </c>
      <c r="C13" s="58">
        <f t="shared" si="6"/>
        <v>183</v>
      </c>
      <c r="D13" s="167">
        <v>9.5500000000000007</v>
      </c>
      <c r="E13" s="57">
        <v>787341</v>
      </c>
      <c r="F13" s="58">
        <f t="shared" si="7"/>
        <v>160</v>
      </c>
      <c r="G13" s="168">
        <v>3.64</v>
      </c>
      <c r="H13" s="57">
        <v>746627</v>
      </c>
      <c r="I13" s="58">
        <f t="shared" si="0"/>
        <v>161</v>
      </c>
      <c r="J13" s="60" t="s">
        <v>194</v>
      </c>
      <c r="K13" s="56">
        <v>6</v>
      </c>
      <c r="L13" s="57">
        <v>69222</v>
      </c>
      <c r="M13" s="58" t="str">
        <f t="shared" si="8"/>
        <v/>
      </c>
      <c r="N13" s="57">
        <v>175357</v>
      </c>
      <c r="O13" s="58">
        <f t="shared" si="9"/>
        <v>48</v>
      </c>
      <c r="P13" s="57">
        <v>194749</v>
      </c>
      <c r="Q13" s="169" t="str">
        <f t="shared" si="1"/>
        <v/>
      </c>
      <c r="R13" s="57">
        <v>671</v>
      </c>
      <c r="S13" s="57">
        <v>678</v>
      </c>
      <c r="T13" s="57">
        <v>140</v>
      </c>
      <c r="U13" s="57">
        <v>137</v>
      </c>
      <c r="V13" s="58" t="str">
        <f t="shared" si="10"/>
        <v>ME</v>
      </c>
      <c r="W13" s="56">
        <v>6</v>
      </c>
      <c r="X13" s="63">
        <v>11653.52</v>
      </c>
      <c r="Y13" s="130">
        <f t="shared" si="11"/>
        <v>3.319999999999709</v>
      </c>
      <c r="Z13" s="63">
        <v>12419.2</v>
      </c>
      <c r="AA13" s="130">
        <f t="shared" si="12"/>
        <v>2.1199999999989814</v>
      </c>
      <c r="AB13" s="63">
        <v>9809.2000000000007</v>
      </c>
      <c r="AC13" s="130">
        <f t="shared" si="13"/>
        <v>1.6399999999994179</v>
      </c>
      <c r="AD13" s="63">
        <v>9898.2900000000009</v>
      </c>
      <c r="AE13" s="130">
        <f t="shared" si="2"/>
        <v>2.6399999999994179</v>
      </c>
      <c r="AF13" s="125" t="str">
        <f t="shared" si="14"/>
        <v>ME</v>
      </c>
      <c r="AG13" s="56">
        <v>6</v>
      </c>
      <c r="AH13" s="63">
        <v>46550.89</v>
      </c>
      <c r="AI13" s="130">
        <f t="shared" si="15"/>
        <v>7.2399999999979627</v>
      </c>
      <c r="AJ13" s="63">
        <v>48684.18</v>
      </c>
      <c r="AK13" s="130">
        <f t="shared" si="16"/>
        <v>14.269999999996799</v>
      </c>
      <c r="AL13" s="63">
        <v>586.1</v>
      </c>
      <c r="AM13" s="130" t="str">
        <f t="shared" si="17"/>
        <v/>
      </c>
      <c r="AN13" s="63">
        <v>547.45000000000005</v>
      </c>
      <c r="AO13" s="130" t="str">
        <f t="shared" si="3"/>
        <v/>
      </c>
      <c r="AP13" s="125" t="str">
        <f t="shared" si="18"/>
        <v>ME</v>
      </c>
      <c r="AQ13" s="56">
        <v>6</v>
      </c>
      <c r="AR13" s="63">
        <v>6713.45</v>
      </c>
      <c r="AS13" s="130">
        <f t="shared" si="19"/>
        <v>1.7100000000000364</v>
      </c>
      <c r="AT13" s="63">
        <v>7437.64</v>
      </c>
      <c r="AU13" s="130">
        <f t="shared" si="20"/>
        <v>2.4499999999998181</v>
      </c>
      <c r="AV13" s="63">
        <v>253.67</v>
      </c>
      <c r="AW13" s="130" t="str">
        <f t="shared" si="21"/>
        <v/>
      </c>
      <c r="AX13" s="63">
        <v>241.7</v>
      </c>
      <c r="AY13" s="130" t="str">
        <f t="shared" si="4"/>
        <v/>
      </c>
      <c r="AZ13" s="125" t="str">
        <f t="shared" si="22"/>
        <v>ME</v>
      </c>
      <c r="BA13" s="56">
        <v>6</v>
      </c>
      <c r="BB13" s="64">
        <v>0.95099999999999996</v>
      </c>
      <c r="BC13" s="62">
        <v>16</v>
      </c>
      <c r="BD13" s="61">
        <v>6.9</v>
      </c>
      <c r="BE13" s="61">
        <v>6.9</v>
      </c>
      <c r="BF13" s="61">
        <v>15.2</v>
      </c>
      <c r="BG13" s="61">
        <v>6.9</v>
      </c>
      <c r="BH13" s="64">
        <v>0.182</v>
      </c>
      <c r="BI13" s="64">
        <v>0.218</v>
      </c>
      <c r="BJ13" s="64">
        <v>6.2E-2</v>
      </c>
      <c r="BK13" s="64">
        <v>5.0999999999999997E-2</v>
      </c>
      <c r="BL13" s="64">
        <v>6.0999999999999999E-2</v>
      </c>
      <c r="BM13" s="64">
        <v>5.5E-2</v>
      </c>
      <c r="BN13" s="65" t="str">
        <f t="shared" si="23"/>
        <v>ME</v>
      </c>
      <c r="BO13" s="56">
        <v>6</v>
      </c>
      <c r="BP13" s="64">
        <v>7.9000000000000001E-2</v>
      </c>
      <c r="BQ13" s="62">
        <v>0</v>
      </c>
      <c r="BR13" s="61">
        <v>7</v>
      </c>
      <c r="BS13" s="61">
        <v>8.8000000000000007</v>
      </c>
      <c r="BT13" s="61">
        <v>20.5</v>
      </c>
      <c r="BU13" s="64">
        <v>1.9E-2</v>
      </c>
      <c r="BV13" s="63">
        <v>1.24</v>
      </c>
      <c r="BW13" s="63">
        <v>1.1000000000000001</v>
      </c>
      <c r="BX13" s="66" t="s">
        <v>245</v>
      </c>
      <c r="BY13" s="172" t="s">
        <v>246</v>
      </c>
      <c r="BZ13" s="67" t="str">
        <f t="shared" si="24"/>
        <v>ME</v>
      </c>
      <c r="CA13" s="56">
        <v>6</v>
      </c>
      <c r="CB13" s="61">
        <v>96.4</v>
      </c>
      <c r="CC13" s="61"/>
      <c r="CD13" s="68">
        <f t="shared" si="25"/>
        <v>1.1000000000000085</v>
      </c>
      <c r="CE13" s="69">
        <f t="shared" si="26"/>
        <v>5.11969150000004</v>
      </c>
      <c r="CF13" s="69">
        <f t="shared" si="27"/>
        <v>3.8159191304348123</v>
      </c>
      <c r="CG13" s="62">
        <v>52</v>
      </c>
      <c r="CH13" s="62">
        <v>100</v>
      </c>
      <c r="CI13" s="65" t="str">
        <f t="shared" si="28"/>
        <v>ME</v>
      </c>
      <c r="CJ13" s="56">
        <v>6</v>
      </c>
      <c r="CK13" s="61">
        <v>93.8</v>
      </c>
      <c r="CL13" s="61"/>
      <c r="CM13" s="68">
        <f t="shared" si="29"/>
        <v>2.2000000000000028</v>
      </c>
      <c r="CN13" s="68">
        <f t="shared" si="30"/>
        <v>10.239383000000014</v>
      </c>
      <c r="CO13" s="68">
        <f t="shared" si="31"/>
        <v>22.249675682786918</v>
      </c>
      <c r="CP13" s="62">
        <v>50</v>
      </c>
      <c r="CQ13" s="62">
        <v>83</v>
      </c>
      <c r="CR13" s="65" t="str">
        <f t="shared" si="32"/>
        <v>ME</v>
      </c>
      <c r="CS13" s="56">
        <v>6</v>
      </c>
      <c r="CT13" s="61">
        <v>93.9</v>
      </c>
      <c r="CU13" s="61"/>
      <c r="CV13" s="68">
        <f t="shared" si="33"/>
        <v>1.9000000000000057</v>
      </c>
      <c r="CW13" s="68">
        <f t="shared" si="34"/>
        <v>12.624056000000037</v>
      </c>
      <c r="CX13" s="69">
        <f t="shared" si="35"/>
        <v>6.8983912568306216E-2</v>
      </c>
      <c r="CY13" s="66" t="s">
        <v>256</v>
      </c>
      <c r="CZ13" s="66" t="s">
        <v>241</v>
      </c>
      <c r="DA13" s="66"/>
      <c r="DB13" s="65" t="str">
        <f t="shared" si="36"/>
        <v>ME</v>
      </c>
      <c r="DC13" s="56">
        <v>6</v>
      </c>
      <c r="DD13" s="61">
        <v>81.599999999999994</v>
      </c>
      <c r="DE13" s="61">
        <v>102.4</v>
      </c>
      <c r="DF13" s="68">
        <f t="shared" si="37"/>
        <v>17.200000000000003</v>
      </c>
      <c r="DG13" s="69">
        <f t="shared" si="38"/>
        <v>0.92796113536000013</v>
      </c>
      <c r="DH13" s="68">
        <f t="shared" si="39"/>
        <v>5.0708258762841538</v>
      </c>
      <c r="DI13" s="62">
        <v>90</v>
      </c>
      <c r="DJ13" s="62">
        <v>54</v>
      </c>
      <c r="DK13" s="65" t="str">
        <f t="shared" si="40"/>
        <v>ME</v>
      </c>
      <c r="DL13" s="56">
        <v>6</v>
      </c>
      <c r="DM13" s="63">
        <v>7.78</v>
      </c>
      <c r="DN13" s="64">
        <v>2.5000000000000001E-2</v>
      </c>
      <c r="DO13" s="64">
        <v>2.9000000000000001E-2</v>
      </c>
      <c r="DP13" s="64">
        <v>5.8000000000000003E-2</v>
      </c>
      <c r="DQ13" s="63">
        <v>6.84</v>
      </c>
      <c r="DR13" s="61">
        <v>8.8000000000000007</v>
      </c>
      <c r="DS13" s="64">
        <v>1.21</v>
      </c>
      <c r="DT13" s="61">
        <v>86.1</v>
      </c>
      <c r="DU13" s="63">
        <v>4.1500000000000004</v>
      </c>
      <c r="DV13" s="64">
        <v>1.4319999999999999</v>
      </c>
      <c r="DW13" s="64">
        <v>0.99299999999999999</v>
      </c>
      <c r="DX13" s="66" t="s">
        <v>242</v>
      </c>
      <c r="DY13" s="65" t="str">
        <f t="shared" si="41"/>
        <v>ME</v>
      </c>
      <c r="DZ13" s="128">
        <v>6</v>
      </c>
      <c r="EA13" s="173">
        <f t="shared" si="42"/>
        <v>0.12232620320855615</v>
      </c>
      <c r="EB13" s="173">
        <f t="shared" si="43"/>
        <v>0.11764705882352941</v>
      </c>
      <c r="EC13" s="173">
        <f t="shared" si="44"/>
        <v>0.8797814207650273</v>
      </c>
      <c r="ED13" s="63">
        <v>1.18</v>
      </c>
      <c r="EE13" s="63">
        <v>1.23</v>
      </c>
      <c r="EF13" s="63">
        <v>0.04</v>
      </c>
      <c r="EG13" s="284">
        <v>0.36</v>
      </c>
      <c r="EH13" s="127" t="str">
        <f t="shared" si="5"/>
        <v>ME</v>
      </c>
      <c r="EI13" s="56">
        <v>6</v>
      </c>
      <c r="EJ13" s="334"/>
      <c r="EK13" s="334"/>
      <c r="EL13" s="334"/>
      <c r="EM13" s="334"/>
      <c r="EN13" s="334"/>
      <c r="EO13" s="334"/>
      <c r="EP13" s="334"/>
      <c r="EQ13" s="65" t="str">
        <f t="shared" si="45"/>
        <v>ME</v>
      </c>
      <c r="ER13" s="20"/>
      <c r="ES13" s="20"/>
      <c r="ET13" s="20"/>
      <c r="EU13" s="20"/>
      <c r="EV13" s="20"/>
      <c r="EW13" s="20"/>
      <c r="EX13" s="20"/>
    </row>
    <row r="14" spans="1:154" s="3" customFormat="1" ht="17.149999999999999" customHeight="1" x14ac:dyDescent="0.25">
      <c r="A14" s="56">
        <v>7</v>
      </c>
      <c r="B14" s="57">
        <v>883366</v>
      </c>
      <c r="C14" s="58">
        <f t="shared" si="6"/>
        <v>220</v>
      </c>
      <c r="D14" s="167">
        <v>9.41</v>
      </c>
      <c r="E14" s="57">
        <v>787501</v>
      </c>
      <c r="F14" s="58">
        <f t="shared" si="7"/>
        <v>200</v>
      </c>
      <c r="G14" s="168">
        <v>1.35</v>
      </c>
      <c r="H14" s="57">
        <v>746788</v>
      </c>
      <c r="I14" s="58">
        <f t="shared" si="0"/>
        <v>190</v>
      </c>
      <c r="J14" s="60" t="s">
        <v>194</v>
      </c>
      <c r="K14" s="56">
        <v>7</v>
      </c>
      <c r="L14" s="57">
        <v>69222</v>
      </c>
      <c r="M14" s="58" t="str">
        <f t="shared" si="8"/>
        <v/>
      </c>
      <c r="N14" s="57">
        <v>175405</v>
      </c>
      <c r="O14" s="58">
        <f t="shared" si="9"/>
        <v>32</v>
      </c>
      <c r="P14" s="57">
        <v>194749</v>
      </c>
      <c r="Q14" s="169" t="str">
        <f t="shared" si="1"/>
        <v/>
      </c>
      <c r="R14" s="57">
        <v>671</v>
      </c>
      <c r="S14" s="57">
        <v>678</v>
      </c>
      <c r="T14" s="57">
        <v>140</v>
      </c>
      <c r="U14" s="57">
        <v>137</v>
      </c>
      <c r="V14" s="58" t="str">
        <f t="shared" si="10"/>
        <v>ME</v>
      </c>
      <c r="W14" s="56">
        <v>7</v>
      </c>
      <c r="X14" s="63">
        <v>11656.84</v>
      </c>
      <c r="Y14" s="130">
        <f t="shared" si="11"/>
        <v>4.2000000000007276</v>
      </c>
      <c r="Z14" s="63">
        <v>12421.32</v>
      </c>
      <c r="AA14" s="130">
        <f t="shared" si="12"/>
        <v>2.3000000000010914</v>
      </c>
      <c r="AB14" s="63">
        <v>9810.84</v>
      </c>
      <c r="AC14" s="130">
        <f t="shared" si="13"/>
        <v>1.8099999999994907</v>
      </c>
      <c r="AD14" s="63">
        <v>9900.93</v>
      </c>
      <c r="AE14" s="130">
        <f t="shared" si="2"/>
        <v>3.2700000000004366</v>
      </c>
      <c r="AF14" s="125" t="str">
        <f t="shared" si="14"/>
        <v>ME</v>
      </c>
      <c r="AG14" s="56">
        <v>7</v>
      </c>
      <c r="AH14" s="63">
        <v>46558.13</v>
      </c>
      <c r="AI14" s="130">
        <f t="shared" si="15"/>
        <v>16.770000000004075</v>
      </c>
      <c r="AJ14" s="63">
        <v>48698.45</v>
      </c>
      <c r="AK14" s="130">
        <f t="shared" si="16"/>
        <v>6.8800000000046566</v>
      </c>
      <c r="AL14" s="63">
        <v>586.1</v>
      </c>
      <c r="AM14" s="130">
        <f t="shared" si="17"/>
        <v>2.9999999999972715E-2</v>
      </c>
      <c r="AN14" s="63">
        <v>547.45000000000005</v>
      </c>
      <c r="AO14" s="130">
        <f t="shared" si="3"/>
        <v>8.9999999999918145E-2</v>
      </c>
      <c r="AP14" s="125" t="str">
        <f t="shared" si="18"/>
        <v>ME</v>
      </c>
      <c r="AQ14" s="56">
        <v>7</v>
      </c>
      <c r="AR14" s="63">
        <v>6715.16</v>
      </c>
      <c r="AS14" s="130">
        <f t="shared" si="19"/>
        <v>1.2300000000004729</v>
      </c>
      <c r="AT14" s="63">
        <v>7440.09</v>
      </c>
      <c r="AU14" s="130">
        <f t="shared" si="20"/>
        <v>1.7399999999997817</v>
      </c>
      <c r="AV14" s="63">
        <v>253.67</v>
      </c>
      <c r="AW14" s="130" t="str">
        <f t="shared" si="21"/>
        <v/>
      </c>
      <c r="AX14" s="63">
        <v>241.7</v>
      </c>
      <c r="AY14" s="130" t="str">
        <f t="shared" si="4"/>
        <v/>
      </c>
      <c r="AZ14" s="125" t="str">
        <f t="shared" si="22"/>
        <v>ME</v>
      </c>
      <c r="BA14" s="56">
        <v>7</v>
      </c>
      <c r="BB14" s="64"/>
      <c r="BC14" s="62"/>
      <c r="BD14" s="61"/>
      <c r="BE14" s="61"/>
      <c r="BF14" s="61"/>
      <c r="BG14" s="61"/>
      <c r="BH14" s="64"/>
      <c r="BI14" s="64"/>
      <c r="BJ14" s="64"/>
      <c r="BK14" s="64"/>
      <c r="BL14" s="64"/>
      <c r="BM14" s="64"/>
      <c r="BN14" s="65" t="str">
        <f t="shared" si="23"/>
        <v>ME</v>
      </c>
      <c r="BO14" s="56">
        <v>7</v>
      </c>
      <c r="BP14" s="64">
        <v>7.8E-2</v>
      </c>
      <c r="BQ14" s="62"/>
      <c r="BR14" s="61"/>
      <c r="BS14" s="61"/>
      <c r="BT14" s="61"/>
      <c r="BU14" s="64"/>
      <c r="BV14" s="63">
        <v>1.23</v>
      </c>
      <c r="BW14" s="63">
        <v>1.04</v>
      </c>
      <c r="BX14" s="66" t="s">
        <v>245</v>
      </c>
      <c r="BY14" s="172" t="s">
        <v>246</v>
      </c>
      <c r="BZ14" s="67" t="str">
        <f t="shared" si="24"/>
        <v>ME</v>
      </c>
      <c r="CA14" s="56">
        <v>7</v>
      </c>
      <c r="CB14" s="61">
        <v>95.3</v>
      </c>
      <c r="CC14" s="61"/>
      <c r="CD14" s="68">
        <f t="shared" si="25"/>
        <v>1.3999999999999915</v>
      </c>
      <c r="CE14" s="69">
        <f t="shared" si="26"/>
        <v>6.5159709999999604</v>
      </c>
      <c r="CF14" s="69">
        <f t="shared" si="27"/>
        <v>4.1153501052631327</v>
      </c>
      <c r="CG14" s="62">
        <v>52</v>
      </c>
      <c r="CH14" s="62">
        <v>100</v>
      </c>
      <c r="CI14" s="65" t="str">
        <f t="shared" si="28"/>
        <v>ME</v>
      </c>
      <c r="CJ14" s="56">
        <v>7</v>
      </c>
      <c r="CK14" s="61">
        <v>91.6</v>
      </c>
      <c r="CL14" s="61"/>
      <c r="CM14" s="68">
        <f t="shared" si="29"/>
        <v>3</v>
      </c>
      <c r="CN14" s="68">
        <f t="shared" si="30"/>
        <v>13.962795000000002</v>
      </c>
      <c r="CO14" s="68">
        <f t="shared" si="31"/>
        <v>25.237751962500003</v>
      </c>
      <c r="CP14" s="62">
        <v>52</v>
      </c>
      <c r="CQ14" s="62">
        <v>83</v>
      </c>
      <c r="CR14" s="65" t="str">
        <f t="shared" si="32"/>
        <v>ME</v>
      </c>
      <c r="CS14" s="56">
        <v>7</v>
      </c>
      <c r="CT14" s="61">
        <v>92</v>
      </c>
      <c r="CU14" s="61"/>
      <c r="CV14" s="68">
        <f t="shared" si="33"/>
        <v>2.2000000000000028</v>
      </c>
      <c r="CW14" s="68">
        <f t="shared" si="34"/>
        <v>14.617328000000018</v>
      </c>
      <c r="CX14" s="69">
        <f t="shared" si="35"/>
        <v>6.6442400000000082E-2</v>
      </c>
      <c r="CY14" s="66" t="s">
        <v>240</v>
      </c>
      <c r="CZ14" s="66" t="s">
        <v>241</v>
      </c>
      <c r="DA14" s="66"/>
      <c r="DB14" s="65" t="str">
        <f t="shared" si="36"/>
        <v>ME</v>
      </c>
      <c r="DC14" s="56">
        <v>7</v>
      </c>
      <c r="DD14" s="61">
        <v>85.2</v>
      </c>
      <c r="DE14" s="61">
        <v>102.6</v>
      </c>
      <c r="DF14" s="68">
        <f t="shared" si="37"/>
        <v>19.899999999999991</v>
      </c>
      <c r="DG14" s="69">
        <f t="shared" si="38"/>
        <v>1.0736294531199995</v>
      </c>
      <c r="DH14" s="68">
        <f t="shared" si="39"/>
        <v>4.8801338778181789</v>
      </c>
      <c r="DI14" s="62">
        <v>90</v>
      </c>
      <c r="DJ14" s="62">
        <v>54</v>
      </c>
      <c r="DK14" s="65" t="str">
        <f t="shared" si="40"/>
        <v>ME</v>
      </c>
      <c r="DL14" s="56">
        <v>7</v>
      </c>
      <c r="DM14" s="63">
        <v>8</v>
      </c>
      <c r="DN14" s="64">
        <v>2.4E-2</v>
      </c>
      <c r="DO14" s="64">
        <v>2.8000000000000001E-2</v>
      </c>
      <c r="DP14" s="64">
        <v>5.6000000000000001E-2</v>
      </c>
      <c r="DQ14" s="63">
        <v>6.84</v>
      </c>
      <c r="DR14" s="61">
        <v>9</v>
      </c>
      <c r="DS14" s="64">
        <v>1.1830000000000001</v>
      </c>
      <c r="DT14" s="61">
        <v>84.7</v>
      </c>
      <c r="DU14" s="63">
        <v>4.26</v>
      </c>
      <c r="DV14" s="64">
        <v>0.73399999999999999</v>
      </c>
      <c r="DW14" s="64">
        <v>1.06</v>
      </c>
      <c r="DX14" s="66" t="s">
        <v>242</v>
      </c>
      <c r="DY14" s="65" t="str">
        <f t="shared" si="41"/>
        <v>ME</v>
      </c>
      <c r="DZ14" s="128">
        <v>7</v>
      </c>
      <c r="EA14" s="173">
        <f t="shared" si="42"/>
        <v>0.14705882352941177</v>
      </c>
      <c r="EB14" s="173">
        <f t="shared" si="43"/>
        <v>0.14705882352941177</v>
      </c>
      <c r="EC14" s="173">
        <f t="shared" si="44"/>
        <v>0.86363636363636365</v>
      </c>
      <c r="ED14" s="63">
        <v>0.95</v>
      </c>
      <c r="EE14" s="63">
        <v>1.21</v>
      </c>
      <c r="EF14" s="63">
        <v>0.04</v>
      </c>
      <c r="EG14" s="63">
        <v>2.4E-2</v>
      </c>
      <c r="EH14" s="127" t="str">
        <f t="shared" si="5"/>
        <v>ME</v>
      </c>
      <c r="EI14" s="56">
        <v>7</v>
      </c>
      <c r="EJ14" s="334" t="s">
        <v>350</v>
      </c>
      <c r="EK14" s="334"/>
      <c r="EL14" s="334"/>
      <c r="EM14" s="334"/>
      <c r="EN14" s="334"/>
      <c r="EO14" s="334"/>
      <c r="EP14" s="334"/>
      <c r="EQ14" s="65" t="str">
        <f t="shared" si="45"/>
        <v>ME</v>
      </c>
      <c r="ER14" s="20"/>
      <c r="ES14" s="20"/>
      <c r="ET14" s="20"/>
      <c r="EU14" s="20"/>
      <c r="EV14" s="20"/>
      <c r="EW14" s="20"/>
      <c r="EX14" s="20"/>
    </row>
    <row r="15" spans="1:154" s="3" customFormat="1" ht="17.149999999999999" customHeight="1" x14ac:dyDescent="0.25">
      <c r="A15" s="56">
        <v>8</v>
      </c>
      <c r="B15" s="57">
        <v>883586</v>
      </c>
      <c r="C15" s="58">
        <f t="shared" si="6"/>
        <v>203</v>
      </c>
      <c r="D15" s="167">
        <v>9.5500000000000007</v>
      </c>
      <c r="E15" s="57">
        <v>787701</v>
      </c>
      <c r="F15" s="58">
        <f t="shared" si="7"/>
        <v>257</v>
      </c>
      <c r="G15" s="168">
        <v>0.45</v>
      </c>
      <c r="H15" s="57">
        <v>746978</v>
      </c>
      <c r="I15" s="58">
        <f t="shared" si="0"/>
        <v>139</v>
      </c>
      <c r="J15" s="60" t="s">
        <v>194</v>
      </c>
      <c r="K15" s="56">
        <v>8</v>
      </c>
      <c r="L15" s="57">
        <v>69222</v>
      </c>
      <c r="M15" s="58">
        <f t="shared" si="8"/>
        <v>48</v>
      </c>
      <c r="N15" s="57">
        <v>175437</v>
      </c>
      <c r="O15" s="58">
        <f t="shared" si="9"/>
        <v>57</v>
      </c>
      <c r="P15" s="57">
        <v>194749</v>
      </c>
      <c r="Q15" s="169" t="str">
        <f t="shared" si="1"/>
        <v/>
      </c>
      <c r="R15" s="57">
        <v>671</v>
      </c>
      <c r="S15" s="57">
        <v>678</v>
      </c>
      <c r="T15" s="57">
        <v>140</v>
      </c>
      <c r="U15" s="57">
        <v>137</v>
      </c>
      <c r="V15" s="58" t="str">
        <f t="shared" si="10"/>
        <v>ME</v>
      </c>
      <c r="W15" s="56">
        <v>8</v>
      </c>
      <c r="X15" s="63">
        <v>11661.04</v>
      </c>
      <c r="Y15" s="130">
        <f t="shared" si="11"/>
        <v>2.2999999999992724</v>
      </c>
      <c r="Z15" s="63">
        <v>12423.62</v>
      </c>
      <c r="AA15" s="130">
        <f t="shared" si="12"/>
        <v>3.9200000000000728</v>
      </c>
      <c r="AB15" s="63">
        <v>9812.65</v>
      </c>
      <c r="AC15" s="130">
        <f t="shared" si="13"/>
        <v>1.8800000000010186</v>
      </c>
      <c r="AD15" s="63">
        <v>9904.2000000000007</v>
      </c>
      <c r="AE15" s="130">
        <f t="shared" si="2"/>
        <v>1.8099999999994907</v>
      </c>
      <c r="AF15" s="125" t="str">
        <f t="shared" si="14"/>
        <v>ME</v>
      </c>
      <c r="AG15" s="56">
        <v>8</v>
      </c>
      <c r="AH15" s="63">
        <v>46574.9</v>
      </c>
      <c r="AI15" s="130">
        <f t="shared" si="15"/>
        <v>11.339999999996508</v>
      </c>
      <c r="AJ15" s="63">
        <v>48705.33</v>
      </c>
      <c r="AK15" s="130">
        <f t="shared" si="16"/>
        <v>17.119999999995343</v>
      </c>
      <c r="AL15" s="63">
        <v>586.13</v>
      </c>
      <c r="AM15" s="130">
        <f t="shared" si="17"/>
        <v>0.25999999999999091</v>
      </c>
      <c r="AN15" s="63">
        <v>547.54</v>
      </c>
      <c r="AO15" s="130">
        <f t="shared" si="3"/>
        <v>0.34000000000003183</v>
      </c>
      <c r="AP15" s="125" t="str">
        <f t="shared" si="18"/>
        <v>ME</v>
      </c>
      <c r="AQ15" s="56">
        <v>8</v>
      </c>
      <c r="AR15" s="63">
        <v>6716.39</v>
      </c>
      <c r="AS15" s="130">
        <f t="shared" si="19"/>
        <v>1.9200000000000728</v>
      </c>
      <c r="AT15" s="63">
        <v>7441.83</v>
      </c>
      <c r="AU15" s="130">
        <f t="shared" si="20"/>
        <v>2.2799999999997453</v>
      </c>
      <c r="AV15" s="63">
        <v>253.67</v>
      </c>
      <c r="AW15" s="130">
        <f t="shared" si="21"/>
        <v>0.34000000000000341</v>
      </c>
      <c r="AX15" s="63">
        <v>241.7</v>
      </c>
      <c r="AY15" s="130" t="str">
        <f t="shared" si="4"/>
        <v/>
      </c>
      <c r="AZ15" s="125" t="str">
        <f t="shared" si="22"/>
        <v>ME</v>
      </c>
      <c r="BA15" s="56">
        <v>8</v>
      </c>
      <c r="BB15" s="64"/>
      <c r="BC15" s="62"/>
      <c r="BD15" s="61"/>
      <c r="BE15" s="61"/>
      <c r="BF15" s="61"/>
      <c r="BG15" s="61"/>
      <c r="BH15" s="64"/>
      <c r="BI15" s="64"/>
      <c r="BJ15" s="64"/>
      <c r="BK15" s="64"/>
      <c r="BL15" s="64"/>
      <c r="BM15" s="64"/>
      <c r="BN15" s="65" t="str">
        <f t="shared" si="23"/>
        <v>ME</v>
      </c>
      <c r="BO15" s="56">
        <v>8</v>
      </c>
      <c r="BP15" s="64">
        <v>9.2999999999999999E-2</v>
      </c>
      <c r="BQ15" s="62"/>
      <c r="BR15" s="61"/>
      <c r="BS15" s="61"/>
      <c r="BT15" s="61"/>
      <c r="BU15" s="64"/>
      <c r="BV15" s="63">
        <v>1.1599999999999999</v>
      </c>
      <c r="BW15" s="63">
        <v>0.95</v>
      </c>
      <c r="BX15" s="66" t="s">
        <v>349</v>
      </c>
      <c r="BY15" s="172" t="s">
        <v>246</v>
      </c>
      <c r="BZ15" s="67" t="str">
        <f t="shared" si="24"/>
        <v>ME</v>
      </c>
      <c r="CA15" s="56">
        <v>8</v>
      </c>
      <c r="CB15" s="61">
        <v>93.9</v>
      </c>
      <c r="CC15" s="61"/>
      <c r="CD15" s="68">
        <f t="shared" si="25"/>
        <v>0.5</v>
      </c>
      <c r="CE15" s="69">
        <f t="shared" si="26"/>
        <v>2.3271325000000003</v>
      </c>
      <c r="CF15" s="69">
        <f t="shared" si="27"/>
        <v>2.009035251798561</v>
      </c>
      <c r="CG15" s="62">
        <v>52</v>
      </c>
      <c r="CH15" s="62">
        <v>100</v>
      </c>
      <c r="CI15" s="65" t="str">
        <f t="shared" si="28"/>
        <v>ME</v>
      </c>
      <c r="CJ15" s="56">
        <v>8</v>
      </c>
      <c r="CK15" s="61">
        <v>88.6</v>
      </c>
      <c r="CL15" s="61"/>
      <c r="CM15" s="68">
        <f t="shared" si="29"/>
        <v>2.5</v>
      </c>
      <c r="CN15" s="68">
        <f t="shared" si="30"/>
        <v>11.6356625</v>
      </c>
      <c r="CO15" s="68">
        <f t="shared" si="31"/>
        <v>22.792715237068972</v>
      </c>
      <c r="CP15" s="62">
        <v>52</v>
      </c>
      <c r="CQ15" s="62">
        <v>83</v>
      </c>
      <c r="CR15" s="65" t="str">
        <f t="shared" si="32"/>
        <v>ME</v>
      </c>
      <c r="CS15" s="56">
        <v>8</v>
      </c>
      <c r="CT15" s="61">
        <v>89.8</v>
      </c>
      <c r="CU15" s="61">
        <v>113.5</v>
      </c>
      <c r="CV15" s="68">
        <f t="shared" si="33"/>
        <v>1.9000000000000057</v>
      </c>
      <c r="CW15" s="68">
        <f t="shared" si="34"/>
        <v>12.624056000000037</v>
      </c>
      <c r="CX15" s="69">
        <f t="shared" si="35"/>
        <v>6.2187467980295751E-2</v>
      </c>
      <c r="CY15" s="66" t="s">
        <v>240</v>
      </c>
      <c r="CZ15" s="66" t="s">
        <v>241</v>
      </c>
      <c r="DA15" s="66"/>
      <c r="DB15" s="65" t="str">
        <f t="shared" si="36"/>
        <v>ME</v>
      </c>
      <c r="DC15" s="56">
        <v>8</v>
      </c>
      <c r="DD15" s="61">
        <v>82.7</v>
      </c>
      <c r="DE15" s="61">
        <v>102.5</v>
      </c>
      <c r="DF15" s="68">
        <f t="shared" si="37"/>
        <v>17.900000000000006</v>
      </c>
      <c r="DG15" s="69">
        <f t="shared" si="38"/>
        <v>0.96572699552000041</v>
      </c>
      <c r="DH15" s="68">
        <f t="shared" si="39"/>
        <v>4.7572758400000019</v>
      </c>
      <c r="DI15" s="62">
        <v>90</v>
      </c>
      <c r="DJ15" s="62">
        <v>54</v>
      </c>
      <c r="DK15" s="65" t="str">
        <f t="shared" si="40"/>
        <v>ME</v>
      </c>
      <c r="DL15" s="56">
        <v>8</v>
      </c>
      <c r="DM15" s="63">
        <v>8.11</v>
      </c>
      <c r="DN15" s="64">
        <v>1.9E-2</v>
      </c>
      <c r="DO15" s="64">
        <v>2.9000000000000001E-2</v>
      </c>
      <c r="DP15" s="64">
        <v>0.08</v>
      </c>
      <c r="DQ15" s="63">
        <v>6.84</v>
      </c>
      <c r="DR15" s="61">
        <v>8.9</v>
      </c>
      <c r="DS15" s="64">
        <v>1.1399999999999999</v>
      </c>
      <c r="DT15" s="61">
        <v>84.8</v>
      </c>
      <c r="DU15" s="63">
        <v>4.3499999999999996</v>
      </c>
      <c r="DV15" s="64">
        <v>0.68600000000000005</v>
      </c>
      <c r="DW15" s="64">
        <v>1.24</v>
      </c>
      <c r="DX15" s="66" t="s">
        <v>242</v>
      </c>
      <c r="DY15" s="65" t="str">
        <f t="shared" si="41"/>
        <v>ME</v>
      </c>
      <c r="DZ15" s="128">
        <v>8</v>
      </c>
      <c r="EA15" s="173">
        <f t="shared" si="42"/>
        <v>0.13569518716577539</v>
      </c>
      <c r="EB15" s="173">
        <f t="shared" si="43"/>
        <v>0.18897058823529411</v>
      </c>
      <c r="EC15" s="173">
        <f t="shared" si="44"/>
        <v>0.68472906403940892</v>
      </c>
      <c r="ED15" s="63">
        <v>0.99</v>
      </c>
      <c r="EE15" s="63">
        <v>1.1499999999999999</v>
      </c>
      <c r="EF15" s="63">
        <v>0.05</v>
      </c>
      <c r="EG15" s="284">
        <v>0.43</v>
      </c>
      <c r="EH15" s="127" t="str">
        <f t="shared" si="5"/>
        <v>ME</v>
      </c>
      <c r="EI15" s="56">
        <v>8</v>
      </c>
      <c r="EJ15" s="334"/>
      <c r="EK15" s="334"/>
      <c r="EL15" s="334"/>
      <c r="EM15" s="334"/>
      <c r="EN15" s="334"/>
      <c r="EO15" s="334"/>
      <c r="EP15" s="334"/>
      <c r="EQ15" s="65" t="str">
        <f t="shared" si="45"/>
        <v>ME</v>
      </c>
      <c r="ER15" s="20"/>
      <c r="ES15" s="20"/>
      <c r="ET15" s="20"/>
      <c r="EU15" s="20"/>
      <c r="EV15" s="20"/>
      <c r="EW15" s="20"/>
      <c r="EX15" s="20"/>
    </row>
    <row r="16" spans="1:154" s="3" customFormat="1" ht="17.149999999999999" customHeight="1" x14ac:dyDescent="0.25">
      <c r="A16" s="56">
        <v>9</v>
      </c>
      <c r="B16" s="57">
        <v>883789</v>
      </c>
      <c r="C16" s="58">
        <f t="shared" si="6"/>
        <v>194</v>
      </c>
      <c r="D16" s="167">
        <v>8.75</v>
      </c>
      <c r="E16" s="57">
        <v>787958</v>
      </c>
      <c r="F16" s="58">
        <f t="shared" si="7"/>
        <v>214</v>
      </c>
      <c r="G16" s="168">
        <v>2.57</v>
      </c>
      <c r="H16" s="57">
        <v>747117</v>
      </c>
      <c r="I16" s="58">
        <f t="shared" si="0"/>
        <v>172</v>
      </c>
      <c r="J16" s="60" t="s">
        <v>194</v>
      </c>
      <c r="K16" s="56">
        <v>9</v>
      </c>
      <c r="L16" s="57">
        <v>69270</v>
      </c>
      <c r="M16" s="58" t="str">
        <f t="shared" si="8"/>
        <v/>
      </c>
      <c r="N16" s="57">
        <v>175494</v>
      </c>
      <c r="O16" s="58">
        <f t="shared" si="9"/>
        <v>50</v>
      </c>
      <c r="P16" s="57">
        <v>194749</v>
      </c>
      <c r="Q16" s="169" t="str">
        <f t="shared" si="1"/>
        <v/>
      </c>
      <c r="R16" s="57">
        <v>671</v>
      </c>
      <c r="S16" s="57">
        <v>679</v>
      </c>
      <c r="T16" s="57">
        <v>140</v>
      </c>
      <c r="U16" s="57">
        <v>137</v>
      </c>
      <c r="V16" s="58" t="str">
        <f t="shared" si="10"/>
        <v>ME</v>
      </c>
      <c r="W16" s="56">
        <v>9</v>
      </c>
      <c r="X16" s="63">
        <v>11663.34</v>
      </c>
      <c r="Y16" s="130">
        <f t="shared" si="11"/>
        <v>2.3500000000003638</v>
      </c>
      <c r="Z16" s="63">
        <v>12427.54</v>
      </c>
      <c r="AA16" s="130">
        <f t="shared" si="12"/>
        <v>3.4399999999986903</v>
      </c>
      <c r="AB16" s="63">
        <v>9814.5300000000007</v>
      </c>
      <c r="AC16" s="130">
        <f t="shared" si="13"/>
        <v>2.7199999999993452</v>
      </c>
      <c r="AD16" s="63">
        <v>9906.01</v>
      </c>
      <c r="AE16" s="130">
        <f t="shared" si="2"/>
        <v>1.8500000000003638</v>
      </c>
      <c r="AF16" s="125" t="str">
        <f t="shared" si="14"/>
        <v>ME</v>
      </c>
      <c r="AG16" s="56">
        <v>9</v>
      </c>
      <c r="AH16" s="63">
        <v>46586.239999999998</v>
      </c>
      <c r="AI16" s="130">
        <f t="shared" si="15"/>
        <v>12.660000000003492</v>
      </c>
      <c r="AJ16" s="63">
        <v>48722.45</v>
      </c>
      <c r="AK16" s="130">
        <f t="shared" si="16"/>
        <v>10.720000000001164</v>
      </c>
      <c r="AL16" s="63">
        <v>586.39</v>
      </c>
      <c r="AM16" s="130" t="str">
        <f t="shared" si="17"/>
        <v/>
      </c>
      <c r="AN16" s="63">
        <v>547.88</v>
      </c>
      <c r="AO16" s="130" t="str">
        <f t="shared" si="3"/>
        <v/>
      </c>
      <c r="AP16" s="125" t="str">
        <f t="shared" si="18"/>
        <v>ME</v>
      </c>
      <c r="AQ16" s="56">
        <v>9</v>
      </c>
      <c r="AR16" s="63">
        <v>6718.31</v>
      </c>
      <c r="AS16" s="130">
        <f t="shared" si="19"/>
        <v>1.6699999999991633</v>
      </c>
      <c r="AT16" s="63">
        <v>7444.11</v>
      </c>
      <c r="AU16" s="130">
        <f t="shared" si="20"/>
        <v>2.5600000000004002</v>
      </c>
      <c r="AV16" s="63">
        <v>254.01</v>
      </c>
      <c r="AW16" s="130" t="str">
        <f t="shared" si="21"/>
        <v/>
      </c>
      <c r="AX16" s="63">
        <v>241.7</v>
      </c>
      <c r="AY16" s="130" t="str">
        <f t="shared" si="4"/>
        <v/>
      </c>
      <c r="AZ16" s="125" t="str">
        <f t="shared" si="22"/>
        <v>ME</v>
      </c>
      <c r="BA16" s="56">
        <v>9</v>
      </c>
      <c r="BB16" s="64">
        <v>1.0900000000000001</v>
      </c>
      <c r="BC16" s="62">
        <v>34</v>
      </c>
      <c r="BD16" s="61">
        <v>6.7</v>
      </c>
      <c r="BE16" s="61">
        <v>7.1</v>
      </c>
      <c r="BF16" s="61">
        <v>18</v>
      </c>
      <c r="BG16" s="61">
        <v>6.7</v>
      </c>
      <c r="BH16" s="64">
        <v>0.222</v>
      </c>
      <c r="BI16" s="64">
        <v>0.247</v>
      </c>
      <c r="BJ16" s="64">
        <v>0.05</v>
      </c>
      <c r="BK16" s="64">
        <v>5.0999999999999997E-2</v>
      </c>
      <c r="BL16" s="64">
        <v>5.8000000000000003E-2</v>
      </c>
      <c r="BM16" s="64">
        <v>0.06</v>
      </c>
      <c r="BN16" s="65" t="str">
        <f t="shared" si="23"/>
        <v>ME</v>
      </c>
      <c r="BO16" s="56">
        <v>9</v>
      </c>
      <c r="BP16" s="64">
        <v>8.7999999999999995E-2</v>
      </c>
      <c r="BQ16" s="62">
        <v>0</v>
      </c>
      <c r="BR16" s="61">
        <v>7.2</v>
      </c>
      <c r="BS16" s="61">
        <v>9.1</v>
      </c>
      <c r="BT16" s="61">
        <v>20.399999999999999</v>
      </c>
      <c r="BU16" s="64">
        <v>1.4999999999999999E-2</v>
      </c>
      <c r="BV16" s="63">
        <v>1.1299999999999999</v>
      </c>
      <c r="BW16" s="63">
        <v>0.89</v>
      </c>
      <c r="BX16" s="66" t="s">
        <v>273</v>
      </c>
      <c r="BY16" s="172" t="s">
        <v>246</v>
      </c>
      <c r="BZ16" s="67" t="str">
        <f t="shared" si="24"/>
        <v>ME</v>
      </c>
      <c r="CA16" s="56">
        <v>9</v>
      </c>
      <c r="CB16" s="61">
        <v>93.4</v>
      </c>
      <c r="CC16" s="61"/>
      <c r="CD16" s="68">
        <f t="shared" si="25"/>
        <v>1.8000000000000114</v>
      </c>
      <c r="CE16" s="69">
        <f t="shared" si="26"/>
        <v>8.3776770000000536</v>
      </c>
      <c r="CF16" s="69">
        <f t="shared" si="27"/>
        <v>5.8448909302325953</v>
      </c>
      <c r="CG16" s="62">
        <v>66</v>
      </c>
      <c r="CH16" s="62">
        <v>100</v>
      </c>
      <c r="CI16" s="65" t="str">
        <f t="shared" si="28"/>
        <v>ME</v>
      </c>
      <c r="CJ16" s="56">
        <v>9</v>
      </c>
      <c r="CK16" s="61">
        <v>86.1</v>
      </c>
      <c r="CL16" s="61"/>
      <c r="CM16" s="68">
        <f t="shared" si="29"/>
        <v>2.1999999999999886</v>
      </c>
      <c r="CN16" s="68">
        <f t="shared" si="30"/>
        <v>10.239382999999947</v>
      </c>
      <c r="CO16" s="68">
        <f t="shared" si="31"/>
        <v>20.988096133762781</v>
      </c>
      <c r="CP16" s="62">
        <v>51</v>
      </c>
      <c r="CQ16" s="62">
        <v>83</v>
      </c>
      <c r="CR16" s="65" t="str">
        <f t="shared" si="32"/>
        <v>ME</v>
      </c>
      <c r="CS16" s="56">
        <v>9</v>
      </c>
      <c r="CT16" s="61">
        <v>111.6</v>
      </c>
      <c r="CU16" s="61"/>
      <c r="CV16" s="68">
        <f t="shared" si="33"/>
        <v>1.7999999999999972</v>
      </c>
      <c r="CW16" s="68">
        <f t="shared" si="34"/>
        <v>11.959631999999981</v>
      </c>
      <c r="CX16" s="69">
        <f t="shared" si="35"/>
        <v>6.1647587628865887E-2</v>
      </c>
      <c r="CY16" s="66" t="s">
        <v>322</v>
      </c>
      <c r="CZ16" s="66" t="s">
        <v>241</v>
      </c>
      <c r="DA16" s="66"/>
      <c r="DB16" s="65" t="str">
        <f t="shared" si="36"/>
        <v>ME</v>
      </c>
      <c r="DC16" s="56">
        <v>9</v>
      </c>
      <c r="DD16" s="61">
        <v>84.6</v>
      </c>
      <c r="DE16" s="61">
        <v>103</v>
      </c>
      <c r="DF16" s="68">
        <f t="shared" si="37"/>
        <v>17</v>
      </c>
      <c r="DG16" s="69">
        <f t="shared" si="38"/>
        <v>0.91717088960000015</v>
      </c>
      <c r="DH16" s="68">
        <f t="shared" si="39"/>
        <v>4.7276849979381446</v>
      </c>
      <c r="DI16" s="62">
        <v>87</v>
      </c>
      <c r="DJ16" s="62">
        <v>54</v>
      </c>
      <c r="DK16" s="65" t="str">
        <f t="shared" si="40"/>
        <v>ME</v>
      </c>
      <c r="DL16" s="56">
        <v>9</v>
      </c>
      <c r="DM16" s="63">
        <v>7.53</v>
      </c>
      <c r="DN16" s="64">
        <v>2.5000000000000001E-2</v>
      </c>
      <c r="DO16" s="64">
        <v>0.03</v>
      </c>
      <c r="DP16" s="64">
        <v>6.9000000000000006E-2</v>
      </c>
      <c r="DQ16" s="63">
        <v>6.82</v>
      </c>
      <c r="DR16" s="61">
        <v>9.1</v>
      </c>
      <c r="DS16" s="64">
        <v>1.0880000000000001</v>
      </c>
      <c r="DT16" s="61">
        <v>83.7</v>
      </c>
      <c r="DU16" s="63">
        <v>4.1100000000000003</v>
      </c>
      <c r="DV16" s="64">
        <v>1.4610000000000001</v>
      </c>
      <c r="DW16" s="64">
        <v>4.1100000000000003</v>
      </c>
      <c r="DX16" s="66" t="s">
        <v>242</v>
      </c>
      <c r="DY16" s="65" t="str">
        <f t="shared" si="41"/>
        <v>ME</v>
      </c>
      <c r="DZ16" s="128">
        <v>9</v>
      </c>
      <c r="EA16" s="173">
        <f t="shared" si="42"/>
        <v>0.12967914438502673</v>
      </c>
      <c r="EB16" s="173">
        <f t="shared" si="43"/>
        <v>0.15735294117647058</v>
      </c>
      <c r="EC16" s="173">
        <f t="shared" si="44"/>
        <v>0.88659793814432986</v>
      </c>
      <c r="ED16" s="63">
        <v>1.05</v>
      </c>
      <c r="EE16" s="63">
        <v>1.1100000000000001</v>
      </c>
      <c r="EF16" s="63">
        <v>0.05</v>
      </c>
      <c r="EG16" s="63">
        <v>0.53</v>
      </c>
      <c r="EH16" s="127" t="str">
        <f t="shared" si="5"/>
        <v>ME</v>
      </c>
      <c r="EI16" s="56">
        <v>9</v>
      </c>
      <c r="EJ16" s="334" t="s">
        <v>351</v>
      </c>
      <c r="EK16" s="334"/>
      <c r="EL16" s="334"/>
      <c r="EM16" s="334"/>
      <c r="EN16" s="334"/>
      <c r="EO16" s="334"/>
      <c r="EP16" s="334"/>
      <c r="EQ16" s="65" t="str">
        <f t="shared" si="45"/>
        <v>ME</v>
      </c>
      <c r="ER16" s="20"/>
      <c r="ES16" s="20"/>
      <c r="ET16" s="20"/>
      <c r="EU16" s="20"/>
      <c r="EV16" s="20"/>
      <c r="EW16" s="20"/>
      <c r="EX16" s="20"/>
    </row>
    <row r="17" spans="1:154" s="3" customFormat="1" ht="17.149999999999999" customHeight="1" x14ac:dyDescent="0.25">
      <c r="A17" s="56">
        <v>10</v>
      </c>
      <c r="B17" s="57">
        <v>883983</v>
      </c>
      <c r="C17" s="58">
        <f t="shared" si="6"/>
        <v>216</v>
      </c>
      <c r="D17" s="167">
        <v>9.42</v>
      </c>
      <c r="E17" s="57">
        <v>788172</v>
      </c>
      <c r="F17" s="58">
        <f t="shared" si="7"/>
        <v>195</v>
      </c>
      <c r="G17" s="168">
        <v>2.5099999999999998</v>
      </c>
      <c r="H17" s="57">
        <v>747289</v>
      </c>
      <c r="I17" s="58">
        <f t="shared" si="0"/>
        <v>184</v>
      </c>
      <c r="J17" s="60" t="s">
        <v>194</v>
      </c>
      <c r="K17" s="56">
        <v>10</v>
      </c>
      <c r="L17" s="57">
        <v>69270</v>
      </c>
      <c r="M17" s="58">
        <f t="shared" si="8"/>
        <v>1</v>
      </c>
      <c r="N17" s="57">
        <v>175544</v>
      </c>
      <c r="O17" s="58">
        <f t="shared" si="9"/>
        <v>40</v>
      </c>
      <c r="P17" s="57">
        <v>194749</v>
      </c>
      <c r="Q17" s="169" t="str">
        <f t="shared" si="1"/>
        <v/>
      </c>
      <c r="R17" s="57">
        <v>671</v>
      </c>
      <c r="S17" s="57">
        <v>679</v>
      </c>
      <c r="T17" s="57">
        <v>140</v>
      </c>
      <c r="U17" s="57">
        <v>137</v>
      </c>
      <c r="V17" s="58" t="str">
        <f t="shared" si="10"/>
        <v>ME</v>
      </c>
      <c r="W17" s="56">
        <v>10</v>
      </c>
      <c r="X17" s="63">
        <v>11665.69</v>
      </c>
      <c r="Y17" s="130">
        <f t="shared" si="11"/>
        <v>2.75</v>
      </c>
      <c r="Z17" s="63">
        <v>12430.98</v>
      </c>
      <c r="AA17" s="130">
        <f t="shared" si="12"/>
        <v>3.6400000000012369</v>
      </c>
      <c r="AB17" s="63">
        <v>9817.25</v>
      </c>
      <c r="AC17" s="130">
        <f t="shared" si="13"/>
        <v>2.9400000000005093</v>
      </c>
      <c r="AD17" s="63">
        <v>9907.86</v>
      </c>
      <c r="AE17" s="130">
        <f t="shared" si="2"/>
        <v>1.3599999999987631</v>
      </c>
      <c r="AF17" s="125" t="str">
        <f t="shared" si="14"/>
        <v>ME</v>
      </c>
      <c r="AG17" s="56">
        <v>10</v>
      </c>
      <c r="AH17" s="63">
        <v>46598.9</v>
      </c>
      <c r="AI17" s="130">
        <f t="shared" si="15"/>
        <v>9.3099999999976717</v>
      </c>
      <c r="AJ17" s="63">
        <v>48733.17</v>
      </c>
      <c r="AK17" s="130">
        <f t="shared" si="16"/>
        <v>13.290000000000873</v>
      </c>
      <c r="AL17" s="63">
        <v>586.39</v>
      </c>
      <c r="AM17" s="130" t="str">
        <f t="shared" si="17"/>
        <v/>
      </c>
      <c r="AN17" s="63">
        <v>547.88</v>
      </c>
      <c r="AO17" s="130" t="str">
        <f t="shared" si="3"/>
        <v/>
      </c>
      <c r="AP17" s="125" t="str">
        <f t="shared" si="18"/>
        <v>ME</v>
      </c>
      <c r="AQ17" s="56">
        <v>10</v>
      </c>
      <c r="AR17" s="63">
        <v>6719.98</v>
      </c>
      <c r="AS17" s="130">
        <f t="shared" si="19"/>
        <v>1.5200000000004366</v>
      </c>
      <c r="AT17" s="63">
        <v>7446.67</v>
      </c>
      <c r="AU17" s="130">
        <f t="shared" si="20"/>
        <v>2.1899999999995998</v>
      </c>
      <c r="AV17" s="63">
        <v>254.01</v>
      </c>
      <c r="AW17" s="130" t="str">
        <f t="shared" si="21"/>
        <v/>
      </c>
      <c r="AX17" s="63">
        <v>241.7</v>
      </c>
      <c r="AY17" s="130" t="str">
        <f t="shared" si="4"/>
        <v/>
      </c>
      <c r="AZ17" s="125" t="str">
        <f t="shared" si="22"/>
        <v>ME</v>
      </c>
      <c r="BA17" s="56">
        <v>10</v>
      </c>
      <c r="BB17" s="64">
        <v>0.97299999999999998</v>
      </c>
      <c r="BC17" s="62">
        <v>28</v>
      </c>
      <c r="BD17" s="61">
        <v>7</v>
      </c>
      <c r="BE17" s="61">
        <v>9.3000000000000007</v>
      </c>
      <c r="BF17" s="61">
        <v>16.899999999999999</v>
      </c>
      <c r="BG17" s="61">
        <v>7</v>
      </c>
      <c r="BH17" s="64">
        <v>0.16</v>
      </c>
      <c r="BI17" s="64">
        <v>0.183</v>
      </c>
      <c r="BJ17" s="64">
        <v>5.5E-2</v>
      </c>
      <c r="BK17" s="64">
        <v>4.8000000000000001E-2</v>
      </c>
      <c r="BL17" s="64">
        <v>4.8000000000000001E-2</v>
      </c>
      <c r="BM17" s="64">
        <v>4.9000000000000002E-2</v>
      </c>
      <c r="BN17" s="65" t="str">
        <f t="shared" si="23"/>
        <v>ME</v>
      </c>
      <c r="BO17" s="56">
        <v>10</v>
      </c>
      <c r="BP17" s="64">
        <v>8.2000000000000003E-2</v>
      </c>
      <c r="BQ17" s="62">
        <v>0</v>
      </c>
      <c r="BR17" s="61">
        <v>7.1</v>
      </c>
      <c r="BS17" s="61">
        <v>9.1999999999999993</v>
      </c>
      <c r="BT17" s="61">
        <v>19.399999999999999</v>
      </c>
      <c r="BU17" s="64">
        <v>6.0000000000000001E-3</v>
      </c>
      <c r="BV17" s="63">
        <v>1.0900000000000001</v>
      </c>
      <c r="BW17" s="63">
        <v>1.02</v>
      </c>
      <c r="BX17" s="66" t="s">
        <v>245</v>
      </c>
      <c r="BY17" s="172" t="s">
        <v>246</v>
      </c>
      <c r="BZ17" s="67" t="str">
        <f t="shared" si="24"/>
        <v>ME</v>
      </c>
      <c r="CA17" s="56">
        <v>10</v>
      </c>
      <c r="CB17" s="61">
        <v>91.6</v>
      </c>
      <c r="CC17" s="61"/>
      <c r="CD17" s="68">
        <f t="shared" si="25"/>
        <v>2.0999999999999943</v>
      </c>
      <c r="CE17" s="69">
        <f t="shared" si="26"/>
        <v>9.773956499999974</v>
      </c>
      <c r="CF17" s="69">
        <f t="shared" si="27"/>
        <v>6.3743194565217207</v>
      </c>
      <c r="CG17" s="62">
        <v>66</v>
      </c>
      <c r="CH17" s="62">
        <v>100</v>
      </c>
      <c r="CI17" s="65" t="str">
        <f t="shared" si="28"/>
        <v>ME</v>
      </c>
      <c r="CJ17" s="56">
        <v>10</v>
      </c>
      <c r="CK17" s="61">
        <v>83.9</v>
      </c>
      <c r="CL17" s="61"/>
      <c r="CM17" s="68">
        <f t="shared" si="29"/>
        <v>3.2000000000000028</v>
      </c>
      <c r="CN17" s="68">
        <f t="shared" si="30"/>
        <v>14.893648000000013</v>
      </c>
      <c r="CO17" s="68">
        <f t="shared" si="31"/>
        <v>27.418792255555584</v>
      </c>
      <c r="CP17" s="62">
        <v>54</v>
      </c>
      <c r="CQ17" s="62">
        <v>83</v>
      </c>
      <c r="CR17" s="65" t="str">
        <f t="shared" si="32"/>
        <v>ME</v>
      </c>
      <c r="CS17" s="56">
        <v>10</v>
      </c>
      <c r="CT17" s="61">
        <v>109.8</v>
      </c>
      <c r="CU17" s="61"/>
      <c r="CV17" s="68">
        <f t="shared" si="33"/>
        <v>2.2999999999999972</v>
      </c>
      <c r="CW17" s="68">
        <f t="shared" si="34"/>
        <v>15.28175199999998</v>
      </c>
      <c r="CX17" s="69">
        <f t="shared" si="35"/>
        <v>7.0748851851851757E-2</v>
      </c>
      <c r="CY17" s="66" t="s">
        <v>240</v>
      </c>
      <c r="CZ17" s="66" t="s">
        <v>241</v>
      </c>
      <c r="DA17" s="66"/>
      <c r="DB17" s="65" t="str">
        <f t="shared" si="36"/>
        <v>ME</v>
      </c>
      <c r="DC17" s="56">
        <v>10</v>
      </c>
      <c r="DD17" s="61">
        <v>86</v>
      </c>
      <c r="DE17" s="61">
        <v>103.5</v>
      </c>
      <c r="DF17" s="68">
        <f t="shared" si="37"/>
        <v>20.900000000000006</v>
      </c>
      <c r="DG17" s="69">
        <f t="shared" si="38"/>
        <v>1.1275806819200005</v>
      </c>
      <c r="DH17" s="68">
        <f t="shared" si="39"/>
        <v>5.2202809348148165</v>
      </c>
      <c r="DI17" s="62">
        <v>90</v>
      </c>
      <c r="DJ17" s="62">
        <v>54</v>
      </c>
      <c r="DK17" s="65" t="str">
        <f t="shared" si="40"/>
        <v>ME</v>
      </c>
      <c r="DL17" s="56">
        <v>10</v>
      </c>
      <c r="DM17" s="63">
        <v>7.32</v>
      </c>
      <c r="DN17" s="64">
        <v>2.4E-2</v>
      </c>
      <c r="DO17" s="64">
        <v>0.03</v>
      </c>
      <c r="DP17" s="64">
        <v>0.06</v>
      </c>
      <c r="DQ17" s="63">
        <v>6.8</v>
      </c>
      <c r="DR17" s="61">
        <v>9.3000000000000007</v>
      </c>
      <c r="DS17" s="64">
        <v>1.0229999999999999</v>
      </c>
      <c r="DT17" s="61">
        <v>83</v>
      </c>
      <c r="DU17" s="63">
        <v>4.09</v>
      </c>
      <c r="DV17" s="64">
        <v>0.72399999999999998</v>
      </c>
      <c r="DW17" s="64">
        <v>1.1599999999999999</v>
      </c>
      <c r="DX17" s="66" t="s">
        <v>242</v>
      </c>
      <c r="DY17" s="65" t="str">
        <f t="shared" si="41"/>
        <v>ME</v>
      </c>
      <c r="DZ17" s="128">
        <v>10</v>
      </c>
      <c r="EA17" s="173">
        <f t="shared" si="42"/>
        <v>0.14438502673796791</v>
      </c>
      <c r="EB17" s="173">
        <f t="shared" si="43"/>
        <v>0.14338235294117646</v>
      </c>
      <c r="EC17" s="173">
        <f t="shared" si="44"/>
        <v>0.85185185185185186</v>
      </c>
      <c r="ED17" s="63">
        <v>0.98</v>
      </c>
      <c r="EE17" s="63">
        <v>1.06</v>
      </c>
      <c r="EF17" s="63">
        <v>0.04</v>
      </c>
      <c r="EG17" s="284">
        <v>0.48</v>
      </c>
      <c r="EH17" s="127" t="str">
        <f t="shared" si="5"/>
        <v>ME</v>
      </c>
      <c r="EI17" s="56">
        <v>10</v>
      </c>
      <c r="EJ17" s="334" t="s">
        <v>353</v>
      </c>
      <c r="EK17" s="334"/>
      <c r="EL17" s="334"/>
      <c r="EM17" s="334"/>
      <c r="EN17" s="334"/>
      <c r="EO17" s="334"/>
      <c r="EP17" s="334"/>
      <c r="EQ17" s="65" t="str">
        <f t="shared" si="45"/>
        <v>ME</v>
      </c>
      <c r="ER17" s="20"/>
      <c r="ES17" s="20"/>
      <c r="ET17" s="20"/>
      <c r="EU17" s="20"/>
      <c r="EV17" s="20"/>
      <c r="EW17" s="20"/>
      <c r="EX17" s="20"/>
    </row>
    <row r="18" spans="1:154" s="3" customFormat="1" ht="17.149999999999999" customHeight="1" x14ac:dyDescent="0.25">
      <c r="A18" s="56">
        <v>11</v>
      </c>
      <c r="B18" s="57">
        <v>884199</v>
      </c>
      <c r="C18" s="58">
        <f t="shared" si="6"/>
        <v>208</v>
      </c>
      <c r="D18" s="167">
        <v>9.24</v>
      </c>
      <c r="E18" s="57">
        <v>788367</v>
      </c>
      <c r="F18" s="58">
        <f t="shared" si="7"/>
        <v>177</v>
      </c>
      <c r="G18" s="168">
        <v>1.07</v>
      </c>
      <c r="H18" s="57">
        <v>747473</v>
      </c>
      <c r="I18" s="58">
        <f t="shared" si="0"/>
        <v>137</v>
      </c>
      <c r="J18" s="60" t="s">
        <v>194</v>
      </c>
      <c r="K18" s="56">
        <v>11</v>
      </c>
      <c r="L18" s="57">
        <v>69271</v>
      </c>
      <c r="M18" s="58">
        <f t="shared" si="8"/>
        <v>49</v>
      </c>
      <c r="N18" s="57">
        <v>175584</v>
      </c>
      <c r="O18" s="58">
        <f t="shared" si="9"/>
        <v>47</v>
      </c>
      <c r="P18" s="57">
        <v>194749</v>
      </c>
      <c r="Q18" s="169" t="str">
        <f t="shared" si="1"/>
        <v/>
      </c>
      <c r="R18" s="57">
        <v>671</v>
      </c>
      <c r="S18" s="57">
        <v>679</v>
      </c>
      <c r="T18" s="57">
        <v>140</v>
      </c>
      <c r="U18" s="57">
        <v>137</v>
      </c>
      <c r="V18" s="58" t="str">
        <f t="shared" si="10"/>
        <v>ME</v>
      </c>
      <c r="W18" s="56">
        <v>11</v>
      </c>
      <c r="X18" s="63">
        <v>11668.44</v>
      </c>
      <c r="Y18" s="130">
        <f t="shared" si="11"/>
        <v>3.9200000000000728</v>
      </c>
      <c r="Z18" s="63">
        <v>12434.62</v>
      </c>
      <c r="AA18" s="130">
        <f t="shared" si="12"/>
        <v>2.4799999999995634</v>
      </c>
      <c r="AB18" s="63">
        <v>9820.19</v>
      </c>
      <c r="AC18" s="130">
        <f t="shared" si="13"/>
        <v>1.930000000000291</v>
      </c>
      <c r="AD18" s="63">
        <v>9909.2199999999993</v>
      </c>
      <c r="AE18" s="130">
        <f t="shared" si="2"/>
        <v>2.2900000000008731</v>
      </c>
      <c r="AF18" s="125" t="str">
        <f t="shared" si="14"/>
        <v>ME</v>
      </c>
      <c r="AG18" s="56">
        <v>11</v>
      </c>
      <c r="AH18" s="63">
        <v>46608.21</v>
      </c>
      <c r="AI18" s="130">
        <f t="shared" si="15"/>
        <v>14.700000000004366</v>
      </c>
      <c r="AJ18" s="63">
        <v>48746.46</v>
      </c>
      <c r="AK18" s="130">
        <f t="shared" si="16"/>
        <v>10.540000000000873</v>
      </c>
      <c r="AL18" s="63">
        <v>586.39</v>
      </c>
      <c r="AM18" s="130" t="str">
        <f t="shared" si="17"/>
        <v/>
      </c>
      <c r="AN18" s="63">
        <v>547.88</v>
      </c>
      <c r="AO18" s="130" t="str">
        <f t="shared" si="3"/>
        <v/>
      </c>
      <c r="AP18" s="125" t="str">
        <f t="shared" si="18"/>
        <v>ME</v>
      </c>
      <c r="AQ18" s="56">
        <v>11</v>
      </c>
      <c r="AR18" s="63">
        <v>6721.5</v>
      </c>
      <c r="AS18" s="130">
        <f t="shared" si="19"/>
        <v>1.6400000000003274</v>
      </c>
      <c r="AT18" s="63">
        <v>7448.86</v>
      </c>
      <c r="AU18" s="130">
        <f t="shared" si="20"/>
        <v>1.9000000000005457</v>
      </c>
      <c r="AV18" s="63">
        <v>254.01</v>
      </c>
      <c r="AW18" s="130" t="str">
        <f t="shared" si="21"/>
        <v/>
      </c>
      <c r="AX18" s="63">
        <v>241.7</v>
      </c>
      <c r="AY18" s="130">
        <f t="shared" si="4"/>
        <v>0.33000000000001251</v>
      </c>
      <c r="AZ18" s="125" t="str">
        <f t="shared" si="22"/>
        <v>ME</v>
      </c>
      <c r="BA18" s="56">
        <v>11</v>
      </c>
      <c r="BB18" s="64">
        <v>1.69</v>
      </c>
      <c r="BC18" s="62">
        <v>17</v>
      </c>
      <c r="BD18" s="61">
        <v>6.8</v>
      </c>
      <c r="BE18" s="61">
        <v>10.3</v>
      </c>
      <c r="BF18" s="61">
        <v>17.5</v>
      </c>
      <c r="BG18" s="61">
        <v>6.8</v>
      </c>
      <c r="BH18" s="64">
        <v>0.16600000000000001</v>
      </c>
      <c r="BI18" s="64">
        <v>0.17100000000000001</v>
      </c>
      <c r="BJ18" s="64">
        <v>5.2999999999999999E-2</v>
      </c>
      <c r="BK18" s="64">
        <v>0.05</v>
      </c>
      <c r="BL18" s="64">
        <v>0.05</v>
      </c>
      <c r="BM18" s="64">
        <v>5.1999999999999998E-2</v>
      </c>
      <c r="BN18" s="65" t="str">
        <f t="shared" si="23"/>
        <v>ME</v>
      </c>
      <c r="BO18" s="56">
        <v>11</v>
      </c>
      <c r="BP18" s="64">
        <v>7.8E-2</v>
      </c>
      <c r="BQ18" s="62">
        <v>0</v>
      </c>
      <c r="BR18" s="61">
        <v>7.2</v>
      </c>
      <c r="BS18" s="61">
        <v>9.4</v>
      </c>
      <c r="BT18" s="61">
        <v>19.8</v>
      </c>
      <c r="BU18" s="64">
        <v>1.2999999999999999E-2</v>
      </c>
      <c r="BV18" s="63">
        <v>1.04</v>
      </c>
      <c r="BW18" s="63">
        <v>0.83</v>
      </c>
      <c r="BX18" s="66" t="s">
        <v>269</v>
      </c>
      <c r="BY18" s="172" t="s">
        <v>246</v>
      </c>
      <c r="BZ18" s="67" t="str">
        <f t="shared" si="24"/>
        <v>ME</v>
      </c>
      <c r="CA18" s="56">
        <v>11</v>
      </c>
      <c r="CB18" s="61">
        <v>89.5</v>
      </c>
      <c r="CC18" s="61"/>
      <c r="CD18" s="68">
        <f t="shared" si="25"/>
        <v>1.4000000000000057</v>
      </c>
      <c r="CE18" s="69">
        <f t="shared" si="26"/>
        <v>6.515971000000027</v>
      </c>
      <c r="CF18" s="69">
        <f t="shared" si="27"/>
        <v>5.7074198540146215</v>
      </c>
      <c r="CG18" s="62">
        <v>72</v>
      </c>
      <c r="CH18" s="62">
        <v>100</v>
      </c>
      <c r="CI18" s="65" t="str">
        <f t="shared" si="28"/>
        <v>ME</v>
      </c>
      <c r="CJ18" s="56">
        <v>11</v>
      </c>
      <c r="CK18" s="61">
        <v>80.7</v>
      </c>
      <c r="CL18" s="61">
        <v>98.5</v>
      </c>
      <c r="CM18" s="68">
        <f t="shared" si="29"/>
        <v>2.4000000000000057</v>
      </c>
      <c r="CN18" s="68">
        <f t="shared" si="30"/>
        <v>11.170236000000028</v>
      </c>
      <c r="CO18" s="68">
        <f t="shared" si="31"/>
        <v>21.355020891346211</v>
      </c>
      <c r="CP18" s="62">
        <v>54</v>
      </c>
      <c r="CQ18" s="62">
        <v>83</v>
      </c>
      <c r="CR18" s="65" t="str">
        <f t="shared" si="32"/>
        <v>ME</v>
      </c>
      <c r="CS18" s="56">
        <v>11</v>
      </c>
      <c r="CT18" s="61">
        <v>107.5</v>
      </c>
      <c r="CU18" s="61"/>
      <c r="CV18" s="68">
        <f t="shared" si="33"/>
        <v>2.0999999999999943</v>
      </c>
      <c r="CW18" s="68">
        <f t="shared" si="34"/>
        <v>13.952903999999963</v>
      </c>
      <c r="CX18" s="69">
        <f t="shared" si="35"/>
        <v>6.7081269230769056E-2</v>
      </c>
      <c r="CY18" s="66" t="s">
        <v>240</v>
      </c>
      <c r="CZ18" s="66" t="s">
        <v>241</v>
      </c>
      <c r="DA18" s="66"/>
      <c r="DB18" s="65" t="str">
        <f t="shared" si="36"/>
        <v>ME</v>
      </c>
      <c r="DC18" s="56">
        <v>11</v>
      </c>
      <c r="DD18" s="61">
        <v>82.6</v>
      </c>
      <c r="DE18" s="61">
        <v>103.9</v>
      </c>
      <c r="DF18" s="68">
        <f t="shared" si="37"/>
        <v>26.900000000000006</v>
      </c>
      <c r="DG18" s="69">
        <f t="shared" si="38"/>
        <v>1.4512880547200004</v>
      </c>
      <c r="DH18" s="68">
        <f t="shared" si="39"/>
        <v>6.977346416923079</v>
      </c>
      <c r="DI18" s="62">
        <v>90</v>
      </c>
      <c r="DJ18" s="62">
        <v>54</v>
      </c>
      <c r="DK18" s="65" t="str">
        <f t="shared" si="40"/>
        <v>ME</v>
      </c>
      <c r="DL18" s="56">
        <v>11</v>
      </c>
      <c r="DM18" s="63">
        <v>8.15</v>
      </c>
      <c r="DN18" s="64">
        <v>2.4E-2</v>
      </c>
      <c r="DO18" s="64">
        <v>2.9000000000000001E-2</v>
      </c>
      <c r="DP18" s="64">
        <v>5.7000000000000002E-2</v>
      </c>
      <c r="DQ18" s="63">
        <v>6.8</v>
      </c>
      <c r="DR18" s="61">
        <v>9.4</v>
      </c>
      <c r="DS18" s="64">
        <v>1.0069999999999999</v>
      </c>
      <c r="DT18" s="61">
        <v>83.5</v>
      </c>
      <c r="DU18" s="63">
        <v>4.18</v>
      </c>
      <c r="DV18" s="64">
        <v>0.66700000000000004</v>
      </c>
      <c r="DW18" s="64">
        <v>1.62</v>
      </c>
      <c r="DX18" s="66" t="s">
        <v>242</v>
      </c>
      <c r="DY18" s="65" t="str">
        <f t="shared" si="41"/>
        <v>ME</v>
      </c>
      <c r="DZ18" s="128">
        <v>11</v>
      </c>
      <c r="EA18" s="173">
        <f t="shared" si="42"/>
        <v>0.13903743315508021</v>
      </c>
      <c r="EB18" s="173">
        <f t="shared" si="43"/>
        <v>0.13014705882352942</v>
      </c>
      <c r="EC18" s="173">
        <f t="shared" si="44"/>
        <v>0.65865384615384615</v>
      </c>
      <c r="ED18" s="63">
        <v>0.99</v>
      </c>
      <c r="EE18" s="63">
        <v>1.04</v>
      </c>
      <c r="EF18" s="63">
        <v>0.04</v>
      </c>
      <c r="EG18" s="63">
        <v>0.16</v>
      </c>
      <c r="EH18" s="127" t="str">
        <f t="shared" si="5"/>
        <v>ME</v>
      </c>
      <c r="EI18" s="56">
        <v>11</v>
      </c>
      <c r="EJ18" s="334"/>
      <c r="EK18" s="334"/>
      <c r="EL18" s="334"/>
      <c r="EM18" s="334"/>
      <c r="EN18" s="334"/>
      <c r="EO18" s="334"/>
      <c r="EP18" s="334"/>
      <c r="EQ18" s="65" t="str">
        <f t="shared" si="45"/>
        <v>ME</v>
      </c>
      <c r="ER18" s="20"/>
      <c r="ES18" s="20"/>
      <c r="ET18" s="20"/>
      <c r="EU18" s="20"/>
      <c r="EV18" s="20"/>
      <c r="EW18" s="20"/>
      <c r="EX18" s="20"/>
    </row>
    <row r="19" spans="1:154" s="3" customFormat="1" ht="17.149999999999999" customHeight="1" x14ac:dyDescent="0.25">
      <c r="A19" s="56">
        <v>12</v>
      </c>
      <c r="B19" s="57">
        <v>884407</v>
      </c>
      <c r="C19" s="58">
        <f t="shared" si="6"/>
        <v>154</v>
      </c>
      <c r="D19" s="167">
        <v>9.68</v>
      </c>
      <c r="E19" s="57">
        <v>788544</v>
      </c>
      <c r="F19" s="58">
        <f t="shared" si="7"/>
        <v>136</v>
      </c>
      <c r="G19" s="168">
        <v>2.63</v>
      </c>
      <c r="H19" s="57">
        <v>747610</v>
      </c>
      <c r="I19" s="58">
        <f t="shared" si="0"/>
        <v>132</v>
      </c>
      <c r="J19" s="60" t="s">
        <v>194</v>
      </c>
      <c r="K19" s="56">
        <v>12</v>
      </c>
      <c r="L19" s="57">
        <v>69320</v>
      </c>
      <c r="M19" s="58" t="str">
        <f t="shared" si="8"/>
        <v/>
      </c>
      <c r="N19" s="57">
        <v>175631</v>
      </c>
      <c r="O19" s="58">
        <f t="shared" si="9"/>
        <v>48</v>
      </c>
      <c r="P19" s="57">
        <v>194749</v>
      </c>
      <c r="Q19" s="169" t="str">
        <f t="shared" si="1"/>
        <v/>
      </c>
      <c r="R19" s="57">
        <v>672</v>
      </c>
      <c r="S19" s="57">
        <v>679</v>
      </c>
      <c r="T19" s="57">
        <v>140</v>
      </c>
      <c r="U19" s="57">
        <v>137</v>
      </c>
      <c r="V19" s="58" t="str">
        <f t="shared" si="10"/>
        <v>ME</v>
      </c>
      <c r="W19" s="56">
        <v>12</v>
      </c>
      <c r="X19" s="63">
        <v>11672.36</v>
      </c>
      <c r="Y19" s="130">
        <f t="shared" si="11"/>
        <v>2.069999999999709</v>
      </c>
      <c r="Z19" s="63">
        <v>12437.1</v>
      </c>
      <c r="AA19" s="130">
        <f t="shared" si="12"/>
        <v>2.4899999999997817</v>
      </c>
      <c r="AB19" s="63">
        <v>9822.1200000000008</v>
      </c>
      <c r="AC19" s="130">
        <f t="shared" si="13"/>
        <v>1.929999999998472</v>
      </c>
      <c r="AD19" s="63">
        <v>9911.51</v>
      </c>
      <c r="AE19" s="130">
        <f t="shared" si="2"/>
        <v>1.5799999999999272</v>
      </c>
      <c r="AF19" s="125" t="str">
        <f t="shared" si="14"/>
        <v>ME</v>
      </c>
      <c r="AG19" s="56">
        <v>12</v>
      </c>
      <c r="AH19" s="63">
        <v>46622.91</v>
      </c>
      <c r="AI19" s="130">
        <f t="shared" si="15"/>
        <v>8.1799999999930151</v>
      </c>
      <c r="AJ19" s="63">
        <v>48757</v>
      </c>
      <c r="AK19" s="130">
        <f t="shared" si="16"/>
        <v>13.470000000001164</v>
      </c>
      <c r="AL19" s="63">
        <v>586.39</v>
      </c>
      <c r="AM19" s="130" t="str">
        <f t="shared" si="17"/>
        <v/>
      </c>
      <c r="AN19" s="63">
        <v>547.88</v>
      </c>
      <c r="AO19" s="130" t="str">
        <f t="shared" si="3"/>
        <v/>
      </c>
      <c r="AP19" s="125" t="str">
        <f t="shared" si="18"/>
        <v>ME</v>
      </c>
      <c r="AQ19" s="56">
        <v>12</v>
      </c>
      <c r="AR19" s="63">
        <v>6723.14</v>
      </c>
      <c r="AS19" s="130">
        <f t="shared" si="19"/>
        <v>1.5999999999994543</v>
      </c>
      <c r="AT19" s="63">
        <v>7450.76</v>
      </c>
      <c r="AU19" s="130">
        <f t="shared" si="20"/>
        <v>2.1599999999998545</v>
      </c>
      <c r="AV19" s="63">
        <v>254.01</v>
      </c>
      <c r="AW19" s="130" t="str">
        <f t="shared" si="21"/>
        <v/>
      </c>
      <c r="AX19" s="63">
        <v>242.03</v>
      </c>
      <c r="AY19" s="130" t="str">
        <f t="shared" si="4"/>
        <v/>
      </c>
      <c r="AZ19" s="125" t="str">
        <f t="shared" si="22"/>
        <v>ME</v>
      </c>
      <c r="BA19" s="56">
        <v>12</v>
      </c>
      <c r="BB19" s="64">
        <v>1.08</v>
      </c>
      <c r="BC19" s="62">
        <v>25</v>
      </c>
      <c r="BD19" s="61">
        <v>6.7</v>
      </c>
      <c r="BE19" s="61">
        <v>10.7</v>
      </c>
      <c r="BF19" s="61">
        <v>15.7</v>
      </c>
      <c r="BG19" s="61">
        <v>6.7</v>
      </c>
      <c r="BH19" s="64">
        <v>0.21299999999999999</v>
      </c>
      <c r="BI19" s="64">
        <v>0.21199999999999999</v>
      </c>
      <c r="BJ19" s="64">
        <v>6.6000000000000003E-2</v>
      </c>
      <c r="BK19" s="64">
        <v>5.3999999999999999E-2</v>
      </c>
      <c r="BL19" s="64">
        <v>5.2999999999999999E-2</v>
      </c>
      <c r="BM19" s="64">
        <v>5.6000000000000001E-2</v>
      </c>
      <c r="BN19" s="65" t="str">
        <f t="shared" si="23"/>
        <v>ME</v>
      </c>
      <c r="BO19" s="56">
        <v>12</v>
      </c>
      <c r="BP19" s="64">
        <v>7.6999999999999999E-2</v>
      </c>
      <c r="BQ19" s="62">
        <v>0</v>
      </c>
      <c r="BR19" s="61">
        <v>7.1</v>
      </c>
      <c r="BS19" s="61">
        <v>9.6999999999999993</v>
      </c>
      <c r="BT19" s="61">
        <v>19.399999999999999</v>
      </c>
      <c r="BU19" s="64">
        <v>1.2999999999999999E-2</v>
      </c>
      <c r="BV19" s="63">
        <v>1.1100000000000001</v>
      </c>
      <c r="BW19" s="63">
        <v>0.91</v>
      </c>
      <c r="BX19" s="66" t="s">
        <v>269</v>
      </c>
      <c r="BY19" s="172" t="s">
        <v>246</v>
      </c>
      <c r="BZ19" s="67" t="str">
        <f t="shared" si="24"/>
        <v>ME</v>
      </c>
      <c r="CA19" s="56">
        <v>12</v>
      </c>
      <c r="CB19" s="61">
        <v>88.1</v>
      </c>
      <c r="CC19" s="61"/>
      <c r="CD19" s="68">
        <f t="shared" si="25"/>
        <v>1</v>
      </c>
      <c r="CE19" s="69">
        <f t="shared" si="26"/>
        <v>4.6542650000000005</v>
      </c>
      <c r="CF19" s="69">
        <f t="shared" si="27"/>
        <v>4.2311499999999995</v>
      </c>
      <c r="CG19" s="62">
        <v>68</v>
      </c>
      <c r="CH19" s="62">
        <v>100</v>
      </c>
      <c r="CI19" s="65" t="str">
        <f t="shared" si="28"/>
        <v>ME</v>
      </c>
      <c r="CJ19" s="56">
        <v>12</v>
      </c>
      <c r="CK19" s="61">
        <v>96.1</v>
      </c>
      <c r="CL19" s="61"/>
      <c r="CM19" s="68">
        <f t="shared" si="29"/>
        <v>2.0999999999999943</v>
      </c>
      <c r="CN19" s="68">
        <f t="shared" si="30"/>
        <v>9.773956499999974</v>
      </c>
      <c r="CO19" s="68">
        <f t="shared" si="31"/>
        <v>25.237751962499935</v>
      </c>
      <c r="CP19" s="62">
        <v>56</v>
      </c>
      <c r="CQ19" s="62">
        <v>83</v>
      </c>
      <c r="CR19" s="65" t="str">
        <f t="shared" si="32"/>
        <v>ME</v>
      </c>
      <c r="CS19" s="56">
        <v>12</v>
      </c>
      <c r="CT19" s="61">
        <v>105.4</v>
      </c>
      <c r="CU19" s="61"/>
      <c r="CV19" s="68">
        <f t="shared" si="33"/>
        <v>1.7000000000000028</v>
      </c>
      <c r="CW19" s="68">
        <f t="shared" si="34"/>
        <v>11.295208000000018</v>
      </c>
      <c r="CX19" s="69">
        <f t="shared" si="35"/>
        <v>7.3345506493506615E-2</v>
      </c>
      <c r="CY19" s="66" t="s">
        <v>240</v>
      </c>
      <c r="CZ19" s="66" t="s">
        <v>241</v>
      </c>
      <c r="DA19" s="66"/>
      <c r="DB19" s="65" t="str">
        <f t="shared" si="36"/>
        <v>ME</v>
      </c>
      <c r="DC19" s="56">
        <v>12</v>
      </c>
      <c r="DD19" s="61">
        <v>77</v>
      </c>
      <c r="DE19" s="61">
        <v>103.2</v>
      </c>
      <c r="DF19" s="68">
        <f t="shared" si="37"/>
        <v>17.900000000000006</v>
      </c>
      <c r="DG19" s="69">
        <f t="shared" si="38"/>
        <v>0.96572699552000041</v>
      </c>
      <c r="DH19" s="68">
        <f t="shared" si="39"/>
        <v>6.2709545163636387</v>
      </c>
      <c r="DI19" s="62">
        <v>90</v>
      </c>
      <c r="DJ19" s="62">
        <v>54</v>
      </c>
      <c r="DK19" s="65" t="str">
        <f t="shared" si="40"/>
        <v>ME</v>
      </c>
      <c r="DL19" s="56">
        <v>12</v>
      </c>
      <c r="DM19" s="63">
        <v>8.2200000000000006</v>
      </c>
      <c r="DN19" s="64">
        <v>2.7E-2</v>
      </c>
      <c r="DO19" s="64">
        <v>0.03</v>
      </c>
      <c r="DP19" s="64">
        <v>5.8000000000000003E-2</v>
      </c>
      <c r="DQ19" s="63">
        <v>6.83</v>
      </c>
      <c r="DR19" s="61">
        <v>9.6</v>
      </c>
      <c r="DS19" s="64">
        <v>1.0429999999999999</v>
      </c>
      <c r="DT19" s="61">
        <v>85.6</v>
      </c>
      <c r="DU19" s="63">
        <v>4.1900000000000004</v>
      </c>
      <c r="DV19" s="64">
        <v>1.746</v>
      </c>
      <c r="DW19" s="64">
        <v>1.78</v>
      </c>
      <c r="DX19" s="66" t="s">
        <v>224</v>
      </c>
      <c r="DY19" s="65" t="str">
        <f t="shared" si="41"/>
        <v>ME</v>
      </c>
      <c r="DZ19" s="128">
        <v>12</v>
      </c>
      <c r="EA19" s="173">
        <f t="shared" si="42"/>
        <v>0.10294117647058823</v>
      </c>
      <c r="EB19" s="173">
        <f t="shared" si="43"/>
        <v>0.1</v>
      </c>
      <c r="EC19" s="173">
        <f t="shared" si="44"/>
        <v>0.8571428571428571</v>
      </c>
      <c r="ED19" s="63">
        <v>1.02</v>
      </c>
      <c r="EE19" s="63">
        <v>1.07</v>
      </c>
      <c r="EF19" s="63">
        <v>0.04</v>
      </c>
      <c r="EG19" s="63">
        <v>0.08</v>
      </c>
      <c r="EH19" s="127" t="str">
        <f t="shared" si="5"/>
        <v>ME</v>
      </c>
      <c r="EI19" s="56">
        <v>12</v>
      </c>
      <c r="EJ19" s="334"/>
      <c r="EK19" s="334"/>
      <c r="EL19" s="334"/>
      <c r="EM19" s="334"/>
      <c r="EN19" s="334"/>
      <c r="EO19" s="334"/>
      <c r="EP19" s="334"/>
      <c r="EQ19" s="65" t="str">
        <f t="shared" si="45"/>
        <v>ME</v>
      </c>
      <c r="ER19" s="20"/>
      <c r="ES19" s="20"/>
      <c r="ET19" s="20"/>
      <c r="EU19" s="20"/>
      <c r="EV19" s="20"/>
      <c r="EW19" s="20"/>
      <c r="EX19" s="20"/>
    </row>
    <row r="20" spans="1:154" s="3" customFormat="1" ht="17.149999999999999" customHeight="1" x14ac:dyDescent="0.25">
      <c r="A20" s="56">
        <v>13</v>
      </c>
      <c r="B20" s="57">
        <v>884561</v>
      </c>
      <c r="C20" s="58">
        <f t="shared" si="6"/>
        <v>142</v>
      </c>
      <c r="D20" s="167">
        <v>8.89</v>
      </c>
      <c r="E20" s="59">
        <v>788680</v>
      </c>
      <c r="F20" s="58">
        <f t="shared" si="7"/>
        <v>191</v>
      </c>
      <c r="G20" s="168">
        <v>2.79</v>
      </c>
      <c r="H20" s="57">
        <v>747742</v>
      </c>
      <c r="I20" s="58">
        <f t="shared" si="0"/>
        <v>121</v>
      </c>
      <c r="J20" s="60" t="s">
        <v>237</v>
      </c>
      <c r="K20" s="56">
        <v>13</v>
      </c>
      <c r="L20" s="57">
        <v>69320</v>
      </c>
      <c r="M20" s="58" t="str">
        <f t="shared" si="8"/>
        <v/>
      </c>
      <c r="N20" s="59">
        <v>175679</v>
      </c>
      <c r="O20" s="58">
        <f t="shared" si="9"/>
        <v>38</v>
      </c>
      <c r="P20" s="57">
        <v>194749</v>
      </c>
      <c r="Q20" s="169" t="str">
        <f t="shared" si="1"/>
        <v/>
      </c>
      <c r="R20" s="57">
        <v>672</v>
      </c>
      <c r="S20" s="57">
        <v>679</v>
      </c>
      <c r="T20" s="57">
        <v>140</v>
      </c>
      <c r="U20" s="57">
        <v>137</v>
      </c>
      <c r="V20" s="58" t="str">
        <f t="shared" si="10"/>
        <v>SA/ME</v>
      </c>
      <c r="W20" s="56">
        <v>13</v>
      </c>
      <c r="X20" s="63">
        <v>11674.43</v>
      </c>
      <c r="Y20" s="130">
        <f t="shared" si="11"/>
        <v>2.0399999999990541</v>
      </c>
      <c r="Z20" s="63">
        <v>12439.59</v>
      </c>
      <c r="AA20" s="130">
        <f t="shared" si="12"/>
        <v>2.2099999999991269</v>
      </c>
      <c r="AB20" s="63">
        <v>9824.0499999999993</v>
      </c>
      <c r="AC20" s="130">
        <f t="shared" si="13"/>
        <v>1.680000000000291</v>
      </c>
      <c r="AD20" s="63">
        <v>9913.09</v>
      </c>
      <c r="AE20" s="130">
        <f t="shared" si="2"/>
        <v>0.97999999999956344</v>
      </c>
      <c r="AF20" s="125" t="str">
        <f t="shared" si="14"/>
        <v>SA/ME</v>
      </c>
      <c r="AG20" s="56">
        <v>13</v>
      </c>
      <c r="AH20" s="63">
        <v>46631.09</v>
      </c>
      <c r="AI20" s="130">
        <f t="shared" si="15"/>
        <v>15.830000000001746</v>
      </c>
      <c r="AJ20" s="63">
        <v>48770.47</v>
      </c>
      <c r="AK20" s="130">
        <f t="shared" si="16"/>
        <v>12.919999999998254</v>
      </c>
      <c r="AL20" s="63">
        <v>586.39</v>
      </c>
      <c r="AM20" s="130" t="str">
        <f t="shared" si="17"/>
        <v/>
      </c>
      <c r="AN20" s="63">
        <v>547.88</v>
      </c>
      <c r="AO20" s="130" t="str">
        <f t="shared" si="3"/>
        <v/>
      </c>
      <c r="AP20" s="125" t="str">
        <f t="shared" si="18"/>
        <v>SA/ME</v>
      </c>
      <c r="AQ20" s="56">
        <v>13</v>
      </c>
      <c r="AR20" s="63">
        <v>6724.74</v>
      </c>
      <c r="AS20" s="130">
        <f t="shared" si="19"/>
        <v>1.4700000000002547</v>
      </c>
      <c r="AT20" s="63">
        <v>7452.92</v>
      </c>
      <c r="AU20" s="130">
        <f t="shared" si="20"/>
        <v>2.1400000000003274</v>
      </c>
      <c r="AV20" s="63">
        <v>254.01</v>
      </c>
      <c r="AW20" s="130" t="str">
        <f t="shared" si="21"/>
        <v/>
      </c>
      <c r="AX20" s="63">
        <v>242.03</v>
      </c>
      <c r="AY20" s="130" t="str">
        <f t="shared" si="4"/>
        <v/>
      </c>
      <c r="AZ20" s="125" t="str">
        <f t="shared" si="22"/>
        <v>SA/ME</v>
      </c>
      <c r="BA20" s="56">
        <v>13</v>
      </c>
      <c r="BB20" s="64">
        <v>1.05</v>
      </c>
      <c r="BC20" s="62">
        <v>58</v>
      </c>
      <c r="BD20" s="61">
        <v>7.3</v>
      </c>
      <c r="BE20" s="61">
        <v>9</v>
      </c>
      <c r="BF20" s="61">
        <v>15.5</v>
      </c>
      <c r="BG20" s="61">
        <v>7.3</v>
      </c>
      <c r="BH20" s="64">
        <v>0.17699999999999999</v>
      </c>
      <c r="BI20" s="64">
        <v>0.16600000000000001</v>
      </c>
      <c r="BJ20" s="64">
        <v>6.9000000000000006E-2</v>
      </c>
      <c r="BK20" s="64">
        <v>5.0999999999999997E-2</v>
      </c>
      <c r="BL20" s="64">
        <v>6.0999999999999999E-2</v>
      </c>
      <c r="BM20" s="64">
        <v>6.7000000000000004E-2</v>
      </c>
      <c r="BN20" s="65" t="str">
        <f t="shared" si="23"/>
        <v>SA/ME</v>
      </c>
      <c r="BO20" s="56">
        <v>13</v>
      </c>
      <c r="BP20" s="64">
        <v>0.08</v>
      </c>
      <c r="BQ20" s="62">
        <v>0</v>
      </c>
      <c r="BR20" s="61">
        <v>7.3</v>
      </c>
      <c r="BS20" s="61">
        <v>9.6999999999999993</v>
      </c>
      <c r="BT20" s="61">
        <v>19.399999999999999</v>
      </c>
      <c r="BU20" s="64">
        <v>1.2999999999999999E-2</v>
      </c>
      <c r="BV20" s="63">
        <v>1.21</v>
      </c>
      <c r="BW20" s="63">
        <v>0.92</v>
      </c>
      <c r="BX20" s="66" t="s">
        <v>323</v>
      </c>
      <c r="BY20" s="172" t="s">
        <v>239</v>
      </c>
      <c r="BZ20" s="67" t="str">
        <f t="shared" si="24"/>
        <v>SA/ME</v>
      </c>
      <c r="CA20" s="56">
        <v>13</v>
      </c>
      <c r="CB20" s="61">
        <v>87.1</v>
      </c>
      <c r="CC20" s="61"/>
      <c r="CD20" s="68">
        <f t="shared" si="25"/>
        <v>1.0999999999999943</v>
      </c>
      <c r="CE20" s="69">
        <f t="shared" si="26"/>
        <v>5.1196914999999734</v>
      </c>
      <c r="CF20" s="69">
        <f t="shared" si="27"/>
        <v>5.077379999999974</v>
      </c>
      <c r="CG20" s="62">
        <v>68</v>
      </c>
      <c r="CH20" s="62">
        <v>100</v>
      </c>
      <c r="CI20" s="65" t="str">
        <f t="shared" si="28"/>
        <v>SA/ME</v>
      </c>
      <c r="CJ20" s="56">
        <v>13</v>
      </c>
      <c r="CK20" s="61">
        <v>94</v>
      </c>
      <c r="CL20" s="61"/>
      <c r="CM20" s="68">
        <f t="shared" si="29"/>
        <v>1.7000000000000028</v>
      </c>
      <c r="CN20" s="68">
        <f t="shared" si="30"/>
        <v>7.9122505000000141</v>
      </c>
      <c r="CO20" s="68">
        <f t="shared" si="31"/>
        <v>22.157087403697222</v>
      </c>
      <c r="CP20" s="62">
        <v>56</v>
      </c>
      <c r="CQ20" s="62">
        <v>83</v>
      </c>
      <c r="CR20" s="65" t="str">
        <f t="shared" si="32"/>
        <v>SA/ME</v>
      </c>
      <c r="CS20" s="56">
        <v>13</v>
      </c>
      <c r="CT20" s="61">
        <v>103.7</v>
      </c>
      <c r="CU20" s="61">
        <v>101.6</v>
      </c>
      <c r="CV20" s="68">
        <f t="shared" si="33"/>
        <v>1.3999999999999915</v>
      </c>
      <c r="CW20" s="68">
        <f t="shared" si="34"/>
        <v>9.3019359999999427</v>
      </c>
      <c r="CX20" s="69">
        <f t="shared" si="35"/>
        <v>6.5506591549295376E-2</v>
      </c>
      <c r="CY20" s="66" t="s">
        <v>240</v>
      </c>
      <c r="CZ20" s="66" t="s">
        <v>241</v>
      </c>
      <c r="DA20" s="66" t="s">
        <v>242</v>
      </c>
      <c r="DB20" s="65" t="str">
        <f t="shared" si="36"/>
        <v>SA/ME</v>
      </c>
      <c r="DC20" s="56">
        <v>13</v>
      </c>
      <c r="DD20" s="61">
        <v>85.3</v>
      </c>
      <c r="DE20" s="61">
        <v>105.5</v>
      </c>
      <c r="DF20" s="68">
        <f t="shared" si="37"/>
        <v>16.799999999999997</v>
      </c>
      <c r="DG20" s="69">
        <f t="shared" si="38"/>
        <v>0.90638064383999983</v>
      </c>
      <c r="DH20" s="68">
        <f t="shared" si="39"/>
        <v>6.3829622805633788</v>
      </c>
      <c r="DI20" s="62">
        <v>90</v>
      </c>
      <c r="DJ20" s="62">
        <v>54</v>
      </c>
      <c r="DK20" s="65" t="str">
        <f t="shared" si="40"/>
        <v>SA/ME</v>
      </c>
      <c r="DL20" s="56">
        <v>13</v>
      </c>
      <c r="DM20" s="63">
        <v>8.31</v>
      </c>
      <c r="DN20" s="64">
        <v>2.7E-2</v>
      </c>
      <c r="DO20" s="64">
        <v>2.3E-2</v>
      </c>
      <c r="DP20" s="64">
        <v>6.2E-2</v>
      </c>
      <c r="DQ20" s="63">
        <v>6.85</v>
      </c>
      <c r="DR20" s="61">
        <v>9.6999999999999993</v>
      </c>
      <c r="DS20" s="64">
        <v>1.0740000000000001</v>
      </c>
      <c r="DT20" s="61">
        <v>84.8</v>
      </c>
      <c r="DU20" s="63">
        <v>4.3099999999999996</v>
      </c>
      <c r="DV20" s="64">
        <v>1.0029999999999999</v>
      </c>
      <c r="DW20" s="64">
        <v>1.72</v>
      </c>
      <c r="DX20" s="66" t="s">
        <v>242</v>
      </c>
      <c r="DY20" s="65" t="str">
        <f t="shared" si="41"/>
        <v>SA/ME</v>
      </c>
      <c r="DZ20" s="128">
        <v>13</v>
      </c>
      <c r="EA20" s="173">
        <f t="shared" si="42"/>
        <v>9.4919786096256689E-2</v>
      </c>
      <c r="EB20" s="173">
        <f t="shared" si="43"/>
        <v>0.14044117647058824</v>
      </c>
      <c r="EC20" s="173">
        <f t="shared" si="44"/>
        <v>0.852112676056338</v>
      </c>
      <c r="ED20" s="63">
        <v>1.03</v>
      </c>
      <c r="EE20" s="63">
        <v>1.1000000000000001</v>
      </c>
      <c r="EF20" s="63">
        <v>0.04</v>
      </c>
      <c r="EG20" s="63">
        <v>0.05</v>
      </c>
      <c r="EH20" s="127" t="str">
        <f t="shared" si="5"/>
        <v>SA/ME</v>
      </c>
      <c r="EI20" s="56">
        <v>13</v>
      </c>
      <c r="EJ20" s="334"/>
      <c r="EK20" s="334"/>
      <c r="EL20" s="334"/>
      <c r="EM20" s="334"/>
      <c r="EN20" s="334"/>
      <c r="EO20" s="334"/>
      <c r="EP20" s="334"/>
      <c r="EQ20" s="65" t="str">
        <f t="shared" si="45"/>
        <v>SA/ME</v>
      </c>
      <c r="ER20" s="20"/>
      <c r="ES20" s="20"/>
      <c r="ET20" s="20"/>
      <c r="EU20" s="20"/>
      <c r="EV20" s="20"/>
      <c r="EW20" s="20"/>
      <c r="EX20" s="20"/>
    </row>
    <row r="21" spans="1:154" s="3" customFormat="1" ht="17.149999999999999" customHeight="1" x14ac:dyDescent="0.25">
      <c r="A21" s="56">
        <v>14</v>
      </c>
      <c r="B21" s="57">
        <v>884703</v>
      </c>
      <c r="C21" s="58">
        <f t="shared" si="6"/>
        <v>149</v>
      </c>
      <c r="D21" s="167">
        <v>8.8000000000000007</v>
      </c>
      <c r="E21" s="59">
        <v>788871</v>
      </c>
      <c r="F21" s="58">
        <f t="shared" si="7"/>
        <v>133</v>
      </c>
      <c r="G21" s="168">
        <v>2.5</v>
      </c>
      <c r="H21" s="57">
        <v>747863</v>
      </c>
      <c r="I21" s="58">
        <f t="shared" si="0"/>
        <v>127</v>
      </c>
      <c r="J21" s="60" t="s">
        <v>237</v>
      </c>
      <c r="K21" s="56">
        <v>14</v>
      </c>
      <c r="L21" s="57">
        <v>69320</v>
      </c>
      <c r="M21" s="58" t="str">
        <f t="shared" si="8"/>
        <v/>
      </c>
      <c r="N21" s="59">
        <v>175717</v>
      </c>
      <c r="O21" s="58">
        <f t="shared" si="9"/>
        <v>22</v>
      </c>
      <c r="P21" s="57">
        <v>194749</v>
      </c>
      <c r="Q21" s="169" t="str">
        <f t="shared" si="1"/>
        <v/>
      </c>
      <c r="R21" s="57">
        <v>672</v>
      </c>
      <c r="S21" s="57">
        <v>679</v>
      </c>
      <c r="T21" s="57">
        <v>140</v>
      </c>
      <c r="U21" s="57">
        <v>137</v>
      </c>
      <c r="V21" s="58" t="str">
        <f t="shared" si="10"/>
        <v>SA/ME</v>
      </c>
      <c r="W21" s="56">
        <v>14</v>
      </c>
      <c r="X21" s="63">
        <v>11676.47</v>
      </c>
      <c r="Y21" s="130">
        <f t="shared" si="11"/>
        <v>2.1400000000012369</v>
      </c>
      <c r="Z21" s="63">
        <v>12441.8</v>
      </c>
      <c r="AA21" s="130">
        <f t="shared" si="12"/>
        <v>2.2600000000002183</v>
      </c>
      <c r="AB21" s="63">
        <v>9825.73</v>
      </c>
      <c r="AC21" s="130">
        <f t="shared" si="13"/>
        <v>1.7700000000004366</v>
      </c>
      <c r="AD21" s="63">
        <v>9914.07</v>
      </c>
      <c r="AE21" s="130">
        <f t="shared" si="2"/>
        <v>2.2000000000007276</v>
      </c>
      <c r="AF21" s="125" t="str">
        <f t="shared" si="14"/>
        <v>SA/ME</v>
      </c>
      <c r="AG21" s="56">
        <v>14</v>
      </c>
      <c r="AH21" s="63">
        <v>46646.92</v>
      </c>
      <c r="AI21" s="130">
        <f t="shared" si="15"/>
        <v>9.9199999999982538</v>
      </c>
      <c r="AJ21" s="63">
        <v>48783.39</v>
      </c>
      <c r="AK21" s="130">
        <f t="shared" si="16"/>
        <v>11.080000000001746</v>
      </c>
      <c r="AL21" s="63">
        <v>586.39</v>
      </c>
      <c r="AM21" s="130" t="str">
        <f t="shared" si="17"/>
        <v/>
      </c>
      <c r="AN21" s="63">
        <v>547.88</v>
      </c>
      <c r="AO21" s="130" t="str">
        <f t="shared" si="3"/>
        <v/>
      </c>
      <c r="AP21" s="125" t="str">
        <f t="shared" si="18"/>
        <v>SA/ME</v>
      </c>
      <c r="AQ21" s="56">
        <v>14</v>
      </c>
      <c r="AR21" s="63">
        <v>6726.21</v>
      </c>
      <c r="AS21" s="130">
        <f t="shared" si="19"/>
        <v>1.7200000000002547</v>
      </c>
      <c r="AT21" s="63">
        <v>7455.06</v>
      </c>
      <c r="AU21" s="130">
        <f>IF(AT22="","",IF(AT22=AT21,"",AT22-AT21))</f>
        <v>1.1099999999996726</v>
      </c>
      <c r="AV21" s="63">
        <v>254.01</v>
      </c>
      <c r="AW21" s="130" t="str">
        <f t="shared" si="21"/>
        <v/>
      </c>
      <c r="AX21" s="63">
        <v>242.03</v>
      </c>
      <c r="AY21" s="130" t="str">
        <f t="shared" si="4"/>
        <v/>
      </c>
      <c r="AZ21" s="125" t="str">
        <f t="shared" si="22"/>
        <v>SA/ME</v>
      </c>
      <c r="BA21" s="56">
        <v>14</v>
      </c>
      <c r="BB21" s="64"/>
      <c r="BC21" s="62"/>
      <c r="BD21" s="61"/>
      <c r="BE21" s="61"/>
      <c r="BF21" s="61"/>
      <c r="BG21" s="61"/>
      <c r="BH21" s="64"/>
      <c r="BI21" s="64"/>
      <c r="BJ21" s="64"/>
      <c r="BK21" s="64"/>
      <c r="BL21" s="64"/>
      <c r="BM21" s="64"/>
      <c r="BN21" s="65" t="str">
        <f t="shared" si="23"/>
        <v>SA/ME</v>
      </c>
      <c r="BO21" s="56">
        <v>14</v>
      </c>
      <c r="BP21" s="64">
        <v>8.5000000000000006E-2</v>
      </c>
      <c r="BQ21" s="62">
        <v>0</v>
      </c>
      <c r="BR21" s="61">
        <v>7.2</v>
      </c>
      <c r="BS21" s="61">
        <v>10</v>
      </c>
      <c r="BT21" s="61">
        <v>17.899999999999999</v>
      </c>
      <c r="BU21" s="64">
        <v>1.2E-2</v>
      </c>
      <c r="BV21" s="63">
        <v>1.1299999999999999</v>
      </c>
      <c r="BW21" s="63">
        <v>0.93</v>
      </c>
      <c r="BX21" s="66" t="s">
        <v>331</v>
      </c>
      <c r="BY21" s="172" t="s">
        <v>239</v>
      </c>
      <c r="BZ21" s="67" t="str">
        <f t="shared" si="24"/>
        <v>SA/ME</v>
      </c>
      <c r="CA21" s="56">
        <v>14</v>
      </c>
      <c r="CB21" s="61">
        <v>86</v>
      </c>
      <c r="CC21" s="61"/>
      <c r="CD21" s="68">
        <f t="shared" si="25"/>
        <v>1.4000000000000057</v>
      </c>
      <c r="CE21" s="69">
        <f t="shared" si="26"/>
        <v>6.515971000000027</v>
      </c>
      <c r="CF21" s="69">
        <f t="shared" si="27"/>
        <v>6.1568229921260089</v>
      </c>
      <c r="CG21" s="62">
        <v>68</v>
      </c>
      <c r="CH21" s="62">
        <v>100</v>
      </c>
      <c r="CI21" s="65" t="str">
        <f t="shared" si="28"/>
        <v>SA/ME</v>
      </c>
      <c r="CJ21" s="56">
        <v>14</v>
      </c>
      <c r="CK21" s="61">
        <v>92.3</v>
      </c>
      <c r="CL21" s="61"/>
      <c r="CM21" s="68">
        <f t="shared" si="29"/>
        <v>1.8999999999999915</v>
      </c>
      <c r="CN21" s="68">
        <f t="shared" si="30"/>
        <v>8.8431034999999607</v>
      </c>
      <c r="CO21" s="68">
        <f t="shared" si="31"/>
        <v>23.600403401174393</v>
      </c>
      <c r="CP21" s="62">
        <v>56</v>
      </c>
      <c r="CQ21" s="62">
        <v>83</v>
      </c>
      <c r="CR21" s="65" t="str">
        <f t="shared" si="32"/>
        <v>SA/ME</v>
      </c>
      <c r="CS21" s="56">
        <v>14</v>
      </c>
      <c r="CT21" s="61">
        <v>100.2</v>
      </c>
      <c r="CU21" s="61"/>
      <c r="CV21" s="68">
        <f t="shared" si="33"/>
        <v>1.7000000000000028</v>
      </c>
      <c r="CW21" s="68">
        <f t="shared" si="34"/>
        <v>11.295208000000018</v>
      </c>
      <c r="CX21" s="69">
        <f t="shared" si="35"/>
        <v>7.5806765100671261E-2</v>
      </c>
      <c r="CY21" s="66" t="s">
        <v>240</v>
      </c>
      <c r="CZ21" s="66" t="s">
        <v>241</v>
      </c>
      <c r="DA21" s="66"/>
      <c r="DB21" s="65" t="str">
        <f t="shared" si="36"/>
        <v>SA/ME</v>
      </c>
      <c r="DC21" s="56">
        <v>14</v>
      </c>
      <c r="DD21" s="61">
        <v>88.7</v>
      </c>
      <c r="DE21" s="61">
        <v>105.6</v>
      </c>
      <c r="DF21" s="68">
        <f t="shared" si="37"/>
        <v>18</v>
      </c>
      <c r="DG21" s="69">
        <f t="shared" si="38"/>
        <v>0.97112211839999996</v>
      </c>
      <c r="DH21" s="68">
        <f t="shared" si="39"/>
        <v>6.5175981100671141</v>
      </c>
      <c r="DI21" s="62">
        <v>90</v>
      </c>
      <c r="DJ21" s="62">
        <v>54</v>
      </c>
      <c r="DK21" s="65" t="str">
        <f t="shared" si="40"/>
        <v>SA/ME</v>
      </c>
      <c r="DL21" s="56">
        <v>14</v>
      </c>
      <c r="DM21" s="63">
        <v>8.1999999999999993</v>
      </c>
      <c r="DN21" s="64">
        <v>2.9000000000000001E-2</v>
      </c>
      <c r="DO21" s="64">
        <v>2.5999999999999999E-2</v>
      </c>
      <c r="DP21" s="64">
        <v>6.0999999999999999E-2</v>
      </c>
      <c r="DQ21" s="63">
        <v>6.88</v>
      </c>
      <c r="DR21" s="61">
        <v>10</v>
      </c>
      <c r="DS21" s="64">
        <v>1.1000000000000001</v>
      </c>
      <c r="DT21" s="61">
        <v>83.6</v>
      </c>
      <c r="DU21" s="63">
        <v>4.2300000000000004</v>
      </c>
      <c r="DV21" s="64">
        <v>0.71899999999999997</v>
      </c>
      <c r="DW21" s="64">
        <v>1.24</v>
      </c>
      <c r="DX21" s="66" t="s">
        <v>247</v>
      </c>
      <c r="DY21" s="65" t="str">
        <f t="shared" si="41"/>
        <v>SA/ME</v>
      </c>
      <c r="DZ21" s="128">
        <v>14</v>
      </c>
      <c r="EA21" s="173">
        <f t="shared" si="42"/>
        <v>9.9598930481283418E-2</v>
      </c>
      <c r="EB21" s="173">
        <f t="shared" si="43"/>
        <v>9.7794117647058823E-2</v>
      </c>
      <c r="EC21" s="173">
        <f t="shared" si="44"/>
        <v>0.8523489932885906</v>
      </c>
      <c r="ED21" s="63">
        <v>1.08</v>
      </c>
      <c r="EE21" s="63">
        <v>1.1200000000000001</v>
      </c>
      <c r="EF21" s="63">
        <v>0.04</v>
      </c>
      <c r="EG21" s="63">
        <v>0.28000000000000003</v>
      </c>
      <c r="EH21" s="127" t="str">
        <f t="shared" si="5"/>
        <v>SA/ME</v>
      </c>
      <c r="EI21" s="56">
        <v>14</v>
      </c>
      <c r="EJ21" s="334"/>
      <c r="EK21" s="334"/>
      <c r="EL21" s="334"/>
      <c r="EM21" s="334"/>
      <c r="EN21" s="334"/>
      <c r="EO21" s="334"/>
      <c r="EP21" s="334"/>
      <c r="EQ21" s="65" t="str">
        <f t="shared" si="45"/>
        <v>SA/ME</v>
      </c>
      <c r="ER21" s="20"/>
      <c r="ES21" s="20"/>
      <c r="ET21" s="20"/>
      <c r="EU21" s="20"/>
      <c r="EV21" s="20"/>
      <c r="EW21" s="20"/>
      <c r="EX21" s="20"/>
    </row>
    <row r="22" spans="1:154" s="3" customFormat="1" ht="17.149999999999999" customHeight="1" x14ac:dyDescent="0.35">
      <c r="A22" s="56">
        <v>15</v>
      </c>
      <c r="B22" s="57">
        <v>884852</v>
      </c>
      <c r="C22" s="58">
        <f t="shared" si="6"/>
        <v>147</v>
      </c>
      <c r="D22" s="167">
        <v>9.11</v>
      </c>
      <c r="E22" s="59">
        <v>789004</v>
      </c>
      <c r="F22" s="58">
        <f t="shared" si="7"/>
        <v>190</v>
      </c>
      <c r="G22" s="168">
        <v>1.78</v>
      </c>
      <c r="H22" s="57">
        <v>747990</v>
      </c>
      <c r="I22" s="58">
        <f t="shared" si="0"/>
        <v>127</v>
      </c>
      <c r="J22" s="60" t="s">
        <v>237</v>
      </c>
      <c r="K22" s="56">
        <v>15</v>
      </c>
      <c r="L22" s="57">
        <v>69320</v>
      </c>
      <c r="M22" s="58" t="str">
        <f t="shared" si="8"/>
        <v/>
      </c>
      <c r="N22" s="59">
        <v>175739</v>
      </c>
      <c r="O22" s="58">
        <f t="shared" si="9"/>
        <v>31</v>
      </c>
      <c r="P22" s="57">
        <v>194749</v>
      </c>
      <c r="Q22" s="169" t="str">
        <f t="shared" si="1"/>
        <v/>
      </c>
      <c r="R22" s="57">
        <v>672</v>
      </c>
      <c r="S22" s="57">
        <v>679</v>
      </c>
      <c r="T22" s="57">
        <v>140</v>
      </c>
      <c r="U22" s="57">
        <v>137</v>
      </c>
      <c r="V22" s="58" t="str">
        <f t="shared" si="10"/>
        <v>SA/ME</v>
      </c>
      <c r="W22" s="56">
        <v>15</v>
      </c>
      <c r="X22" s="63">
        <v>11678.61</v>
      </c>
      <c r="Y22" s="130">
        <f t="shared" si="11"/>
        <v>2.1599999999998545</v>
      </c>
      <c r="Z22" s="63">
        <v>12444.06</v>
      </c>
      <c r="AA22" s="130">
        <f t="shared" si="12"/>
        <v>2.2300000000013824</v>
      </c>
      <c r="AB22" s="63">
        <v>9827.5</v>
      </c>
      <c r="AC22" s="130">
        <f t="shared" si="13"/>
        <v>1.7199999999993452</v>
      </c>
      <c r="AD22" s="63">
        <v>9916.27</v>
      </c>
      <c r="AE22" s="130">
        <f t="shared" si="2"/>
        <v>1.6399999999994179</v>
      </c>
      <c r="AF22" s="125" t="str">
        <f t="shared" si="14"/>
        <v>SA/ME</v>
      </c>
      <c r="AG22" s="56">
        <v>15</v>
      </c>
      <c r="AH22" s="63">
        <v>46656.84</v>
      </c>
      <c r="AI22" s="130">
        <f t="shared" si="15"/>
        <v>14.080000000001746</v>
      </c>
      <c r="AJ22" s="63">
        <v>48794.47</v>
      </c>
      <c r="AK22" s="130">
        <f t="shared" si="16"/>
        <v>11.619999999995343</v>
      </c>
      <c r="AL22" s="63">
        <v>586.39</v>
      </c>
      <c r="AM22" s="130" t="str">
        <f t="shared" si="17"/>
        <v/>
      </c>
      <c r="AN22" s="63">
        <v>547.88</v>
      </c>
      <c r="AO22" s="130" t="str">
        <f t="shared" si="3"/>
        <v/>
      </c>
      <c r="AP22" s="125" t="str">
        <f t="shared" si="18"/>
        <v>SA/ME</v>
      </c>
      <c r="AQ22" s="56">
        <v>15</v>
      </c>
      <c r="AR22" s="63">
        <v>6727.93</v>
      </c>
      <c r="AS22" s="130">
        <f t="shared" si="19"/>
        <v>0.18999999999959982</v>
      </c>
      <c r="AT22" s="63">
        <v>7456.17</v>
      </c>
      <c r="AU22" s="293">
        <f>IF(AT23="","",IF(AT23=AT22,"",AT23-AT22))</f>
        <v>1.6199999999998909</v>
      </c>
      <c r="AV22" s="63">
        <v>254.01</v>
      </c>
      <c r="AW22" s="130" t="str">
        <f t="shared" si="21"/>
        <v/>
      </c>
      <c r="AX22" s="63">
        <v>242.03</v>
      </c>
      <c r="AY22" s="130" t="str">
        <f t="shared" si="4"/>
        <v/>
      </c>
      <c r="AZ22" s="125" t="str">
        <f t="shared" si="22"/>
        <v>SA/ME</v>
      </c>
      <c r="BA22" s="56">
        <v>15</v>
      </c>
      <c r="BB22" s="64"/>
      <c r="BC22" s="70"/>
      <c r="BD22" s="71"/>
      <c r="BE22" s="71"/>
      <c r="BF22" s="71"/>
      <c r="BG22" s="71"/>
      <c r="BH22" s="72"/>
      <c r="BI22" s="72"/>
      <c r="BJ22" s="72"/>
      <c r="BK22" s="72"/>
      <c r="BL22" s="64"/>
      <c r="BM22" s="64"/>
      <c r="BN22" s="65" t="str">
        <f t="shared" si="23"/>
        <v>SA/ME</v>
      </c>
      <c r="BO22" s="56">
        <v>15</v>
      </c>
      <c r="BP22" s="64">
        <v>8.5000000000000006E-2</v>
      </c>
      <c r="BQ22" s="62">
        <v>0</v>
      </c>
      <c r="BR22" s="61">
        <v>7.2</v>
      </c>
      <c r="BS22" s="61">
        <v>10.1</v>
      </c>
      <c r="BT22" s="61">
        <v>17.8</v>
      </c>
      <c r="BU22" s="64">
        <v>1.2E-2</v>
      </c>
      <c r="BV22" s="63">
        <v>1.17</v>
      </c>
      <c r="BW22" s="63">
        <v>1.02</v>
      </c>
      <c r="BX22" s="66" t="s">
        <v>303</v>
      </c>
      <c r="BY22" s="172" t="s">
        <v>239</v>
      </c>
      <c r="BZ22" s="67" t="str">
        <f t="shared" si="24"/>
        <v>SA/ME</v>
      </c>
      <c r="CA22" s="56">
        <v>15</v>
      </c>
      <c r="CB22" s="61">
        <v>84.6</v>
      </c>
      <c r="CC22" s="61"/>
      <c r="CD22" s="68">
        <f t="shared" si="25"/>
        <v>1.2999999999999972</v>
      </c>
      <c r="CE22" s="69">
        <f t="shared" si="26"/>
        <v>6.0505444999999876</v>
      </c>
      <c r="CF22" s="69">
        <f t="shared" si="27"/>
        <v>5.7170499212598296</v>
      </c>
      <c r="CG22" s="62">
        <v>68</v>
      </c>
      <c r="CH22" s="62">
        <v>100</v>
      </c>
      <c r="CI22" s="65" t="str">
        <f t="shared" si="28"/>
        <v>SA/ME</v>
      </c>
      <c r="CJ22" s="56">
        <v>15</v>
      </c>
      <c r="CK22" s="61">
        <v>90.4</v>
      </c>
      <c r="CL22" s="61"/>
      <c r="CM22" s="68">
        <f t="shared" si="29"/>
        <v>1.9000000000000057</v>
      </c>
      <c r="CN22" s="68">
        <f t="shared" si="30"/>
        <v>8.8431035000000264</v>
      </c>
      <c r="CO22" s="68">
        <f t="shared" si="31"/>
        <v>23.921497325000075</v>
      </c>
      <c r="CP22" s="62">
        <v>56</v>
      </c>
      <c r="CQ22" s="62">
        <v>83</v>
      </c>
      <c r="CR22" s="65" t="str">
        <f t="shared" si="32"/>
        <v>SA/ME</v>
      </c>
      <c r="CS22" s="56">
        <v>15</v>
      </c>
      <c r="CT22" s="61">
        <v>98.5</v>
      </c>
      <c r="CU22" s="61"/>
      <c r="CV22" s="68">
        <f t="shared" si="33"/>
        <v>1.7000000000000028</v>
      </c>
      <c r="CW22" s="68">
        <f t="shared" si="34"/>
        <v>11.295208000000018</v>
      </c>
      <c r="CX22" s="69">
        <f t="shared" si="35"/>
        <v>7.6838149659864075E-2</v>
      </c>
      <c r="CY22" s="66" t="s">
        <v>240</v>
      </c>
      <c r="CZ22" s="66" t="s">
        <v>241</v>
      </c>
      <c r="DA22" s="66"/>
      <c r="DB22" s="65" t="str">
        <f t="shared" si="36"/>
        <v>SA/ME</v>
      </c>
      <c r="DC22" s="56">
        <v>15</v>
      </c>
      <c r="DD22" s="61">
        <v>87.6</v>
      </c>
      <c r="DE22" s="61">
        <v>105.5</v>
      </c>
      <c r="DF22" s="68">
        <f t="shared" si="37"/>
        <v>18.900000000000006</v>
      </c>
      <c r="DG22" s="69">
        <f t="shared" si="38"/>
        <v>1.0196782243200002</v>
      </c>
      <c r="DH22" s="68">
        <f t="shared" si="39"/>
        <v>6.9365865600000021</v>
      </c>
      <c r="DI22" s="62">
        <v>90</v>
      </c>
      <c r="DJ22" s="62">
        <v>54</v>
      </c>
      <c r="DK22" s="65" t="str">
        <f t="shared" si="40"/>
        <v>SA/ME</v>
      </c>
      <c r="DL22" s="56">
        <v>15</v>
      </c>
      <c r="DM22" s="63">
        <v>8.18</v>
      </c>
      <c r="DN22" s="64">
        <v>2.9000000000000001E-2</v>
      </c>
      <c r="DO22" s="64">
        <v>2.3E-2</v>
      </c>
      <c r="DP22" s="64">
        <v>6.3E-2</v>
      </c>
      <c r="DQ22" s="63">
        <v>6.9</v>
      </c>
      <c r="DR22" s="61">
        <v>10.1</v>
      </c>
      <c r="DS22" s="64">
        <v>1.113</v>
      </c>
      <c r="DT22" s="61">
        <v>86.2</v>
      </c>
      <c r="DU22" s="63">
        <v>4.34</v>
      </c>
      <c r="DV22" s="64">
        <v>0.71</v>
      </c>
      <c r="DW22" s="64">
        <v>1.44</v>
      </c>
      <c r="DX22" s="66" t="s">
        <v>247</v>
      </c>
      <c r="DY22" s="65" t="str">
        <f t="shared" si="41"/>
        <v>SA/ME</v>
      </c>
      <c r="DZ22" s="128">
        <v>15</v>
      </c>
      <c r="EA22" s="173">
        <f t="shared" si="42"/>
        <v>9.8262032085561501E-2</v>
      </c>
      <c r="EB22" s="173">
        <f t="shared" si="43"/>
        <v>0.13970588235294118</v>
      </c>
      <c r="EC22" s="173">
        <f t="shared" si="44"/>
        <v>0.86394557823129248</v>
      </c>
      <c r="ED22" s="63">
        <v>1.08</v>
      </c>
      <c r="EE22" s="63">
        <v>1.1399999999999999</v>
      </c>
      <c r="EF22" s="63">
        <v>0.04</v>
      </c>
      <c r="EG22" s="63">
        <v>0.28000000000000003</v>
      </c>
      <c r="EH22" s="127" t="str">
        <f t="shared" si="5"/>
        <v>SA/ME</v>
      </c>
      <c r="EI22" s="56">
        <v>15</v>
      </c>
      <c r="EJ22" s="334"/>
      <c r="EK22" s="334"/>
      <c r="EL22" s="334"/>
      <c r="EM22" s="334"/>
      <c r="EN22" s="334"/>
      <c r="EO22" s="334"/>
      <c r="EP22" s="334"/>
      <c r="EQ22" s="65" t="str">
        <f t="shared" si="45"/>
        <v>SA/ME</v>
      </c>
      <c r="ER22" s="20"/>
      <c r="ES22" s="20"/>
      <c r="ET22" s="20"/>
      <c r="EU22" s="20"/>
      <c r="EV22" s="20"/>
      <c r="EW22" s="20"/>
      <c r="EX22" s="20"/>
    </row>
    <row r="23" spans="1:154" s="3" customFormat="1" ht="17.149999999999999" customHeight="1" x14ac:dyDescent="0.35">
      <c r="A23" s="56">
        <v>16</v>
      </c>
      <c r="B23" s="57">
        <v>884999</v>
      </c>
      <c r="C23" s="58">
        <f t="shared" si="6"/>
        <v>170</v>
      </c>
      <c r="D23" s="167">
        <v>9.15</v>
      </c>
      <c r="E23" s="59">
        <v>789194</v>
      </c>
      <c r="F23" s="58">
        <f t="shared" si="7"/>
        <v>170</v>
      </c>
      <c r="G23" s="168">
        <v>0.97</v>
      </c>
      <c r="H23" s="57">
        <v>748117</v>
      </c>
      <c r="I23" s="58">
        <f t="shared" si="0"/>
        <v>102</v>
      </c>
      <c r="J23" s="60" t="s">
        <v>194</v>
      </c>
      <c r="K23" s="56">
        <v>16</v>
      </c>
      <c r="L23" s="57">
        <v>69320</v>
      </c>
      <c r="M23" s="58">
        <f t="shared" si="8"/>
        <v>48</v>
      </c>
      <c r="N23" s="59">
        <v>175770</v>
      </c>
      <c r="O23" s="58">
        <f t="shared" si="9"/>
        <v>52</v>
      </c>
      <c r="P23" s="57">
        <v>194749</v>
      </c>
      <c r="Q23" s="169" t="str">
        <f t="shared" si="1"/>
        <v/>
      </c>
      <c r="R23" s="57">
        <v>672</v>
      </c>
      <c r="S23" s="57">
        <v>679</v>
      </c>
      <c r="T23" s="57">
        <v>140</v>
      </c>
      <c r="U23" s="57">
        <v>137</v>
      </c>
      <c r="V23" s="58" t="str">
        <f t="shared" si="10"/>
        <v>ME</v>
      </c>
      <c r="W23" s="56">
        <v>16</v>
      </c>
      <c r="X23" s="63">
        <v>11680.77</v>
      </c>
      <c r="Y23" s="130">
        <f t="shared" si="11"/>
        <v>2.8299999999999272</v>
      </c>
      <c r="Z23" s="63">
        <v>12446.29</v>
      </c>
      <c r="AA23" s="130">
        <f t="shared" si="12"/>
        <v>2.3799999999991996</v>
      </c>
      <c r="AB23" s="63">
        <v>9829.2199999999993</v>
      </c>
      <c r="AC23" s="130">
        <f t="shared" si="13"/>
        <v>0.56000000000130967</v>
      </c>
      <c r="AD23" s="63">
        <v>9917.91</v>
      </c>
      <c r="AE23" s="130">
        <f t="shared" si="2"/>
        <v>2.1599999999998545</v>
      </c>
      <c r="AF23" s="125" t="str">
        <f t="shared" si="14"/>
        <v>ME</v>
      </c>
      <c r="AG23" s="56">
        <v>16</v>
      </c>
      <c r="AH23" s="63">
        <v>46670.92</v>
      </c>
      <c r="AI23" s="130">
        <f t="shared" si="15"/>
        <v>11.709999999999127</v>
      </c>
      <c r="AJ23" s="63">
        <v>48806.09</v>
      </c>
      <c r="AK23" s="130">
        <f t="shared" si="16"/>
        <v>12.390000000006694</v>
      </c>
      <c r="AL23" s="63">
        <v>586.39</v>
      </c>
      <c r="AM23" s="130">
        <f t="shared" si="17"/>
        <v>0.24000000000000909</v>
      </c>
      <c r="AN23" s="63">
        <v>547.88</v>
      </c>
      <c r="AO23" s="130">
        <f t="shared" si="3"/>
        <v>0.44000000000005457</v>
      </c>
      <c r="AP23" s="125" t="str">
        <f t="shared" si="18"/>
        <v>ME</v>
      </c>
      <c r="AQ23" s="56">
        <v>16</v>
      </c>
      <c r="AR23" s="63">
        <v>6728.12</v>
      </c>
      <c r="AS23" s="130">
        <f t="shared" si="19"/>
        <v>1.5</v>
      </c>
      <c r="AT23" s="63">
        <v>7457.79</v>
      </c>
      <c r="AU23" s="293">
        <f>IF(AT24="","",IF(AT24=AT23,"",AT24-AT23))</f>
        <v>2.0799999999999272</v>
      </c>
      <c r="AV23" s="63">
        <v>254.01</v>
      </c>
      <c r="AW23" s="130">
        <f t="shared" si="21"/>
        <v>0.34000000000000341</v>
      </c>
      <c r="AX23" s="63">
        <v>242.03</v>
      </c>
      <c r="AY23" s="130" t="str">
        <f t="shared" si="4"/>
        <v/>
      </c>
      <c r="AZ23" s="125" t="str">
        <f t="shared" si="22"/>
        <v>ME</v>
      </c>
      <c r="BA23" s="56">
        <v>16</v>
      </c>
      <c r="BB23" s="64">
        <v>1.44</v>
      </c>
      <c r="BC23" s="62">
        <v>42</v>
      </c>
      <c r="BD23" s="61">
        <v>6.9</v>
      </c>
      <c r="BE23" s="61">
        <v>7.4</v>
      </c>
      <c r="BF23" s="61">
        <v>16.600000000000001</v>
      </c>
      <c r="BG23" s="61">
        <v>6.9</v>
      </c>
      <c r="BH23" s="64">
        <v>0.28599999999999998</v>
      </c>
      <c r="BI23" s="64">
        <v>0.251</v>
      </c>
      <c r="BJ23" s="64">
        <v>5.7000000000000002E-2</v>
      </c>
      <c r="BK23" s="64">
        <v>0.06</v>
      </c>
      <c r="BL23" s="64">
        <v>6.0999999999999999E-2</v>
      </c>
      <c r="BM23" s="64">
        <v>6.5000000000000002E-2</v>
      </c>
      <c r="BN23" s="65" t="str">
        <f t="shared" si="23"/>
        <v>ME</v>
      </c>
      <c r="BO23" s="56">
        <v>16</v>
      </c>
      <c r="BP23" s="64">
        <v>0.85</v>
      </c>
      <c r="BQ23" s="62">
        <v>0</v>
      </c>
      <c r="BR23" s="61">
        <v>7.1</v>
      </c>
      <c r="BS23" s="61">
        <v>10.4</v>
      </c>
      <c r="BT23" s="61">
        <v>18.100000000000001</v>
      </c>
      <c r="BU23" s="64">
        <v>0.01</v>
      </c>
      <c r="BV23" s="63">
        <v>1.1399999999999999</v>
      </c>
      <c r="BW23" s="63">
        <v>1.07</v>
      </c>
      <c r="BX23" s="66" t="s">
        <v>253</v>
      </c>
      <c r="BY23" s="172" t="s">
        <v>246</v>
      </c>
      <c r="BZ23" s="67" t="str">
        <f t="shared" si="24"/>
        <v>ME</v>
      </c>
      <c r="CA23" s="56">
        <v>16</v>
      </c>
      <c r="CB23" s="61">
        <v>83.3</v>
      </c>
      <c r="CC23" s="61"/>
      <c r="CD23" s="68">
        <f t="shared" si="25"/>
        <v>0.89999999999999147</v>
      </c>
      <c r="CE23" s="69">
        <f t="shared" si="26"/>
        <v>4.1888384999999611</v>
      </c>
      <c r="CF23" s="69">
        <f t="shared" si="27"/>
        <v>4.9280452941176014</v>
      </c>
      <c r="CG23" s="62">
        <v>64</v>
      </c>
      <c r="CH23" s="62">
        <v>100</v>
      </c>
      <c r="CI23" s="65" t="str">
        <f t="shared" si="28"/>
        <v>ME</v>
      </c>
      <c r="CJ23" s="56">
        <v>16</v>
      </c>
      <c r="CK23" s="61">
        <v>88.5</v>
      </c>
      <c r="CL23" s="61"/>
      <c r="CM23" s="68">
        <f t="shared" si="29"/>
        <v>2.2000000000000028</v>
      </c>
      <c r="CN23" s="68">
        <f t="shared" si="30"/>
        <v>10.239383000000014</v>
      </c>
      <c r="CO23" s="68">
        <f t="shared" si="31"/>
        <v>23.951121470294154</v>
      </c>
      <c r="CP23" s="62">
        <v>52</v>
      </c>
      <c r="CQ23" s="62">
        <v>83</v>
      </c>
      <c r="CR23" s="65" t="str">
        <f t="shared" si="32"/>
        <v>ME</v>
      </c>
      <c r="CS23" s="56">
        <v>16</v>
      </c>
      <c r="CT23" s="61">
        <v>96.8</v>
      </c>
      <c r="CU23" s="61">
        <v>92.5</v>
      </c>
      <c r="CV23" s="68">
        <f t="shared" si="33"/>
        <v>2</v>
      </c>
      <c r="CW23" s="68">
        <f t="shared" si="34"/>
        <v>13.28848</v>
      </c>
      <c r="CX23" s="69">
        <f t="shared" si="35"/>
        <v>7.8167529411764705E-2</v>
      </c>
      <c r="CY23" s="66" t="s">
        <v>240</v>
      </c>
      <c r="CZ23" s="66" t="s">
        <v>241</v>
      </c>
      <c r="DA23" s="66" t="s">
        <v>242</v>
      </c>
      <c r="DB23" s="65" t="str">
        <f t="shared" si="36"/>
        <v>ME</v>
      </c>
      <c r="DC23" s="56">
        <v>16</v>
      </c>
      <c r="DD23" s="61">
        <v>86.6</v>
      </c>
      <c r="DE23" s="61">
        <v>103.6</v>
      </c>
      <c r="DF23" s="68">
        <f t="shared" si="37"/>
        <v>20.899999999999991</v>
      </c>
      <c r="DG23" s="69">
        <f t="shared" si="38"/>
        <v>1.1275806819199998</v>
      </c>
      <c r="DH23" s="68">
        <f t="shared" si="39"/>
        <v>6.6328275407058808</v>
      </c>
      <c r="DI23" s="62">
        <v>90</v>
      </c>
      <c r="DJ23" s="62">
        <v>54</v>
      </c>
      <c r="DK23" s="65" t="str">
        <f t="shared" si="40"/>
        <v>ME</v>
      </c>
      <c r="DL23" s="56">
        <v>16</v>
      </c>
      <c r="DM23" s="63">
        <v>8.1</v>
      </c>
      <c r="DN23" s="64">
        <v>2.5999999999999999E-2</v>
      </c>
      <c r="DO23" s="64">
        <v>2.8000000000000001E-2</v>
      </c>
      <c r="DP23" s="64">
        <v>6.0999999999999999E-2</v>
      </c>
      <c r="DQ23" s="63">
        <v>6.89</v>
      </c>
      <c r="DR23" s="61">
        <v>10.4</v>
      </c>
      <c r="DS23" s="64">
        <v>1.1539999999999999</v>
      </c>
      <c r="DT23" s="61">
        <v>84.8</v>
      </c>
      <c r="DU23" s="63">
        <v>4.28</v>
      </c>
      <c r="DV23" s="64">
        <v>0.73399999999999999</v>
      </c>
      <c r="DW23" s="64">
        <v>0.96299999999999997</v>
      </c>
      <c r="DX23" s="66" t="s">
        <v>242</v>
      </c>
      <c r="DY23" s="65" t="str">
        <f t="shared" si="41"/>
        <v>ME</v>
      </c>
      <c r="DZ23" s="128">
        <v>16</v>
      </c>
      <c r="EA23" s="173">
        <f t="shared" si="42"/>
        <v>0.11363636363636363</v>
      </c>
      <c r="EB23" s="173">
        <f t="shared" si="43"/>
        <v>0.125</v>
      </c>
      <c r="EC23" s="173">
        <f t="shared" si="44"/>
        <v>0.6</v>
      </c>
      <c r="ED23" s="63">
        <v>0.93</v>
      </c>
      <c r="EE23" s="63">
        <v>1.18</v>
      </c>
      <c r="EF23" s="63">
        <v>0.04</v>
      </c>
      <c r="EG23" s="63">
        <v>0.5</v>
      </c>
      <c r="EH23" s="127" t="str">
        <f t="shared" si="5"/>
        <v>ME</v>
      </c>
      <c r="EI23" s="56">
        <v>16</v>
      </c>
      <c r="EJ23" s="334"/>
      <c r="EK23" s="334"/>
      <c r="EL23" s="334"/>
      <c r="EM23" s="334"/>
      <c r="EN23" s="334"/>
      <c r="EO23" s="334"/>
      <c r="EP23" s="334"/>
      <c r="EQ23" s="65" t="str">
        <f t="shared" si="45"/>
        <v>ME</v>
      </c>
      <c r="ER23" s="20"/>
      <c r="ES23" s="20"/>
      <c r="ET23" s="20"/>
      <c r="EU23" s="20"/>
      <c r="EV23" s="20"/>
      <c r="EW23" s="20"/>
      <c r="EX23" s="20"/>
    </row>
    <row r="24" spans="1:154" s="3" customFormat="1" ht="17.149999999999999" customHeight="1" x14ac:dyDescent="0.35">
      <c r="A24" s="56">
        <v>17</v>
      </c>
      <c r="B24" s="57">
        <v>885169</v>
      </c>
      <c r="C24" s="58">
        <f t="shared" si="6"/>
        <v>164</v>
      </c>
      <c r="D24" s="167">
        <v>9.5500000000000007</v>
      </c>
      <c r="E24" s="59">
        <v>789364</v>
      </c>
      <c r="F24" s="58">
        <f t="shared" si="7"/>
        <v>176</v>
      </c>
      <c r="G24" s="168">
        <v>1.54</v>
      </c>
      <c r="H24" s="57">
        <v>748219</v>
      </c>
      <c r="I24" s="58">
        <f t="shared" si="0"/>
        <v>139</v>
      </c>
      <c r="J24" s="60" t="s">
        <v>194</v>
      </c>
      <c r="K24" s="56">
        <v>17</v>
      </c>
      <c r="L24" s="57">
        <v>69368</v>
      </c>
      <c r="M24" s="58" t="str">
        <f t="shared" si="8"/>
        <v/>
      </c>
      <c r="N24" s="59">
        <v>175822</v>
      </c>
      <c r="O24" s="58">
        <f t="shared" si="9"/>
        <v>48</v>
      </c>
      <c r="P24" s="57">
        <v>194749</v>
      </c>
      <c r="Q24" s="169" t="str">
        <f t="shared" si="1"/>
        <v/>
      </c>
      <c r="R24" s="57">
        <v>672</v>
      </c>
      <c r="S24" s="57">
        <v>680</v>
      </c>
      <c r="T24" s="57">
        <v>140</v>
      </c>
      <c r="U24" s="57">
        <v>137</v>
      </c>
      <c r="V24" s="58" t="str">
        <f t="shared" si="10"/>
        <v>ME</v>
      </c>
      <c r="W24" s="56">
        <v>17</v>
      </c>
      <c r="X24" s="63">
        <v>11683.6</v>
      </c>
      <c r="Y24" s="130">
        <f t="shared" si="11"/>
        <v>2.3500000000003638</v>
      </c>
      <c r="Z24" s="63">
        <v>12448.67</v>
      </c>
      <c r="AA24" s="130">
        <f t="shared" si="12"/>
        <v>2.5200000000004366</v>
      </c>
      <c r="AB24" s="63">
        <v>9829.7800000000007</v>
      </c>
      <c r="AC24" s="130">
        <f t="shared" si="13"/>
        <v>1.9599999999991269</v>
      </c>
      <c r="AD24" s="63">
        <v>9920.07</v>
      </c>
      <c r="AE24" s="130">
        <f t="shared" si="2"/>
        <v>1.7700000000004366</v>
      </c>
      <c r="AF24" s="125" t="str">
        <f t="shared" si="14"/>
        <v>ME</v>
      </c>
      <c r="AG24" s="56">
        <v>17</v>
      </c>
      <c r="AH24" s="63">
        <v>46682.63</v>
      </c>
      <c r="AI24" s="130">
        <f t="shared" si="15"/>
        <v>12.30000000000291</v>
      </c>
      <c r="AJ24" s="63">
        <v>48818.48</v>
      </c>
      <c r="AK24" s="130">
        <f t="shared" si="16"/>
        <v>10.689999999995052</v>
      </c>
      <c r="AL24" s="63">
        <v>586.63</v>
      </c>
      <c r="AM24" s="130" t="str">
        <f t="shared" si="17"/>
        <v/>
      </c>
      <c r="AN24" s="63">
        <v>548.32000000000005</v>
      </c>
      <c r="AO24" s="130" t="str">
        <f t="shared" si="3"/>
        <v/>
      </c>
      <c r="AP24" s="125" t="str">
        <f t="shared" si="18"/>
        <v>ME</v>
      </c>
      <c r="AQ24" s="56">
        <v>17</v>
      </c>
      <c r="AR24" s="63">
        <v>6729.62</v>
      </c>
      <c r="AS24" s="130">
        <f t="shared" si="19"/>
        <v>1.680000000000291</v>
      </c>
      <c r="AT24" s="63">
        <v>7459.87</v>
      </c>
      <c r="AU24" s="130">
        <f t="shared" si="20"/>
        <v>2.1500000000005457</v>
      </c>
      <c r="AV24" s="63">
        <v>254.35</v>
      </c>
      <c r="AW24" s="130" t="str">
        <f t="shared" si="21"/>
        <v/>
      </c>
      <c r="AX24" s="63">
        <v>242.03</v>
      </c>
      <c r="AY24" s="130" t="str">
        <f t="shared" si="4"/>
        <v/>
      </c>
      <c r="AZ24" s="125" t="str">
        <f t="shared" si="22"/>
        <v>ME</v>
      </c>
      <c r="BA24" s="56">
        <v>17</v>
      </c>
      <c r="BB24" s="64">
        <v>1.32</v>
      </c>
      <c r="BC24" s="62">
        <v>40</v>
      </c>
      <c r="BD24" s="61">
        <v>7</v>
      </c>
      <c r="BE24" s="61">
        <v>8.6</v>
      </c>
      <c r="BF24" s="61">
        <v>17.2</v>
      </c>
      <c r="BG24" s="61">
        <v>7</v>
      </c>
      <c r="BH24" s="64">
        <v>0.186</v>
      </c>
      <c r="BI24" s="64">
        <v>0.24099999999999999</v>
      </c>
      <c r="BJ24" s="64">
        <v>5.2999999999999999E-2</v>
      </c>
      <c r="BK24" s="64">
        <v>5.3999999999999999E-2</v>
      </c>
      <c r="BL24" s="64">
        <v>6.7000000000000004E-2</v>
      </c>
      <c r="BM24" s="64">
        <v>5.7000000000000002E-2</v>
      </c>
      <c r="BN24" s="65" t="str">
        <f t="shared" si="23"/>
        <v>ME</v>
      </c>
      <c r="BO24" s="56">
        <v>17</v>
      </c>
      <c r="BP24" s="64">
        <v>9.6000000000000002E-2</v>
      </c>
      <c r="BQ24" s="62">
        <v>0</v>
      </c>
      <c r="BR24" s="61">
        <v>7</v>
      </c>
      <c r="BS24" s="61">
        <v>10.6</v>
      </c>
      <c r="BT24" s="61">
        <v>18.3</v>
      </c>
      <c r="BU24" s="64">
        <v>1.2E-2</v>
      </c>
      <c r="BV24" s="63">
        <v>1.1100000000000001</v>
      </c>
      <c r="BW24" s="63">
        <v>0.98</v>
      </c>
      <c r="BX24" s="66" t="s">
        <v>245</v>
      </c>
      <c r="BY24" s="172" t="s">
        <v>246</v>
      </c>
      <c r="BZ24" s="67" t="str">
        <f t="shared" si="24"/>
        <v>ME</v>
      </c>
      <c r="CA24" s="56">
        <v>17</v>
      </c>
      <c r="CB24" s="61">
        <v>82.4</v>
      </c>
      <c r="CC24" s="61"/>
      <c r="CD24" s="68">
        <f t="shared" si="25"/>
        <v>1.3000000000000114</v>
      </c>
      <c r="CE24" s="69">
        <f t="shared" si="26"/>
        <v>6.0505445000000533</v>
      </c>
      <c r="CF24" s="69">
        <f t="shared" si="27"/>
        <v>5.2234916546763044</v>
      </c>
      <c r="CG24" s="62">
        <v>65</v>
      </c>
      <c r="CH24" s="62">
        <v>100</v>
      </c>
      <c r="CI24" s="65" t="str">
        <f t="shared" si="28"/>
        <v>ME</v>
      </c>
      <c r="CJ24" s="56">
        <v>17</v>
      </c>
      <c r="CK24" s="61">
        <v>86.3</v>
      </c>
      <c r="CL24" s="61"/>
      <c r="CM24" s="68">
        <f t="shared" si="29"/>
        <v>2.2000000000000028</v>
      </c>
      <c r="CN24" s="68">
        <f t="shared" si="30"/>
        <v>10.239383000000014</v>
      </c>
      <c r="CO24" s="68">
        <f t="shared" si="31"/>
        <v>24.827382011890279</v>
      </c>
      <c r="CP24" s="62">
        <v>55</v>
      </c>
      <c r="CQ24" s="62">
        <v>83</v>
      </c>
      <c r="CR24" s="65" t="str">
        <f t="shared" si="32"/>
        <v>ME</v>
      </c>
      <c r="CS24" s="56">
        <v>17</v>
      </c>
      <c r="CT24" s="61">
        <v>90.5</v>
      </c>
      <c r="CU24" s="61"/>
      <c r="CV24" s="68">
        <f t="shared" si="33"/>
        <v>1.7000000000000028</v>
      </c>
      <c r="CW24" s="68">
        <f t="shared" si="34"/>
        <v>11.295208000000018</v>
      </c>
      <c r="CX24" s="69">
        <f t="shared" si="35"/>
        <v>6.887321951219523E-2</v>
      </c>
      <c r="CY24" s="66" t="s">
        <v>240</v>
      </c>
      <c r="CZ24" s="66" t="s">
        <v>241</v>
      </c>
      <c r="DA24" s="66"/>
      <c r="DB24" s="65" t="str">
        <f t="shared" si="36"/>
        <v>ME</v>
      </c>
      <c r="DC24" s="56">
        <v>17</v>
      </c>
      <c r="DD24" s="61">
        <v>82.7</v>
      </c>
      <c r="DE24" s="61">
        <v>103.8</v>
      </c>
      <c r="DF24" s="68">
        <f t="shared" si="37"/>
        <v>19.899999999999991</v>
      </c>
      <c r="DG24" s="69">
        <f t="shared" si="38"/>
        <v>1.0736294531199995</v>
      </c>
      <c r="DH24" s="68">
        <f t="shared" si="39"/>
        <v>6.5465210556097526</v>
      </c>
      <c r="DI24" s="62">
        <v>90</v>
      </c>
      <c r="DJ24" s="62">
        <v>54</v>
      </c>
      <c r="DK24" s="65" t="str">
        <f t="shared" si="40"/>
        <v>ME</v>
      </c>
      <c r="DL24" s="56">
        <v>17</v>
      </c>
      <c r="DM24" s="63">
        <v>7.4</v>
      </c>
      <c r="DN24" s="64">
        <v>2.9000000000000001E-2</v>
      </c>
      <c r="DO24" s="64">
        <v>3.2000000000000001E-2</v>
      </c>
      <c r="DP24" s="64">
        <v>7.4999999999999997E-2</v>
      </c>
      <c r="DQ24" s="63">
        <v>6.88</v>
      </c>
      <c r="DR24" s="61">
        <v>10.6</v>
      </c>
      <c r="DS24" s="64">
        <v>1.167</v>
      </c>
      <c r="DT24" s="61">
        <v>84.9</v>
      </c>
      <c r="DU24" s="63">
        <v>4.18</v>
      </c>
      <c r="DV24" s="64">
        <v>1.5860000000000001</v>
      </c>
      <c r="DW24" s="64">
        <v>1.34</v>
      </c>
      <c r="DX24" s="66" t="s">
        <v>242</v>
      </c>
      <c r="DY24" s="65" t="str">
        <f t="shared" si="41"/>
        <v>ME</v>
      </c>
      <c r="DZ24" s="128">
        <v>17</v>
      </c>
      <c r="EA24" s="173">
        <f t="shared" si="42"/>
        <v>0.10962566844919786</v>
      </c>
      <c r="EB24" s="173">
        <f t="shared" si="43"/>
        <v>0.12941176470588237</v>
      </c>
      <c r="EC24" s="173">
        <f t="shared" si="44"/>
        <v>0.84756097560975607</v>
      </c>
      <c r="ED24" s="63">
        <v>1.1100000000000001</v>
      </c>
      <c r="EE24" s="63">
        <v>1.19</v>
      </c>
      <c r="EF24" s="63">
        <v>0.03</v>
      </c>
      <c r="EG24" s="63">
        <v>0.05</v>
      </c>
      <c r="EH24" s="127" t="str">
        <f t="shared" si="5"/>
        <v>ME</v>
      </c>
      <c r="EI24" s="56">
        <v>17</v>
      </c>
      <c r="EJ24" s="334"/>
      <c r="EK24" s="334"/>
      <c r="EL24" s="334"/>
      <c r="EM24" s="334"/>
      <c r="EN24" s="334"/>
      <c r="EO24" s="334"/>
      <c r="EP24" s="334"/>
      <c r="EQ24" s="65" t="str">
        <f t="shared" si="45"/>
        <v>ME</v>
      </c>
      <c r="ER24" s="20"/>
      <c r="ES24" s="20"/>
      <c r="ET24" s="20"/>
      <c r="EU24" s="20"/>
      <c r="EV24" s="20"/>
      <c r="EW24" s="20"/>
      <c r="EX24" s="20"/>
    </row>
    <row r="25" spans="1:154" s="3" customFormat="1" ht="17.149999999999999" customHeight="1" x14ac:dyDescent="0.35">
      <c r="A25" s="56">
        <v>18</v>
      </c>
      <c r="B25" s="57">
        <v>885333</v>
      </c>
      <c r="C25" s="58">
        <f t="shared" si="6"/>
        <v>200</v>
      </c>
      <c r="D25" s="167">
        <v>9.42</v>
      </c>
      <c r="E25" s="59">
        <v>789540</v>
      </c>
      <c r="F25" s="58">
        <f t="shared" si="7"/>
        <v>224</v>
      </c>
      <c r="G25" s="168">
        <v>2.19</v>
      </c>
      <c r="H25" s="57">
        <v>748358</v>
      </c>
      <c r="I25" s="58">
        <f t="shared" si="0"/>
        <v>166</v>
      </c>
      <c r="J25" s="60" t="s">
        <v>194</v>
      </c>
      <c r="K25" s="56">
        <v>18</v>
      </c>
      <c r="L25" s="57">
        <v>69368</v>
      </c>
      <c r="M25" s="58">
        <f t="shared" si="8"/>
        <v>8</v>
      </c>
      <c r="N25" s="59">
        <v>175870</v>
      </c>
      <c r="O25" s="58">
        <f t="shared" si="9"/>
        <v>50</v>
      </c>
      <c r="P25" s="57">
        <v>194749</v>
      </c>
      <c r="Q25" s="169" t="str">
        <f t="shared" si="1"/>
        <v/>
      </c>
      <c r="R25" s="57">
        <v>672</v>
      </c>
      <c r="S25" s="57">
        <v>680</v>
      </c>
      <c r="T25" s="57">
        <v>140</v>
      </c>
      <c r="U25" s="57">
        <v>137</v>
      </c>
      <c r="V25" s="58" t="str">
        <f t="shared" si="10"/>
        <v>ME</v>
      </c>
      <c r="W25" s="56">
        <v>18</v>
      </c>
      <c r="X25" s="63">
        <v>11685.95</v>
      </c>
      <c r="Y25" s="130">
        <f t="shared" si="11"/>
        <v>1.3400000000001455</v>
      </c>
      <c r="Z25" s="63">
        <v>12451.19</v>
      </c>
      <c r="AA25" s="130">
        <f t="shared" si="12"/>
        <v>4.5799999999999272</v>
      </c>
      <c r="AB25" s="63">
        <v>9831.74</v>
      </c>
      <c r="AC25" s="130">
        <f t="shared" si="13"/>
        <v>3.5799999999999272</v>
      </c>
      <c r="AD25" s="63">
        <v>9921.84</v>
      </c>
      <c r="AE25" s="130">
        <f t="shared" si="2"/>
        <v>0.80999999999949068</v>
      </c>
      <c r="AF25" s="125" t="str">
        <f t="shared" si="14"/>
        <v>ME</v>
      </c>
      <c r="AG25" s="56">
        <v>18</v>
      </c>
      <c r="AH25" s="63">
        <v>46694.93</v>
      </c>
      <c r="AI25" s="130">
        <f t="shared" si="15"/>
        <v>13.540000000000873</v>
      </c>
      <c r="AJ25" s="63">
        <v>48829.17</v>
      </c>
      <c r="AK25" s="130">
        <f t="shared" si="16"/>
        <v>13.319999999999709</v>
      </c>
      <c r="AL25" s="63">
        <v>586.63</v>
      </c>
      <c r="AM25" s="130">
        <f t="shared" si="17"/>
        <v>9.9999999999909051E-3</v>
      </c>
      <c r="AN25" s="63">
        <v>548.32000000000005</v>
      </c>
      <c r="AO25" s="130" t="str">
        <f t="shared" si="3"/>
        <v/>
      </c>
      <c r="AP25" s="125" t="str">
        <f t="shared" si="18"/>
        <v>ME</v>
      </c>
      <c r="AQ25" s="56">
        <v>18</v>
      </c>
      <c r="AR25" s="63">
        <v>6731.3</v>
      </c>
      <c r="AS25" s="130">
        <f t="shared" si="19"/>
        <v>1.7799999999997453</v>
      </c>
      <c r="AT25" s="63">
        <v>7462.02</v>
      </c>
      <c r="AU25" s="130">
        <f t="shared" si="20"/>
        <v>2.9099999999998545</v>
      </c>
      <c r="AV25" s="63">
        <v>254.35</v>
      </c>
      <c r="AW25" s="130" t="str">
        <f t="shared" si="21"/>
        <v/>
      </c>
      <c r="AX25" s="63">
        <v>242.03</v>
      </c>
      <c r="AY25" s="130">
        <f t="shared" si="4"/>
        <v>9.0000000000003411E-2</v>
      </c>
      <c r="AZ25" s="125" t="str">
        <f t="shared" si="22"/>
        <v>ME</v>
      </c>
      <c r="BA25" s="56">
        <v>18</v>
      </c>
      <c r="BB25" s="286">
        <v>2.27</v>
      </c>
      <c r="BC25" s="62">
        <v>30</v>
      </c>
      <c r="BD25" s="61">
        <v>6.9</v>
      </c>
      <c r="BE25" s="61">
        <v>8.6999999999999993</v>
      </c>
      <c r="BF25" s="61">
        <v>17.399999999999999</v>
      </c>
      <c r="BG25" s="61">
        <v>6.9</v>
      </c>
      <c r="BH25" s="64">
        <v>0.192</v>
      </c>
      <c r="BI25" s="64">
        <v>0.193</v>
      </c>
      <c r="BJ25" s="64">
        <v>6.3E-2</v>
      </c>
      <c r="BK25" s="64">
        <v>6.6000000000000003E-2</v>
      </c>
      <c r="BL25" s="64">
        <v>5.7000000000000002E-2</v>
      </c>
      <c r="BM25" s="64">
        <v>5.6000000000000001E-2</v>
      </c>
      <c r="BN25" s="65" t="str">
        <f t="shared" si="23"/>
        <v>ME</v>
      </c>
      <c r="BO25" s="56">
        <v>18</v>
      </c>
      <c r="BP25" s="64">
        <v>8.8999999999999996E-2</v>
      </c>
      <c r="BQ25" s="62">
        <v>0</v>
      </c>
      <c r="BR25" s="61">
        <v>7</v>
      </c>
      <c r="BS25" s="61">
        <v>10.8</v>
      </c>
      <c r="BT25" s="61">
        <v>18.100000000000001</v>
      </c>
      <c r="BU25" s="64">
        <v>1.7000000000000001E-2</v>
      </c>
      <c r="BV25" s="63">
        <v>1.1499999999999999</v>
      </c>
      <c r="BW25" s="63">
        <v>1.03</v>
      </c>
      <c r="BX25" s="66" t="s">
        <v>245</v>
      </c>
      <c r="BY25" s="172" t="s">
        <v>246</v>
      </c>
      <c r="BZ25" s="67" t="str">
        <f t="shared" si="24"/>
        <v>ME</v>
      </c>
      <c r="CA25" s="56">
        <v>18</v>
      </c>
      <c r="CB25" s="61">
        <v>81.099999999999994</v>
      </c>
      <c r="CC25" s="61">
        <v>96.5</v>
      </c>
      <c r="CD25" s="68">
        <f t="shared" si="25"/>
        <v>1.5999999999999943</v>
      </c>
      <c r="CE25" s="69">
        <f t="shared" si="26"/>
        <v>7.4468239999999746</v>
      </c>
      <c r="CF25" s="69">
        <f t="shared" si="27"/>
        <v>5.3832462650602224</v>
      </c>
      <c r="CG25" s="62">
        <v>64</v>
      </c>
      <c r="CH25" s="62">
        <v>100</v>
      </c>
      <c r="CI25" s="65" t="str">
        <f t="shared" si="28"/>
        <v>ME</v>
      </c>
      <c r="CJ25" s="56">
        <v>18</v>
      </c>
      <c r="CK25" s="61">
        <v>84.1</v>
      </c>
      <c r="CL25" s="61">
        <v>97.9</v>
      </c>
      <c r="CM25" s="68">
        <f t="shared" si="29"/>
        <v>2.6000000000000085</v>
      </c>
      <c r="CN25" s="68">
        <f t="shared" si="30"/>
        <v>12.101089000000041</v>
      </c>
      <c r="CO25" s="68">
        <f t="shared" si="31"/>
        <v>24.059990204250084</v>
      </c>
      <c r="CP25" s="62">
        <v>55</v>
      </c>
      <c r="CQ25" s="62">
        <v>83</v>
      </c>
      <c r="CR25" s="65" t="str">
        <f t="shared" si="32"/>
        <v>ME</v>
      </c>
      <c r="CS25" s="56">
        <v>18</v>
      </c>
      <c r="CT25" s="61">
        <v>88.8</v>
      </c>
      <c r="CU25" s="61">
        <v>113.5</v>
      </c>
      <c r="CV25" s="68">
        <f t="shared" si="33"/>
        <v>2.0999999999999943</v>
      </c>
      <c r="CW25" s="68">
        <f t="shared" si="34"/>
        <v>13.952903999999963</v>
      </c>
      <c r="CX25" s="69">
        <f t="shared" si="35"/>
        <v>6.9764519999999816E-2</v>
      </c>
      <c r="CY25" s="66" t="s">
        <v>240</v>
      </c>
      <c r="CZ25" s="66" t="s">
        <v>241</v>
      </c>
      <c r="DA25" s="66"/>
      <c r="DB25" s="65" t="str">
        <f t="shared" si="36"/>
        <v>ME</v>
      </c>
      <c r="DC25" s="56">
        <v>18</v>
      </c>
      <c r="DD25" s="61">
        <v>83.9</v>
      </c>
      <c r="DE25" s="61">
        <v>103.8</v>
      </c>
      <c r="DF25" s="68">
        <f t="shared" si="37"/>
        <v>23.5</v>
      </c>
      <c r="DG25" s="69">
        <f t="shared" si="38"/>
        <v>1.2678538767999998</v>
      </c>
      <c r="DH25" s="68">
        <f t="shared" si="39"/>
        <v>6.3392693839999996</v>
      </c>
      <c r="DI25" s="62">
        <v>88</v>
      </c>
      <c r="DJ25" s="62">
        <v>54</v>
      </c>
      <c r="DK25" s="65" t="str">
        <f t="shared" si="40"/>
        <v>ME</v>
      </c>
      <c r="DL25" s="56">
        <v>18</v>
      </c>
      <c r="DM25" s="63">
        <v>8.16</v>
      </c>
      <c r="DN25" s="64">
        <v>2.9000000000000001E-2</v>
      </c>
      <c r="DO25" s="64">
        <v>3.2000000000000001E-2</v>
      </c>
      <c r="DP25" s="64">
        <v>6.7000000000000004E-2</v>
      </c>
      <c r="DQ25" s="63">
        <v>6.87</v>
      </c>
      <c r="DR25" s="61">
        <v>10.8</v>
      </c>
      <c r="DS25" s="64">
        <v>1.1859999999999999</v>
      </c>
      <c r="DT25" s="61">
        <v>85.4</v>
      </c>
      <c r="DU25" s="63">
        <v>4.1900000000000004</v>
      </c>
      <c r="DV25" s="64">
        <v>0.98899999999999999</v>
      </c>
      <c r="DW25" s="64">
        <v>1.35</v>
      </c>
      <c r="DX25" s="66" t="s">
        <v>242</v>
      </c>
      <c r="DY25" s="65" t="str">
        <f t="shared" si="41"/>
        <v>ME</v>
      </c>
      <c r="DZ25" s="128">
        <v>18</v>
      </c>
      <c r="EA25" s="173">
        <f t="shared" si="42"/>
        <v>0.13368983957219252</v>
      </c>
      <c r="EB25" s="173">
        <f t="shared" si="43"/>
        <v>0.16470588235294117</v>
      </c>
      <c r="EC25" s="173">
        <f t="shared" si="44"/>
        <v>0.83</v>
      </c>
      <c r="ED25" s="63">
        <v>1.1499999999999999</v>
      </c>
      <c r="EE25" s="63">
        <v>1.2</v>
      </c>
      <c r="EF25" s="63">
        <v>0.04</v>
      </c>
      <c r="EG25" s="63">
        <v>0.05</v>
      </c>
      <c r="EH25" s="127" t="str">
        <f t="shared" si="5"/>
        <v>ME</v>
      </c>
      <c r="EI25" s="56">
        <v>18</v>
      </c>
      <c r="EJ25" s="334"/>
      <c r="EK25" s="334"/>
      <c r="EL25" s="334"/>
      <c r="EM25" s="334"/>
      <c r="EN25" s="334"/>
      <c r="EO25" s="334"/>
      <c r="EP25" s="334"/>
      <c r="EQ25" s="65" t="str">
        <f t="shared" si="45"/>
        <v>ME</v>
      </c>
      <c r="ER25" s="20"/>
      <c r="ES25" s="20"/>
      <c r="ET25" s="20"/>
      <c r="EU25" s="20"/>
      <c r="EV25" s="20"/>
      <c r="EW25" s="20"/>
      <c r="EX25" s="20"/>
    </row>
    <row r="26" spans="1:154" s="3" customFormat="1" ht="17.149999999999999" customHeight="1" x14ac:dyDescent="0.35">
      <c r="A26" s="56">
        <v>19</v>
      </c>
      <c r="B26" s="57">
        <v>885533</v>
      </c>
      <c r="C26" s="58">
        <f t="shared" si="6"/>
        <v>234</v>
      </c>
      <c r="D26" s="167">
        <v>9.3699999999999992</v>
      </c>
      <c r="E26" s="59">
        <v>789764</v>
      </c>
      <c r="F26" s="58">
        <f t="shared" si="7"/>
        <v>184</v>
      </c>
      <c r="G26" s="168">
        <v>2.82</v>
      </c>
      <c r="H26" s="57">
        <v>748524</v>
      </c>
      <c r="I26" s="58">
        <f t="shared" si="0"/>
        <v>162</v>
      </c>
      <c r="J26" s="60" t="s">
        <v>194</v>
      </c>
      <c r="K26" s="56">
        <v>19</v>
      </c>
      <c r="L26" s="57">
        <v>69376</v>
      </c>
      <c r="M26" s="58">
        <f t="shared" si="8"/>
        <v>48</v>
      </c>
      <c r="N26" s="59">
        <v>175920</v>
      </c>
      <c r="O26" s="58">
        <f t="shared" si="9"/>
        <v>41</v>
      </c>
      <c r="P26" s="57">
        <v>194749</v>
      </c>
      <c r="Q26" s="169" t="str">
        <f t="shared" si="1"/>
        <v/>
      </c>
      <c r="R26" s="57">
        <v>672</v>
      </c>
      <c r="S26" s="57">
        <v>680</v>
      </c>
      <c r="T26" s="57">
        <v>140</v>
      </c>
      <c r="U26" s="57">
        <v>138</v>
      </c>
      <c r="V26" s="58" t="str">
        <f t="shared" si="10"/>
        <v>ME</v>
      </c>
      <c r="W26" s="56">
        <v>19</v>
      </c>
      <c r="X26" s="63">
        <v>11687.29</v>
      </c>
      <c r="Y26" s="130">
        <f t="shared" si="11"/>
        <v>3.2899999999990541</v>
      </c>
      <c r="Z26" s="63">
        <v>12455.77</v>
      </c>
      <c r="AA26" s="130">
        <f t="shared" si="12"/>
        <v>3.819999999999709</v>
      </c>
      <c r="AB26" s="63">
        <v>9835.32</v>
      </c>
      <c r="AC26" s="130">
        <f t="shared" si="13"/>
        <v>1.6499999999996362</v>
      </c>
      <c r="AD26" s="63">
        <v>9922.65</v>
      </c>
      <c r="AE26" s="130">
        <f t="shared" si="2"/>
        <v>2.6599999999998545</v>
      </c>
      <c r="AF26" s="125" t="str">
        <f t="shared" si="14"/>
        <v>ME</v>
      </c>
      <c r="AG26" s="56">
        <v>19</v>
      </c>
      <c r="AH26" s="63">
        <v>46708.47</v>
      </c>
      <c r="AI26" s="130">
        <f t="shared" si="15"/>
        <v>10.470000000001164</v>
      </c>
      <c r="AJ26" s="63">
        <v>48842.49</v>
      </c>
      <c r="AK26" s="130">
        <f t="shared" si="16"/>
        <v>11.740000000005239</v>
      </c>
      <c r="AL26" s="63">
        <v>586.64</v>
      </c>
      <c r="AM26" s="130" t="str">
        <f t="shared" si="17"/>
        <v/>
      </c>
      <c r="AN26" s="63">
        <v>548.32000000000005</v>
      </c>
      <c r="AO26" s="130" t="str">
        <f t="shared" si="3"/>
        <v/>
      </c>
      <c r="AP26" s="125" t="str">
        <f t="shared" si="18"/>
        <v>ME</v>
      </c>
      <c r="AQ26" s="56">
        <v>19</v>
      </c>
      <c r="AR26" s="63">
        <v>6733.08</v>
      </c>
      <c r="AS26" s="130">
        <f t="shared" si="19"/>
        <v>1.4400000000005093</v>
      </c>
      <c r="AT26" s="63">
        <v>7464.93</v>
      </c>
      <c r="AU26" s="130">
        <f t="shared" si="20"/>
        <v>1.6499999999996362</v>
      </c>
      <c r="AV26" s="63">
        <v>254.35</v>
      </c>
      <c r="AW26" s="130">
        <f t="shared" si="21"/>
        <v>0.34000000000000341</v>
      </c>
      <c r="AX26" s="63">
        <v>242.12</v>
      </c>
      <c r="AY26" s="130" t="str">
        <f t="shared" si="4"/>
        <v/>
      </c>
      <c r="AZ26" s="125" t="str">
        <f t="shared" si="22"/>
        <v>ME</v>
      </c>
      <c r="BA26" s="56">
        <v>19</v>
      </c>
      <c r="BB26" s="64">
        <v>1.02</v>
      </c>
      <c r="BC26" s="62">
        <v>55</v>
      </c>
      <c r="BD26" s="61">
        <v>7</v>
      </c>
      <c r="BE26" s="61">
        <v>9.1</v>
      </c>
      <c r="BF26" s="61">
        <v>14.9</v>
      </c>
      <c r="BG26" s="61">
        <v>7</v>
      </c>
      <c r="BH26" s="64">
        <v>0.20599999999999999</v>
      </c>
      <c r="BI26" s="64">
        <v>0.221</v>
      </c>
      <c r="BJ26" s="64">
        <v>6.0999999999999999E-2</v>
      </c>
      <c r="BK26" s="64">
        <v>6.2E-2</v>
      </c>
      <c r="BL26" s="64">
        <v>5.2999999999999999E-2</v>
      </c>
      <c r="BM26" s="64">
        <v>5.8999999999999997E-2</v>
      </c>
      <c r="BN26" s="65" t="str">
        <f t="shared" si="23"/>
        <v>ME</v>
      </c>
      <c r="BO26" s="56">
        <v>19</v>
      </c>
      <c r="BP26" s="64">
        <v>8.5000000000000006E-2</v>
      </c>
      <c r="BQ26" s="62">
        <v>0</v>
      </c>
      <c r="BR26" s="61">
        <v>7</v>
      </c>
      <c r="BS26" s="61">
        <v>10.9</v>
      </c>
      <c r="BT26" s="61">
        <v>18.7</v>
      </c>
      <c r="BU26" s="64">
        <v>1.6E-2</v>
      </c>
      <c r="BV26" s="63">
        <v>1.18</v>
      </c>
      <c r="BW26" s="63">
        <v>0.89</v>
      </c>
      <c r="BX26" s="66" t="s">
        <v>245</v>
      </c>
      <c r="BY26" s="172" t="s">
        <v>246</v>
      </c>
      <c r="BZ26" s="67" t="str">
        <f t="shared" si="24"/>
        <v>ME</v>
      </c>
      <c r="CA26" s="56">
        <v>19</v>
      </c>
      <c r="CB26" s="61">
        <v>94.9</v>
      </c>
      <c r="CC26" s="61"/>
      <c r="CD26" s="68">
        <f t="shared" si="25"/>
        <v>1.6000000000000085</v>
      </c>
      <c r="CE26" s="69">
        <f t="shared" si="26"/>
        <v>7.4468240000000403</v>
      </c>
      <c r="CF26" s="69">
        <f t="shared" si="27"/>
        <v>5.5161659259259554</v>
      </c>
      <c r="CG26" s="62">
        <v>64</v>
      </c>
      <c r="CH26" s="62">
        <v>100</v>
      </c>
      <c r="CI26" s="65" t="str">
        <f t="shared" si="28"/>
        <v>ME</v>
      </c>
      <c r="CJ26" s="56">
        <v>19</v>
      </c>
      <c r="CK26" s="61">
        <v>95.3</v>
      </c>
      <c r="CL26" s="61"/>
      <c r="CM26" s="68">
        <f t="shared" si="29"/>
        <v>3</v>
      </c>
      <c r="CN26" s="68">
        <f t="shared" si="30"/>
        <v>13.962795000000002</v>
      </c>
      <c r="CO26" s="68">
        <f t="shared" si="31"/>
        <v>23.727800990384619</v>
      </c>
      <c r="CP26" s="62">
        <v>55</v>
      </c>
      <c r="CQ26" s="62">
        <v>83</v>
      </c>
      <c r="CR26" s="65" t="str">
        <f t="shared" si="32"/>
        <v>ME</v>
      </c>
      <c r="CS26" s="56">
        <v>19</v>
      </c>
      <c r="CT26" s="61">
        <v>111.4</v>
      </c>
      <c r="CU26" s="61"/>
      <c r="CV26" s="68">
        <f t="shared" si="33"/>
        <v>2.5</v>
      </c>
      <c r="CW26" s="68">
        <f t="shared" si="34"/>
        <v>16.610599999999998</v>
      </c>
      <c r="CX26" s="69">
        <f t="shared" si="35"/>
        <v>7.098547008547007E-2</v>
      </c>
      <c r="CY26" s="66" t="s">
        <v>240</v>
      </c>
      <c r="CZ26" s="66" t="s">
        <v>241</v>
      </c>
      <c r="DA26" s="66"/>
      <c r="DB26" s="65" t="str">
        <f t="shared" si="36"/>
        <v>ME</v>
      </c>
      <c r="DC26" s="56">
        <v>19</v>
      </c>
      <c r="DD26" s="61">
        <v>80.3</v>
      </c>
      <c r="DE26" s="61">
        <v>102.6</v>
      </c>
      <c r="DF26" s="68">
        <f t="shared" si="37"/>
        <v>25.099999999999994</v>
      </c>
      <c r="DG26" s="69">
        <f t="shared" si="38"/>
        <v>1.3541758428799999</v>
      </c>
      <c r="DH26" s="68">
        <f t="shared" si="39"/>
        <v>5.7870762516239314</v>
      </c>
      <c r="DI26" s="62">
        <v>90</v>
      </c>
      <c r="DJ26" s="62">
        <v>54</v>
      </c>
      <c r="DK26" s="65" t="str">
        <f t="shared" si="40"/>
        <v>ME</v>
      </c>
      <c r="DL26" s="56">
        <v>19</v>
      </c>
      <c r="DM26" s="63">
        <v>8.2200000000000006</v>
      </c>
      <c r="DN26" s="64">
        <v>2.5999999999999999E-2</v>
      </c>
      <c r="DO26" s="64">
        <v>0.03</v>
      </c>
      <c r="DP26" s="64">
        <v>6.3E-2</v>
      </c>
      <c r="DQ26" s="63">
        <v>6.84</v>
      </c>
      <c r="DR26" s="61">
        <v>10.9</v>
      </c>
      <c r="DS26" s="64">
        <v>1.1779999999999999</v>
      </c>
      <c r="DT26" s="61">
        <v>83.6</v>
      </c>
      <c r="DU26" s="63">
        <v>4.1500000000000004</v>
      </c>
      <c r="DV26" s="64">
        <v>0.71099999999999997</v>
      </c>
      <c r="DW26" s="64">
        <v>1.94</v>
      </c>
      <c r="DX26" s="66" t="s">
        <v>247</v>
      </c>
      <c r="DY26" s="65" t="str">
        <f t="shared" si="41"/>
        <v>ME</v>
      </c>
      <c r="DZ26" s="128">
        <v>19</v>
      </c>
      <c r="EA26" s="173">
        <f t="shared" si="42"/>
        <v>0.15641711229946523</v>
      </c>
      <c r="EB26" s="173">
        <f t="shared" si="43"/>
        <v>0.13529411764705881</v>
      </c>
      <c r="EC26" s="173">
        <f t="shared" si="44"/>
        <v>0.69230769230769229</v>
      </c>
      <c r="ED26" s="63">
        <v>1.08</v>
      </c>
      <c r="EE26" s="63">
        <v>1.21</v>
      </c>
      <c r="EF26" s="63">
        <v>0.04</v>
      </c>
      <c r="EG26" s="63">
        <v>0.05</v>
      </c>
      <c r="EH26" s="127" t="str">
        <f t="shared" si="5"/>
        <v>ME</v>
      </c>
      <c r="EI26" s="56">
        <v>19</v>
      </c>
      <c r="EJ26" s="334"/>
      <c r="EK26" s="334"/>
      <c r="EL26" s="334"/>
      <c r="EM26" s="334"/>
      <c r="EN26" s="334"/>
      <c r="EO26" s="334"/>
      <c r="EP26" s="334"/>
      <c r="EQ26" s="65" t="str">
        <f t="shared" si="45"/>
        <v>ME</v>
      </c>
      <c r="ER26" s="20"/>
      <c r="ES26" s="20"/>
      <c r="ET26" s="20"/>
      <c r="EU26" s="20"/>
      <c r="EV26" s="20"/>
      <c r="EW26" s="20"/>
      <c r="EX26" s="20"/>
    </row>
    <row r="27" spans="1:154" s="3" customFormat="1" ht="17.149999999999999" customHeight="1" x14ac:dyDescent="0.35">
      <c r="A27" s="56">
        <v>20</v>
      </c>
      <c r="B27" s="57">
        <v>885767</v>
      </c>
      <c r="C27" s="58">
        <f t="shared" si="6"/>
        <v>171</v>
      </c>
      <c r="D27" s="167">
        <v>9.44</v>
      </c>
      <c r="E27" s="59">
        <v>789948</v>
      </c>
      <c r="F27" s="58">
        <f t="shared" si="7"/>
        <v>140</v>
      </c>
      <c r="G27" s="168">
        <v>3.46</v>
      </c>
      <c r="H27" s="57">
        <v>748686</v>
      </c>
      <c r="I27" s="58">
        <f t="shared" si="0"/>
        <v>147</v>
      </c>
      <c r="J27" s="60" t="s">
        <v>194</v>
      </c>
      <c r="K27" s="56">
        <v>20</v>
      </c>
      <c r="L27" s="57">
        <v>69424</v>
      </c>
      <c r="M27" s="58" t="str">
        <f t="shared" si="8"/>
        <v/>
      </c>
      <c r="N27" s="59">
        <v>175961</v>
      </c>
      <c r="O27" s="58">
        <f t="shared" si="9"/>
        <v>41</v>
      </c>
      <c r="P27" s="57">
        <v>194749</v>
      </c>
      <c r="Q27" s="169" t="str">
        <f t="shared" si="1"/>
        <v/>
      </c>
      <c r="R27" s="57">
        <v>673</v>
      </c>
      <c r="S27" s="57">
        <v>680</v>
      </c>
      <c r="T27" s="57">
        <v>140</v>
      </c>
      <c r="U27" s="57">
        <v>138</v>
      </c>
      <c r="V27" s="58" t="str">
        <f t="shared" si="10"/>
        <v>ME</v>
      </c>
      <c r="W27" s="56">
        <v>20</v>
      </c>
      <c r="X27" s="63">
        <v>11690.58</v>
      </c>
      <c r="Y27" s="130">
        <f t="shared" si="11"/>
        <v>2.2600000000002183</v>
      </c>
      <c r="Z27" s="63">
        <v>12459.59</v>
      </c>
      <c r="AA27" s="130">
        <f t="shared" si="12"/>
        <v>2.6599999999998545</v>
      </c>
      <c r="AB27" s="63">
        <v>9836.9699999999993</v>
      </c>
      <c r="AC27" s="130">
        <f t="shared" si="13"/>
        <v>1.7000000000007276</v>
      </c>
      <c r="AD27" s="63">
        <v>9925.31</v>
      </c>
      <c r="AE27" s="130">
        <f t="shared" si="2"/>
        <v>2.2100000000009459</v>
      </c>
      <c r="AF27" s="125" t="str">
        <f t="shared" si="14"/>
        <v>ME</v>
      </c>
      <c r="AG27" s="56">
        <v>20</v>
      </c>
      <c r="AH27" s="63">
        <v>46718.94</v>
      </c>
      <c r="AI27" s="130">
        <f t="shared" si="15"/>
        <v>6.6899999999950523</v>
      </c>
      <c r="AJ27" s="63">
        <v>48854.23</v>
      </c>
      <c r="AK27" s="130">
        <f t="shared" si="16"/>
        <v>12.259999999994761</v>
      </c>
      <c r="AL27" s="63">
        <v>586.64</v>
      </c>
      <c r="AM27" s="130" t="str">
        <f t="shared" si="17"/>
        <v/>
      </c>
      <c r="AN27" s="63">
        <v>548.32000000000005</v>
      </c>
      <c r="AO27" s="130" t="str">
        <f t="shared" si="3"/>
        <v/>
      </c>
      <c r="AP27" s="125" t="str">
        <f t="shared" si="18"/>
        <v>ME</v>
      </c>
      <c r="AQ27" s="56">
        <v>20</v>
      </c>
      <c r="AR27" s="63">
        <v>6734.52</v>
      </c>
      <c r="AS27" s="130">
        <f t="shared" si="19"/>
        <v>1.2399999999997817</v>
      </c>
      <c r="AT27" s="63">
        <v>7466.58</v>
      </c>
      <c r="AU27" s="130">
        <f t="shared" si="20"/>
        <v>1.5900000000001455</v>
      </c>
      <c r="AV27" s="63">
        <v>254.69</v>
      </c>
      <c r="AW27" s="130" t="str">
        <f t="shared" si="21"/>
        <v/>
      </c>
      <c r="AX27" s="63">
        <v>242.12</v>
      </c>
      <c r="AY27" s="130" t="str">
        <f t="shared" si="4"/>
        <v/>
      </c>
      <c r="AZ27" s="125" t="str">
        <f t="shared" si="22"/>
        <v>ME</v>
      </c>
      <c r="BA27" s="56">
        <v>20</v>
      </c>
      <c r="BB27" s="64">
        <v>1.1299999999999999</v>
      </c>
      <c r="BC27" s="62">
        <v>37</v>
      </c>
      <c r="BD27" s="61">
        <v>7</v>
      </c>
      <c r="BE27" s="61">
        <v>10.4</v>
      </c>
      <c r="BF27" s="61">
        <v>14.3</v>
      </c>
      <c r="BG27" s="61">
        <v>7</v>
      </c>
      <c r="BH27" s="64">
        <v>0.19500000000000001</v>
      </c>
      <c r="BI27" s="64">
        <v>0.22500000000000001</v>
      </c>
      <c r="BJ27" s="64">
        <v>6.0999999999999999E-2</v>
      </c>
      <c r="BK27" s="64">
        <v>6.7000000000000004E-2</v>
      </c>
      <c r="BL27" s="64">
        <v>5.7000000000000002E-2</v>
      </c>
      <c r="BM27" s="64">
        <v>5.8999999999999997E-2</v>
      </c>
      <c r="BN27" s="65" t="str">
        <f t="shared" si="23"/>
        <v>ME</v>
      </c>
      <c r="BO27" s="56">
        <v>20</v>
      </c>
      <c r="BP27" s="64">
        <v>8.4000000000000005E-2</v>
      </c>
      <c r="BQ27" s="62">
        <v>0</v>
      </c>
      <c r="BR27" s="61">
        <v>7</v>
      </c>
      <c r="BS27" s="61">
        <v>11</v>
      </c>
      <c r="BT27" s="61">
        <v>17.5</v>
      </c>
      <c r="BU27" s="64">
        <v>1.2999999999999999E-2</v>
      </c>
      <c r="BV27" s="63">
        <v>1.18</v>
      </c>
      <c r="BW27" s="63">
        <v>0.93</v>
      </c>
      <c r="BX27" s="66" t="s">
        <v>285</v>
      </c>
      <c r="BY27" s="172" t="s">
        <v>246</v>
      </c>
      <c r="BZ27" s="67" t="str">
        <f t="shared" si="24"/>
        <v>ME</v>
      </c>
      <c r="CA27" s="56">
        <v>20</v>
      </c>
      <c r="CB27" s="61">
        <v>93.3</v>
      </c>
      <c r="CC27" s="61"/>
      <c r="CD27" s="68">
        <f t="shared" si="25"/>
        <v>1.2000000000000028</v>
      </c>
      <c r="CE27" s="69">
        <f t="shared" si="26"/>
        <v>5.5851180000000138</v>
      </c>
      <c r="CF27" s="69">
        <f t="shared" si="27"/>
        <v>4.5592800000000118</v>
      </c>
      <c r="CG27" s="62">
        <v>64</v>
      </c>
      <c r="CH27" s="62">
        <v>100</v>
      </c>
      <c r="CI27" s="65" t="str">
        <f t="shared" si="28"/>
        <v>ME</v>
      </c>
      <c r="CJ27" s="56">
        <v>20</v>
      </c>
      <c r="CK27" s="61">
        <v>92.3</v>
      </c>
      <c r="CL27" s="61"/>
      <c r="CM27" s="68">
        <f t="shared" si="29"/>
        <v>2.3999999999999915</v>
      </c>
      <c r="CN27" s="68">
        <f t="shared" si="30"/>
        <v>11.17023599999996</v>
      </c>
      <c r="CO27" s="68">
        <f t="shared" si="31"/>
        <v>25.975697926315696</v>
      </c>
      <c r="CP27" s="62">
        <v>53</v>
      </c>
      <c r="CQ27" s="62">
        <v>83</v>
      </c>
      <c r="CR27" s="65" t="str">
        <f t="shared" si="32"/>
        <v>ME</v>
      </c>
      <c r="CS27" s="56">
        <v>20</v>
      </c>
      <c r="CT27" s="61">
        <v>108.9</v>
      </c>
      <c r="CU27" s="61"/>
      <c r="CV27" s="68">
        <f t="shared" si="33"/>
        <v>1.7000000000000028</v>
      </c>
      <c r="CW27" s="68">
        <f t="shared" si="34"/>
        <v>11.295208000000018</v>
      </c>
      <c r="CX27" s="69">
        <f t="shared" si="35"/>
        <v>6.6053847953216477E-2</v>
      </c>
      <c r="CY27" s="66" t="s">
        <v>240</v>
      </c>
      <c r="CZ27" s="66" t="s">
        <v>241</v>
      </c>
      <c r="DA27" s="66"/>
      <c r="DB27" s="65" t="str">
        <f t="shared" si="36"/>
        <v>ME</v>
      </c>
      <c r="DC27" s="56">
        <v>20</v>
      </c>
      <c r="DD27" s="61">
        <v>77.5</v>
      </c>
      <c r="DE27" s="61">
        <v>103</v>
      </c>
      <c r="DF27" s="68">
        <f t="shared" si="37"/>
        <v>18.5</v>
      </c>
      <c r="DG27" s="69">
        <f t="shared" si="38"/>
        <v>0.99809773280000014</v>
      </c>
      <c r="DH27" s="68">
        <f t="shared" si="39"/>
        <v>5.8368288467836269</v>
      </c>
      <c r="DI27" s="62">
        <v>90</v>
      </c>
      <c r="DJ27" s="62">
        <v>54</v>
      </c>
      <c r="DK27" s="65" t="str">
        <f t="shared" si="40"/>
        <v>ME</v>
      </c>
      <c r="DL27" s="56">
        <v>20</v>
      </c>
      <c r="DM27" s="63">
        <v>8.08</v>
      </c>
      <c r="DN27" s="64">
        <v>3.1E-2</v>
      </c>
      <c r="DO27" s="64">
        <v>3.7999999999999999E-2</v>
      </c>
      <c r="DP27" s="64">
        <v>6.0999999999999999E-2</v>
      </c>
      <c r="DQ27" s="63">
        <v>6.83</v>
      </c>
      <c r="DR27" s="61">
        <v>11</v>
      </c>
      <c r="DS27" s="64">
        <v>1.18</v>
      </c>
      <c r="DT27" s="61">
        <v>83.6</v>
      </c>
      <c r="DU27" s="63">
        <v>4.18</v>
      </c>
      <c r="DV27" s="64">
        <v>1.966</v>
      </c>
      <c r="DW27" s="64">
        <v>1.34</v>
      </c>
      <c r="DX27" s="66" t="s">
        <v>242</v>
      </c>
      <c r="DY27" s="65" t="str">
        <f t="shared" si="41"/>
        <v>ME</v>
      </c>
      <c r="DZ27" s="128">
        <v>20</v>
      </c>
      <c r="EA27" s="173">
        <f t="shared" si="42"/>
        <v>0.1143048128342246</v>
      </c>
      <c r="EB27" s="173">
        <f t="shared" si="43"/>
        <v>0.10294117647058823</v>
      </c>
      <c r="EC27" s="173">
        <f t="shared" si="44"/>
        <v>0.85964912280701755</v>
      </c>
      <c r="ED27" s="63">
        <v>1.1499999999999999</v>
      </c>
      <c r="EE27" s="63">
        <v>1.21</v>
      </c>
      <c r="EF27" s="63">
        <v>0.06</v>
      </c>
      <c r="EG27" s="63">
        <v>0.32</v>
      </c>
      <c r="EH27" s="127" t="str">
        <f t="shared" si="5"/>
        <v>ME</v>
      </c>
      <c r="EI27" s="56">
        <v>20</v>
      </c>
      <c r="EJ27" s="334"/>
      <c r="EK27" s="334"/>
      <c r="EL27" s="334"/>
      <c r="EM27" s="334"/>
      <c r="EN27" s="334"/>
      <c r="EO27" s="334"/>
      <c r="EP27" s="334"/>
      <c r="EQ27" s="65" t="str">
        <f t="shared" si="45"/>
        <v>ME</v>
      </c>
      <c r="ER27" s="20"/>
      <c r="ES27" s="20"/>
      <c r="ET27" s="20"/>
      <c r="EU27" s="20"/>
      <c r="EV27" s="20"/>
      <c r="EW27" s="20"/>
      <c r="EX27" s="20"/>
    </row>
    <row r="28" spans="1:154" s="3" customFormat="1" ht="17.149999999999999" customHeight="1" x14ac:dyDescent="0.35">
      <c r="A28" s="56">
        <v>21</v>
      </c>
      <c r="B28" s="57">
        <v>885938</v>
      </c>
      <c r="C28" s="58">
        <f t="shared" si="6"/>
        <v>356</v>
      </c>
      <c r="D28" s="167">
        <v>9.35</v>
      </c>
      <c r="E28" s="59">
        <v>790088</v>
      </c>
      <c r="F28" s="58">
        <f t="shared" si="7"/>
        <v>259</v>
      </c>
      <c r="G28" s="168">
        <v>1.89</v>
      </c>
      <c r="H28" s="57">
        <v>748833</v>
      </c>
      <c r="I28" s="58">
        <f t="shared" si="0"/>
        <v>235</v>
      </c>
      <c r="J28" s="60" t="s">
        <v>194</v>
      </c>
      <c r="K28" s="56">
        <v>21</v>
      </c>
      <c r="L28" s="57">
        <v>69424</v>
      </c>
      <c r="M28" s="58" t="str">
        <f t="shared" si="8"/>
        <v/>
      </c>
      <c r="N28" s="59">
        <v>176002</v>
      </c>
      <c r="O28" s="58">
        <f t="shared" si="9"/>
        <v>50</v>
      </c>
      <c r="P28" s="57">
        <v>194749</v>
      </c>
      <c r="Q28" s="169" t="str">
        <f t="shared" si="1"/>
        <v/>
      </c>
      <c r="R28" s="57">
        <v>673</v>
      </c>
      <c r="S28" s="57">
        <v>680</v>
      </c>
      <c r="T28" s="57">
        <v>140</v>
      </c>
      <c r="U28" s="57">
        <v>137</v>
      </c>
      <c r="V28" s="58" t="str">
        <f t="shared" si="10"/>
        <v>ME</v>
      </c>
      <c r="W28" s="56">
        <v>21</v>
      </c>
      <c r="X28" s="63">
        <v>11692.84</v>
      </c>
      <c r="Y28" s="130">
        <f t="shared" si="11"/>
        <v>3.0399999999990541</v>
      </c>
      <c r="Z28" s="63">
        <v>12462.25</v>
      </c>
      <c r="AA28" s="130">
        <f t="shared" si="12"/>
        <v>7.3999999999996362</v>
      </c>
      <c r="AB28" s="63">
        <v>9838.67</v>
      </c>
      <c r="AC28" s="130">
        <f t="shared" si="13"/>
        <v>2.4200000000000728</v>
      </c>
      <c r="AD28" s="63">
        <v>9927.52</v>
      </c>
      <c r="AE28" s="130">
        <f t="shared" si="2"/>
        <v>3.8400000000001455</v>
      </c>
      <c r="AF28" s="125" t="str">
        <f t="shared" si="14"/>
        <v>ME</v>
      </c>
      <c r="AG28" s="56">
        <v>21</v>
      </c>
      <c r="AH28" s="63">
        <v>46725.63</v>
      </c>
      <c r="AI28" s="130">
        <f t="shared" si="15"/>
        <v>17.310000000004948</v>
      </c>
      <c r="AJ28" s="63">
        <v>48866.49</v>
      </c>
      <c r="AK28" s="130">
        <f t="shared" si="16"/>
        <v>7.180000000000291</v>
      </c>
      <c r="AL28" s="63">
        <v>586.64</v>
      </c>
      <c r="AM28" s="130">
        <f t="shared" si="17"/>
        <v>0.25999999999999091</v>
      </c>
      <c r="AN28" s="63">
        <v>548.32000000000005</v>
      </c>
      <c r="AO28" s="130">
        <f t="shared" si="3"/>
        <v>0.12000000000000455</v>
      </c>
      <c r="AP28" s="125" t="str">
        <f t="shared" si="18"/>
        <v>ME</v>
      </c>
      <c r="AQ28" s="56">
        <v>21</v>
      </c>
      <c r="AR28" s="63">
        <v>6735.76</v>
      </c>
      <c r="AS28" s="130">
        <f t="shared" si="19"/>
        <v>1.6599999999998545</v>
      </c>
      <c r="AT28" s="63">
        <v>7468.17</v>
      </c>
      <c r="AU28" s="130">
        <f t="shared" si="20"/>
        <v>2.180000000000291</v>
      </c>
      <c r="AV28" s="63">
        <v>254.69</v>
      </c>
      <c r="AW28" s="130" t="str">
        <f t="shared" si="21"/>
        <v/>
      </c>
      <c r="AX28" s="63">
        <v>242.12</v>
      </c>
      <c r="AY28" s="130" t="str">
        <f t="shared" si="4"/>
        <v/>
      </c>
      <c r="AZ28" s="125" t="str">
        <f t="shared" si="22"/>
        <v>ME</v>
      </c>
      <c r="BA28" s="56">
        <v>21</v>
      </c>
      <c r="BB28" s="64"/>
      <c r="BC28" s="62"/>
      <c r="BD28" s="61"/>
      <c r="BE28" s="61"/>
      <c r="BF28" s="61"/>
      <c r="BG28" s="61"/>
      <c r="BH28" s="64"/>
      <c r="BI28" s="64"/>
      <c r="BJ28" s="64"/>
      <c r="BK28" s="64"/>
      <c r="BL28" s="64"/>
      <c r="BM28" s="64"/>
      <c r="BN28" s="65" t="str">
        <f t="shared" si="23"/>
        <v>ME</v>
      </c>
      <c r="BO28" s="56">
        <v>21</v>
      </c>
      <c r="BP28" s="64">
        <v>8.5000000000000006E-2</v>
      </c>
      <c r="BQ28" s="62"/>
      <c r="BR28" s="61"/>
      <c r="BS28" s="61"/>
      <c r="BT28" s="61"/>
      <c r="BU28" s="64"/>
      <c r="BV28" s="63">
        <v>1.18</v>
      </c>
      <c r="BW28" s="63">
        <v>1.01</v>
      </c>
      <c r="BX28" s="66" t="s">
        <v>255</v>
      </c>
      <c r="BY28" s="172" t="s">
        <v>246</v>
      </c>
      <c r="BZ28" s="67" t="str">
        <f t="shared" si="24"/>
        <v>ME</v>
      </c>
      <c r="CA28" s="56">
        <v>21</v>
      </c>
      <c r="CB28" s="61">
        <v>92.1</v>
      </c>
      <c r="CC28" s="61"/>
      <c r="CD28" s="68">
        <f t="shared" si="25"/>
        <v>2.0999999999999943</v>
      </c>
      <c r="CE28" s="69">
        <f t="shared" si="26"/>
        <v>9.773956499999974</v>
      </c>
      <c r="CF28" s="69">
        <f t="shared" si="27"/>
        <v>4.9909565106382834</v>
      </c>
      <c r="CG28" s="62">
        <v>57</v>
      </c>
      <c r="CH28" s="62">
        <v>100</v>
      </c>
      <c r="CI28" s="65" t="str">
        <f t="shared" si="28"/>
        <v>ME</v>
      </c>
      <c r="CJ28" s="56">
        <v>21</v>
      </c>
      <c r="CK28" s="61">
        <v>89.9</v>
      </c>
      <c r="CL28" s="61"/>
      <c r="CM28" s="68">
        <f t="shared" si="29"/>
        <v>4.5</v>
      </c>
      <c r="CN28" s="68">
        <f t="shared" si="30"/>
        <v>20.9441925</v>
      </c>
      <c r="CO28" s="68">
        <f t="shared" si="31"/>
        <v>23.394545358497197</v>
      </c>
      <c r="CP28" s="62">
        <v>53</v>
      </c>
      <c r="CQ28" s="62">
        <v>83</v>
      </c>
      <c r="CR28" s="65" t="str">
        <f t="shared" si="32"/>
        <v>ME</v>
      </c>
      <c r="CS28" s="56">
        <v>21</v>
      </c>
      <c r="CT28" s="61">
        <v>107.2</v>
      </c>
      <c r="CU28" s="61"/>
      <c r="CV28" s="68">
        <f t="shared" si="33"/>
        <v>3.7999999999999972</v>
      </c>
      <c r="CW28" s="68">
        <f t="shared" si="34"/>
        <v>25.248111999999978</v>
      </c>
      <c r="CX28" s="69">
        <f t="shared" si="35"/>
        <v>7.0921662921348258E-2</v>
      </c>
      <c r="CY28" s="66" t="s">
        <v>240</v>
      </c>
      <c r="CZ28" s="66" t="s">
        <v>241</v>
      </c>
      <c r="DA28" s="66"/>
      <c r="DB28" s="65" t="str">
        <f t="shared" si="36"/>
        <v>ME</v>
      </c>
      <c r="DC28" s="56">
        <v>21</v>
      </c>
      <c r="DD28" s="61">
        <v>84.5</v>
      </c>
      <c r="DE28" s="61">
        <v>103.7</v>
      </c>
      <c r="DF28" s="68">
        <f t="shared" si="37"/>
        <v>38.5</v>
      </c>
      <c r="DG28" s="69">
        <f t="shared" si="38"/>
        <v>2.0771223088000004</v>
      </c>
      <c r="DH28" s="68">
        <f t="shared" si="39"/>
        <v>5.8346132269662929</v>
      </c>
      <c r="DI28" s="62">
        <v>90</v>
      </c>
      <c r="DJ28" s="62">
        <v>54</v>
      </c>
      <c r="DK28" s="65" t="str">
        <f t="shared" si="40"/>
        <v>ME</v>
      </c>
      <c r="DL28" s="56">
        <v>21</v>
      </c>
      <c r="DM28" s="63">
        <v>8.1</v>
      </c>
      <c r="DN28" s="64">
        <v>0.03</v>
      </c>
      <c r="DO28" s="64">
        <v>0.03</v>
      </c>
      <c r="DP28" s="64">
        <v>6.3E-2</v>
      </c>
      <c r="DQ28" s="63">
        <v>6.84</v>
      </c>
      <c r="DR28" s="61">
        <v>11.1</v>
      </c>
      <c r="DS28" s="64">
        <v>1.1990000000000001</v>
      </c>
      <c r="DT28" s="61">
        <v>84.2</v>
      </c>
      <c r="DU28" s="63">
        <v>4.3</v>
      </c>
      <c r="DV28" s="64">
        <v>1.57</v>
      </c>
      <c r="DW28" s="64">
        <v>1.18</v>
      </c>
      <c r="DX28" s="66" t="s">
        <v>242</v>
      </c>
      <c r="DY28" s="65" t="str">
        <f t="shared" si="41"/>
        <v>ME</v>
      </c>
      <c r="DZ28" s="128">
        <v>21</v>
      </c>
      <c r="EA28" s="173">
        <f t="shared" si="42"/>
        <v>0.23796791443850268</v>
      </c>
      <c r="EB28" s="173">
        <f t="shared" si="43"/>
        <v>0.19044117647058822</v>
      </c>
      <c r="EC28" s="173">
        <f t="shared" si="44"/>
        <v>0.6601123595505618</v>
      </c>
      <c r="ED28" s="63">
        <v>0.99</v>
      </c>
      <c r="EE28" s="63">
        <v>1.24</v>
      </c>
      <c r="EF28" s="63">
        <v>0.05</v>
      </c>
      <c r="EG28" s="63">
        <v>0.13</v>
      </c>
      <c r="EH28" s="127" t="str">
        <f t="shared" si="5"/>
        <v>ME</v>
      </c>
      <c r="EI28" s="56">
        <v>21</v>
      </c>
      <c r="EJ28" s="334"/>
      <c r="EK28" s="334"/>
      <c r="EL28" s="334"/>
      <c r="EM28" s="334"/>
      <c r="EN28" s="334"/>
      <c r="EO28" s="334"/>
      <c r="EP28" s="334"/>
      <c r="EQ28" s="65" t="str">
        <f t="shared" si="45"/>
        <v>ME</v>
      </c>
      <c r="ER28" s="20"/>
      <c r="ES28" s="20"/>
      <c r="ET28" s="20"/>
      <c r="EU28" s="20"/>
      <c r="EV28" s="20"/>
      <c r="EW28" s="20"/>
      <c r="EX28" s="20"/>
    </row>
    <row r="29" spans="1:154" s="3" customFormat="1" ht="17.149999999999999" customHeight="1" x14ac:dyDescent="0.35">
      <c r="A29" s="56">
        <v>22</v>
      </c>
      <c r="B29" s="57">
        <v>886294</v>
      </c>
      <c r="C29" s="58">
        <f t="shared" si="6"/>
        <v>282</v>
      </c>
      <c r="D29" s="167">
        <v>9.41</v>
      </c>
      <c r="E29" s="59">
        <v>790347</v>
      </c>
      <c r="F29" s="58">
        <f t="shared" si="7"/>
        <v>240</v>
      </c>
      <c r="G29" s="168">
        <v>3.49</v>
      </c>
      <c r="H29" s="57">
        <v>749068</v>
      </c>
      <c r="I29" s="58">
        <f t="shared" si="0"/>
        <v>194</v>
      </c>
      <c r="J29" s="60" t="s">
        <v>194</v>
      </c>
      <c r="K29" s="56">
        <v>22</v>
      </c>
      <c r="L29" s="57">
        <v>69424</v>
      </c>
      <c r="M29" s="58">
        <f t="shared" si="8"/>
        <v>49</v>
      </c>
      <c r="N29" s="59">
        <v>176052</v>
      </c>
      <c r="O29" s="58">
        <f t="shared" si="9"/>
        <v>48</v>
      </c>
      <c r="P29" s="57">
        <v>194749</v>
      </c>
      <c r="Q29" s="169" t="str">
        <f t="shared" si="1"/>
        <v/>
      </c>
      <c r="R29" s="57">
        <v>673</v>
      </c>
      <c r="S29" s="57">
        <v>680</v>
      </c>
      <c r="T29" s="57">
        <v>140</v>
      </c>
      <c r="U29" s="57">
        <v>137</v>
      </c>
      <c r="V29" s="58" t="str">
        <f t="shared" si="10"/>
        <v>ME</v>
      </c>
      <c r="W29" s="56">
        <v>22</v>
      </c>
      <c r="X29" s="63">
        <v>11695.88</v>
      </c>
      <c r="Y29" s="130">
        <f t="shared" si="11"/>
        <v>4.4800000000013824</v>
      </c>
      <c r="Z29" s="63">
        <v>12469.65</v>
      </c>
      <c r="AA29" s="130">
        <f t="shared" si="12"/>
        <v>4.3299999999999272</v>
      </c>
      <c r="AB29" s="63">
        <v>9841.09</v>
      </c>
      <c r="AC29" s="130">
        <f t="shared" si="13"/>
        <v>3.6199999999989814</v>
      </c>
      <c r="AD29" s="63">
        <v>9931.36</v>
      </c>
      <c r="AE29" s="130">
        <f t="shared" si="2"/>
        <v>1.7399999999997817</v>
      </c>
      <c r="AF29" s="125" t="str">
        <f t="shared" si="14"/>
        <v>ME</v>
      </c>
      <c r="AG29" s="56">
        <v>22</v>
      </c>
      <c r="AH29" s="63">
        <v>46742.94</v>
      </c>
      <c r="AI29" s="130">
        <f t="shared" si="15"/>
        <v>7.0099999999947613</v>
      </c>
      <c r="AJ29" s="63">
        <v>48873.67</v>
      </c>
      <c r="AK29" s="130">
        <f t="shared" si="16"/>
        <v>16.830000000001746</v>
      </c>
      <c r="AL29" s="63">
        <v>586.9</v>
      </c>
      <c r="AM29" s="130">
        <f t="shared" si="17"/>
        <v>7.0000000000050022E-2</v>
      </c>
      <c r="AN29" s="63">
        <v>548.44000000000005</v>
      </c>
      <c r="AO29" s="130">
        <f t="shared" si="3"/>
        <v>5.999999999994543E-2</v>
      </c>
      <c r="AP29" s="125" t="str">
        <f t="shared" si="18"/>
        <v>ME</v>
      </c>
      <c r="AQ29" s="56">
        <v>22</v>
      </c>
      <c r="AR29" s="63">
        <v>6737.42</v>
      </c>
      <c r="AS29" s="130">
        <f t="shared" si="19"/>
        <v>1.2600000000002183</v>
      </c>
      <c r="AT29" s="63">
        <v>7470.35</v>
      </c>
      <c r="AU29" s="130">
        <f t="shared" si="20"/>
        <v>1.3999999999996362</v>
      </c>
      <c r="AV29" s="63">
        <v>254.69</v>
      </c>
      <c r="AW29" s="130" t="str">
        <f t="shared" si="21"/>
        <v/>
      </c>
      <c r="AX29" s="63">
        <v>242.12</v>
      </c>
      <c r="AY29" s="130">
        <f t="shared" si="4"/>
        <v>0.34000000000000341</v>
      </c>
      <c r="AZ29" s="125" t="str">
        <f t="shared" si="22"/>
        <v>ME</v>
      </c>
      <c r="BA29" s="56">
        <v>22</v>
      </c>
      <c r="BB29" s="64"/>
      <c r="BC29" s="62"/>
      <c r="BD29" s="61"/>
      <c r="BE29" s="61"/>
      <c r="BF29" s="61"/>
      <c r="BG29" s="61"/>
      <c r="BH29" s="64"/>
      <c r="BI29" s="64"/>
      <c r="BJ29" s="64"/>
      <c r="BK29" s="64"/>
      <c r="BL29" s="64"/>
      <c r="BM29" s="64"/>
      <c r="BN29" s="65" t="str">
        <f t="shared" si="23"/>
        <v>ME</v>
      </c>
      <c r="BO29" s="56">
        <v>22</v>
      </c>
      <c r="BP29" s="64">
        <v>9.8000000000000004E-2</v>
      </c>
      <c r="BQ29" s="62"/>
      <c r="BR29" s="61"/>
      <c r="BS29" s="61"/>
      <c r="BT29" s="61"/>
      <c r="BU29" s="64"/>
      <c r="BV29" s="63">
        <v>1.21</v>
      </c>
      <c r="BW29" s="63">
        <v>1.05</v>
      </c>
      <c r="BX29" s="66" t="s">
        <v>287</v>
      </c>
      <c r="BY29" s="172" t="s">
        <v>246</v>
      </c>
      <c r="BZ29" s="67" t="str">
        <f t="shared" si="24"/>
        <v>ME</v>
      </c>
      <c r="CA29" s="56">
        <v>22</v>
      </c>
      <c r="CB29" s="61">
        <v>90</v>
      </c>
      <c r="CC29" s="61"/>
      <c r="CD29" s="68">
        <f t="shared" si="25"/>
        <v>1.5999999999999943</v>
      </c>
      <c r="CE29" s="69">
        <f t="shared" si="26"/>
        <v>7.4468239999999746</v>
      </c>
      <c r="CF29" s="69">
        <f t="shared" si="27"/>
        <v>4.6062828865979224</v>
      </c>
      <c r="CG29" s="62">
        <v>60</v>
      </c>
      <c r="CH29" s="62">
        <v>100</v>
      </c>
      <c r="CI29" s="65" t="str">
        <f t="shared" si="28"/>
        <v>ME</v>
      </c>
      <c r="CJ29" s="56">
        <v>22</v>
      </c>
      <c r="CK29" s="61">
        <v>85.4</v>
      </c>
      <c r="CL29" s="61"/>
      <c r="CM29" s="68">
        <f t="shared" si="29"/>
        <v>3.6000000000000085</v>
      </c>
      <c r="CN29" s="68">
        <f t="shared" si="30"/>
        <v>16.75535400000004</v>
      </c>
      <c r="CO29" s="68">
        <f t="shared" si="31"/>
        <v>23.626831624468142</v>
      </c>
      <c r="CP29" s="62">
        <v>53</v>
      </c>
      <c r="CQ29" s="62">
        <v>83</v>
      </c>
      <c r="CR29" s="65" t="str">
        <f t="shared" si="32"/>
        <v>ME</v>
      </c>
      <c r="CS29" s="56">
        <v>22</v>
      </c>
      <c r="CT29" s="61">
        <v>103.4</v>
      </c>
      <c r="CU29" s="61"/>
      <c r="CV29" s="68">
        <f t="shared" si="33"/>
        <v>3.1000000000000085</v>
      </c>
      <c r="CW29" s="68">
        <f t="shared" si="34"/>
        <v>20.597144000000053</v>
      </c>
      <c r="CX29" s="69">
        <f t="shared" si="35"/>
        <v>7.3039517730496648E-2</v>
      </c>
      <c r="CY29" s="66" t="s">
        <v>240</v>
      </c>
      <c r="CZ29" s="66" t="s">
        <v>241</v>
      </c>
      <c r="DA29" s="66"/>
      <c r="DB29" s="65" t="str">
        <f t="shared" si="36"/>
        <v>ME</v>
      </c>
      <c r="DC29" s="56">
        <v>22</v>
      </c>
      <c r="DD29" s="61">
        <v>65.2</v>
      </c>
      <c r="DE29" s="61">
        <v>103.9</v>
      </c>
      <c r="DF29" s="68">
        <f t="shared" si="37"/>
        <v>23.400000000000006</v>
      </c>
      <c r="DG29" s="69">
        <f t="shared" si="38"/>
        <v>1.2624587539200003</v>
      </c>
      <c r="DH29" s="68">
        <f t="shared" si="39"/>
        <v>4.4768040919148948</v>
      </c>
      <c r="DI29" s="62">
        <v>90</v>
      </c>
      <c r="DJ29" s="62">
        <v>54</v>
      </c>
      <c r="DK29" s="65" t="str">
        <f t="shared" si="40"/>
        <v>ME</v>
      </c>
      <c r="DL29" s="56">
        <v>22</v>
      </c>
      <c r="DM29" s="63">
        <v>8.0500000000000007</v>
      </c>
      <c r="DN29" s="64">
        <v>2.5999999999999999E-2</v>
      </c>
      <c r="DO29" s="64">
        <v>0.03</v>
      </c>
      <c r="DP29" s="64">
        <v>6.5000000000000002E-2</v>
      </c>
      <c r="DQ29" s="63">
        <v>6.83</v>
      </c>
      <c r="DR29" s="61">
        <v>11.2</v>
      </c>
      <c r="DS29" s="64">
        <v>1.218</v>
      </c>
      <c r="DT29" s="61">
        <v>85.2</v>
      </c>
      <c r="DU29" s="63">
        <v>4.32</v>
      </c>
      <c r="DV29" s="64">
        <v>3.9089999999999998</v>
      </c>
      <c r="DW29" s="64">
        <v>1.96</v>
      </c>
      <c r="DX29" s="66" t="s">
        <v>242</v>
      </c>
      <c r="DY29" s="65" t="str">
        <f t="shared" si="41"/>
        <v>ME</v>
      </c>
      <c r="DZ29" s="128">
        <v>22</v>
      </c>
      <c r="EA29" s="173">
        <f t="shared" si="42"/>
        <v>0.18850267379679145</v>
      </c>
      <c r="EB29" s="173">
        <f t="shared" si="43"/>
        <v>0.17647058823529413</v>
      </c>
      <c r="EC29" s="173">
        <f t="shared" si="44"/>
        <v>0.68794326241134751</v>
      </c>
      <c r="ED29" s="63">
        <v>0.92</v>
      </c>
      <c r="EE29" s="63">
        <v>1.25</v>
      </c>
      <c r="EF29" s="63">
        <v>0.05</v>
      </c>
      <c r="EG29" s="63">
        <v>0.09</v>
      </c>
      <c r="EH29" s="127" t="str">
        <f t="shared" si="5"/>
        <v>ME</v>
      </c>
      <c r="EI29" s="56">
        <v>22</v>
      </c>
      <c r="EJ29" s="334" t="s">
        <v>357</v>
      </c>
      <c r="EK29" s="334"/>
      <c r="EL29" s="334"/>
      <c r="EM29" s="334"/>
      <c r="EN29" s="334"/>
      <c r="EO29" s="334"/>
      <c r="EP29" s="334"/>
      <c r="EQ29" s="65" t="str">
        <f t="shared" si="45"/>
        <v>ME</v>
      </c>
      <c r="ER29" s="20"/>
      <c r="ES29" s="20"/>
      <c r="ET29" s="20"/>
      <c r="EU29" s="20"/>
      <c r="EV29" s="20"/>
      <c r="EW29" s="20"/>
      <c r="EX29" s="20"/>
    </row>
    <row r="30" spans="1:154" s="3" customFormat="1" ht="17.149999999999999" customHeight="1" x14ac:dyDescent="0.35">
      <c r="A30" s="56">
        <v>23</v>
      </c>
      <c r="B30" s="57">
        <v>886576</v>
      </c>
      <c r="C30" s="58">
        <f t="shared" si="6"/>
        <v>233</v>
      </c>
      <c r="D30" s="167">
        <v>9.42</v>
      </c>
      <c r="E30" s="59">
        <v>790587</v>
      </c>
      <c r="F30" s="58">
        <f t="shared" si="7"/>
        <v>239</v>
      </c>
      <c r="G30" s="168">
        <v>1</v>
      </c>
      <c r="H30" s="57">
        <v>749262</v>
      </c>
      <c r="I30" s="58">
        <f t="shared" si="0"/>
        <v>204</v>
      </c>
      <c r="J30" s="60" t="s">
        <v>194</v>
      </c>
      <c r="K30" s="56">
        <v>23</v>
      </c>
      <c r="L30" s="57">
        <v>69473</v>
      </c>
      <c r="M30" s="58" t="str">
        <f t="shared" si="8"/>
        <v/>
      </c>
      <c r="N30" s="59">
        <v>176100</v>
      </c>
      <c r="O30" s="58">
        <f t="shared" si="9"/>
        <v>54</v>
      </c>
      <c r="P30" s="57">
        <v>194749</v>
      </c>
      <c r="Q30" s="169" t="str">
        <f t="shared" si="1"/>
        <v/>
      </c>
      <c r="R30" s="57">
        <v>673</v>
      </c>
      <c r="S30" s="57">
        <v>681</v>
      </c>
      <c r="T30" s="57">
        <v>140</v>
      </c>
      <c r="U30" s="57">
        <v>138</v>
      </c>
      <c r="V30" s="58" t="str">
        <f t="shared" si="10"/>
        <v>ME</v>
      </c>
      <c r="W30" s="56">
        <v>23</v>
      </c>
      <c r="X30" s="63">
        <v>11700.36</v>
      </c>
      <c r="Y30" s="130">
        <f t="shared" si="11"/>
        <v>2.430000000000291</v>
      </c>
      <c r="Z30" s="63">
        <v>12473.98</v>
      </c>
      <c r="AA30" s="130">
        <f t="shared" si="12"/>
        <v>4.4200000000000728</v>
      </c>
      <c r="AB30" s="63">
        <v>9844.7099999999991</v>
      </c>
      <c r="AC30" s="130">
        <f t="shared" si="13"/>
        <v>1.930000000000291</v>
      </c>
      <c r="AD30" s="63">
        <v>9933.1</v>
      </c>
      <c r="AE30" s="130">
        <f t="shared" si="2"/>
        <v>3.4899999999997817</v>
      </c>
      <c r="AF30" s="125" t="str">
        <f t="shared" si="14"/>
        <v>ME</v>
      </c>
      <c r="AG30" s="56">
        <v>23</v>
      </c>
      <c r="AH30" s="63">
        <v>46749.95</v>
      </c>
      <c r="AI30" s="130">
        <f t="shared" si="15"/>
        <v>17</v>
      </c>
      <c r="AJ30" s="63">
        <v>48890.5</v>
      </c>
      <c r="AK30" s="130">
        <f t="shared" si="16"/>
        <v>9.7300000000032014</v>
      </c>
      <c r="AL30" s="63">
        <v>586.97</v>
      </c>
      <c r="AM30" s="130" t="str">
        <f t="shared" si="17"/>
        <v/>
      </c>
      <c r="AN30" s="63">
        <v>548.5</v>
      </c>
      <c r="AO30" s="130" t="str">
        <f t="shared" si="3"/>
        <v/>
      </c>
      <c r="AP30" s="125" t="str">
        <f t="shared" si="18"/>
        <v>ME</v>
      </c>
      <c r="AQ30" s="56">
        <v>23</v>
      </c>
      <c r="AR30" s="63">
        <v>6738.68</v>
      </c>
      <c r="AS30" s="130">
        <f t="shared" si="19"/>
        <v>1.7299999999995634</v>
      </c>
      <c r="AT30" s="63">
        <v>7471.75</v>
      </c>
      <c r="AU30" s="130">
        <f t="shared" si="20"/>
        <v>2.430000000000291</v>
      </c>
      <c r="AV30" s="63">
        <v>254.69</v>
      </c>
      <c r="AW30" s="130" t="str">
        <f t="shared" si="21"/>
        <v/>
      </c>
      <c r="AX30" s="63">
        <v>242.46</v>
      </c>
      <c r="AY30" s="130" t="str">
        <f t="shared" si="4"/>
        <v/>
      </c>
      <c r="AZ30" s="125" t="str">
        <f t="shared" si="22"/>
        <v>ME</v>
      </c>
      <c r="BA30" s="56">
        <v>23</v>
      </c>
      <c r="BB30" s="64"/>
      <c r="BC30" s="62"/>
      <c r="BD30" s="61"/>
      <c r="BE30" s="61"/>
      <c r="BF30" s="61"/>
      <c r="BG30" s="61"/>
      <c r="BH30" s="64"/>
      <c r="BI30" s="64"/>
      <c r="BJ30" s="64"/>
      <c r="BK30" s="64"/>
      <c r="BL30" s="64"/>
      <c r="BM30" s="64"/>
      <c r="BN30" s="65" t="str">
        <f t="shared" si="23"/>
        <v>ME</v>
      </c>
      <c r="BO30" s="56">
        <v>23</v>
      </c>
      <c r="BP30" s="64">
        <v>8.3000000000000004E-2</v>
      </c>
      <c r="BQ30" s="62"/>
      <c r="BR30" s="61"/>
      <c r="BS30" s="61"/>
      <c r="BT30" s="61"/>
      <c r="BU30" s="64"/>
      <c r="BV30" s="63">
        <v>1.2</v>
      </c>
      <c r="BW30" s="63">
        <v>0.93</v>
      </c>
      <c r="BX30" s="66" t="s">
        <v>287</v>
      </c>
      <c r="BY30" s="172" t="s">
        <v>246</v>
      </c>
      <c r="BZ30" s="67" t="str">
        <f t="shared" si="24"/>
        <v>ME</v>
      </c>
      <c r="CA30" s="56">
        <v>23</v>
      </c>
      <c r="CB30" s="61">
        <v>88.4</v>
      </c>
      <c r="CC30" s="61"/>
      <c r="CD30" s="68">
        <f t="shared" si="25"/>
        <v>1.5</v>
      </c>
      <c r="CE30" s="69">
        <f t="shared" si="26"/>
        <v>6.9813975000000008</v>
      </c>
      <c r="CF30" s="69">
        <f t="shared" si="27"/>
        <v>4.1067044117647065</v>
      </c>
      <c r="CG30" s="62">
        <v>57</v>
      </c>
      <c r="CH30" s="62">
        <v>100</v>
      </c>
      <c r="CI30" s="65" t="str">
        <f t="shared" si="28"/>
        <v>ME</v>
      </c>
      <c r="CJ30" s="56">
        <v>23</v>
      </c>
      <c r="CK30" s="61">
        <v>81.8</v>
      </c>
      <c r="CL30" s="61"/>
      <c r="CM30" s="68">
        <f t="shared" si="29"/>
        <v>3.0999999999999943</v>
      </c>
      <c r="CN30" s="68">
        <f t="shared" si="30"/>
        <v>14.428221499999974</v>
      </c>
      <c r="CO30" s="68">
        <f t="shared" si="31"/>
        <v>24.623958281008544</v>
      </c>
      <c r="CP30" s="62">
        <v>53</v>
      </c>
      <c r="CQ30" s="62">
        <v>83</v>
      </c>
      <c r="CR30" s="65" t="str">
        <f t="shared" si="32"/>
        <v>ME</v>
      </c>
      <c r="CS30" s="56">
        <v>23</v>
      </c>
      <c r="CT30" s="61">
        <v>100.3</v>
      </c>
      <c r="CU30" s="61"/>
      <c r="CV30" s="68">
        <f t="shared" si="33"/>
        <v>2.3999999999999915</v>
      </c>
      <c r="CW30" s="68">
        <f t="shared" si="34"/>
        <v>15.946175999999943</v>
      </c>
      <c r="CX30" s="69">
        <f t="shared" si="35"/>
        <v>6.8438523605149973E-2</v>
      </c>
      <c r="CY30" s="66" t="s">
        <v>240</v>
      </c>
      <c r="CZ30" s="66" t="s">
        <v>241</v>
      </c>
      <c r="DA30" s="66"/>
      <c r="DB30" s="65" t="str">
        <f t="shared" si="36"/>
        <v>ME</v>
      </c>
      <c r="DC30" s="56">
        <v>23</v>
      </c>
      <c r="DD30" s="61">
        <v>80.5</v>
      </c>
      <c r="DE30" s="61">
        <v>105</v>
      </c>
      <c r="DF30" s="68">
        <f t="shared" si="37"/>
        <v>23.299999999999997</v>
      </c>
      <c r="DG30" s="69">
        <f t="shared" si="38"/>
        <v>1.2570636310400001</v>
      </c>
      <c r="DH30" s="68">
        <f t="shared" si="39"/>
        <v>5.3951228799999997</v>
      </c>
      <c r="DI30" s="62">
        <v>90</v>
      </c>
      <c r="DJ30" s="62">
        <v>54</v>
      </c>
      <c r="DK30" s="65" t="str">
        <f t="shared" si="40"/>
        <v>ME</v>
      </c>
      <c r="DL30" s="56">
        <v>23</v>
      </c>
      <c r="DM30" s="63">
        <v>8.07</v>
      </c>
      <c r="DN30" s="64">
        <v>2.8000000000000001E-2</v>
      </c>
      <c r="DO30" s="64">
        <v>3.2000000000000001E-2</v>
      </c>
      <c r="DP30" s="64">
        <v>6.4000000000000001E-2</v>
      </c>
      <c r="DQ30" s="63">
        <v>6.83</v>
      </c>
      <c r="DR30" s="61">
        <v>11.4</v>
      </c>
      <c r="DS30" s="64">
        <v>1.2490000000000001</v>
      </c>
      <c r="DT30" s="61">
        <v>86.2</v>
      </c>
      <c r="DU30" s="63">
        <v>4.28</v>
      </c>
      <c r="DV30" s="64">
        <v>1.875</v>
      </c>
      <c r="DW30" s="64">
        <v>1.35</v>
      </c>
      <c r="DX30" s="66" t="s">
        <v>242</v>
      </c>
      <c r="DY30" s="65" t="str">
        <f t="shared" si="41"/>
        <v>ME</v>
      </c>
      <c r="DZ30" s="128">
        <v>23</v>
      </c>
      <c r="EA30" s="173">
        <f t="shared" si="42"/>
        <v>0.15574866310160429</v>
      </c>
      <c r="EB30" s="173">
        <f t="shared" si="43"/>
        <v>0.17573529411764705</v>
      </c>
      <c r="EC30" s="173">
        <f t="shared" si="44"/>
        <v>0.87553648068669532</v>
      </c>
      <c r="ED30" s="63">
        <v>1.1499999999999999</v>
      </c>
      <c r="EE30" s="63">
        <v>1.27</v>
      </c>
      <c r="EF30" s="63">
        <v>0.04</v>
      </c>
      <c r="EG30" s="63">
        <v>0.09</v>
      </c>
      <c r="EH30" s="127" t="str">
        <f t="shared" si="5"/>
        <v>ME</v>
      </c>
      <c r="EI30" s="56">
        <v>23</v>
      </c>
      <c r="EJ30" s="334"/>
      <c r="EK30" s="334"/>
      <c r="EL30" s="334"/>
      <c r="EM30" s="334"/>
      <c r="EN30" s="334"/>
      <c r="EO30" s="334"/>
      <c r="EP30" s="334"/>
      <c r="EQ30" s="65" t="str">
        <f t="shared" si="45"/>
        <v>ME</v>
      </c>
      <c r="ER30" s="20"/>
      <c r="ES30" s="20"/>
      <c r="ET30" s="20"/>
      <c r="EU30" s="20"/>
      <c r="EV30" s="20"/>
      <c r="EW30" s="20"/>
      <c r="EX30" s="20"/>
    </row>
    <row r="31" spans="1:154" s="3" customFormat="1" ht="17.149999999999999" customHeight="1" x14ac:dyDescent="0.35">
      <c r="A31" s="56">
        <v>24</v>
      </c>
      <c r="B31" s="57">
        <v>886809</v>
      </c>
      <c r="C31" s="58">
        <f t="shared" si="6"/>
        <v>99</v>
      </c>
      <c r="D31" s="167">
        <v>9.02</v>
      </c>
      <c r="E31" s="59">
        <v>790826</v>
      </c>
      <c r="F31" s="58">
        <f t="shared" si="7"/>
        <v>210</v>
      </c>
      <c r="G31" s="168">
        <v>3.31</v>
      </c>
      <c r="H31" s="57">
        <v>749466</v>
      </c>
      <c r="I31" s="58">
        <f t="shared" si="0"/>
        <v>88</v>
      </c>
      <c r="J31" s="60" t="s">
        <v>194</v>
      </c>
      <c r="K31" s="56">
        <v>24</v>
      </c>
      <c r="L31" s="57">
        <v>69473</v>
      </c>
      <c r="M31" s="58" t="str">
        <f t="shared" si="8"/>
        <v/>
      </c>
      <c r="N31" s="59">
        <v>176154</v>
      </c>
      <c r="O31" s="58">
        <f t="shared" si="9"/>
        <v>39</v>
      </c>
      <c r="P31" s="57">
        <v>194749</v>
      </c>
      <c r="Q31" s="169" t="str">
        <f t="shared" si="1"/>
        <v/>
      </c>
      <c r="R31" s="57">
        <v>673</v>
      </c>
      <c r="S31" s="57">
        <v>681</v>
      </c>
      <c r="T31" s="57">
        <v>140</v>
      </c>
      <c r="U31" s="57">
        <v>138</v>
      </c>
      <c r="V31" s="58" t="str">
        <f t="shared" si="10"/>
        <v>ME</v>
      </c>
      <c r="W31" s="56">
        <v>24</v>
      </c>
      <c r="X31" s="63">
        <v>11702.79</v>
      </c>
      <c r="Y31" s="130" t="str">
        <f t="shared" si="11"/>
        <v/>
      </c>
      <c r="Z31" s="63">
        <v>12478.4</v>
      </c>
      <c r="AA31" s="130">
        <f t="shared" si="12"/>
        <v>2.9600000000009459</v>
      </c>
      <c r="AB31" s="63">
        <v>9846.64</v>
      </c>
      <c r="AC31" s="130">
        <f t="shared" si="13"/>
        <v>2.0000000000436557E-2</v>
      </c>
      <c r="AD31" s="63">
        <v>9936.59</v>
      </c>
      <c r="AE31" s="130">
        <f t="shared" si="2"/>
        <v>2.3299999999999272</v>
      </c>
      <c r="AF31" s="125" t="str">
        <f t="shared" si="14"/>
        <v>ME</v>
      </c>
      <c r="AG31" s="56">
        <v>24</v>
      </c>
      <c r="AH31" s="63">
        <v>46766.95</v>
      </c>
      <c r="AI31" s="130">
        <f t="shared" si="15"/>
        <v>14.720000000001164</v>
      </c>
      <c r="AJ31" s="63">
        <v>48900.23</v>
      </c>
      <c r="AK31" s="130">
        <f t="shared" si="16"/>
        <v>14.239999999997963</v>
      </c>
      <c r="AL31" s="63">
        <v>586.97</v>
      </c>
      <c r="AM31" s="130" t="str">
        <f t="shared" si="17"/>
        <v/>
      </c>
      <c r="AN31" s="63">
        <v>548.5</v>
      </c>
      <c r="AO31" s="130" t="str">
        <f t="shared" si="3"/>
        <v/>
      </c>
      <c r="AP31" s="125" t="str">
        <f t="shared" si="18"/>
        <v>ME</v>
      </c>
      <c r="AQ31" s="56">
        <v>24</v>
      </c>
      <c r="AR31" s="63">
        <v>6740.41</v>
      </c>
      <c r="AS31" s="130">
        <f t="shared" si="19"/>
        <v>1.6100000000005821</v>
      </c>
      <c r="AT31" s="63">
        <v>7474.18</v>
      </c>
      <c r="AU31" s="130">
        <f t="shared" si="20"/>
        <v>1.9799999999995634</v>
      </c>
      <c r="AV31" s="63">
        <v>254.69</v>
      </c>
      <c r="AW31" s="130" t="str">
        <f t="shared" si="21"/>
        <v/>
      </c>
      <c r="AX31" s="63">
        <v>242.46</v>
      </c>
      <c r="AY31" s="130" t="str">
        <f t="shared" si="4"/>
        <v/>
      </c>
      <c r="AZ31" s="125" t="str">
        <f t="shared" si="22"/>
        <v>ME</v>
      </c>
      <c r="BA31" s="56">
        <v>24</v>
      </c>
      <c r="BB31" s="64">
        <v>0.85299999999999998</v>
      </c>
      <c r="BC31" s="62">
        <v>27</v>
      </c>
      <c r="BD31" s="61">
        <v>7.2</v>
      </c>
      <c r="BE31" s="61">
        <v>12.9</v>
      </c>
      <c r="BF31" s="61">
        <v>16.2</v>
      </c>
      <c r="BG31" s="61">
        <v>7.2</v>
      </c>
      <c r="BH31" s="64">
        <v>0.26900000000000002</v>
      </c>
      <c r="BI31" s="64">
        <v>0.249</v>
      </c>
      <c r="BJ31" s="64">
        <v>6.2E-2</v>
      </c>
      <c r="BK31" s="64">
        <v>6.4000000000000001E-2</v>
      </c>
      <c r="BL31" s="64">
        <v>5.8000000000000003E-2</v>
      </c>
      <c r="BM31" s="64">
        <v>5.3999999999999999E-2</v>
      </c>
      <c r="BN31" s="65" t="str">
        <f t="shared" si="23"/>
        <v>ME</v>
      </c>
      <c r="BO31" s="56">
        <v>24</v>
      </c>
      <c r="BP31" s="64">
        <v>8.2000000000000003E-2</v>
      </c>
      <c r="BQ31" s="62">
        <v>0</v>
      </c>
      <c r="BR31" s="61">
        <v>6.9</v>
      </c>
      <c r="BS31" s="61">
        <v>11.5</v>
      </c>
      <c r="BT31" s="61">
        <v>18.3</v>
      </c>
      <c r="BU31" s="64">
        <v>1.4999999999999999E-2</v>
      </c>
      <c r="BV31" s="63">
        <v>1.23</v>
      </c>
      <c r="BW31" s="63">
        <v>1.06</v>
      </c>
      <c r="BX31" s="66" t="s">
        <v>245</v>
      </c>
      <c r="BY31" s="172" t="s">
        <v>246</v>
      </c>
      <c r="BZ31" s="67" t="str">
        <f t="shared" si="24"/>
        <v>ME</v>
      </c>
      <c r="CA31" s="56">
        <v>24</v>
      </c>
      <c r="CB31" s="61">
        <v>86.9</v>
      </c>
      <c r="CC31" s="61">
        <v>97.8</v>
      </c>
      <c r="CD31" s="68">
        <f t="shared" si="25"/>
        <v>0.79999999999999716</v>
      </c>
      <c r="CE31" s="69">
        <f t="shared" si="26"/>
        <v>3.7234119999999873</v>
      </c>
      <c r="CF31" s="69">
        <f t="shared" si="27"/>
        <v>5.0773799999999829</v>
      </c>
      <c r="CG31" s="62">
        <v>57</v>
      </c>
      <c r="CH31" s="62">
        <v>100</v>
      </c>
      <c r="CI31" s="65" t="str">
        <f t="shared" si="28"/>
        <v>ME</v>
      </c>
      <c r="CJ31" s="56">
        <v>24</v>
      </c>
      <c r="CK31" s="61">
        <v>78.7</v>
      </c>
      <c r="CL31" s="61">
        <v>98.6</v>
      </c>
      <c r="CM31" s="68">
        <f t="shared" si="29"/>
        <v>1.2999999999999972</v>
      </c>
      <c r="CN31" s="68">
        <f t="shared" si="30"/>
        <v>6.0505444999999876</v>
      </c>
      <c r="CO31" s="68">
        <f t="shared" si="31"/>
        <v>24.303020408333285</v>
      </c>
      <c r="CP31" s="62">
        <v>52</v>
      </c>
      <c r="CQ31" s="62">
        <v>83</v>
      </c>
      <c r="CR31" s="65" t="str">
        <f t="shared" si="32"/>
        <v>ME</v>
      </c>
      <c r="CS31" s="56">
        <v>24</v>
      </c>
      <c r="CT31" s="61">
        <v>97.9</v>
      </c>
      <c r="CU31" s="61"/>
      <c r="CV31" s="68">
        <f t="shared" si="33"/>
        <v>1.2000000000000028</v>
      </c>
      <c r="CW31" s="68">
        <f t="shared" si="34"/>
        <v>7.9730880000000193</v>
      </c>
      <c r="CX31" s="69">
        <f t="shared" si="35"/>
        <v>8.0536242424242621E-2</v>
      </c>
      <c r="CY31" s="66" t="s">
        <v>240</v>
      </c>
      <c r="CZ31" s="66" t="s">
        <v>241</v>
      </c>
      <c r="DA31" s="66"/>
      <c r="DB31" s="65" t="str">
        <f t="shared" si="36"/>
        <v>ME</v>
      </c>
      <c r="DC31" s="56">
        <v>24</v>
      </c>
      <c r="DD31" s="61">
        <v>81.7</v>
      </c>
      <c r="DE31" s="61">
        <v>102.1</v>
      </c>
      <c r="DF31" s="68">
        <f t="shared" si="37"/>
        <v>10.299999999999997</v>
      </c>
      <c r="DG31" s="69">
        <f t="shared" si="38"/>
        <v>0.55569765663999993</v>
      </c>
      <c r="DH31" s="68">
        <f t="shared" si="39"/>
        <v>5.6131076428282816</v>
      </c>
      <c r="DI31" s="62">
        <v>88</v>
      </c>
      <c r="DJ31" s="62">
        <v>54</v>
      </c>
      <c r="DK31" s="65" t="str">
        <f t="shared" si="40"/>
        <v>ME</v>
      </c>
      <c r="DL31" s="56">
        <v>24</v>
      </c>
      <c r="DM31" s="63">
        <v>8.09</v>
      </c>
      <c r="DN31" s="64">
        <v>2.5000000000000001E-2</v>
      </c>
      <c r="DO31" s="64">
        <v>3.1E-2</v>
      </c>
      <c r="DP31" s="64">
        <v>6.3E-2</v>
      </c>
      <c r="DQ31" s="63">
        <v>6.82</v>
      </c>
      <c r="DR31" s="61">
        <v>11.5</v>
      </c>
      <c r="DS31" s="64">
        <v>1.2509999999999999</v>
      </c>
      <c r="DT31" s="61">
        <v>86.2</v>
      </c>
      <c r="DU31" s="63">
        <v>4.3</v>
      </c>
      <c r="DV31" s="64">
        <v>1.145</v>
      </c>
      <c r="DW31" s="64">
        <v>1.43</v>
      </c>
      <c r="DX31" s="66" t="s">
        <v>242</v>
      </c>
      <c r="DY31" s="65" t="str">
        <f t="shared" si="41"/>
        <v>ME</v>
      </c>
      <c r="DZ31" s="128">
        <v>24</v>
      </c>
      <c r="EA31" s="173">
        <f t="shared" si="42"/>
        <v>6.6176470588235295E-2</v>
      </c>
      <c r="EB31" s="173">
        <f t="shared" si="43"/>
        <v>0.15441176470588236</v>
      </c>
      <c r="EC31" s="173">
        <f t="shared" si="44"/>
        <v>0.88888888888888884</v>
      </c>
      <c r="ED31" s="284">
        <v>0</v>
      </c>
      <c r="EE31" s="284">
        <v>5.63</v>
      </c>
      <c r="EF31" s="63">
        <v>0.04</v>
      </c>
      <c r="EG31" s="63">
        <v>0.22</v>
      </c>
      <c r="EH31" s="127" t="str">
        <f t="shared" si="5"/>
        <v>ME</v>
      </c>
      <c r="EI31" s="56">
        <v>24</v>
      </c>
      <c r="EJ31" s="334" t="s">
        <v>359</v>
      </c>
      <c r="EK31" s="334"/>
      <c r="EL31" s="334"/>
      <c r="EM31" s="334"/>
      <c r="EN31" s="334"/>
      <c r="EO31" s="334"/>
      <c r="EP31" s="334"/>
      <c r="EQ31" s="65" t="str">
        <f t="shared" si="45"/>
        <v>ME</v>
      </c>
      <c r="ER31" s="20"/>
      <c r="ES31" s="20"/>
      <c r="ET31" s="20"/>
      <c r="EU31" s="20"/>
      <c r="EV31" s="20"/>
      <c r="EW31" s="20"/>
      <c r="EX31" s="20"/>
    </row>
    <row r="32" spans="1:154" s="3" customFormat="1" ht="17.149999999999999" customHeight="1" x14ac:dyDescent="0.35">
      <c r="A32" s="56">
        <v>25</v>
      </c>
      <c r="B32" s="57">
        <v>886908</v>
      </c>
      <c r="C32" s="58">
        <f t="shared" si="6"/>
        <v>230</v>
      </c>
      <c r="D32" s="167">
        <v>9.33</v>
      </c>
      <c r="E32" s="59">
        <v>791036</v>
      </c>
      <c r="F32" s="58">
        <f t="shared" si="7"/>
        <v>146</v>
      </c>
      <c r="G32" s="168">
        <v>2.33</v>
      </c>
      <c r="H32" s="57">
        <v>749554</v>
      </c>
      <c r="I32" s="58">
        <f t="shared" si="0"/>
        <v>151</v>
      </c>
      <c r="J32" s="60" t="s">
        <v>194</v>
      </c>
      <c r="K32" s="56">
        <v>25</v>
      </c>
      <c r="L32" s="57">
        <v>69473</v>
      </c>
      <c r="M32" s="58">
        <f t="shared" si="8"/>
        <v>56</v>
      </c>
      <c r="N32" s="59">
        <v>176193</v>
      </c>
      <c r="O32" s="58">
        <f t="shared" si="9"/>
        <v>42</v>
      </c>
      <c r="P32" s="57">
        <v>194749</v>
      </c>
      <c r="Q32" s="169" t="str">
        <f t="shared" si="1"/>
        <v/>
      </c>
      <c r="R32" s="57">
        <v>673</v>
      </c>
      <c r="S32" s="57">
        <v>681</v>
      </c>
      <c r="T32" s="57">
        <v>140</v>
      </c>
      <c r="U32" s="57">
        <v>138</v>
      </c>
      <c r="V32" s="58" t="str">
        <f t="shared" si="10"/>
        <v>ME</v>
      </c>
      <c r="W32" s="56">
        <v>25</v>
      </c>
      <c r="X32" s="63">
        <v>11702.79</v>
      </c>
      <c r="Y32" s="130">
        <f t="shared" si="11"/>
        <v>3.1899999999986903</v>
      </c>
      <c r="Z32" s="63">
        <v>12481.36</v>
      </c>
      <c r="AA32" s="130">
        <f t="shared" si="12"/>
        <v>3.75</v>
      </c>
      <c r="AB32" s="63">
        <v>9846.66</v>
      </c>
      <c r="AC32" s="130">
        <f t="shared" si="13"/>
        <v>2.4099999999998545</v>
      </c>
      <c r="AD32" s="63">
        <v>9938.92</v>
      </c>
      <c r="AE32" s="130">
        <f t="shared" si="2"/>
        <v>1.6200000000008004</v>
      </c>
      <c r="AF32" s="125" t="str">
        <f t="shared" si="14"/>
        <v>ME</v>
      </c>
      <c r="AG32" s="56">
        <v>25</v>
      </c>
      <c r="AH32" s="63">
        <v>46781.67</v>
      </c>
      <c r="AI32" s="130">
        <f t="shared" si="15"/>
        <v>9.430000000000291</v>
      </c>
      <c r="AJ32" s="63">
        <v>48914.47</v>
      </c>
      <c r="AK32" s="130">
        <f t="shared" si="16"/>
        <v>11.589999999996508</v>
      </c>
      <c r="AL32" s="63">
        <v>586.97</v>
      </c>
      <c r="AM32" s="130" t="str">
        <f t="shared" si="17"/>
        <v/>
      </c>
      <c r="AN32" s="63">
        <v>548.5</v>
      </c>
      <c r="AO32" s="130" t="str">
        <f t="shared" si="3"/>
        <v/>
      </c>
      <c r="AP32" s="125" t="str">
        <f t="shared" si="18"/>
        <v>ME</v>
      </c>
      <c r="AQ32" s="56">
        <v>25</v>
      </c>
      <c r="AR32" s="63">
        <v>6742.02</v>
      </c>
      <c r="AS32" s="130">
        <f t="shared" si="19"/>
        <v>1.339999999999236</v>
      </c>
      <c r="AT32" s="63">
        <v>7476.16</v>
      </c>
      <c r="AU32" s="130">
        <f t="shared" si="20"/>
        <v>2.2200000000002547</v>
      </c>
      <c r="AV32" s="63">
        <v>254.69</v>
      </c>
      <c r="AW32" s="130">
        <f t="shared" si="21"/>
        <v>9.0000000000003411E-2</v>
      </c>
      <c r="AX32" s="63">
        <v>242.46</v>
      </c>
      <c r="AY32" s="130">
        <f t="shared" si="4"/>
        <v>0.34000000000000341</v>
      </c>
      <c r="AZ32" s="125" t="str">
        <f t="shared" si="22"/>
        <v>ME</v>
      </c>
      <c r="BA32" s="56">
        <v>25</v>
      </c>
      <c r="BB32" s="64"/>
      <c r="BC32" s="62"/>
      <c r="BD32" s="61"/>
      <c r="BE32" s="61"/>
      <c r="BF32" s="61"/>
      <c r="BG32" s="61"/>
      <c r="BH32" s="64"/>
      <c r="BI32" s="64"/>
      <c r="BJ32" s="64"/>
      <c r="BK32" s="64"/>
      <c r="BL32" s="64"/>
      <c r="BM32" s="64"/>
      <c r="BN32" s="65" t="str">
        <f t="shared" si="23"/>
        <v>ME</v>
      </c>
      <c r="BO32" s="56">
        <v>25</v>
      </c>
      <c r="BP32" s="64">
        <v>9.9000000000000005E-2</v>
      </c>
      <c r="BQ32" s="62">
        <v>0</v>
      </c>
      <c r="BR32" s="61">
        <v>7.1</v>
      </c>
      <c r="BS32" s="61">
        <v>11.7</v>
      </c>
      <c r="BT32" s="61">
        <v>18.3</v>
      </c>
      <c r="BU32" s="64">
        <v>1.2E-2</v>
      </c>
      <c r="BV32" s="63">
        <v>1.21</v>
      </c>
      <c r="BW32" s="63">
        <v>0.96</v>
      </c>
      <c r="BX32" s="66" t="s">
        <v>245</v>
      </c>
      <c r="BY32" s="172" t="s">
        <v>246</v>
      </c>
      <c r="BZ32" s="67" t="str">
        <f t="shared" si="24"/>
        <v>ME</v>
      </c>
      <c r="CA32" s="56">
        <v>25</v>
      </c>
      <c r="CB32" s="61">
        <v>97</v>
      </c>
      <c r="CC32" s="61"/>
      <c r="CD32" s="68">
        <f t="shared" si="25"/>
        <v>1.2000000000000028</v>
      </c>
      <c r="CE32" s="69">
        <f t="shared" si="26"/>
        <v>5.5851180000000138</v>
      </c>
      <c r="CF32" s="69">
        <f t="shared" si="27"/>
        <v>4.4385043708609384</v>
      </c>
      <c r="CG32" s="62">
        <v>57</v>
      </c>
      <c r="CH32" s="62">
        <v>100</v>
      </c>
      <c r="CI32" s="65" t="str">
        <f t="shared" si="28"/>
        <v>ME</v>
      </c>
      <c r="CJ32" s="56">
        <v>25</v>
      </c>
      <c r="CK32" s="61">
        <v>97.3</v>
      </c>
      <c r="CL32" s="61"/>
      <c r="CM32" s="68">
        <f t="shared" si="29"/>
        <v>2.8999999999999915</v>
      </c>
      <c r="CN32" s="68">
        <f t="shared" si="30"/>
        <v>13.497368499999961</v>
      </c>
      <c r="CO32" s="68">
        <f t="shared" si="31"/>
        <v>23.335776452282545</v>
      </c>
      <c r="CP32" s="62">
        <v>53</v>
      </c>
      <c r="CQ32" s="62">
        <v>83</v>
      </c>
      <c r="CR32" s="65" t="str">
        <f t="shared" si="32"/>
        <v>ME</v>
      </c>
      <c r="CS32" s="56">
        <v>25</v>
      </c>
      <c r="CT32" s="61">
        <v>96.7</v>
      </c>
      <c r="CU32" s="61"/>
      <c r="CV32" s="68">
        <f t="shared" si="33"/>
        <v>2</v>
      </c>
      <c r="CW32" s="68">
        <f t="shared" si="34"/>
        <v>13.28848</v>
      </c>
      <c r="CX32" s="69">
        <f t="shared" si="35"/>
        <v>5.7776000000000001E-2</v>
      </c>
      <c r="CY32" s="66" t="s">
        <v>240</v>
      </c>
      <c r="CZ32" s="66" t="s">
        <v>241</v>
      </c>
      <c r="DA32" s="66"/>
      <c r="DB32" s="65" t="str">
        <f t="shared" si="36"/>
        <v>ME</v>
      </c>
      <c r="DC32" s="56">
        <v>25</v>
      </c>
      <c r="DD32" s="61">
        <v>91.8</v>
      </c>
      <c r="DE32" s="61">
        <v>104.2</v>
      </c>
      <c r="DF32" s="68">
        <f t="shared" si="37"/>
        <v>20.299999999999997</v>
      </c>
      <c r="DG32" s="69">
        <f t="shared" si="38"/>
        <v>1.0952099446400001</v>
      </c>
      <c r="DH32" s="68">
        <f t="shared" si="39"/>
        <v>4.7617823680000004</v>
      </c>
      <c r="DI32" s="62">
        <v>90</v>
      </c>
      <c r="DJ32" s="62">
        <v>54</v>
      </c>
      <c r="DK32" s="65" t="str">
        <f t="shared" si="40"/>
        <v>ME</v>
      </c>
      <c r="DL32" s="56">
        <v>25</v>
      </c>
      <c r="DM32" s="63">
        <v>8</v>
      </c>
      <c r="DN32" s="64">
        <v>2.8000000000000001E-2</v>
      </c>
      <c r="DO32" s="64">
        <v>3.1E-2</v>
      </c>
      <c r="DP32" s="64">
        <v>6.6000000000000003E-2</v>
      </c>
      <c r="DQ32" s="63">
        <v>6.87</v>
      </c>
      <c r="DR32" s="61">
        <v>11.7</v>
      </c>
      <c r="DS32" s="64">
        <v>1.2210000000000001</v>
      </c>
      <c r="DT32" s="61">
        <v>86.4</v>
      </c>
      <c r="DU32" s="63">
        <v>4.0999999999999996</v>
      </c>
      <c r="DV32" s="64">
        <v>0.71399999999999997</v>
      </c>
      <c r="DW32" s="64">
        <v>0.23799999999999999</v>
      </c>
      <c r="DX32" s="66" t="s">
        <v>247</v>
      </c>
      <c r="DY32" s="65" t="str">
        <f t="shared" si="41"/>
        <v>ME</v>
      </c>
      <c r="DZ32" s="128">
        <v>25</v>
      </c>
      <c r="EA32" s="173">
        <f t="shared" si="42"/>
        <v>0.15374331550802139</v>
      </c>
      <c r="EB32" s="173">
        <f t="shared" si="43"/>
        <v>0.10735294117647058</v>
      </c>
      <c r="EC32" s="173">
        <f t="shared" si="44"/>
        <v>0.65652173913043477</v>
      </c>
      <c r="ED32" s="63">
        <v>1.2</v>
      </c>
      <c r="EE32" s="63">
        <v>1.25</v>
      </c>
      <c r="EF32" s="63">
        <v>0.05</v>
      </c>
      <c r="EG32" s="63">
        <v>0.06</v>
      </c>
      <c r="EH32" s="127" t="str">
        <f t="shared" si="5"/>
        <v>ME</v>
      </c>
      <c r="EI32" s="56">
        <v>25</v>
      </c>
      <c r="EJ32" s="334" t="s">
        <v>360</v>
      </c>
      <c r="EK32" s="334"/>
      <c r="EL32" s="334"/>
      <c r="EM32" s="334"/>
      <c r="EN32" s="334"/>
      <c r="EO32" s="334"/>
      <c r="EP32" s="334"/>
      <c r="EQ32" s="65" t="str">
        <f t="shared" si="45"/>
        <v>ME</v>
      </c>
      <c r="ER32" s="20"/>
      <c r="ES32" s="20"/>
      <c r="ET32" s="20"/>
      <c r="EU32" s="20"/>
      <c r="EV32" s="20"/>
      <c r="EW32" s="20"/>
      <c r="EX32" s="20"/>
    </row>
    <row r="33" spans="1:154" s="3" customFormat="1" ht="17.149999999999999" customHeight="1" x14ac:dyDescent="0.35">
      <c r="A33" s="56">
        <v>26</v>
      </c>
      <c r="B33" s="57">
        <v>887138</v>
      </c>
      <c r="C33" s="58">
        <f t="shared" si="6"/>
        <v>146</v>
      </c>
      <c r="D33" s="167">
        <v>9.4600000000000009</v>
      </c>
      <c r="E33" s="59">
        <v>791182</v>
      </c>
      <c r="F33" s="58">
        <f t="shared" si="7"/>
        <v>160</v>
      </c>
      <c r="G33" s="168">
        <v>3.17</v>
      </c>
      <c r="H33" s="57">
        <v>749705</v>
      </c>
      <c r="I33" s="58">
        <f t="shared" si="0"/>
        <v>126</v>
      </c>
      <c r="J33" s="60" t="s">
        <v>194</v>
      </c>
      <c r="K33" s="56">
        <v>26</v>
      </c>
      <c r="L33" s="57">
        <v>69529</v>
      </c>
      <c r="M33" s="58" t="str">
        <f t="shared" si="8"/>
        <v/>
      </c>
      <c r="N33" s="59">
        <v>176235</v>
      </c>
      <c r="O33" s="58">
        <f t="shared" si="9"/>
        <v>44</v>
      </c>
      <c r="P33" s="57">
        <v>194749</v>
      </c>
      <c r="Q33" s="169" t="str">
        <f t="shared" si="1"/>
        <v/>
      </c>
      <c r="R33" s="57">
        <v>673</v>
      </c>
      <c r="S33" s="57">
        <v>681</v>
      </c>
      <c r="T33" s="57">
        <v>141</v>
      </c>
      <c r="U33" s="57">
        <v>138</v>
      </c>
      <c r="V33" s="58" t="str">
        <f t="shared" si="10"/>
        <v>ME</v>
      </c>
      <c r="W33" s="56">
        <v>26</v>
      </c>
      <c r="X33" s="63">
        <v>11705.98</v>
      </c>
      <c r="Y33" s="130">
        <f t="shared" si="11"/>
        <v>2.0300000000006548</v>
      </c>
      <c r="Z33" s="63">
        <v>12485.11</v>
      </c>
      <c r="AA33" s="130">
        <f t="shared" si="12"/>
        <v>2.2600000000002183</v>
      </c>
      <c r="AB33" s="63">
        <v>9849.07</v>
      </c>
      <c r="AC33" s="130">
        <f t="shared" si="13"/>
        <v>1.75</v>
      </c>
      <c r="AD33" s="63">
        <v>9940.5400000000009</v>
      </c>
      <c r="AE33" s="130">
        <f t="shared" si="2"/>
        <v>1.7899999999990541</v>
      </c>
      <c r="AF33" s="125" t="str">
        <f t="shared" si="14"/>
        <v>ME</v>
      </c>
      <c r="AG33" s="56">
        <v>26</v>
      </c>
      <c r="AH33" s="63">
        <v>46791.1</v>
      </c>
      <c r="AI33" s="130">
        <f t="shared" si="15"/>
        <v>8.0900000000037835</v>
      </c>
      <c r="AJ33" s="63">
        <v>48926.06</v>
      </c>
      <c r="AK33" s="130">
        <f t="shared" si="16"/>
        <v>12.42000000000553</v>
      </c>
      <c r="AL33" s="63">
        <v>586.97</v>
      </c>
      <c r="AM33" s="130" t="str">
        <f t="shared" si="17"/>
        <v/>
      </c>
      <c r="AN33" s="63">
        <v>548.5</v>
      </c>
      <c r="AO33" s="130" t="str">
        <f t="shared" si="3"/>
        <v/>
      </c>
      <c r="AP33" s="125" t="str">
        <f t="shared" si="18"/>
        <v>ME</v>
      </c>
      <c r="AQ33" s="56">
        <v>26</v>
      </c>
      <c r="AR33" s="63">
        <v>6743.36</v>
      </c>
      <c r="AS33" s="130">
        <f t="shared" si="19"/>
        <v>1.3299999999999272</v>
      </c>
      <c r="AT33" s="63">
        <v>7478.38</v>
      </c>
      <c r="AU33" s="130">
        <f t="shared" si="20"/>
        <v>1.7399999999997817</v>
      </c>
      <c r="AV33" s="63">
        <v>254.78</v>
      </c>
      <c r="AW33" s="130" t="str">
        <f t="shared" si="21"/>
        <v/>
      </c>
      <c r="AX33" s="63">
        <v>242.8</v>
      </c>
      <c r="AY33" s="130" t="str">
        <f t="shared" si="4"/>
        <v/>
      </c>
      <c r="AZ33" s="125" t="str">
        <f t="shared" si="22"/>
        <v>ME</v>
      </c>
      <c r="BA33" s="56">
        <v>26</v>
      </c>
      <c r="BB33" s="64">
        <v>1.45</v>
      </c>
      <c r="BC33" s="62">
        <v>39</v>
      </c>
      <c r="BD33" s="61">
        <v>6.8</v>
      </c>
      <c r="BE33" s="61">
        <v>11.8</v>
      </c>
      <c r="BF33" s="61">
        <v>15.9</v>
      </c>
      <c r="BG33" s="61">
        <v>6.8</v>
      </c>
      <c r="BH33" s="64">
        <v>0.219</v>
      </c>
      <c r="BI33" s="64">
        <v>0.21</v>
      </c>
      <c r="BJ33" s="64">
        <v>5.7000000000000002E-2</v>
      </c>
      <c r="BK33" s="64">
        <v>6.4000000000000001E-2</v>
      </c>
      <c r="BL33" s="64">
        <v>5.8000000000000003E-2</v>
      </c>
      <c r="BM33" s="64">
        <v>5.7000000000000002E-2</v>
      </c>
      <c r="BN33" s="65" t="str">
        <f t="shared" si="23"/>
        <v>ME</v>
      </c>
      <c r="BO33" s="56">
        <v>26</v>
      </c>
      <c r="BP33" s="64">
        <v>8.5999999999999993E-2</v>
      </c>
      <c r="BQ33" s="62">
        <v>0</v>
      </c>
      <c r="BR33" s="61">
        <v>7</v>
      </c>
      <c r="BS33" s="61">
        <v>11.9</v>
      </c>
      <c r="BT33" s="61">
        <v>19.899999999999999</v>
      </c>
      <c r="BU33" s="64">
        <v>1.2999999999999999E-2</v>
      </c>
      <c r="BV33" s="63">
        <v>1.1299999999999999</v>
      </c>
      <c r="BW33" s="63">
        <v>0.99</v>
      </c>
      <c r="BX33" s="66" t="s">
        <v>245</v>
      </c>
      <c r="BY33" s="172" t="s">
        <v>246</v>
      </c>
      <c r="BZ33" s="67" t="str">
        <f t="shared" si="24"/>
        <v>ME</v>
      </c>
      <c r="CA33" s="56">
        <v>26</v>
      </c>
      <c r="CB33" s="61">
        <v>95.8</v>
      </c>
      <c r="CC33" s="61"/>
      <c r="CD33" s="68">
        <f t="shared" si="25"/>
        <v>1.0999999999999943</v>
      </c>
      <c r="CE33" s="69">
        <f t="shared" si="26"/>
        <v>5.1196914999999734</v>
      </c>
      <c r="CF33" s="69">
        <f t="shared" si="27"/>
        <v>4.875896666666641</v>
      </c>
      <c r="CG33" s="62">
        <v>59</v>
      </c>
      <c r="CH33" s="62">
        <v>100</v>
      </c>
      <c r="CI33" s="65" t="str">
        <f t="shared" si="28"/>
        <v>ME</v>
      </c>
      <c r="CJ33" s="56">
        <v>26</v>
      </c>
      <c r="CK33" s="61">
        <v>94.4</v>
      </c>
      <c r="CL33" s="61"/>
      <c r="CM33" s="68">
        <f t="shared" si="29"/>
        <v>1.9000000000000057</v>
      </c>
      <c r="CN33" s="68">
        <f t="shared" si="30"/>
        <v>8.8431035000000264</v>
      </c>
      <c r="CO33" s="68">
        <f t="shared" si="31"/>
        <v>24.085343197089117</v>
      </c>
      <c r="CP33" s="62">
        <v>53</v>
      </c>
      <c r="CQ33" s="62">
        <v>83</v>
      </c>
      <c r="CR33" s="65" t="str">
        <f t="shared" si="32"/>
        <v>ME</v>
      </c>
      <c r="CS33" s="56">
        <v>26</v>
      </c>
      <c r="CT33" s="61">
        <v>94.7</v>
      </c>
      <c r="CU33" s="61">
        <v>89.9</v>
      </c>
      <c r="CV33" s="68">
        <f t="shared" si="33"/>
        <v>1.5</v>
      </c>
      <c r="CW33" s="68">
        <f t="shared" si="34"/>
        <v>9.9663599999999999</v>
      </c>
      <c r="CX33" s="69">
        <f t="shared" si="35"/>
        <v>6.8262739726027394E-2</v>
      </c>
      <c r="CY33" s="66" t="s">
        <v>240</v>
      </c>
      <c r="CZ33" s="66" t="s">
        <v>241</v>
      </c>
      <c r="DA33" s="66" t="s">
        <v>242</v>
      </c>
      <c r="DB33" s="65" t="str">
        <f t="shared" si="36"/>
        <v>ME</v>
      </c>
      <c r="DC33" s="56">
        <v>26</v>
      </c>
      <c r="DD33" s="61">
        <v>83.9</v>
      </c>
      <c r="DE33" s="61">
        <v>104.2</v>
      </c>
      <c r="DF33" s="68">
        <f t="shared" si="37"/>
        <v>9.5</v>
      </c>
      <c r="DG33" s="69">
        <f t="shared" si="38"/>
        <v>0.51253667359999999</v>
      </c>
      <c r="DH33" s="68">
        <f t="shared" si="39"/>
        <v>3.5105251616438355</v>
      </c>
      <c r="DI33" s="62">
        <v>89</v>
      </c>
      <c r="DJ33" s="62">
        <v>54</v>
      </c>
      <c r="DK33" s="65" t="str">
        <f t="shared" si="40"/>
        <v>ME</v>
      </c>
      <c r="DL33" s="56">
        <v>26</v>
      </c>
      <c r="DM33" s="63">
        <v>7.57</v>
      </c>
      <c r="DN33" s="64">
        <v>0.03</v>
      </c>
      <c r="DO33" s="64">
        <v>3.2000000000000001E-2</v>
      </c>
      <c r="DP33" s="64">
        <v>6.5000000000000002E-2</v>
      </c>
      <c r="DQ33" s="63">
        <v>6.89</v>
      </c>
      <c r="DR33" s="61">
        <v>11.9</v>
      </c>
      <c r="DS33" s="64">
        <v>1.1859999999999999</v>
      </c>
      <c r="DT33" s="61">
        <v>85.4</v>
      </c>
      <c r="DU33" s="63">
        <v>4.2300000000000004</v>
      </c>
      <c r="DV33" s="64">
        <v>2.0939999999999999</v>
      </c>
      <c r="DW33" s="64">
        <v>0.997</v>
      </c>
      <c r="DX33" s="66" t="s">
        <v>242</v>
      </c>
      <c r="DY33" s="65" t="str">
        <f t="shared" si="41"/>
        <v>ME</v>
      </c>
      <c r="DZ33" s="128">
        <v>26</v>
      </c>
      <c r="EA33" s="173">
        <f t="shared" si="42"/>
        <v>9.7593582887700536E-2</v>
      </c>
      <c r="EB33" s="173">
        <f t="shared" si="43"/>
        <v>0.11764705882352941</v>
      </c>
      <c r="EC33" s="173">
        <f t="shared" si="44"/>
        <v>0.86301369863013699</v>
      </c>
      <c r="ED33" s="63">
        <v>1.1599999999999999</v>
      </c>
      <c r="EE33" s="63">
        <v>1.21</v>
      </c>
      <c r="EF33" s="63">
        <v>0.05</v>
      </c>
      <c r="EG33" s="63">
        <v>0.13</v>
      </c>
      <c r="EH33" s="127" t="str">
        <f t="shared" si="5"/>
        <v>ME</v>
      </c>
      <c r="EI33" s="56">
        <v>26</v>
      </c>
      <c r="EJ33" s="334"/>
      <c r="EK33" s="334"/>
      <c r="EL33" s="334"/>
      <c r="EM33" s="334"/>
      <c r="EN33" s="334"/>
      <c r="EO33" s="334"/>
      <c r="EP33" s="334"/>
      <c r="EQ33" s="65" t="str">
        <f t="shared" si="45"/>
        <v>ME</v>
      </c>
      <c r="ER33" s="20"/>
      <c r="ES33" s="20"/>
      <c r="ET33" s="20"/>
      <c r="EU33" s="20"/>
      <c r="EV33" s="20"/>
      <c r="EW33" s="20"/>
      <c r="EX33" s="20"/>
    </row>
    <row r="34" spans="1:154" s="3" customFormat="1" ht="17.149999999999999" customHeight="1" x14ac:dyDescent="0.35">
      <c r="A34" s="56">
        <v>27</v>
      </c>
      <c r="B34" s="57">
        <v>887284</v>
      </c>
      <c r="C34" s="58">
        <f t="shared" si="6"/>
        <v>158</v>
      </c>
      <c r="D34" s="167">
        <v>9.2799999999999994</v>
      </c>
      <c r="E34" s="59">
        <v>791342</v>
      </c>
      <c r="F34" s="58">
        <f t="shared" si="7"/>
        <v>190</v>
      </c>
      <c r="G34" s="168">
        <v>1.34</v>
      </c>
      <c r="H34" s="57">
        <v>749831</v>
      </c>
      <c r="I34" s="58">
        <f t="shared" si="0"/>
        <v>133</v>
      </c>
      <c r="J34" s="60" t="s">
        <v>237</v>
      </c>
      <c r="K34" s="56">
        <v>27</v>
      </c>
      <c r="L34" s="57">
        <v>69529</v>
      </c>
      <c r="M34" s="58" t="str">
        <f t="shared" si="8"/>
        <v/>
      </c>
      <c r="N34" s="59">
        <v>176279</v>
      </c>
      <c r="O34" s="58">
        <f t="shared" si="9"/>
        <v>53</v>
      </c>
      <c r="P34" s="57">
        <v>194749</v>
      </c>
      <c r="Q34" s="169"/>
      <c r="R34" s="57">
        <v>674</v>
      </c>
      <c r="S34" s="57">
        <v>681</v>
      </c>
      <c r="T34" s="57">
        <v>141</v>
      </c>
      <c r="U34" s="57">
        <v>138</v>
      </c>
      <c r="V34" s="58" t="str">
        <f t="shared" si="10"/>
        <v>SA/ME</v>
      </c>
      <c r="W34" s="56">
        <v>27</v>
      </c>
      <c r="X34" s="63">
        <v>11708.01</v>
      </c>
      <c r="Y34" s="130">
        <f t="shared" si="11"/>
        <v>2.2800000000006548</v>
      </c>
      <c r="Z34" s="63">
        <v>12487.37</v>
      </c>
      <c r="AA34" s="130">
        <f t="shared" si="12"/>
        <v>2.3499999999985448</v>
      </c>
      <c r="AB34" s="63">
        <v>9850.82</v>
      </c>
      <c r="AC34" s="130">
        <f t="shared" si="13"/>
        <v>1.6100000000005821</v>
      </c>
      <c r="AD34" s="63">
        <v>9942.33</v>
      </c>
      <c r="AE34" s="130">
        <f t="shared" si="2"/>
        <v>1.75</v>
      </c>
      <c r="AF34" s="125" t="str">
        <f t="shared" si="14"/>
        <v>SA/ME</v>
      </c>
      <c r="AG34" s="56">
        <v>27</v>
      </c>
      <c r="AH34" s="63">
        <v>46799.19</v>
      </c>
      <c r="AI34" s="130">
        <f t="shared" si="15"/>
        <v>15.909999999996217</v>
      </c>
      <c r="AJ34" s="63">
        <v>48938.48</v>
      </c>
      <c r="AK34" s="130">
        <f t="shared" si="16"/>
        <v>10.319999999999709</v>
      </c>
      <c r="AL34" s="63">
        <v>586.97</v>
      </c>
      <c r="AM34" s="130" t="str">
        <f t="shared" si="17"/>
        <v/>
      </c>
      <c r="AN34" s="63">
        <v>548.5</v>
      </c>
      <c r="AO34" s="130" t="str">
        <f t="shared" si="3"/>
        <v/>
      </c>
      <c r="AP34" s="125" t="str">
        <f t="shared" si="18"/>
        <v>SA/ME</v>
      </c>
      <c r="AQ34" s="56">
        <v>27</v>
      </c>
      <c r="AR34" s="63">
        <v>6744.69</v>
      </c>
      <c r="AS34" s="130">
        <f t="shared" si="19"/>
        <v>1.8900000000003274</v>
      </c>
      <c r="AT34" s="63">
        <v>7480.12</v>
      </c>
      <c r="AU34" s="130">
        <f t="shared" si="20"/>
        <v>2.5799999999999272</v>
      </c>
      <c r="AV34" s="63">
        <v>254.78</v>
      </c>
      <c r="AW34" s="130" t="str">
        <f t="shared" si="21"/>
        <v/>
      </c>
      <c r="AX34" s="63">
        <v>242.8</v>
      </c>
      <c r="AY34" s="130" t="str">
        <f t="shared" si="4"/>
        <v/>
      </c>
      <c r="AZ34" s="125" t="str">
        <f t="shared" si="22"/>
        <v>SA/ME</v>
      </c>
      <c r="BA34" s="56">
        <v>27</v>
      </c>
      <c r="BB34" s="64">
        <v>0.89900000000000002</v>
      </c>
      <c r="BC34" s="62">
        <v>25</v>
      </c>
      <c r="BD34" s="61">
        <v>7.4</v>
      </c>
      <c r="BE34" s="61">
        <v>12.3</v>
      </c>
      <c r="BF34" s="61">
        <v>16.2</v>
      </c>
      <c r="BG34" s="61">
        <v>7.4</v>
      </c>
      <c r="BH34" s="64">
        <v>0.23899999999999999</v>
      </c>
      <c r="BI34" s="64">
        <v>0.21199999999999999</v>
      </c>
      <c r="BJ34" s="64">
        <v>5.0999999999999997E-2</v>
      </c>
      <c r="BK34" s="64">
        <v>5.0999999999999997E-2</v>
      </c>
      <c r="BL34" s="64">
        <v>5.7000000000000002E-2</v>
      </c>
      <c r="BM34" s="64">
        <v>5.8999999999999997E-2</v>
      </c>
      <c r="BN34" s="65" t="str">
        <f t="shared" si="23"/>
        <v>SA/ME</v>
      </c>
      <c r="BO34" s="56">
        <v>27</v>
      </c>
      <c r="BP34" s="64">
        <v>9.6000000000000002E-2</v>
      </c>
      <c r="BQ34" s="62">
        <v>0</v>
      </c>
      <c r="BR34" s="61">
        <v>7.2</v>
      </c>
      <c r="BS34" s="61">
        <v>12</v>
      </c>
      <c r="BT34" s="61">
        <v>17.8</v>
      </c>
      <c r="BU34" s="64">
        <v>1.0999999999999999E-2</v>
      </c>
      <c r="BV34" s="63">
        <v>1.1399999999999999</v>
      </c>
      <c r="BW34" s="63">
        <v>0.96</v>
      </c>
      <c r="BX34" s="66" t="s">
        <v>323</v>
      </c>
      <c r="BY34" s="172" t="s">
        <v>239</v>
      </c>
      <c r="BZ34" s="67" t="str">
        <f t="shared" si="24"/>
        <v>SA/ME</v>
      </c>
      <c r="CA34" s="56">
        <v>27</v>
      </c>
      <c r="CB34" s="61">
        <v>94.7</v>
      </c>
      <c r="CC34" s="61"/>
      <c r="CD34" s="68">
        <f t="shared" si="25"/>
        <v>1.2000000000000028</v>
      </c>
      <c r="CE34" s="69">
        <f t="shared" si="26"/>
        <v>5.5851180000000138</v>
      </c>
      <c r="CF34" s="69">
        <f t="shared" si="27"/>
        <v>5.0392042105263286</v>
      </c>
      <c r="CG34" s="62">
        <v>59</v>
      </c>
      <c r="CH34" s="62">
        <v>100</v>
      </c>
      <c r="CI34" s="65" t="str">
        <f t="shared" si="28"/>
        <v>SA/ME</v>
      </c>
      <c r="CJ34" s="56">
        <v>27</v>
      </c>
      <c r="CK34" s="61">
        <v>92.5</v>
      </c>
      <c r="CL34" s="61"/>
      <c r="CM34" s="68">
        <f t="shared" si="29"/>
        <v>2.0999999999999943</v>
      </c>
      <c r="CN34" s="68">
        <f t="shared" si="30"/>
        <v>9.773956499999974</v>
      </c>
      <c r="CO34" s="68">
        <f t="shared" si="31"/>
        <v>24.598821533069557</v>
      </c>
      <c r="CP34" s="62">
        <v>53</v>
      </c>
      <c r="CQ34" s="62">
        <v>83</v>
      </c>
      <c r="CR34" s="65" t="str">
        <f t="shared" si="32"/>
        <v>SA/ME</v>
      </c>
      <c r="CS34" s="56">
        <v>27</v>
      </c>
      <c r="CT34" s="61">
        <v>88.4</v>
      </c>
      <c r="CU34" s="61"/>
      <c r="CV34" s="68">
        <f t="shared" si="33"/>
        <v>1.7000000000000028</v>
      </c>
      <c r="CW34" s="68">
        <f t="shared" si="34"/>
        <v>11.295208000000018</v>
      </c>
      <c r="CX34" s="69">
        <f t="shared" si="35"/>
        <v>7.1488658227848223E-2</v>
      </c>
      <c r="CY34" s="66" t="s">
        <v>240</v>
      </c>
      <c r="CZ34" s="66" t="s">
        <v>241</v>
      </c>
      <c r="DA34" s="66"/>
      <c r="DB34" s="65" t="str">
        <f t="shared" si="36"/>
        <v>SA/ME</v>
      </c>
      <c r="DC34" s="56">
        <v>27</v>
      </c>
      <c r="DD34" s="61">
        <v>94.7</v>
      </c>
      <c r="DE34" s="61">
        <v>104</v>
      </c>
      <c r="DF34" s="68">
        <f t="shared" si="37"/>
        <v>14.200000000000003</v>
      </c>
      <c r="DG34" s="69">
        <f t="shared" si="38"/>
        <v>0.76610744896000016</v>
      </c>
      <c r="DH34" s="68">
        <f t="shared" si="39"/>
        <v>4.8487813225316465</v>
      </c>
      <c r="DI34" s="62">
        <v>89</v>
      </c>
      <c r="DJ34" s="62">
        <v>54</v>
      </c>
      <c r="DK34" s="65" t="str">
        <f t="shared" si="40"/>
        <v>SA/ME</v>
      </c>
      <c r="DL34" s="56">
        <v>27</v>
      </c>
      <c r="DM34" s="63">
        <v>7.86</v>
      </c>
      <c r="DN34" s="64">
        <v>2.9000000000000001E-2</v>
      </c>
      <c r="DO34" s="64">
        <v>2.8000000000000001E-2</v>
      </c>
      <c r="DP34" s="64">
        <v>6.5000000000000002E-2</v>
      </c>
      <c r="DQ34" s="63">
        <v>6.89</v>
      </c>
      <c r="DR34" s="61">
        <v>12</v>
      </c>
      <c r="DS34" s="64">
        <v>1.151</v>
      </c>
      <c r="DT34" s="61">
        <v>85</v>
      </c>
      <c r="DU34" s="63">
        <v>4.26</v>
      </c>
      <c r="DV34" s="64">
        <v>1.5169999999999999</v>
      </c>
      <c r="DW34" s="64">
        <v>1.39</v>
      </c>
      <c r="DX34" s="66" t="s">
        <v>242</v>
      </c>
      <c r="DY34" s="65" t="str">
        <f t="shared" si="41"/>
        <v>SA/ME</v>
      </c>
      <c r="DZ34" s="128">
        <v>27</v>
      </c>
      <c r="EA34" s="173">
        <f t="shared" si="42"/>
        <v>0.10561497326203209</v>
      </c>
      <c r="EB34" s="173">
        <f t="shared" si="43"/>
        <v>0.13970588235294118</v>
      </c>
      <c r="EC34" s="173">
        <f t="shared" si="44"/>
        <v>0.84177215189873422</v>
      </c>
      <c r="ED34" s="63">
        <v>1.1000000000000001</v>
      </c>
      <c r="EE34" s="63">
        <v>1.17</v>
      </c>
      <c r="EF34" s="63">
        <v>0.04</v>
      </c>
      <c r="EG34" s="63">
        <v>0.37</v>
      </c>
      <c r="EH34" s="127" t="str">
        <f t="shared" si="5"/>
        <v>SA/ME</v>
      </c>
      <c r="EI34" s="56">
        <v>27</v>
      </c>
      <c r="EJ34" s="334"/>
      <c r="EK34" s="334"/>
      <c r="EL34" s="334"/>
      <c r="EM34" s="334"/>
      <c r="EN34" s="334"/>
      <c r="EO34" s="334"/>
      <c r="EP34" s="334"/>
      <c r="EQ34" s="65" t="str">
        <f t="shared" si="45"/>
        <v>SA/ME</v>
      </c>
      <c r="ER34" s="20"/>
      <c r="ES34" s="20"/>
      <c r="ET34" s="20"/>
      <c r="EU34" s="20"/>
      <c r="EV34" s="20"/>
      <c r="EW34" s="20"/>
      <c r="EX34" s="20"/>
    </row>
    <row r="35" spans="1:154" s="3" customFormat="1" ht="17.149999999999999" customHeight="1" x14ac:dyDescent="0.35">
      <c r="A35" s="56">
        <v>28</v>
      </c>
      <c r="B35" s="57">
        <v>887442</v>
      </c>
      <c r="C35" s="58">
        <f t="shared" si="6"/>
        <v>231</v>
      </c>
      <c r="D35" s="167">
        <v>9.3000000000000007</v>
      </c>
      <c r="E35" s="59">
        <v>791532</v>
      </c>
      <c r="F35" s="58">
        <f t="shared" si="7"/>
        <v>232</v>
      </c>
      <c r="G35" s="168">
        <v>1.88</v>
      </c>
      <c r="H35" s="57">
        <v>749964</v>
      </c>
      <c r="I35" s="58">
        <f t="shared" si="0"/>
        <v>199</v>
      </c>
      <c r="J35" s="60" t="s">
        <v>237</v>
      </c>
      <c r="K35" s="56">
        <v>28</v>
      </c>
      <c r="L35" s="57">
        <v>69529</v>
      </c>
      <c r="M35" s="58" t="str">
        <f t="shared" si="8"/>
        <v/>
      </c>
      <c r="N35" s="59">
        <v>176332</v>
      </c>
      <c r="O35" s="58">
        <f t="shared" si="9"/>
        <v>38</v>
      </c>
      <c r="P35" s="57">
        <v>194749</v>
      </c>
      <c r="Q35" s="169" t="str">
        <f t="shared" si="1"/>
        <v/>
      </c>
      <c r="R35" s="57">
        <v>674</v>
      </c>
      <c r="S35" s="57">
        <v>681</v>
      </c>
      <c r="T35" s="57">
        <v>141</v>
      </c>
      <c r="U35" s="57">
        <v>138</v>
      </c>
      <c r="V35" s="58" t="str">
        <f t="shared" si="10"/>
        <v>SA/ME</v>
      </c>
      <c r="W35" s="56">
        <v>28</v>
      </c>
      <c r="X35" s="63">
        <v>11710.29</v>
      </c>
      <c r="Y35" s="130">
        <f t="shared" si="11"/>
        <v>4.6599999999998545</v>
      </c>
      <c r="Z35" s="63">
        <v>12489.72</v>
      </c>
      <c r="AA35" s="130">
        <f t="shared" si="12"/>
        <v>2.1400000000012369</v>
      </c>
      <c r="AB35" s="63">
        <v>9852.43</v>
      </c>
      <c r="AC35" s="130">
        <f t="shared" si="13"/>
        <v>3.6299999999991996</v>
      </c>
      <c r="AD35" s="63">
        <v>9944.08</v>
      </c>
      <c r="AE35" s="130">
        <f t="shared" si="2"/>
        <v>1.6599999999998545</v>
      </c>
      <c r="AF35" s="125" t="str">
        <f t="shared" si="14"/>
        <v>SA/ME</v>
      </c>
      <c r="AG35" s="56">
        <v>28</v>
      </c>
      <c r="AH35" s="63">
        <v>46815.1</v>
      </c>
      <c r="AI35" s="130">
        <f t="shared" si="15"/>
        <v>21.910000000003492</v>
      </c>
      <c r="AJ35" s="63">
        <v>48948.800000000003</v>
      </c>
      <c r="AK35" s="130">
        <f t="shared" si="16"/>
        <v>13.680000000000291</v>
      </c>
      <c r="AL35" s="63">
        <v>586.97</v>
      </c>
      <c r="AM35" s="130" t="str">
        <f t="shared" si="17"/>
        <v/>
      </c>
      <c r="AN35" s="63">
        <v>548.5</v>
      </c>
      <c r="AO35" s="130" t="str">
        <f t="shared" si="3"/>
        <v/>
      </c>
      <c r="AP35" s="125" t="str">
        <f t="shared" si="18"/>
        <v>SA/ME</v>
      </c>
      <c r="AQ35" s="56">
        <v>28</v>
      </c>
      <c r="AR35" s="63">
        <v>6746.58</v>
      </c>
      <c r="AS35" s="130">
        <f t="shared" si="19"/>
        <v>1.3299999999999272</v>
      </c>
      <c r="AT35" s="63">
        <v>7482.7</v>
      </c>
      <c r="AU35" s="130">
        <f t="shared" si="20"/>
        <v>2.2399999999997817</v>
      </c>
      <c r="AV35" s="63">
        <v>254.78</v>
      </c>
      <c r="AW35" s="130" t="str">
        <f t="shared" si="21"/>
        <v/>
      </c>
      <c r="AX35" s="63">
        <v>242.8</v>
      </c>
      <c r="AY35" s="130" t="str">
        <f t="shared" si="4"/>
        <v/>
      </c>
      <c r="AZ35" s="125" t="str">
        <f t="shared" si="22"/>
        <v>SA/ME</v>
      </c>
      <c r="BA35" s="56">
        <v>28</v>
      </c>
      <c r="BB35" s="64">
        <v>0.93300000000000005</v>
      </c>
      <c r="BC35" s="62">
        <v>29</v>
      </c>
      <c r="BD35" s="61">
        <v>7.2</v>
      </c>
      <c r="BE35" s="61">
        <v>11.9</v>
      </c>
      <c r="BF35" s="61">
        <v>15.3</v>
      </c>
      <c r="BG35" s="61">
        <v>7.2</v>
      </c>
      <c r="BH35" s="64">
        <v>0.20100000000000001</v>
      </c>
      <c r="BI35" s="64">
        <v>0.17699999999999999</v>
      </c>
      <c r="BJ35" s="64">
        <v>6.6000000000000003E-2</v>
      </c>
      <c r="BK35" s="64">
        <v>5.8999999999999997E-2</v>
      </c>
      <c r="BL35" s="64">
        <v>6.0999999999999999E-2</v>
      </c>
      <c r="BM35" s="64">
        <v>6.3E-2</v>
      </c>
      <c r="BN35" s="65" t="str">
        <f t="shared" si="23"/>
        <v>SA/ME</v>
      </c>
      <c r="BO35" s="56">
        <v>28</v>
      </c>
      <c r="BP35" s="64">
        <v>9.0999999999999998E-2</v>
      </c>
      <c r="BQ35" s="62">
        <v>0</v>
      </c>
      <c r="BR35" s="61">
        <v>7.2</v>
      </c>
      <c r="BS35" s="61">
        <v>12.2</v>
      </c>
      <c r="BT35" s="61">
        <v>14.7</v>
      </c>
      <c r="BU35" s="64">
        <v>1.2999999999999999E-2</v>
      </c>
      <c r="BV35" s="63">
        <v>1.07</v>
      </c>
      <c r="BW35" s="63">
        <v>0.94</v>
      </c>
      <c r="BX35" s="66" t="s">
        <v>311</v>
      </c>
      <c r="BY35" s="172" t="s">
        <v>239</v>
      </c>
      <c r="BZ35" s="67" t="str">
        <f t="shared" si="24"/>
        <v>SA/ME</v>
      </c>
      <c r="CA35" s="56">
        <v>28</v>
      </c>
      <c r="CB35" s="61">
        <v>93.5</v>
      </c>
      <c r="CC35" s="61"/>
      <c r="CD35" s="68">
        <f t="shared" si="25"/>
        <v>1.7000000000000028</v>
      </c>
      <c r="CE35" s="69">
        <f t="shared" si="26"/>
        <v>7.9122505000000141</v>
      </c>
      <c r="CF35" s="69">
        <f t="shared" si="27"/>
        <v>4.7712063316583002</v>
      </c>
      <c r="CG35" s="62">
        <v>59</v>
      </c>
      <c r="CH35" s="62">
        <v>100</v>
      </c>
      <c r="CI35" s="65" t="str">
        <f t="shared" si="28"/>
        <v>SA/ME</v>
      </c>
      <c r="CJ35" s="56">
        <v>28</v>
      </c>
      <c r="CK35" s="61">
        <v>90.4</v>
      </c>
      <c r="CL35" s="61"/>
      <c r="CM35" s="68">
        <f t="shared" si="29"/>
        <v>3</v>
      </c>
      <c r="CN35" s="68">
        <f t="shared" si="30"/>
        <v>13.962795000000002</v>
      </c>
      <c r="CO35" s="68">
        <f t="shared" si="31"/>
        <v>24.035954250000003</v>
      </c>
      <c r="CP35" s="62">
        <v>53</v>
      </c>
      <c r="CQ35" s="62">
        <v>83</v>
      </c>
      <c r="CR35" s="65" t="str">
        <f t="shared" si="32"/>
        <v>SA/ME</v>
      </c>
      <c r="CS35" s="56">
        <v>28</v>
      </c>
      <c r="CT35" s="61">
        <v>86.7</v>
      </c>
      <c r="CU35" s="61"/>
      <c r="CV35" s="68">
        <f t="shared" si="33"/>
        <v>2.1000000000000085</v>
      </c>
      <c r="CW35" s="68">
        <f t="shared" si="34"/>
        <v>13.952904000000057</v>
      </c>
      <c r="CX35" s="69">
        <f t="shared" si="35"/>
        <v>6.0402181818182063E-2</v>
      </c>
      <c r="CY35" s="66" t="s">
        <v>240</v>
      </c>
      <c r="CZ35" s="66" t="s">
        <v>241</v>
      </c>
      <c r="DA35" s="66"/>
      <c r="DB35" s="65" t="str">
        <f t="shared" si="36"/>
        <v>SA/ME</v>
      </c>
      <c r="DC35" s="56">
        <v>28</v>
      </c>
      <c r="DD35" s="61">
        <v>89.8</v>
      </c>
      <c r="DE35" s="61">
        <v>104.9</v>
      </c>
      <c r="DF35" s="68">
        <f t="shared" si="37"/>
        <v>18.5</v>
      </c>
      <c r="DG35" s="69">
        <f t="shared" si="38"/>
        <v>0.99809773280000014</v>
      </c>
      <c r="DH35" s="68">
        <f t="shared" si="39"/>
        <v>4.3207694060606068</v>
      </c>
      <c r="DI35" s="62">
        <v>89</v>
      </c>
      <c r="DJ35" s="62">
        <v>54</v>
      </c>
      <c r="DK35" s="65" t="str">
        <f t="shared" si="40"/>
        <v>SA/ME</v>
      </c>
      <c r="DL35" s="56">
        <v>28</v>
      </c>
      <c r="DM35" s="63">
        <v>7.8</v>
      </c>
      <c r="DN35" s="64">
        <v>0.28999999999999998</v>
      </c>
      <c r="DO35" s="64">
        <v>2.8000000000000001E-2</v>
      </c>
      <c r="DP35" s="64">
        <v>7.0999999999999994E-2</v>
      </c>
      <c r="DQ35" s="63">
        <v>6.9</v>
      </c>
      <c r="DR35" s="61">
        <v>12.2</v>
      </c>
      <c r="DS35" s="64">
        <v>1.1299999999999999</v>
      </c>
      <c r="DT35" s="61">
        <v>85</v>
      </c>
      <c r="DU35" s="63">
        <v>4.2300000000000004</v>
      </c>
      <c r="DV35" s="64">
        <v>0.81399999999999995</v>
      </c>
      <c r="DW35" s="64">
        <v>1.3</v>
      </c>
      <c r="DX35" s="66" t="s">
        <v>242</v>
      </c>
      <c r="DY35" s="65" t="str">
        <f t="shared" si="41"/>
        <v>SA/ME</v>
      </c>
      <c r="DZ35" s="128">
        <v>28</v>
      </c>
      <c r="EA35" s="173">
        <f t="shared" si="42"/>
        <v>0.15441176470588236</v>
      </c>
      <c r="EB35" s="173">
        <f t="shared" si="43"/>
        <v>0.17058823529411765</v>
      </c>
      <c r="EC35" s="173">
        <f t="shared" si="44"/>
        <v>0.8614718614718615</v>
      </c>
      <c r="ED35" s="63">
        <v>1.1200000000000001</v>
      </c>
      <c r="EE35" s="63">
        <v>1.1499999999999999</v>
      </c>
      <c r="EF35" s="63">
        <v>0.05</v>
      </c>
      <c r="EG35" s="63">
        <v>7.0000000000000007E-2</v>
      </c>
      <c r="EH35" s="127" t="str">
        <f t="shared" si="5"/>
        <v>SA/ME</v>
      </c>
      <c r="EI35" s="56">
        <v>28</v>
      </c>
      <c r="EJ35" s="334"/>
      <c r="EK35" s="334"/>
      <c r="EL35" s="334"/>
      <c r="EM35" s="334"/>
      <c r="EN35" s="334"/>
      <c r="EO35" s="334"/>
      <c r="EP35" s="334"/>
      <c r="EQ35" s="65" t="str">
        <f t="shared" si="45"/>
        <v>SA/ME</v>
      </c>
      <c r="ER35" s="20"/>
      <c r="ES35" s="20"/>
      <c r="ET35" s="20"/>
      <c r="EU35" s="20"/>
      <c r="EV35" s="20"/>
      <c r="EW35" s="20"/>
      <c r="EX35" s="20"/>
    </row>
    <row r="36" spans="1:154" s="3" customFormat="1" ht="17.149999999999999" customHeight="1" x14ac:dyDescent="0.35">
      <c r="A36" s="56">
        <v>29</v>
      </c>
      <c r="B36" s="57">
        <v>887673</v>
      </c>
      <c r="C36" s="58">
        <f t="shared" si="6"/>
        <v>71</v>
      </c>
      <c r="D36" s="167">
        <v>9.27</v>
      </c>
      <c r="E36" s="59">
        <v>791764</v>
      </c>
      <c r="F36" s="58">
        <f t="shared" si="7"/>
        <v>133</v>
      </c>
      <c r="G36" s="168">
        <v>1.7</v>
      </c>
      <c r="H36" s="57">
        <v>750163</v>
      </c>
      <c r="I36" s="58">
        <f t="shared" si="0"/>
        <v>62</v>
      </c>
      <c r="J36" s="60" t="s">
        <v>237</v>
      </c>
      <c r="K36" s="56">
        <v>29</v>
      </c>
      <c r="L36" s="57">
        <v>69529</v>
      </c>
      <c r="M36" s="58" t="str">
        <f t="shared" si="8"/>
        <v/>
      </c>
      <c r="N36" s="59">
        <v>176370</v>
      </c>
      <c r="O36" s="58">
        <f t="shared" si="9"/>
        <v>22</v>
      </c>
      <c r="P36" s="57">
        <v>194749</v>
      </c>
      <c r="Q36" s="169" t="str">
        <f t="shared" si="1"/>
        <v/>
      </c>
      <c r="R36" s="57">
        <v>674</v>
      </c>
      <c r="S36" s="57">
        <v>681</v>
      </c>
      <c r="T36" s="57">
        <v>141</v>
      </c>
      <c r="U36" s="57">
        <v>138</v>
      </c>
      <c r="V36" s="58" t="str">
        <f t="shared" si="10"/>
        <v>SA/ME</v>
      </c>
      <c r="W36" s="56">
        <v>29</v>
      </c>
      <c r="X36" s="63">
        <v>11714.95</v>
      </c>
      <c r="Y36" s="130" t="str">
        <f t="shared" si="11"/>
        <v/>
      </c>
      <c r="Z36" s="63">
        <v>12491.86</v>
      </c>
      <c r="AA36" s="130">
        <f t="shared" si="12"/>
        <v>2.0999999999985448</v>
      </c>
      <c r="AB36" s="63">
        <v>9856.06</v>
      </c>
      <c r="AC36" s="130">
        <f t="shared" si="13"/>
        <v>2.0000000000436557E-2</v>
      </c>
      <c r="AD36" s="63">
        <v>9945.74</v>
      </c>
      <c r="AE36" s="130">
        <f t="shared" si="2"/>
        <v>1.6399999999994179</v>
      </c>
      <c r="AF36" s="125" t="str">
        <f t="shared" si="14"/>
        <v>SA/ME</v>
      </c>
      <c r="AG36" s="56">
        <v>29</v>
      </c>
      <c r="AH36" s="63">
        <v>46837.01</v>
      </c>
      <c r="AI36" s="130">
        <f t="shared" si="15"/>
        <v>2.0999999999985448</v>
      </c>
      <c r="AJ36" s="63">
        <v>48962.48</v>
      </c>
      <c r="AK36" s="130">
        <f t="shared" si="16"/>
        <v>11.94999999999709</v>
      </c>
      <c r="AL36" s="63">
        <v>586.97</v>
      </c>
      <c r="AM36" s="130" t="str">
        <f t="shared" si="17"/>
        <v/>
      </c>
      <c r="AN36" s="63">
        <v>548.5</v>
      </c>
      <c r="AO36" s="130" t="str">
        <f t="shared" si="3"/>
        <v/>
      </c>
      <c r="AP36" s="125" t="str">
        <f t="shared" si="18"/>
        <v>SA/ME</v>
      </c>
      <c r="AQ36" s="56">
        <v>29</v>
      </c>
      <c r="AR36" s="63">
        <v>6747.91</v>
      </c>
      <c r="AS36" s="130">
        <f t="shared" si="19"/>
        <v>0.73999999999978172</v>
      </c>
      <c r="AT36" s="63">
        <v>7484.94</v>
      </c>
      <c r="AU36" s="130">
        <f t="shared" si="20"/>
        <v>2.3800000000001091</v>
      </c>
      <c r="AV36" s="63">
        <v>254.78</v>
      </c>
      <c r="AW36" s="130" t="str">
        <f t="shared" si="21"/>
        <v/>
      </c>
      <c r="AX36" s="63">
        <v>242.8</v>
      </c>
      <c r="AY36" s="130" t="str">
        <f t="shared" si="4"/>
        <v/>
      </c>
      <c r="AZ36" s="125" t="str">
        <f t="shared" si="22"/>
        <v>SA/ME</v>
      </c>
      <c r="BA36" s="56">
        <v>29</v>
      </c>
      <c r="BB36" s="64"/>
      <c r="BC36" s="62"/>
      <c r="BD36" s="61"/>
      <c r="BE36" s="61"/>
      <c r="BF36" s="61"/>
      <c r="BG36" s="61"/>
      <c r="BH36" s="64"/>
      <c r="BI36" s="64"/>
      <c r="BJ36" s="64"/>
      <c r="BK36" s="64"/>
      <c r="BL36" s="64"/>
      <c r="BM36" s="64"/>
      <c r="BN36" s="65" t="str">
        <f t="shared" si="23"/>
        <v>SA/ME</v>
      </c>
      <c r="BO36" s="56">
        <v>29</v>
      </c>
      <c r="BP36" s="64">
        <v>8.4000000000000005E-2</v>
      </c>
      <c r="BQ36" s="62">
        <v>0</v>
      </c>
      <c r="BR36" s="61">
        <v>7.3</v>
      </c>
      <c r="BS36" s="61">
        <v>12.5</v>
      </c>
      <c r="BT36" s="61">
        <v>18.399999999999999</v>
      </c>
      <c r="BU36" s="64">
        <v>0.01</v>
      </c>
      <c r="BV36" s="63">
        <v>1.0900000000000001</v>
      </c>
      <c r="BW36" s="63">
        <v>0.94</v>
      </c>
      <c r="BX36" s="66" t="s">
        <v>260</v>
      </c>
      <c r="BY36" s="172" t="s">
        <v>239</v>
      </c>
      <c r="BZ36" s="67" t="str">
        <f t="shared" si="24"/>
        <v>SA/ME</v>
      </c>
      <c r="CA36" s="56">
        <v>29</v>
      </c>
      <c r="CB36" s="61">
        <v>91.8</v>
      </c>
      <c r="CC36" s="61"/>
      <c r="CD36" s="68">
        <f t="shared" si="25"/>
        <v>0.5</v>
      </c>
      <c r="CE36" s="69">
        <f t="shared" si="26"/>
        <v>2.3271325000000003</v>
      </c>
      <c r="CF36" s="69">
        <f t="shared" si="27"/>
        <v>4.5041274193548384</v>
      </c>
      <c r="CG36" s="62">
        <v>59</v>
      </c>
      <c r="CH36" s="62">
        <v>100</v>
      </c>
      <c r="CI36" s="65" t="str">
        <f t="shared" si="28"/>
        <v>SA/ME</v>
      </c>
      <c r="CJ36" s="56">
        <v>29</v>
      </c>
      <c r="CK36" s="61">
        <v>87.4</v>
      </c>
      <c r="CL36" s="61"/>
      <c r="CM36" s="68">
        <f t="shared" si="29"/>
        <v>0.90000000000000568</v>
      </c>
      <c r="CN36" s="68">
        <f t="shared" si="30"/>
        <v>4.1888385000000268</v>
      </c>
      <c r="CO36" s="68">
        <f t="shared" si="31"/>
        <v>23.460445486267758</v>
      </c>
      <c r="CP36" s="62">
        <v>53</v>
      </c>
      <c r="CQ36" s="62">
        <v>83</v>
      </c>
      <c r="CR36" s="65" t="str">
        <f t="shared" si="32"/>
        <v>SA/ME</v>
      </c>
      <c r="CS36" s="56">
        <v>29</v>
      </c>
      <c r="CT36" s="61">
        <v>84.6</v>
      </c>
      <c r="CU36" s="61"/>
      <c r="CV36" s="68">
        <f t="shared" si="33"/>
        <v>0.69999999999998863</v>
      </c>
      <c r="CW36" s="68">
        <f t="shared" si="34"/>
        <v>4.6509679999999243</v>
      </c>
      <c r="CX36" s="69">
        <f t="shared" si="35"/>
        <v>6.550659154929471E-2</v>
      </c>
      <c r="CY36" s="66" t="s">
        <v>240</v>
      </c>
      <c r="CZ36" s="66" t="s">
        <v>241</v>
      </c>
      <c r="DA36" s="66"/>
      <c r="DB36" s="65" t="str">
        <f t="shared" si="36"/>
        <v>SA/ME</v>
      </c>
      <c r="DC36" s="56">
        <v>29</v>
      </c>
      <c r="DD36" s="61">
        <v>86.4</v>
      </c>
      <c r="DE36" s="61">
        <v>104.9</v>
      </c>
      <c r="DF36" s="68">
        <f t="shared" si="37"/>
        <v>8.2000000000000028</v>
      </c>
      <c r="DG36" s="69">
        <f t="shared" si="38"/>
        <v>0.44240007616000021</v>
      </c>
      <c r="DH36" s="68">
        <f t="shared" si="39"/>
        <v>6.2309869881690165</v>
      </c>
      <c r="DI36" s="62">
        <v>89</v>
      </c>
      <c r="DJ36" s="62">
        <v>54</v>
      </c>
      <c r="DK36" s="65" t="str">
        <f t="shared" si="40"/>
        <v>SA/ME</v>
      </c>
      <c r="DL36" s="56">
        <v>29</v>
      </c>
      <c r="DM36" s="63">
        <v>7.67</v>
      </c>
      <c r="DN36" s="64">
        <v>2.7E-2</v>
      </c>
      <c r="DO36" s="64">
        <v>2.8000000000000001E-2</v>
      </c>
      <c r="DP36" s="64">
        <v>6.4000000000000001E-2</v>
      </c>
      <c r="DQ36" s="63">
        <v>6.89</v>
      </c>
      <c r="DR36" s="61">
        <v>12.5</v>
      </c>
      <c r="DS36" s="64">
        <v>1.1160000000000001</v>
      </c>
      <c r="DT36" s="61">
        <v>86.5</v>
      </c>
      <c r="DU36" s="63">
        <v>4.3099999999999996</v>
      </c>
      <c r="DV36" s="64">
        <v>0.69799999999999995</v>
      </c>
      <c r="DW36" s="64">
        <v>1.01</v>
      </c>
      <c r="DX36" s="66" t="s">
        <v>247</v>
      </c>
      <c r="DY36" s="65" t="str">
        <f t="shared" si="41"/>
        <v>SA/ME</v>
      </c>
      <c r="DZ36" s="128">
        <v>29</v>
      </c>
      <c r="EA36" s="173">
        <f t="shared" si="42"/>
        <v>4.7459893048128345E-2</v>
      </c>
      <c r="EB36" s="173">
        <f t="shared" si="43"/>
        <v>9.7794117647058823E-2</v>
      </c>
      <c r="EC36" s="173">
        <f t="shared" si="44"/>
        <v>0.87323943661971826</v>
      </c>
      <c r="ED36" s="63">
        <v>1.0900000000000001</v>
      </c>
      <c r="EE36" s="63">
        <v>1.1299999999999999</v>
      </c>
      <c r="EF36" s="63">
        <v>0.04</v>
      </c>
      <c r="EG36" s="63">
        <v>0.15</v>
      </c>
      <c r="EH36" s="127" t="str">
        <f t="shared" si="5"/>
        <v>SA/ME</v>
      </c>
      <c r="EI36" s="56">
        <v>29</v>
      </c>
      <c r="EJ36" s="334"/>
      <c r="EK36" s="334"/>
      <c r="EL36" s="334"/>
      <c r="EM36" s="334"/>
      <c r="EN36" s="334"/>
      <c r="EO36" s="334"/>
      <c r="EP36" s="334"/>
      <c r="EQ36" s="65" t="str">
        <f t="shared" si="45"/>
        <v>SA/ME</v>
      </c>
      <c r="ER36" s="20"/>
      <c r="ES36" s="20"/>
      <c r="ET36" s="20"/>
      <c r="EU36" s="20"/>
      <c r="EV36" s="20"/>
      <c r="EW36" s="20"/>
      <c r="EX36" s="20"/>
    </row>
    <row r="37" spans="1:154" s="3" customFormat="1" ht="17.149999999999999" customHeight="1" x14ac:dyDescent="0.35">
      <c r="A37" s="56">
        <v>30</v>
      </c>
      <c r="B37" s="57">
        <v>887744</v>
      </c>
      <c r="C37" s="58">
        <f t="shared" si="6"/>
        <v>205</v>
      </c>
      <c r="D37" s="167">
        <v>9.75</v>
      </c>
      <c r="E37" s="59">
        <v>791897</v>
      </c>
      <c r="F37" s="58">
        <f t="shared" si="7"/>
        <v>195</v>
      </c>
      <c r="G37" s="168">
        <v>2.33</v>
      </c>
      <c r="H37" s="57">
        <v>750225</v>
      </c>
      <c r="I37" s="58">
        <f t="shared" si="0"/>
        <v>137</v>
      </c>
      <c r="J37" s="60" t="s">
        <v>194</v>
      </c>
      <c r="K37" s="56">
        <v>30</v>
      </c>
      <c r="L37" s="57">
        <v>69529</v>
      </c>
      <c r="M37" s="58">
        <f t="shared" si="8"/>
        <v>48</v>
      </c>
      <c r="N37" s="59">
        <v>176392</v>
      </c>
      <c r="O37" s="58">
        <f t="shared" si="9"/>
        <v>53</v>
      </c>
      <c r="P37" s="57">
        <v>194749</v>
      </c>
      <c r="Q37" s="169" t="str">
        <f t="shared" si="1"/>
        <v/>
      </c>
      <c r="R37" s="57">
        <v>674</v>
      </c>
      <c r="S37" s="57">
        <v>681</v>
      </c>
      <c r="T37" s="57">
        <v>141</v>
      </c>
      <c r="U37" s="57">
        <v>138</v>
      </c>
      <c r="V37" s="58" t="str">
        <f t="shared" si="10"/>
        <v>ME</v>
      </c>
      <c r="W37" s="56">
        <v>30</v>
      </c>
      <c r="X37" s="63">
        <v>11714.95</v>
      </c>
      <c r="Y37" s="130">
        <f t="shared" si="11"/>
        <v>4.0499999999992724</v>
      </c>
      <c r="Z37" s="63">
        <v>12493.96</v>
      </c>
      <c r="AA37" s="130">
        <f t="shared" si="12"/>
        <v>2.1200000000008004</v>
      </c>
      <c r="AB37" s="63">
        <v>9856.08</v>
      </c>
      <c r="AC37" s="130">
        <f t="shared" si="13"/>
        <v>1.8600000000005821</v>
      </c>
      <c r="AD37" s="63">
        <v>9947.3799999999992</v>
      </c>
      <c r="AE37" s="130">
        <f t="shared" si="2"/>
        <v>1.8100000000013097</v>
      </c>
      <c r="AF37" s="125" t="str">
        <f t="shared" si="14"/>
        <v>ME</v>
      </c>
      <c r="AG37" s="56">
        <v>30</v>
      </c>
      <c r="AH37" s="63">
        <v>46839.11</v>
      </c>
      <c r="AI37" s="130">
        <f t="shared" si="15"/>
        <v>13.260000000002037</v>
      </c>
      <c r="AJ37" s="63">
        <v>48974.43</v>
      </c>
      <c r="AK37" s="130">
        <f t="shared" si="16"/>
        <v>12.059999999997672</v>
      </c>
      <c r="AL37" s="63">
        <v>586.97</v>
      </c>
      <c r="AM37" s="130" t="str">
        <f t="shared" si="17"/>
        <v/>
      </c>
      <c r="AN37" s="63">
        <v>548.5</v>
      </c>
      <c r="AO37" s="130" t="str">
        <f t="shared" si="3"/>
        <v/>
      </c>
      <c r="AP37" s="125" t="str">
        <f t="shared" si="18"/>
        <v>ME</v>
      </c>
      <c r="AQ37" s="56">
        <v>30</v>
      </c>
      <c r="AR37" s="63">
        <v>6748.65</v>
      </c>
      <c r="AS37" s="130">
        <f t="shared" si="19"/>
        <v>1.7400000000006912</v>
      </c>
      <c r="AT37" s="63">
        <v>7487.32</v>
      </c>
      <c r="AU37" s="130">
        <f t="shared" si="20"/>
        <v>2.0500000000001819</v>
      </c>
      <c r="AV37" s="63">
        <v>254.78</v>
      </c>
      <c r="AW37" s="130">
        <f t="shared" si="21"/>
        <v>0.34000000000000341</v>
      </c>
      <c r="AX37" s="63">
        <v>242.8</v>
      </c>
      <c r="AY37" s="130" t="str">
        <f t="shared" si="4"/>
        <v/>
      </c>
      <c r="AZ37" s="125" t="str">
        <f t="shared" si="22"/>
        <v>ME</v>
      </c>
      <c r="BA37" s="56">
        <v>30</v>
      </c>
      <c r="BB37" s="64">
        <v>1.07</v>
      </c>
      <c r="BC37" s="62">
        <v>36</v>
      </c>
      <c r="BD37" s="61">
        <v>7.1</v>
      </c>
      <c r="BE37" s="61">
        <v>11.7</v>
      </c>
      <c r="BF37" s="61">
        <v>16.2</v>
      </c>
      <c r="BG37" s="61">
        <v>7.1</v>
      </c>
      <c r="BH37" s="64">
        <v>0.18</v>
      </c>
      <c r="BI37" s="64">
        <v>0.16300000000000001</v>
      </c>
      <c r="BJ37" s="64">
        <v>8.6999999999999994E-2</v>
      </c>
      <c r="BK37" s="64">
        <v>5.2999999999999999E-2</v>
      </c>
      <c r="BL37" s="64">
        <v>6.0999999999999999E-2</v>
      </c>
      <c r="BM37" s="64">
        <v>5.0999999999999997E-2</v>
      </c>
      <c r="BN37" s="65" t="str">
        <f t="shared" si="23"/>
        <v>ME</v>
      </c>
      <c r="BO37" s="56">
        <v>30</v>
      </c>
      <c r="BP37" s="64">
        <v>9.8000000000000004E-2</v>
      </c>
      <c r="BQ37" s="62">
        <v>0</v>
      </c>
      <c r="BR37" s="61">
        <v>7</v>
      </c>
      <c r="BS37" s="61">
        <v>12.7</v>
      </c>
      <c r="BT37" s="61">
        <v>17.8</v>
      </c>
      <c r="BU37" s="64">
        <v>8.9999999999999993E-3</v>
      </c>
      <c r="BV37" s="63">
        <v>1.05</v>
      </c>
      <c r="BW37" s="63">
        <v>0.88</v>
      </c>
      <c r="BX37" s="66" t="s">
        <v>245</v>
      </c>
      <c r="BY37" s="172" t="s">
        <v>246</v>
      </c>
      <c r="BZ37" s="67" t="str">
        <f t="shared" si="24"/>
        <v>ME</v>
      </c>
      <c r="CA37" s="56">
        <v>30</v>
      </c>
      <c r="CB37" s="61">
        <v>91.3</v>
      </c>
      <c r="CC37" s="61"/>
      <c r="CD37" s="68">
        <f t="shared" si="25"/>
        <v>1.5</v>
      </c>
      <c r="CE37" s="69">
        <f t="shared" si="26"/>
        <v>6.9813975000000008</v>
      </c>
      <c r="CF37" s="69">
        <f t="shared" si="27"/>
        <v>6.1150927007299281</v>
      </c>
      <c r="CG37" s="62">
        <v>54</v>
      </c>
      <c r="CH37" s="62">
        <v>100</v>
      </c>
      <c r="CI37" s="65" t="str">
        <f t="shared" si="28"/>
        <v>ME</v>
      </c>
      <c r="CJ37" s="56">
        <v>30</v>
      </c>
      <c r="CK37" s="61">
        <v>86.5</v>
      </c>
      <c r="CL37" s="61"/>
      <c r="CM37" s="68">
        <f t="shared" si="29"/>
        <v>2.5999999999999943</v>
      </c>
      <c r="CN37" s="68">
        <f t="shared" si="30"/>
        <v>12.101088999999975</v>
      </c>
      <c r="CO37" s="68">
        <f t="shared" si="31"/>
        <v>23.473161174878001</v>
      </c>
      <c r="CP37" s="62">
        <v>60</v>
      </c>
      <c r="CQ37" s="62">
        <v>83</v>
      </c>
      <c r="CR37" s="65" t="str">
        <f t="shared" si="32"/>
        <v>ME</v>
      </c>
      <c r="CS37" s="56">
        <v>30</v>
      </c>
      <c r="CT37" s="61">
        <v>83.9</v>
      </c>
      <c r="CU37" s="61">
        <v>108.9</v>
      </c>
      <c r="CV37" s="68">
        <f t="shared" si="33"/>
        <v>2.4000000000000057</v>
      </c>
      <c r="CW37" s="68">
        <f t="shared" si="34"/>
        <v>15.946176000000039</v>
      </c>
      <c r="CX37" s="69">
        <f t="shared" si="35"/>
        <v>7.7786224390244088E-2</v>
      </c>
      <c r="CY37" s="66" t="s">
        <v>251</v>
      </c>
      <c r="CZ37" s="66" t="s">
        <v>241</v>
      </c>
      <c r="DA37" s="66"/>
      <c r="DB37" s="65" t="str">
        <f t="shared" si="36"/>
        <v>ME</v>
      </c>
      <c r="DC37" s="56">
        <v>30</v>
      </c>
      <c r="DD37" s="61">
        <v>96.7</v>
      </c>
      <c r="DE37" s="61">
        <v>104.4</v>
      </c>
      <c r="DF37" s="68">
        <f t="shared" si="37"/>
        <v>23.100000000000009</v>
      </c>
      <c r="DG37" s="69">
        <f t="shared" si="38"/>
        <v>1.2462733852800003</v>
      </c>
      <c r="DH37" s="68">
        <f t="shared" si="39"/>
        <v>6.0793823672195142</v>
      </c>
      <c r="DI37" s="62">
        <v>90</v>
      </c>
      <c r="DJ37" s="62">
        <v>54</v>
      </c>
      <c r="DK37" s="65" t="str">
        <f t="shared" si="40"/>
        <v>ME</v>
      </c>
      <c r="DL37" s="56">
        <v>30</v>
      </c>
      <c r="DM37" s="63">
        <v>8.07</v>
      </c>
      <c r="DN37" s="64">
        <v>2.7E-2</v>
      </c>
      <c r="DO37" s="64">
        <v>2.8000000000000001E-2</v>
      </c>
      <c r="DP37" s="64">
        <v>6.7000000000000004E-2</v>
      </c>
      <c r="DQ37" s="63">
        <v>6.9</v>
      </c>
      <c r="DR37" s="61">
        <v>12.7</v>
      </c>
      <c r="DS37" s="64">
        <v>1.109</v>
      </c>
      <c r="DT37" s="61">
        <v>85</v>
      </c>
      <c r="DU37" s="63">
        <v>4.18</v>
      </c>
      <c r="DV37" s="64">
        <v>0.68400000000000005</v>
      </c>
      <c r="DW37" s="64">
        <v>1.36</v>
      </c>
      <c r="DX37" s="66" t="s">
        <v>242</v>
      </c>
      <c r="DY37" s="65" t="str">
        <f t="shared" si="41"/>
        <v>ME</v>
      </c>
      <c r="DZ37" s="128">
        <v>30</v>
      </c>
      <c r="EA37" s="173">
        <f t="shared" si="42"/>
        <v>0.13703208556149732</v>
      </c>
      <c r="EB37" s="173">
        <f t="shared" si="43"/>
        <v>0.14338235294117646</v>
      </c>
      <c r="EC37" s="173">
        <f t="shared" si="44"/>
        <v>0.66829268292682931</v>
      </c>
      <c r="ED37" s="63">
        <v>1.08</v>
      </c>
      <c r="EE37" s="63">
        <v>1.1200000000000001</v>
      </c>
      <c r="EF37" s="63">
        <v>0.05</v>
      </c>
      <c r="EG37" s="63">
        <v>0.05</v>
      </c>
      <c r="EH37" s="127" t="str">
        <f t="shared" si="5"/>
        <v>ME</v>
      </c>
      <c r="EI37" s="56">
        <v>30</v>
      </c>
      <c r="EJ37" s="334"/>
      <c r="EK37" s="334"/>
      <c r="EL37" s="334"/>
      <c r="EM37" s="334"/>
      <c r="EN37" s="334"/>
      <c r="EO37" s="334"/>
      <c r="EP37" s="334"/>
      <c r="EQ37" s="65" t="str">
        <f t="shared" si="45"/>
        <v>ME</v>
      </c>
      <c r="ER37" s="20"/>
      <c r="ES37" s="20"/>
      <c r="ET37" s="20"/>
      <c r="EU37" s="20"/>
      <c r="EV37" s="20"/>
      <c r="EW37" s="20"/>
      <c r="EX37" s="20"/>
    </row>
    <row r="38" spans="1:154" s="3" customFormat="1" ht="17.149999999999999" customHeight="1" thickBot="1" x14ac:dyDescent="0.4">
      <c r="A38" s="56">
        <v>31</v>
      </c>
      <c r="B38" s="57">
        <v>887949</v>
      </c>
      <c r="C38" s="58">
        <f>IF(June!B8="","",IF(June!B8=B38,"",(June!B8-B38)))</f>
        <v>160</v>
      </c>
      <c r="D38" s="167">
        <v>10.06</v>
      </c>
      <c r="E38" s="59">
        <v>792092</v>
      </c>
      <c r="F38" s="58">
        <f>IF(June!E8="","",IF(June!E8=E38,"",(June!E8-E38)))</f>
        <v>162</v>
      </c>
      <c r="G38" s="168">
        <v>1.92</v>
      </c>
      <c r="H38" s="57">
        <v>750362</v>
      </c>
      <c r="I38" s="58">
        <f>IF(June!H8="","",IF(June!H8=H38,"",(June!H8-H38)))</f>
        <v>139</v>
      </c>
      <c r="J38" s="60" t="s">
        <v>194</v>
      </c>
      <c r="K38" s="56">
        <v>31</v>
      </c>
      <c r="L38" s="57">
        <v>69577</v>
      </c>
      <c r="M38" s="58" t="str">
        <f>IF(June!L8="","",IF(June!L8=L38,"",(June!L8-L38)))</f>
        <v/>
      </c>
      <c r="N38" s="59">
        <v>176445</v>
      </c>
      <c r="O38" s="58">
        <f>IF(June!N8="","",IF(June!N8=N38,"",(June!N8-N38)))</f>
        <v>43</v>
      </c>
      <c r="P38" s="57">
        <v>194749</v>
      </c>
      <c r="Q38" s="58" t="str">
        <f>IF(June!P8="","",IF(June!P8=P38,"",(June!P8-P38)))</f>
        <v/>
      </c>
      <c r="R38" s="57">
        <v>674</v>
      </c>
      <c r="S38" s="57">
        <v>682</v>
      </c>
      <c r="T38" s="57">
        <v>141</v>
      </c>
      <c r="U38" s="57">
        <v>138</v>
      </c>
      <c r="V38" s="58" t="str">
        <f t="shared" si="10"/>
        <v>ME</v>
      </c>
      <c r="W38" s="56">
        <v>31</v>
      </c>
      <c r="X38" s="63">
        <v>11719</v>
      </c>
      <c r="Y38" s="130">
        <f>IF(June!X8="","",IF(June!X8=X38,"",June!X8-X38))</f>
        <v>2.6200000000008004</v>
      </c>
      <c r="Z38" s="63">
        <v>12496.08</v>
      </c>
      <c r="AA38" s="130">
        <f>IF(June!Z8="","",IF(June!Z8=Z38,"",June!Z8-Z38))</f>
        <v>2.0499999999992724</v>
      </c>
      <c r="AB38" s="63">
        <v>9857.94</v>
      </c>
      <c r="AC38" s="130">
        <f>IF(June!AB8="","",IF(June!AB8=AB38,"",June!AB8-AB38))</f>
        <v>1.5900000000001455</v>
      </c>
      <c r="AD38" s="63">
        <v>9949.19</v>
      </c>
      <c r="AE38" s="130">
        <f>IF(June!AD8="","",IF(June!AD8=AD38,"",June!AD8-AD38))</f>
        <v>2.0900000000001455</v>
      </c>
      <c r="AF38" s="125" t="str">
        <f t="shared" si="14"/>
        <v>ME</v>
      </c>
      <c r="AG38" s="56">
        <v>31</v>
      </c>
      <c r="AH38" s="63">
        <v>46852.37</v>
      </c>
      <c r="AI38" s="130">
        <f>IF(June!AH8="","",IF(June!AH8=AH38,"",June!AH8-AH38))</f>
        <v>10.75</v>
      </c>
      <c r="AJ38" s="63">
        <v>48986.49</v>
      </c>
      <c r="AK38" s="130">
        <f>IF(June!AJ8="","",IF(June!AJ8=AJ38,"",June!AJ8-AJ38))</f>
        <v>11.990000000005239</v>
      </c>
      <c r="AL38" s="63">
        <v>586.97</v>
      </c>
      <c r="AM38" s="130">
        <f>IF(June!AL8="","",IF(June!AL8=AL38,"",June!AL8-AL38))</f>
        <v>1.999999999998181E-2</v>
      </c>
      <c r="AN38" s="63">
        <v>548.5</v>
      </c>
      <c r="AO38" s="130" t="str">
        <f>IF(June!AN8="","",IF(June!AN8=AN38,"",June!AN8-AN38))</f>
        <v/>
      </c>
      <c r="AP38" s="125" t="str">
        <f t="shared" si="18"/>
        <v>ME</v>
      </c>
      <c r="AQ38" s="56">
        <v>31</v>
      </c>
      <c r="AR38" s="63">
        <v>6750.39</v>
      </c>
      <c r="AS38" s="130">
        <f>IF(June!AR8="","",IF(June!AR8=AR38,"",June!AR8-AR38))</f>
        <v>1.5599999999994907</v>
      </c>
      <c r="AT38" s="63">
        <v>7489.37</v>
      </c>
      <c r="AU38" s="130">
        <f>IF(June!AT8="","",IF(June!AT8=AT38,"",June!AT8-AT38))</f>
        <v>2.1900000000005093</v>
      </c>
      <c r="AV38" s="63">
        <v>255.12</v>
      </c>
      <c r="AW38" s="130" t="str">
        <f>IF(June!AV8="","",IF(June!AV8=AV38,"",June!AV8-AV38))</f>
        <v/>
      </c>
      <c r="AX38" s="63">
        <v>242.8</v>
      </c>
      <c r="AY38" s="130" t="str">
        <f>IF(June!AX8="","",IF(June!AX8=AX38,"",June!AX8-AX38))</f>
        <v/>
      </c>
      <c r="AZ38" s="125" t="str">
        <f t="shared" si="22"/>
        <v>ME</v>
      </c>
      <c r="BA38" s="56">
        <v>31</v>
      </c>
      <c r="BB38" s="64">
        <v>0.98499999999999999</v>
      </c>
      <c r="BC38" s="62">
        <v>66</v>
      </c>
      <c r="BD38" s="61">
        <v>7.2</v>
      </c>
      <c r="BE38" s="61">
        <v>11.7</v>
      </c>
      <c r="BF38" s="61">
        <v>15.4</v>
      </c>
      <c r="BG38" s="61">
        <v>7.2</v>
      </c>
      <c r="BH38" s="64">
        <v>0.16500000000000001</v>
      </c>
      <c r="BI38" s="64">
        <v>0.188</v>
      </c>
      <c r="BJ38" s="64">
        <v>6.0999999999999999E-2</v>
      </c>
      <c r="BK38" s="64">
        <v>5.5E-2</v>
      </c>
      <c r="BL38" s="64">
        <v>5.3999999999999999E-2</v>
      </c>
      <c r="BM38" s="64">
        <v>5.5E-2</v>
      </c>
      <c r="BN38" s="65" t="str">
        <f t="shared" si="23"/>
        <v>ME</v>
      </c>
      <c r="BO38" s="56">
        <v>31</v>
      </c>
      <c r="BP38" s="64">
        <v>0.106</v>
      </c>
      <c r="BQ38" s="62">
        <v>0</v>
      </c>
      <c r="BR38" s="61">
        <v>7.3</v>
      </c>
      <c r="BS38" s="61">
        <v>12.8</v>
      </c>
      <c r="BT38" s="61">
        <v>18.2</v>
      </c>
      <c r="BU38" s="64">
        <v>1.2999999999999999E-2</v>
      </c>
      <c r="BV38" s="63">
        <v>1.08</v>
      </c>
      <c r="BW38" s="63">
        <v>0.87</v>
      </c>
      <c r="BX38" s="66" t="s">
        <v>285</v>
      </c>
      <c r="BY38" s="172" t="s">
        <v>246</v>
      </c>
      <c r="BZ38" s="67" t="str">
        <f t="shared" si="24"/>
        <v>ME</v>
      </c>
      <c r="CA38" s="56">
        <v>31</v>
      </c>
      <c r="CB38" s="61">
        <v>89.8</v>
      </c>
      <c r="CC38" s="61"/>
      <c r="CD38" s="68">
        <f>IF(June!CB8="","",IF(CC38="",IF(CB38=June!CB8,"",(CB38-June!CB8)),IF(CC38=June!CB8,"",(CC38-June!CB8))))</f>
        <v>1.7000000000000028</v>
      </c>
      <c r="CE38" s="69">
        <f t="shared" si="26"/>
        <v>7.9122505000000141</v>
      </c>
      <c r="CF38" s="69">
        <f t="shared" si="27"/>
        <v>6.8307198561151203</v>
      </c>
      <c r="CG38" s="62">
        <v>61</v>
      </c>
      <c r="CH38" s="62">
        <v>100</v>
      </c>
      <c r="CI38" s="65" t="str">
        <f t="shared" si="28"/>
        <v>ME</v>
      </c>
      <c r="CJ38" s="56">
        <v>31</v>
      </c>
      <c r="CK38" s="61">
        <v>83.9</v>
      </c>
      <c r="CL38" s="61"/>
      <c r="CM38" s="68">
        <f>IF(June!CK8="","",IF(CL38="",IF(CK38=June!CK8,"",(CK38-June!CK8)),IF(CL38=June!CK8,"",(CL38-June!CK8))))</f>
        <v>2</v>
      </c>
      <c r="CN38" s="68">
        <f t="shared" si="30"/>
        <v>9.3085300000000011</v>
      </c>
      <c r="CO38" s="68">
        <f t="shared" si="31"/>
        <v>23.134605965625006</v>
      </c>
      <c r="CP38" s="62">
        <v>53</v>
      </c>
      <c r="CQ38" s="62">
        <v>83</v>
      </c>
      <c r="CR38" s="65" t="str">
        <f t="shared" si="32"/>
        <v>ME</v>
      </c>
      <c r="CS38" s="56">
        <v>31</v>
      </c>
      <c r="CT38" s="61">
        <v>106.5</v>
      </c>
      <c r="CU38" s="61"/>
      <c r="CV38" s="68">
        <f>IF(June!CT8="","",IF(CU38="",IF(CT38=June!CT8,"",(CT38-June!CT8)),IF(CU38=June!CT8,"",(CU38-June!CT8))))</f>
        <v>1.5999999999999943</v>
      </c>
      <c r="CW38" s="68">
        <f t="shared" si="34"/>
        <v>10.630783999999961</v>
      </c>
      <c r="CX38" s="69">
        <f t="shared" si="35"/>
        <v>6.6442399999999763E-2</v>
      </c>
      <c r="CY38" s="66" t="s">
        <v>240</v>
      </c>
      <c r="CZ38" s="66" t="s">
        <v>241</v>
      </c>
      <c r="DA38" s="66"/>
      <c r="DB38" s="65" t="str">
        <f t="shared" si="36"/>
        <v>ME</v>
      </c>
      <c r="DC38" s="56">
        <v>31</v>
      </c>
      <c r="DD38" s="61">
        <v>81.3</v>
      </c>
      <c r="DE38" s="61">
        <v>103.8</v>
      </c>
      <c r="DF38" s="68">
        <f>IF(June!DD8="","",IF(DE38="",IF(DD38=June!DD8,"",(DD38-June!DD8)),IF(DE38=June!DD8,"",(DE38-June!DD8))))</f>
        <v>17</v>
      </c>
      <c r="DG38" s="69">
        <f t="shared" si="38"/>
        <v>0.91717088960000015</v>
      </c>
      <c r="DH38" s="68">
        <f t="shared" si="39"/>
        <v>5.7323180600000008</v>
      </c>
      <c r="DI38" s="62">
        <v>90</v>
      </c>
      <c r="DJ38" s="62">
        <v>54</v>
      </c>
      <c r="DK38" s="65" t="str">
        <f t="shared" si="40"/>
        <v>ME</v>
      </c>
      <c r="DL38" s="56">
        <v>31</v>
      </c>
      <c r="DM38" s="63">
        <v>8.24</v>
      </c>
      <c r="DN38" s="64">
        <v>3.3000000000000002E-2</v>
      </c>
      <c r="DO38" s="64">
        <v>2.9000000000000001E-2</v>
      </c>
      <c r="DP38" s="64">
        <v>6.7000000000000004E-2</v>
      </c>
      <c r="DQ38" s="63">
        <v>6.89</v>
      </c>
      <c r="DR38" s="61">
        <v>12.8</v>
      </c>
      <c r="DS38" s="64">
        <v>1.105</v>
      </c>
      <c r="DT38" s="61">
        <v>86.1</v>
      </c>
      <c r="DU38" s="63">
        <v>4.17</v>
      </c>
      <c r="DV38" s="64">
        <v>1.4159999999999999</v>
      </c>
      <c r="DW38" s="64">
        <v>0.93600000000000005</v>
      </c>
      <c r="DX38" s="66" t="s">
        <v>242</v>
      </c>
      <c r="DY38" s="65" t="str">
        <f t="shared" si="41"/>
        <v>ME</v>
      </c>
      <c r="DZ38" s="128">
        <v>31</v>
      </c>
      <c r="EA38" s="173">
        <f t="shared" si="42"/>
        <v>0.10695187165775401</v>
      </c>
      <c r="EB38" s="173">
        <f t="shared" si="43"/>
        <v>0.11911764705882352</v>
      </c>
      <c r="EC38" s="173">
        <f t="shared" si="44"/>
        <v>0.86875000000000002</v>
      </c>
      <c r="ED38" s="63">
        <v>1.08</v>
      </c>
      <c r="EE38" s="63">
        <v>1.1200000000000001</v>
      </c>
      <c r="EF38" s="63">
        <v>0.04</v>
      </c>
      <c r="EG38" s="63">
        <v>0.14000000000000001</v>
      </c>
      <c r="EH38" s="127" t="str">
        <f t="shared" si="5"/>
        <v>ME</v>
      </c>
      <c r="EI38" s="56">
        <v>31</v>
      </c>
      <c r="EJ38" s="334"/>
      <c r="EK38" s="334"/>
      <c r="EL38" s="334"/>
      <c r="EM38" s="334"/>
      <c r="EN38" s="334"/>
      <c r="EO38" s="334"/>
      <c r="EP38" s="334"/>
      <c r="EQ38" s="65" t="str">
        <f t="shared" si="45"/>
        <v>ME</v>
      </c>
      <c r="ER38" s="20"/>
      <c r="ES38" s="20"/>
      <c r="ET38" s="20"/>
      <c r="EU38" s="20"/>
      <c r="EV38" s="20"/>
      <c r="EW38" s="20"/>
      <c r="EX38" s="20"/>
    </row>
    <row r="39" spans="1:154" s="3" customFormat="1" ht="18.649999999999999" customHeight="1" thickBot="1" x14ac:dyDescent="0.4">
      <c r="A39" s="73"/>
      <c r="B39" s="74"/>
      <c r="C39" s="74"/>
      <c r="D39" s="75"/>
      <c r="E39" s="74"/>
      <c r="F39" s="74"/>
      <c r="G39" s="75"/>
      <c r="H39" s="74"/>
      <c r="I39" s="74"/>
      <c r="J39" s="73"/>
      <c r="K39" s="73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3"/>
      <c r="W39" s="73"/>
      <c r="X39" s="75"/>
      <c r="Y39" s="75"/>
      <c r="Z39" s="75"/>
      <c r="AA39" s="75"/>
      <c r="AB39" s="75"/>
      <c r="AC39" s="75"/>
      <c r="AD39" s="75"/>
      <c r="AE39" s="75"/>
      <c r="AF39" s="73"/>
      <c r="AG39" s="73"/>
      <c r="AH39" s="75"/>
      <c r="AI39" s="75"/>
      <c r="AJ39" s="75"/>
      <c r="AK39" s="75"/>
      <c r="AL39" s="75"/>
      <c r="AM39" s="75"/>
      <c r="AN39" s="75"/>
      <c r="AO39" s="75"/>
      <c r="AP39" s="73"/>
      <c r="AQ39" s="73"/>
      <c r="AR39" s="75"/>
      <c r="AS39" s="75"/>
      <c r="AT39" s="75"/>
      <c r="AU39" s="75"/>
      <c r="AV39" s="75"/>
      <c r="AW39" s="75"/>
      <c r="AX39" s="75"/>
      <c r="AY39" s="75"/>
      <c r="AZ39" s="73"/>
      <c r="BA39" s="73"/>
      <c r="BB39" s="75"/>
      <c r="BC39" s="74"/>
      <c r="BD39" s="73"/>
      <c r="BE39" s="73"/>
      <c r="BF39" s="73"/>
      <c r="BG39" s="73"/>
      <c r="BH39" s="124"/>
      <c r="BI39" s="124"/>
      <c r="BJ39" s="124"/>
      <c r="BK39" s="124"/>
      <c r="BL39" s="124"/>
      <c r="BM39" s="124"/>
      <c r="BN39" s="73"/>
      <c r="BO39" s="73"/>
      <c r="BP39" s="124"/>
      <c r="BQ39" s="74"/>
      <c r="BR39" s="73"/>
      <c r="BS39" s="73"/>
      <c r="BT39" s="73"/>
      <c r="BU39" s="124"/>
      <c r="BV39" s="75"/>
      <c r="BW39" s="75"/>
      <c r="BX39" s="73"/>
      <c r="BY39" s="73"/>
      <c r="BZ39" s="73"/>
      <c r="CA39" s="73"/>
      <c r="CB39" s="73"/>
      <c r="CC39" s="73"/>
      <c r="CD39" s="73"/>
      <c r="CE39" s="75"/>
      <c r="CF39" s="75"/>
      <c r="CG39" s="74"/>
      <c r="CH39" s="74"/>
      <c r="CI39" s="73"/>
      <c r="CJ39" s="73"/>
      <c r="CK39" s="73"/>
      <c r="CL39" s="73"/>
      <c r="CM39" s="73"/>
      <c r="CN39" s="73"/>
      <c r="CO39" s="73"/>
      <c r="CP39" s="74"/>
      <c r="CQ39" s="74"/>
      <c r="CR39" s="73"/>
      <c r="CS39" s="73"/>
      <c r="CT39" s="73"/>
      <c r="CU39" s="73"/>
      <c r="CV39" s="73"/>
      <c r="CW39" s="73"/>
      <c r="CX39" s="75"/>
      <c r="CY39" s="74"/>
      <c r="CZ39" s="74"/>
      <c r="DA39" s="74"/>
      <c r="DB39" s="73"/>
      <c r="DC39" s="73"/>
      <c r="DD39" s="73"/>
      <c r="DE39" s="73"/>
      <c r="DF39" s="73"/>
      <c r="DG39" s="75"/>
      <c r="DH39" s="73"/>
      <c r="DI39" s="74"/>
      <c r="DJ39" s="74"/>
      <c r="DK39" s="73"/>
      <c r="DL39" s="73"/>
      <c r="DM39" s="75"/>
      <c r="DN39" s="124"/>
      <c r="DO39" s="124"/>
      <c r="DP39" s="124"/>
      <c r="DQ39" s="75"/>
      <c r="DR39" s="73"/>
      <c r="DS39" s="124"/>
      <c r="DT39" s="73"/>
      <c r="DU39" s="75"/>
      <c r="DV39" s="124"/>
      <c r="DW39" s="124"/>
      <c r="DX39" s="124"/>
      <c r="DY39" s="73"/>
      <c r="DZ39" s="195" t="s">
        <v>199</v>
      </c>
      <c r="EA39" s="198">
        <f>IF(COUNT(EA7:EA37)=0,"",AVERAGE(EA7:EA37))*100</f>
        <v>12.847593582887701</v>
      </c>
      <c r="EB39" s="199">
        <f>IF(COUNT(EB7:EB37)=0,"",AVERAGE(EB7:EB37))*100</f>
        <v>13.843137254901958</v>
      </c>
      <c r="EC39" s="200">
        <f>IF(COUNT(EC7:EC37)=0,"",AVERAGE(EC7:EC37))*100</f>
        <v>78.408942390338538</v>
      </c>
      <c r="ED39" s="75"/>
      <c r="EE39" s="75"/>
      <c r="EF39" s="75"/>
      <c r="EG39" s="75"/>
      <c r="EH39" s="73"/>
      <c r="EI39" s="73"/>
      <c r="EJ39" s="351"/>
      <c r="EK39" s="351"/>
      <c r="EL39" s="351"/>
      <c r="EM39" s="351"/>
      <c r="EN39" s="351"/>
      <c r="EO39" s="351"/>
      <c r="EP39" s="351"/>
      <c r="EQ39" s="73"/>
      <c r="ER39" s="20"/>
      <c r="ES39" s="20"/>
      <c r="ET39" s="20"/>
      <c r="EU39" s="20"/>
      <c r="EV39" s="20"/>
      <c r="EW39" s="20"/>
      <c r="EX39" s="20"/>
    </row>
    <row r="40" spans="1:154" s="3" customFormat="1" ht="18.649999999999999" customHeight="1" x14ac:dyDescent="0.35">
      <c r="A40" s="56" t="s">
        <v>2</v>
      </c>
      <c r="B40" s="77"/>
      <c r="C40" s="78">
        <f>IF(COUNT(C8:C38)=0,"",SUM(C8:C38))</f>
        <v>5926</v>
      </c>
      <c r="D40" s="75"/>
      <c r="E40" s="74"/>
      <c r="F40" s="78">
        <f>IF(COUNT(F8:F38)=0,"",SUM(F8:F38))</f>
        <v>5810</v>
      </c>
      <c r="G40" s="81"/>
      <c r="H40" s="74"/>
      <c r="I40" s="78">
        <f>IF(COUNT(I8:I38)=0,"",SUM(I8:I38))</f>
        <v>4515</v>
      </c>
      <c r="J40" s="79"/>
      <c r="K40" s="56" t="s">
        <v>2</v>
      </c>
      <c r="L40" s="77"/>
      <c r="M40" s="78">
        <f>IF(COUNT(M8:M38)=0,"",SUM(M8:M38))</f>
        <v>457</v>
      </c>
      <c r="N40" s="74"/>
      <c r="O40" s="78">
        <f>IF(COUNT(O8:O38)=0,"",SUM(O8:O38))</f>
        <v>1377</v>
      </c>
      <c r="P40" s="74"/>
      <c r="Q40" s="78" t="str">
        <f>IF(COUNT(Q8:Q38)=0,"",SUM(Q8:Q38))</f>
        <v/>
      </c>
      <c r="R40" s="77"/>
      <c r="S40" s="77"/>
      <c r="T40" s="77"/>
      <c r="U40" s="77"/>
      <c r="V40" s="79"/>
      <c r="W40" s="56" t="s">
        <v>2</v>
      </c>
      <c r="X40" s="81"/>
      <c r="Y40" s="82">
        <f>IF(COUNT(Y8:Y38)=0,"",SUM(Y8:Y38))</f>
        <v>88.130000000001019</v>
      </c>
      <c r="Z40" s="75"/>
      <c r="AA40" s="82">
        <f>IF(COUNT(AA8:AA38)=0,"",SUM(AA8:AA38))</f>
        <v>89.449999999998909</v>
      </c>
      <c r="AB40" s="75"/>
      <c r="AC40" s="82">
        <f>IF(COUNT(AC8:AC38)=0,"",SUM(AC8:AC38))</f>
        <v>57.690000000000509</v>
      </c>
      <c r="AD40" s="75"/>
      <c r="AE40" s="82">
        <f>IF(COUNT(AE8:AE38)=0,"",SUM(AE8:AE38))</f>
        <v>64.570000000001528</v>
      </c>
      <c r="AF40" s="79"/>
      <c r="AG40" s="56" t="s">
        <v>2</v>
      </c>
      <c r="AH40" s="81"/>
      <c r="AI40" s="82">
        <f>IF(COUNT(AI8:AI38)=0,"",SUM(AI8:AI38))</f>
        <v>372.05000000000291</v>
      </c>
      <c r="AJ40" s="75"/>
      <c r="AK40" s="82">
        <f>IF(COUNT(AK8:AK38)=0,"",SUM(AK8:AK38))</f>
        <v>372.05000000000291</v>
      </c>
      <c r="AL40" s="75"/>
      <c r="AM40" s="82">
        <f>IF(COUNT(AM8:AM38)=0,"",SUM(AM8:AM38))</f>
        <v>0.88999999999998636</v>
      </c>
      <c r="AN40" s="75"/>
      <c r="AO40" s="82">
        <f>IF(COUNT(AO8:AO38)=0,"",SUM(AO8:AO38))</f>
        <v>1.0499999999999545</v>
      </c>
      <c r="AP40" s="79"/>
      <c r="AQ40" s="56" t="s">
        <v>2</v>
      </c>
      <c r="AR40" s="81"/>
      <c r="AS40" s="82">
        <f>IF(COUNT(AS8:AS38)=0,"",SUM(AS8:AS38))</f>
        <v>45.519999999999527</v>
      </c>
      <c r="AT40" s="75"/>
      <c r="AU40" s="82">
        <f>IF(COUNT(AU8:AU38)=0,"",SUM(AU8:AU38))</f>
        <v>64.320000000000618</v>
      </c>
      <c r="AV40" s="75"/>
      <c r="AW40" s="82">
        <f>IF(COUNT(AW8:AW38)=0,"",SUM(AW8:AW38))</f>
        <v>1.7800000000000011</v>
      </c>
      <c r="AX40" s="75"/>
      <c r="AY40" s="82">
        <f>IF(COUNT(AY8:AY38)=0,"",SUM(AY8:AY38))</f>
        <v>1.4399999999999977</v>
      </c>
      <c r="AZ40" s="79"/>
      <c r="BA40" s="264" t="s">
        <v>2</v>
      </c>
      <c r="BB40" s="265">
        <f>COUNTA(BB8:BB38)</f>
        <v>21</v>
      </c>
      <c r="BC40" s="265">
        <f t="shared" ref="BC40:BM40" si="46">COUNTA(BC8:BC38)</f>
        <v>21</v>
      </c>
      <c r="BD40" s="265">
        <f t="shared" si="46"/>
        <v>21</v>
      </c>
      <c r="BE40" s="265">
        <f t="shared" si="46"/>
        <v>21</v>
      </c>
      <c r="BF40" s="265">
        <f t="shared" si="46"/>
        <v>21</v>
      </c>
      <c r="BG40" s="265">
        <f t="shared" si="46"/>
        <v>21</v>
      </c>
      <c r="BH40" s="265">
        <f t="shared" si="46"/>
        <v>21</v>
      </c>
      <c r="BI40" s="265">
        <f t="shared" si="46"/>
        <v>21</v>
      </c>
      <c r="BJ40" s="265">
        <f t="shared" si="46"/>
        <v>21</v>
      </c>
      <c r="BK40" s="265">
        <f t="shared" si="46"/>
        <v>21</v>
      </c>
      <c r="BL40" s="265">
        <f t="shared" si="46"/>
        <v>21</v>
      </c>
      <c r="BM40" s="265">
        <f t="shared" si="46"/>
        <v>21</v>
      </c>
      <c r="BN40" s="266" t="s">
        <v>208</v>
      </c>
      <c r="BO40" s="264" t="s">
        <v>2</v>
      </c>
      <c r="BP40" s="265">
        <f t="shared" ref="BP40:BW40" si="47">COUNTA(BP8:BP38)</f>
        <v>31</v>
      </c>
      <c r="BQ40" s="265">
        <f t="shared" si="47"/>
        <v>26</v>
      </c>
      <c r="BR40" s="265">
        <f t="shared" si="47"/>
        <v>26</v>
      </c>
      <c r="BS40" s="265">
        <f t="shared" si="47"/>
        <v>26</v>
      </c>
      <c r="BT40" s="265">
        <f t="shared" si="47"/>
        <v>26</v>
      </c>
      <c r="BU40" s="265">
        <f t="shared" si="47"/>
        <v>26</v>
      </c>
      <c r="BV40" s="265">
        <f t="shared" si="47"/>
        <v>31</v>
      </c>
      <c r="BW40" s="265">
        <f t="shared" si="47"/>
        <v>31</v>
      </c>
      <c r="BX40" s="267" t="s">
        <v>208</v>
      </c>
      <c r="BY40" s="83"/>
      <c r="BZ40" s="73"/>
      <c r="CA40" s="56" t="s">
        <v>2</v>
      </c>
      <c r="CB40" s="73"/>
      <c r="CC40" s="73"/>
      <c r="CD40" s="80">
        <f>IF(COUNT(CD8:CD38)=0,"",SUM(CD8:CD38))</f>
        <v>39.799999999999997</v>
      </c>
      <c r="CE40" s="82">
        <f>IF(COUNT(CE8:CE38)=0,"",SUM(CE8:CE38))</f>
        <v>185.23974700000008</v>
      </c>
      <c r="CF40" s="75"/>
      <c r="CG40" s="74"/>
      <c r="CH40" s="74"/>
      <c r="CI40" s="73"/>
      <c r="CJ40" s="56" t="s">
        <v>2</v>
      </c>
      <c r="CK40" s="73"/>
      <c r="CL40" s="73"/>
      <c r="CM40" s="80">
        <f>IF(COUNT(CM8:CM38)=0,"",SUM(CM8:CM38))</f>
        <v>76.099999999999994</v>
      </c>
      <c r="CN40" s="80">
        <f>IF(COUNT(CN8:CN38)=0,"",SUM(CN8:CN38))</f>
        <v>354.18956650000007</v>
      </c>
      <c r="CO40" s="73"/>
      <c r="CP40" s="74"/>
      <c r="CQ40" s="74"/>
      <c r="CR40" s="73"/>
      <c r="CS40" s="56" t="s">
        <v>2</v>
      </c>
      <c r="CT40" s="73"/>
      <c r="CU40" s="73"/>
      <c r="CV40" s="80">
        <f>IF(COUNT(CV8:CV38)=0,"",SUM(CV8:CV38))</f>
        <v>61.5</v>
      </c>
      <c r="CW40" s="80">
        <f>IF(COUNT(CW8:CW38)=0,"",SUM(CW8:CW38))</f>
        <v>408.62076000000002</v>
      </c>
      <c r="CX40" s="75"/>
      <c r="CY40" s="74"/>
      <c r="CZ40" s="74"/>
      <c r="DA40" s="74"/>
      <c r="DB40" s="73"/>
      <c r="DC40" s="56" t="s">
        <v>2</v>
      </c>
      <c r="DD40" s="73"/>
      <c r="DE40" s="73"/>
      <c r="DF40" s="80">
        <f>IF(COUNT(DF8:DF38)=0,"",SUM(DF8:DF38))</f>
        <v>592.80000000000007</v>
      </c>
      <c r="DG40" s="82">
        <f>IF(COUNT(DG8:DG38)=0,"",SUM(DG8:DG38))</f>
        <v>31.982288432640011</v>
      </c>
      <c r="DH40" s="73"/>
      <c r="DI40" s="74"/>
      <c r="DJ40" s="74"/>
      <c r="DK40" s="73"/>
      <c r="DL40" s="56" t="s">
        <v>2</v>
      </c>
      <c r="DM40" s="75"/>
      <c r="DN40" s="124"/>
      <c r="DO40" s="124"/>
      <c r="DP40" s="124"/>
      <c r="DQ40" s="75"/>
      <c r="DR40" s="73"/>
      <c r="DS40" s="124"/>
      <c r="DT40" s="73"/>
      <c r="DU40" s="75"/>
      <c r="DV40" s="124"/>
      <c r="DW40" s="124"/>
      <c r="DX40" s="124"/>
      <c r="DY40" s="73"/>
      <c r="DZ40" s="84" t="s">
        <v>27</v>
      </c>
      <c r="EA40" s="82">
        <f>IF(COUNT(EA8:EA38)=0,"",MIN(EA8:EA38))*100</f>
        <v>4.7459893048128343</v>
      </c>
      <c r="EB40" s="82">
        <f>IF(COUNT(EB8:EB38)=0,"",MIN(EB8:EB38))*100</f>
        <v>9.7794117647058822</v>
      </c>
      <c r="EC40" s="82">
        <f>IF(COUNT(EC8:EC38)=0,"",MIN(EC8:EC38))*100</f>
        <v>42.487046632124354</v>
      </c>
      <c r="ED40" s="82">
        <f>IF(COUNT(ED8:ED38)=0,"",MIN(ED8:ED38))</f>
        <v>0</v>
      </c>
      <c r="EE40" s="75"/>
      <c r="EF40" s="75"/>
      <c r="EG40" s="75"/>
      <c r="EH40" s="73"/>
      <c r="EI40" s="73"/>
      <c r="EJ40" s="351"/>
      <c r="EK40" s="351"/>
      <c r="EL40" s="351"/>
      <c r="EM40" s="351"/>
      <c r="EN40" s="351"/>
      <c r="EO40" s="351"/>
      <c r="EP40" s="351"/>
      <c r="EQ40" s="73"/>
      <c r="ER40" s="20"/>
      <c r="ES40" s="20"/>
      <c r="ET40" s="20"/>
      <c r="EU40" s="20"/>
      <c r="EV40" s="20"/>
      <c r="EW40" s="20"/>
      <c r="EX40" s="20"/>
    </row>
    <row r="41" spans="1:154" s="3" customFormat="1" ht="18" customHeight="1" x14ac:dyDescent="0.35">
      <c r="A41" s="56" t="s">
        <v>7</v>
      </c>
      <c r="B41" s="77"/>
      <c r="C41" s="78">
        <f>IF(COUNT(C8:C38)=0,"",AVERAGE(C8:C38))</f>
        <v>191.16129032258064</v>
      </c>
      <c r="D41" s="75"/>
      <c r="E41" s="74"/>
      <c r="F41" s="78">
        <f>IF(COUNT(F8:F38)=0,"",AVERAGE(F8:F38))</f>
        <v>187.41935483870967</v>
      </c>
      <c r="G41" s="81"/>
      <c r="H41" s="74"/>
      <c r="I41" s="78">
        <f>IF(COUNT(I8:I38)=0,"",AVERAGE(I8:I38))</f>
        <v>145.64516129032259</v>
      </c>
      <c r="J41" s="79"/>
      <c r="K41" s="56" t="s">
        <v>7</v>
      </c>
      <c r="L41" s="77"/>
      <c r="M41" s="78">
        <f>IF(COUNT(M8:M38)=0,"",AVERAGE(M8:M38))</f>
        <v>35.153846153846153</v>
      </c>
      <c r="N41" s="74"/>
      <c r="O41" s="78">
        <f>IF(COUNT(O8:O38)=0,"",AVERAGE(O8:O38))</f>
        <v>44.41935483870968</v>
      </c>
      <c r="P41" s="74"/>
      <c r="Q41" s="78" t="str">
        <f>IF(COUNT(Q8:Q38)=0,"",AVERAGE(Q8:Q38))</f>
        <v/>
      </c>
      <c r="R41" s="77"/>
      <c r="S41" s="77"/>
      <c r="T41" s="77"/>
      <c r="U41" s="77"/>
      <c r="V41" s="79"/>
      <c r="W41" s="56"/>
      <c r="X41" s="75"/>
      <c r="Y41" s="75"/>
      <c r="Z41" s="75"/>
      <c r="AA41" s="75"/>
      <c r="AB41" s="75"/>
      <c r="AC41" s="75"/>
      <c r="AD41" s="75"/>
      <c r="AE41" s="75"/>
      <c r="AF41" s="79"/>
      <c r="AG41" s="56" t="s">
        <v>7</v>
      </c>
      <c r="AH41" s="75"/>
      <c r="AI41" s="75"/>
      <c r="AJ41" s="75"/>
      <c r="AK41" s="75"/>
      <c r="AL41" s="75"/>
      <c r="AM41" s="75"/>
      <c r="AN41" s="75"/>
      <c r="AO41" s="75"/>
      <c r="AP41" s="79"/>
      <c r="AQ41" s="56" t="s">
        <v>7</v>
      </c>
      <c r="AR41" s="75"/>
      <c r="AS41" s="75"/>
      <c r="AT41" s="75"/>
      <c r="AU41" s="75"/>
      <c r="AV41" s="75"/>
      <c r="AW41" s="75"/>
      <c r="AX41" s="75"/>
      <c r="AY41" s="75"/>
      <c r="AZ41" s="79"/>
      <c r="BA41" s="56" t="s">
        <v>7</v>
      </c>
      <c r="BB41" s="82">
        <f>IF(COUNT(BB8:BB38)=0,"",AVERAGE(BB8:BB38))</f>
        <v>1.137904761904762</v>
      </c>
      <c r="BC41" s="78">
        <f t="shared" ref="BC41:BM41" si="48">IF(COUNT(BC8:BC38)=0,"",AVERAGE(BC8:BC38))</f>
        <v>32</v>
      </c>
      <c r="BD41" s="80">
        <f t="shared" si="48"/>
        <v>6.9761904761904763</v>
      </c>
      <c r="BE41" s="80">
        <f t="shared" si="48"/>
        <v>9.038095238095238</v>
      </c>
      <c r="BF41" s="80">
        <f t="shared" si="48"/>
        <v>16.333333333333332</v>
      </c>
      <c r="BG41" s="80">
        <f t="shared" si="48"/>
        <v>6.9761904761904763</v>
      </c>
      <c r="BH41" s="84">
        <f t="shared" si="48"/>
        <v>0.2059047619047619</v>
      </c>
      <c r="BI41" s="84">
        <f t="shared" si="48"/>
        <v>0.20738095238095239</v>
      </c>
      <c r="BJ41" s="84">
        <f t="shared" si="48"/>
        <v>5.9142857142857143E-2</v>
      </c>
      <c r="BK41" s="84">
        <f t="shared" si="48"/>
        <v>5.5952380952380955E-2</v>
      </c>
      <c r="BL41" s="84">
        <f t="shared" si="48"/>
        <v>5.6714285714285717E-2</v>
      </c>
      <c r="BM41" s="84">
        <f t="shared" si="48"/>
        <v>5.6285714285714286E-2</v>
      </c>
      <c r="BN41" s="73"/>
      <c r="BO41" s="56" t="s">
        <v>7</v>
      </c>
      <c r="BP41" s="84">
        <f>IF(COUNT(BP8:BP38)=0,"",AVERAGE(BP8:BP38))</f>
        <v>0.11141935483870967</v>
      </c>
      <c r="BQ41" s="78">
        <f t="shared" ref="BQ41:BW41" si="49">IF(COUNT(BQ8:BQ38)=0,"",AVERAGE(BQ8:BQ38))</f>
        <v>0</v>
      </c>
      <c r="BR41" s="80">
        <f t="shared" si="49"/>
        <v>7.115384615384615</v>
      </c>
      <c r="BS41" s="80">
        <f t="shared" si="49"/>
        <v>10.41923076923077</v>
      </c>
      <c r="BT41" s="80">
        <f t="shared" si="49"/>
        <v>18.79615384615385</v>
      </c>
      <c r="BU41" s="84">
        <f t="shared" si="49"/>
        <v>1.2730769230769238E-2</v>
      </c>
      <c r="BV41" s="82">
        <f t="shared" si="49"/>
        <v>1.1577419354838707</v>
      </c>
      <c r="BW41" s="82">
        <f t="shared" si="49"/>
        <v>0.98354838709677439</v>
      </c>
      <c r="BX41" s="75"/>
      <c r="BY41" s="83"/>
      <c r="BZ41" s="73"/>
      <c r="CA41" s="56" t="s">
        <v>7</v>
      </c>
      <c r="CB41" s="73"/>
      <c r="CC41" s="73"/>
      <c r="CD41" s="80">
        <f>IF(COUNT(CD8:CD38)=0,"",AVERAGE(CD8:CD38))</f>
        <v>1.2838709677419353</v>
      </c>
      <c r="CE41" s="82">
        <f>IF(COUNT(CE8:CE38)=0,"",AVERAGE(CE8:CE38))</f>
        <v>5.975475709677422</v>
      </c>
      <c r="CF41" s="82">
        <f>IF(COUNT(CF8:CF38)=0,"",AVERAGE(CF8:CF38))</f>
        <v>4.9218141668429682</v>
      </c>
      <c r="CG41" s="74"/>
      <c r="CH41" s="74"/>
      <c r="CI41" s="73"/>
      <c r="CJ41" s="56" t="s">
        <v>7</v>
      </c>
      <c r="CK41" s="73"/>
      <c r="CL41" s="73"/>
      <c r="CM41" s="80">
        <f>IF(COUNT(CM8:CM38)=0,"",AVERAGE(CM8:CM38))</f>
        <v>2.4548387096774191</v>
      </c>
      <c r="CN41" s="80">
        <f>IF(COUNT(CN8:CN38)=0,"",AVERAGE(CN8:CN38))</f>
        <v>11.425469887096776</v>
      </c>
      <c r="CO41" s="80">
        <f>IF(COUNT(CO8:CO38)=0,"",AVERAGE(CO8:CO38))</f>
        <v>23.858754740831017</v>
      </c>
      <c r="CP41" s="74"/>
      <c r="CQ41" s="74"/>
      <c r="CR41" s="73"/>
      <c r="CS41" s="56" t="s">
        <v>7</v>
      </c>
      <c r="CT41" s="73"/>
      <c r="CU41" s="73"/>
      <c r="CV41" s="80">
        <f>IF(COUNT(CV8:CV38)=0,"",AVERAGE(CV8:CV38))</f>
        <v>1.9838709677419355</v>
      </c>
      <c r="CW41" s="80">
        <f>IF(COUNT(CW8:CW38)=0,"",AVERAGE(CW8:CW38))</f>
        <v>13.181314838709678</v>
      </c>
      <c r="CX41" s="82">
        <f>IF(COUNT(CX8:CX38)=0,"",AVERAGE(CX8:CX38))</f>
        <v>6.9321666346031111E-2</v>
      </c>
      <c r="CY41" s="74"/>
      <c r="CZ41" s="74"/>
      <c r="DA41" s="74"/>
      <c r="DB41" s="73"/>
      <c r="DC41" s="56" t="s">
        <v>7</v>
      </c>
      <c r="DD41" s="73"/>
      <c r="DE41" s="73"/>
      <c r="DF41" s="80">
        <f>IF(COUNT(DF8:DF38)=0,"",AVERAGE(DF8:DF38))</f>
        <v>19.122580645161293</v>
      </c>
      <c r="DG41" s="82">
        <f>IF(COUNT(DG8:DG38)=0,"",AVERAGE(DG8:DG38))</f>
        <v>1.0316867236335487</v>
      </c>
      <c r="DH41" s="80">
        <f>IF(COUNT(DH8:DH38)=0,"",AVERAGE(DH8:DH38))</f>
        <v>5.4771287865026643</v>
      </c>
      <c r="DI41" s="74"/>
      <c r="DJ41" s="74"/>
      <c r="DK41" s="73"/>
      <c r="DL41" s="56" t="s">
        <v>7</v>
      </c>
      <c r="DM41" s="82">
        <f t="shared" ref="DM41:DW41" si="50">IF(COUNT(DM8:DM38)=0,"",AVERAGE(DM8:DM38))</f>
        <v>7.93483870967742</v>
      </c>
      <c r="DN41" s="84">
        <f t="shared" si="50"/>
        <v>3.4741935483870966E-2</v>
      </c>
      <c r="DO41" s="84">
        <f t="shared" si="50"/>
        <v>2.9483870967741955E-2</v>
      </c>
      <c r="DP41" s="84">
        <f t="shared" si="50"/>
        <v>6.3677419354838699E-2</v>
      </c>
      <c r="DQ41" s="82">
        <f t="shared" si="50"/>
        <v>6.85516129032258</v>
      </c>
      <c r="DR41" s="80">
        <f t="shared" si="50"/>
        <v>10.403225806451612</v>
      </c>
      <c r="DS41" s="84">
        <f t="shared" si="50"/>
        <v>1.1558064516129034</v>
      </c>
      <c r="DT41" s="80">
        <f t="shared" si="50"/>
        <v>84.938709677419368</v>
      </c>
      <c r="DU41" s="82">
        <f t="shared" si="50"/>
        <v>4.2222580645161294</v>
      </c>
      <c r="DV41" s="84">
        <f t="shared" si="50"/>
        <v>1.2889354838709675</v>
      </c>
      <c r="DW41" s="84">
        <f t="shared" si="50"/>
        <v>1.7245806451612902</v>
      </c>
      <c r="DX41" s="124"/>
      <c r="DY41" s="73"/>
      <c r="DZ41" s="84" t="s">
        <v>28</v>
      </c>
      <c r="EA41" s="82">
        <f>IF(COUNT(EA8:EA38)=0,"",MAX(EA8:EA38))*100</f>
        <v>25.802139037433154</v>
      </c>
      <c r="EB41" s="82">
        <f>IF(COUNT(EB8:EB38)=0,"",MAX(EB8:EB38))*100</f>
        <v>19.044117647058822</v>
      </c>
      <c r="EC41" s="82">
        <f>IF(COUNT(EC8:EC38)=0,"",MAX(EC8:EC38))*100</f>
        <v>88.888888888888886</v>
      </c>
      <c r="ED41" s="75"/>
      <c r="EE41" s="82">
        <f>IF(COUNT(EE8:EE38)=0,"",MAX(EE8:EE38))</f>
        <v>5.63</v>
      </c>
      <c r="EF41" s="82">
        <f>IF(COUNT(EF8:EF38)=0,"",MAX(EF8:EF38))</f>
        <v>0.06</v>
      </c>
      <c r="EG41" s="82">
        <f>IF(COUNT(EG8:EG38)=0,"",MAX(EG8:EG38))</f>
        <v>0.55000000000000004</v>
      </c>
      <c r="EH41" s="73"/>
      <c r="EI41" s="73"/>
      <c r="EJ41" s="351"/>
      <c r="EK41" s="351"/>
      <c r="EL41" s="351"/>
      <c r="EM41" s="351"/>
      <c r="EN41" s="351"/>
      <c r="EO41" s="351"/>
      <c r="EP41" s="351"/>
      <c r="EQ41" s="73"/>
      <c r="ER41" s="20"/>
      <c r="ES41" s="20"/>
      <c r="ET41" s="20"/>
      <c r="EU41" s="20"/>
      <c r="EV41" s="20"/>
      <c r="EW41" s="20"/>
      <c r="EX41" s="20"/>
    </row>
    <row r="42" spans="1:154" ht="25.5" customHeight="1" x14ac:dyDescent="0.5">
      <c r="A42" s="314" t="s">
        <v>450</v>
      </c>
      <c r="B42" s="314"/>
      <c r="C42" s="314"/>
      <c r="D42" s="314"/>
      <c r="E42" s="314"/>
      <c r="F42" s="315" t="s">
        <v>115</v>
      </c>
      <c r="G42" s="315"/>
      <c r="H42" s="315"/>
      <c r="I42" s="315"/>
      <c r="J42" s="315"/>
      <c r="K42" s="314" t="str">
        <f>IF(A42="","",A42)</f>
        <v xml:space="preserve"> Drinking Water System</v>
      </c>
      <c r="L42" s="314"/>
      <c r="M42" s="314"/>
      <c r="N42" s="314"/>
      <c r="O42" s="315" t="s">
        <v>125</v>
      </c>
      <c r="P42" s="315"/>
      <c r="Q42" s="315"/>
      <c r="R42" s="315"/>
      <c r="S42" s="315"/>
      <c r="T42" s="315"/>
      <c r="U42" s="315"/>
      <c r="V42" s="315"/>
      <c r="W42" s="314" t="str">
        <f>IF(A42="","",A42)</f>
        <v xml:space="preserve"> Drinking Water System</v>
      </c>
      <c r="X42" s="314"/>
      <c r="Y42" s="314"/>
      <c r="Z42" s="314"/>
      <c r="AA42" s="314"/>
      <c r="AB42" s="315" t="s">
        <v>129</v>
      </c>
      <c r="AC42" s="315"/>
      <c r="AD42" s="315"/>
      <c r="AE42" s="315"/>
      <c r="AF42" s="315"/>
      <c r="AG42" s="314" t="str">
        <f>IF(A42="","",A42)</f>
        <v xml:space="preserve"> Drinking Water System</v>
      </c>
      <c r="AH42" s="314"/>
      <c r="AI42" s="314"/>
      <c r="AJ42" s="314"/>
      <c r="AK42" s="314"/>
      <c r="AL42" s="315" t="s">
        <v>93</v>
      </c>
      <c r="AM42" s="315"/>
      <c r="AN42" s="315"/>
      <c r="AO42" s="315"/>
      <c r="AP42" s="315"/>
      <c r="AQ42" s="314" t="str">
        <f>IF(A42="","",A42)</f>
        <v xml:space="preserve"> Drinking Water System</v>
      </c>
      <c r="AR42" s="314"/>
      <c r="AS42" s="314"/>
      <c r="AT42" s="314"/>
      <c r="AU42" s="314"/>
      <c r="AV42" s="315" t="s">
        <v>135</v>
      </c>
      <c r="AW42" s="315"/>
      <c r="AX42" s="315"/>
      <c r="AY42" s="315"/>
      <c r="AZ42" s="315"/>
      <c r="BA42" s="314" t="str">
        <f>IF(A42="","",A42)</f>
        <v xml:space="preserve"> Drinking Water System</v>
      </c>
      <c r="BB42" s="314"/>
      <c r="BC42" s="314"/>
      <c r="BD42" s="314"/>
      <c r="BE42" s="314"/>
      <c r="BF42" s="352" t="s">
        <v>145</v>
      </c>
      <c r="BG42" s="352"/>
      <c r="BH42" s="352"/>
      <c r="BI42" s="352"/>
      <c r="BJ42" s="352"/>
      <c r="BK42" s="352"/>
      <c r="BL42" s="352"/>
      <c r="BM42" s="352"/>
      <c r="BN42" s="352"/>
      <c r="BO42" s="314" t="str">
        <f>IF(A42="","",A42)</f>
        <v xml:space="preserve"> Drinking Water System</v>
      </c>
      <c r="BP42" s="314"/>
      <c r="BQ42" s="314"/>
      <c r="BR42" s="314"/>
      <c r="BS42" s="314"/>
      <c r="BT42" s="315" t="s">
        <v>100</v>
      </c>
      <c r="BU42" s="315"/>
      <c r="BV42" s="315"/>
      <c r="BW42" s="315"/>
      <c r="BX42" s="315"/>
      <c r="BY42" s="315"/>
      <c r="BZ42" s="315"/>
      <c r="CA42" s="314" t="str">
        <f>IF(A42="","",A42)</f>
        <v xml:space="preserve"> Drinking Water System</v>
      </c>
      <c r="CB42" s="314"/>
      <c r="CC42" s="314"/>
      <c r="CD42" s="314"/>
      <c r="CE42" s="315" t="s">
        <v>154</v>
      </c>
      <c r="CF42" s="315"/>
      <c r="CG42" s="315"/>
      <c r="CH42" s="315"/>
      <c r="CI42" s="315"/>
      <c r="CJ42" s="314" t="str">
        <f>IF(A42="","",A42)</f>
        <v xml:space="preserve"> Drinking Water System</v>
      </c>
      <c r="CK42" s="314"/>
      <c r="CL42" s="314"/>
      <c r="CM42" s="314"/>
      <c r="CN42" s="315" t="s">
        <v>155</v>
      </c>
      <c r="CO42" s="315"/>
      <c r="CP42" s="315"/>
      <c r="CQ42" s="315"/>
      <c r="CR42" s="315"/>
      <c r="CS42" s="314" t="str">
        <f>IF(A42="","",A42)</f>
        <v xml:space="preserve"> Drinking Water System</v>
      </c>
      <c r="CT42" s="314"/>
      <c r="CU42" s="314"/>
      <c r="CV42" s="314"/>
      <c r="CW42" s="315" t="s">
        <v>101</v>
      </c>
      <c r="CX42" s="315"/>
      <c r="CY42" s="315"/>
      <c r="CZ42" s="315"/>
      <c r="DA42" s="315"/>
      <c r="DB42" s="315"/>
      <c r="DC42" s="314" t="str">
        <f>IF(A42="","",A42)</f>
        <v xml:space="preserve"> Drinking Water System</v>
      </c>
      <c r="DD42" s="314"/>
      <c r="DE42" s="314"/>
      <c r="DF42" s="314"/>
      <c r="DG42" s="315" t="s">
        <v>159</v>
      </c>
      <c r="DH42" s="315"/>
      <c r="DI42" s="315"/>
      <c r="DJ42" s="315"/>
      <c r="DK42" s="315"/>
      <c r="DL42" s="324" t="str">
        <f>IF(A42="","",A42)</f>
        <v xml:space="preserve"> Drinking Water System</v>
      </c>
      <c r="DM42" s="324"/>
      <c r="DN42" s="324"/>
      <c r="DO42" s="324"/>
      <c r="DP42" s="324"/>
      <c r="DQ42" s="325" t="s">
        <v>168</v>
      </c>
      <c r="DR42" s="325"/>
      <c r="DS42" s="325"/>
      <c r="DT42" s="325"/>
      <c r="DU42" s="325"/>
      <c r="DV42" s="325"/>
      <c r="DW42" s="325"/>
      <c r="DX42" s="325"/>
      <c r="DY42" s="325"/>
      <c r="DZ42" s="324" t="str">
        <f>IF(A42="","",A42)</f>
        <v xml:space="preserve"> Drinking Water System</v>
      </c>
      <c r="EA42" s="324"/>
      <c r="EB42" s="324"/>
      <c r="EC42" s="324"/>
      <c r="ED42" s="324"/>
      <c r="EE42" s="324"/>
      <c r="EF42" s="325" t="s">
        <v>91</v>
      </c>
      <c r="EG42" s="325"/>
      <c r="EH42" s="325"/>
      <c r="EI42" s="314" t="str">
        <f>IF(A42="","",A42)</f>
        <v xml:space="preserve"> Drinking Water System</v>
      </c>
      <c r="EJ42" s="314"/>
      <c r="EK42" s="314"/>
      <c r="EL42" s="314"/>
      <c r="EM42" s="315" t="s">
        <v>33</v>
      </c>
      <c r="EN42" s="315"/>
      <c r="EO42" s="315"/>
      <c r="EP42" s="315"/>
      <c r="EQ42" s="315"/>
    </row>
    <row r="43" spans="1:154" ht="14.15" customHeight="1" x14ac:dyDescent="0.35"/>
    <row r="44" spans="1:154" s="10" customFormat="1" ht="14.15" customHeight="1" x14ac:dyDescent="0.35">
      <c r="A44" s="20"/>
      <c r="B44" s="5"/>
      <c r="C44" s="5"/>
      <c r="D44" s="23"/>
      <c r="E44" s="5"/>
      <c r="F44" s="5"/>
      <c r="G44" s="23"/>
      <c r="H44" s="5"/>
      <c r="I44" s="5"/>
      <c r="J44" s="20"/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3"/>
      <c r="Y44" s="23"/>
      <c r="Z44" s="23"/>
      <c r="AA44" s="23"/>
      <c r="AB44" s="23"/>
      <c r="AC44" s="23"/>
      <c r="AD44" s="23"/>
      <c r="AE44" s="23"/>
      <c r="AF44" s="22"/>
      <c r="AG44" s="20"/>
      <c r="AH44" s="20"/>
      <c r="AI44" s="5"/>
      <c r="AJ44" s="5"/>
      <c r="AK44" s="5"/>
      <c r="AL44" s="5"/>
      <c r="AM44" s="5"/>
      <c r="AN44" s="5"/>
      <c r="AO44" s="22"/>
      <c r="AP44" s="5"/>
      <c r="AQ44" s="5"/>
      <c r="AR44" s="23"/>
      <c r="AS44" s="23"/>
      <c r="AT44" s="23"/>
      <c r="AU44" s="23"/>
      <c r="AV44" s="23"/>
      <c r="AW44" s="23"/>
      <c r="AX44" s="23"/>
      <c r="AY44" s="23"/>
      <c r="AZ44" s="5"/>
      <c r="BA44" s="38"/>
      <c r="BB44" s="13"/>
      <c r="BC44" s="11"/>
      <c r="BD44" s="12"/>
      <c r="BE44" s="12"/>
      <c r="BF44" s="12"/>
      <c r="BG44" s="12"/>
      <c r="BH44" s="38"/>
      <c r="BI44" s="38"/>
      <c r="BJ44" s="38"/>
      <c r="BK44" s="38"/>
      <c r="BL44" s="38"/>
      <c r="BM44" s="38"/>
      <c r="BN44" s="12"/>
      <c r="BO44" s="13"/>
      <c r="BP44" s="38"/>
      <c r="BQ44" s="11"/>
      <c r="BR44" s="12"/>
      <c r="BS44" s="12"/>
      <c r="BT44" s="12"/>
      <c r="BU44" s="38"/>
      <c r="BV44" s="13"/>
      <c r="BW44" s="13"/>
      <c r="BX44" s="12"/>
      <c r="BY44" s="11"/>
      <c r="BZ44" s="11"/>
      <c r="CB44" s="12"/>
      <c r="CC44" s="12"/>
      <c r="CD44" s="12"/>
      <c r="CE44" s="13"/>
      <c r="CF44" s="13"/>
      <c r="CG44" s="11"/>
      <c r="CH44" s="11"/>
      <c r="CI44" s="12"/>
      <c r="CJ44" s="13"/>
      <c r="CK44" s="12"/>
      <c r="CL44" s="12"/>
      <c r="CM44" s="12"/>
      <c r="CN44" s="12"/>
      <c r="CO44" s="12"/>
      <c r="CU44" s="13"/>
      <c r="CV44" s="11"/>
      <c r="CW44" s="12"/>
      <c r="CX44" s="13"/>
      <c r="CY44" s="12"/>
      <c r="CZ44" s="12"/>
      <c r="DA44" s="38"/>
      <c r="DB44" s="12"/>
      <c r="DC44" s="38"/>
      <c r="DD44" s="12"/>
      <c r="DE44" s="12"/>
      <c r="DF44" s="12"/>
      <c r="DG44" s="13"/>
      <c r="DH44" s="12"/>
      <c r="DI44" s="11"/>
      <c r="DJ44" s="11"/>
      <c r="DK44" s="38"/>
      <c r="DM44" s="13"/>
      <c r="DN44" s="38"/>
      <c r="DO44" s="38"/>
      <c r="DP44" s="38"/>
      <c r="DQ44" s="13"/>
      <c r="DR44" s="12"/>
      <c r="DS44" s="38"/>
      <c r="DT44" s="12"/>
      <c r="DU44" s="13"/>
      <c r="DV44" s="38"/>
      <c r="DW44" s="38"/>
      <c r="EB44" s="55"/>
      <c r="EC44" s="55"/>
      <c r="ED44" s="13"/>
      <c r="EE44" s="13"/>
      <c r="EF44" s="13"/>
      <c r="EG44" s="13"/>
    </row>
    <row r="45" spans="1:154" ht="22.5" customHeight="1" x14ac:dyDescent="0.35"/>
  </sheetData>
  <sheetProtection selectLockedCells="1"/>
  <mergeCells count="282">
    <mergeCell ref="A3:E3"/>
    <mergeCell ref="F3:J3"/>
    <mergeCell ref="K3:N3"/>
    <mergeCell ref="O3:V3"/>
    <mergeCell ref="W3:AA3"/>
    <mergeCell ref="AB3:AF3"/>
    <mergeCell ref="BO1:BZ2"/>
    <mergeCell ref="A1:J2"/>
    <mergeCell ref="K1:V2"/>
    <mergeCell ref="W1:AF2"/>
    <mergeCell ref="AG1:AP2"/>
    <mergeCell ref="AQ1:AZ2"/>
    <mergeCell ref="BA1:BN2"/>
    <mergeCell ref="BT3:BZ3"/>
    <mergeCell ref="AG3:AK3"/>
    <mergeCell ref="AL3:AP3"/>
    <mergeCell ref="EI1:EQ2"/>
    <mergeCell ref="CA1:CI2"/>
    <mergeCell ref="CJ1:CR2"/>
    <mergeCell ref="CS1:DB2"/>
    <mergeCell ref="DC1:DK2"/>
    <mergeCell ref="DL1:DP2"/>
    <mergeCell ref="DZ1:EA2"/>
    <mergeCell ref="EB1:EG2"/>
    <mergeCell ref="EI3:EL3"/>
    <mergeCell ref="EM3:EQ3"/>
    <mergeCell ref="DQ3:DY3"/>
    <mergeCell ref="DZ3:EE3"/>
    <mergeCell ref="EF3:EH3"/>
    <mergeCell ref="CA3:CD3"/>
    <mergeCell ref="CE3:CI3"/>
    <mergeCell ref="CJ3:CM3"/>
    <mergeCell ref="CN3:CR3"/>
    <mergeCell ref="CS3:CV3"/>
    <mergeCell ref="A4:A7"/>
    <mergeCell ref="B4:D4"/>
    <mergeCell ref="E4:G4"/>
    <mergeCell ref="H4:I4"/>
    <mergeCell ref="J4:J7"/>
    <mergeCell ref="CW3:DB3"/>
    <mergeCell ref="AQ3:AU3"/>
    <mergeCell ref="AV3:AZ3"/>
    <mergeCell ref="DL3:DP3"/>
    <mergeCell ref="AZ4:AZ7"/>
    <mergeCell ref="BA4:BA7"/>
    <mergeCell ref="BB4:BF4"/>
    <mergeCell ref="BG4:BG7"/>
    <mergeCell ref="S5:S7"/>
    <mergeCell ref="T5:T7"/>
    <mergeCell ref="U5:U7"/>
    <mergeCell ref="BA3:BE3"/>
    <mergeCell ref="BF3:BN3"/>
    <mergeCell ref="K4:K7"/>
    <mergeCell ref="L4:M4"/>
    <mergeCell ref="N4:O4"/>
    <mergeCell ref="DC3:DF3"/>
    <mergeCell ref="DG3:DK3"/>
    <mergeCell ref="BO3:BS3"/>
    <mergeCell ref="CC4:CC7"/>
    <mergeCell ref="CM4:CM7"/>
    <mergeCell ref="CN4:CN7"/>
    <mergeCell ref="CO4:CO7"/>
    <mergeCell ref="CP4:CP7"/>
    <mergeCell ref="AV6:AV7"/>
    <mergeCell ref="AW6:AW7"/>
    <mergeCell ref="AX6:AX7"/>
    <mergeCell ref="AY6:AY7"/>
    <mergeCell ref="BF5:BF7"/>
    <mergeCell ref="BH4:BI4"/>
    <mergeCell ref="BW4:BY4"/>
    <mergeCell ref="BK5:BK7"/>
    <mergeCell ref="BL5:BL7"/>
    <mergeCell ref="BM5:BM7"/>
    <mergeCell ref="AV5:AW5"/>
    <mergeCell ref="AX5:AY5"/>
    <mergeCell ref="BB5:BB7"/>
    <mergeCell ref="BC5:BC7"/>
    <mergeCell ref="BD5:BD7"/>
    <mergeCell ref="BT5:BT7"/>
    <mergeCell ref="BU5:BU7"/>
    <mergeCell ref="DP5:DP7"/>
    <mergeCell ref="BE5:BE7"/>
    <mergeCell ref="BI5:BI7"/>
    <mergeCell ref="BJ5:BJ7"/>
    <mergeCell ref="BQ5:BQ7"/>
    <mergeCell ref="BP5:BP7"/>
    <mergeCell ref="BR5:BR7"/>
    <mergeCell ref="BS5:BS7"/>
    <mergeCell ref="BW5:BW7"/>
    <mergeCell ref="BX5:BX7"/>
    <mergeCell ref="DJ4:DJ7"/>
    <mergeCell ref="DK4:DK7"/>
    <mergeCell ref="DL4:DL7"/>
    <mergeCell ref="BV5:BV7"/>
    <mergeCell ref="BJ4:BK4"/>
    <mergeCell ref="BL4:BM4"/>
    <mergeCell ref="BN4:BN7"/>
    <mergeCell ref="BO4:BO7"/>
    <mergeCell ref="BP4:BV4"/>
    <mergeCell ref="BH5:BH7"/>
    <mergeCell ref="CI4:CI7"/>
    <mergeCell ref="CJ4:CJ7"/>
    <mergeCell ref="CA4:CA7"/>
    <mergeCell ref="CB4:CB7"/>
    <mergeCell ref="EQ4:EQ7"/>
    <mergeCell ref="B5:B7"/>
    <mergeCell ref="C5:C7"/>
    <mergeCell ref="D5:D7"/>
    <mergeCell ref="E5:E7"/>
    <mergeCell ref="F5:F7"/>
    <mergeCell ref="G5:G7"/>
    <mergeCell ref="H5:H7"/>
    <mergeCell ref="DD4:DD7"/>
    <mergeCell ref="DE4:DE7"/>
    <mergeCell ref="ED4:EE4"/>
    <mergeCell ref="EH4:EH7"/>
    <mergeCell ref="X5:Y5"/>
    <mergeCell ref="Z5:AA5"/>
    <mergeCell ref="AB5:AC5"/>
    <mergeCell ref="AD5:AE5"/>
    <mergeCell ref="DO5:DO7"/>
    <mergeCell ref="DF4:DF7"/>
    <mergeCell ref="DG4:DG7"/>
    <mergeCell ref="DH4:DH7"/>
    <mergeCell ref="I5:I7"/>
    <mergeCell ref="DY4:DY7"/>
    <mergeCell ref="DZ4:DZ7"/>
    <mergeCell ref="EA4:EC4"/>
    <mergeCell ref="DB4:DB7"/>
    <mergeCell ref="DC4:DC7"/>
    <mergeCell ref="AV4:AY4"/>
    <mergeCell ref="DT5:DT7"/>
    <mergeCell ref="DU5:DU7"/>
    <mergeCell ref="CR4:CR7"/>
    <mergeCell ref="DN5:DN7"/>
    <mergeCell ref="DQ5:DQ7"/>
    <mergeCell ref="DR5:DR7"/>
    <mergeCell ref="CS4:CS7"/>
    <mergeCell ref="BY5:BY7"/>
    <mergeCell ref="BZ4:BZ7"/>
    <mergeCell ref="CD4:CD7"/>
    <mergeCell ref="CE4:CE7"/>
    <mergeCell ref="DS5:DS7"/>
    <mergeCell ref="CQ4:CQ7"/>
    <mergeCell ref="CF4:CF7"/>
    <mergeCell ref="CG4:CG7"/>
    <mergeCell ref="CH4:CH7"/>
    <mergeCell ref="CK4:CK7"/>
    <mergeCell ref="DN4:DO4"/>
    <mergeCell ref="DM5:DM7"/>
    <mergeCell ref="DI4:DI7"/>
    <mergeCell ref="DP4:DU4"/>
    <mergeCell ref="L5:L7"/>
    <mergeCell ref="M5:M7"/>
    <mergeCell ref="N5:N7"/>
    <mergeCell ref="O5:O7"/>
    <mergeCell ref="P5:P7"/>
    <mergeCell ref="Q5:Q7"/>
    <mergeCell ref="P4:Q4"/>
    <mergeCell ref="R4:U4"/>
    <mergeCell ref="V4:V7"/>
    <mergeCell ref="W4:W7"/>
    <mergeCell ref="X4:AA4"/>
    <mergeCell ref="AB4:AE4"/>
    <mergeCell ref="R5:R7"/>
    <mergeCell ref="X6:X7"/>
    <mergeCell ref="Y6:Y7"/>
    <mergeCell ref="Z6:Z7"/>
    <mergeCell ref="CZ4:CZ7"/>
    <mergeCell ref="DA4:DA7"/>
    <mergeCell ref="AH4:AO4"/>
    <mergeCell ref="AL5:AM5"/>
    <mergeCell ref="AN5:AO5"/>
    <mergeCell ref="AH5:AI5"/>
    <mergeCell ref="AJ5:AK5"/>
    <mergeCell ref="CL4:CL7"/>
    <mergeCell ref="CT4:CT7"/>
    <mergeCell ref="CU4:CU7"/>
    <mergeCell ref="CV4:CV7"/>
    <mergeCell ref="CW4:CW7"/>
    <mergeCell ref="CX4:CX7"/>
    <mergeCell ref="CY4:CY7"/>
    <mergeCell ref="AA6:AA7"/>
    <mergeCell ref="AB6:AB7"/>
    <mergeCell ref="AC6:AC7"/>
    <mergeCell ref="AD6:AD7"/>
    <mergeCell ref="AE6:AE7"/>
    <mergeCell ref="AH6:AH7"/>
    <mergeCell ref="AO6:AO7"/>
    <mergeCell ref="AR6:AR7"/>
    <mergeCell ref="AS6:AS7"/>
    <mergeCell ref="AQ4:AQ7"/>
    <mergeCell ref="AR4:AU4"/>
    <mergeCell ref="AR5:AS5"/>
    <mergeCell ref="AT5:AU5"/>
    <mergeCell ref="AT6:AT7"/>
    <mergeCell ref="AU6:AU7"/>
    <mergeCell ref="AP4:AP7"/>
    <mergeCell ref="AI6:AI7"/>
    <mergeCell ref="AJ6:AJ7"/>
    <mergeCell ref="AK6:AK7"/>
    <mergeCell ref="AL6:AL7"/>
    <mergeCell ref="AM6:AM7"/>
    <mergeCell ref="AN6:AN7"/>
    <mergeCell ref="AF4:AF7"/>
    <mergeCell ref="AG4:AG7"/>
    <mergeCell ref="EJ9:EP9"/>
    <mergeCell ref="EJ10:EP10"/>
    <mergeCell ref="EJ11:EP11"/>
    <mergeCell ref="EJ12:EP12"/>
    <mergeCell ref="EJ13:EP13"/>
    <mergeCell ref="DV5:DV7"/>
    <mergeCell ref="DW5:DW7"/>
    <mergeCell ref="DX5:DX7"/>
    <mergeCell ref="EA5:EA7"/>
    <mergeCell ref="EJ8:EP8"/>
    <mergeCell ref="EG5:EG7"/>
    <mergeCell ref="EJ4:EP7"/>
    <mergeCell ref="DV4:DX4"/>
    <mergeCell ref="EI4:EI7"/>
    <mergeCell ref="EB5:EB7"/>
    <mergeCell ref="EC5:EC7"/>
    <mergeCell ref="ED5:EE5"/>
    <mergeCell ref="EF5:EF7"/>
    <mergeCell ref="ED6:ED7"/>
    <mergeCell ref="EE6:EE7"/>
    <mergeCell ref="EJ21:EP21"/>
    <mergeCell ref="EJ22:EP22"/>
    <mergeCell ref="EJ23:EP23"/>
    <mergeCell ref="EJ24:EP24"/>
    <mergeCell ref="EJ25:EP25"/>
    <mergeCell ref="EJ14:EP14"/>
    <mergeCell ref="EJ36:EP36"/>
    <mergeCell ref="EJ37:EP37"/>
    <mergeCell ref="EJ38:EP38"/>
    <mergeCell ref="EJ26:EP26"/>
    <mergeCell ref="EJ15:EP15"/>
    <mergeCell ref="EJ16:EP16"/>
    <mergeCell ref="EJ17:EP17"/>
    <mergeCell ref="EJ18:EP18"/>
    <mergeCell ref="EJ19:EP19"/>
    <mergeCell ref="EJ20:EP20"/>
    <mergeCell ref="BF42:BN42"/>
    <mergeCell ref="BO42:BS42"/>
    <mergeCell ref="EJ27:EP27"/>
    <mergeCell ref="EJ28:EP28"/>
    <mergeCell ref="EJ29:EP29"/>
    <mergeCell ref="EJ30:EP30"/>
    <mergeCell ref="EJ31:EP31"/>
    <mergeCell ref="EJ32:EP32"/>
    <mergeCell ref="EJ33:EP33"/>
    <mergeCell ref="EJ34:EP34"/>
    <mergeCell ref="EJ35:EP35"/>
    <mergeCell ref="DC42:DF42"/>
    <mergeCell ref="DG42:DK42"/>
    <mergeCell ref="DL42:DP42"/>
    <mergeCell ref="DQ42:DY42"/>
    <mergeCell ref="DZ42:EE42"/>
    <mergeCell ref="A42:E42"/>
    <mergeCell ref="F42:J42"/>
    <mergeCell ref="K42:N42"/>
    <mergeCell ref="O42:V42"/>
    <mergeCell ref="W42:AA42"/>
    <mergeCell ref="EJ39:EP39"/>
    <mergeCell ref="EJ40:EP40"/>
    <mergeCell ref="EJ41:EP41"/>
    <mergeCell ref="EF42:EH42"/>
    <mergeCell ref="EI42:EL42"/>
    <mergeCell ref="AG42:AK42"/>
    <mergeCell ref="BT42:BZ42"/>
    <mergeCell ref="CA42:CD42"/>
    <mergeCell ref="EM42:EQ42"/>
    <mergeCell ref="CW42:DB42"/>
    <mergeCell ref="AB42:AF42"/>
    <mergeCell ref="CE42:CI42"/>
    <mergeCell ref="CJ42:CM42"/>
    <mergeCell ref="CN42:CR42"/>
    <mergeCell ref="CS42:CV42"/>
    <mergeCell ref="AL42:AP42"/>
    <mergeCell ref="AQ42:AU42"/>
    <mergeCell ref="AV42:AZ42"/>
    <mergeCell ref="BA42:BE42"/>
  </mergeCells>
  <pageMargins left="0.23622047244094491" right="0.23622047244094491" top="0.31496062992125984" bottom="0.74803149606299213" header="0.31496062992125984" footer="0.31496062992125984"/>
  <pageSetup pageOrder="overThenDown" orientation="portrait" horizontalDpi="4294967293" verticalDpi="4294967293" r:id="rId1"/>
  <headerFooter>
    <evenHeader>&amp;L&amp;28Red Lake WPCP&amp;R&amp;28New Plant</even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EX45"/>
  <sheetViews>
    <sheetView showGridLines="0" view="pageLayout" workbookViewId="0">
      <selection activeCell="D16" sqref="C16:D16"/>
    </sheetView>
  </sheetViews>
  <sheetFormatPr defaultColWidth="9.1796875" defaultRowHeight="14.5" x14ac:dyDescent="0.35"/>
  <cols>
    <col min="1" max="1" width="6" style="20" customWidth="1"/>
    <col min="2" max="2" width="14" style="5" customWidth="1"/>
    <col min="3" max="3" width="8.54296875" style="5" customWidth="1"/>
    <col min="4" max="4" width="9.7265625" style="23" customWidth="1"/>
    <col min="5" max="5" width="14" style="5" customWidth="1"/>
    <col min="6" max="6" width="8.54296875" style="5" customWidth="1"/>
    <col min="7" max="7" width="9.7265625" style="23" customWidth="1"/>
    <col min="8" max="8" width="14" style="5" customWidth="1"/>
    <col min="9" max="9" width="8.54296875" style="5" customWidth="1"/>
    <col min="10" max="10" width="8.26953125" style="20" customWidth="1"/>
    <col min="11" max="11" width="5.54296875" style="20" customWidth="1"/>
    <col min="12" max="12" width="11.453125" style="5" customWidth="1"/>
    <col min="13" max="13" width="8" style="5" customWidth="1"/>
    <col min="14" max="14" width="11.453125" style="5" customWidth="1"/>
    <col min="15" max="15" width="8" style="5" customWidth="1"/>
    <col min="16" max="16" width="11.453125" style="5" customWidth="1"/>
    <col min="17" max="17" width="8" style="5" customWidth="1"/>
    <col min="18" max="21" width="7.453125" style="5" customWidth="1"/>
    <col min="22" max="22" width="7.7265625" style="5" customWidth="1"/>
    <col min="23" max="23" width="6" style="5" customWidth="1"/>
    <col min="24" max="24" width="12.7265625" style="23" customWidth="1"/>
    <col min="25" max="25" width="9" style="23" customWidth="1"/>
    <col min="26" max="26" width="12.7265625" style="23" customWidth="1"/>
    <col min="27" max="27" width="9" style="23" customWidth="1"/>
    <col min="28" max="28" width="12.7265625" style="23" customWidth="1"/>
    <col min="29" max="29" width="9" style="23" customWidth="1"/>
    <col min="30" max="30" width="12.7265625" style="23" customWidth="1"/>
    <col min="31" max="31" width="9" style="23" customWidth="1"/>
    <col min="32" max="32" width="8" style="22" customWidth="1"/>
    <col min="33" max="33" width="6" style="20" customWidth="1"/>
    <col min="34" max="34" width="12.7265625" style="20" customWidth="1"/>
    <col min="35" max="35" width="9" style="5" customWidth="1"/>
    <col min="36" max="36" width="12.7265625" style="5" customWidth="1"/>
    <col min="37" max="37" width="9" style="5" customWidth="1"/>
    <col min="38" max="38" width="12.7265625" style="5" customWidth="1"/>
    <col min="39" max="39" width="9" style="5" customWidth="1"/>
    <col min="40" max="40" width="12.7265625" style="5" customWidth="1"/>
    <col min="41" max="41" width="9" style="22" customWidth="1"/>
    <col min="42" max="42" width="8" style="5" customWidth="1"/>
    <col min="43" max="43" width="6" style="5" customWidth="1"/>
    <col min="44" max="44" width="12.7265625" style="23" customWidth="1"/>
    <col min="45" max="45" width="9" style="23" customWidth="1"/>
    <col min="46" max="46" width="12.7265625" style="23" customWidth="1"/>
    <col min="47" max="47" width="9" style="23" customWidth="1"/>
    <col min="48" max="48" width="12.7265625" style="23" customWidth="1"/>
    <col min="49" max="49" width="9" style="23" customWidth="1"/>
    <col min="50" max="50" width="12.7265625" style="23" customWidth="1"/>
    <col min="51" max="51" width="9" style="23" customWidth="1"/>
    <col min="52" max="52" width="8" style="5" customWidth="1"/>
    <col min="53" max="53" width="5.7265625" style="21" customWidth="1"/>
    <col min="54" max="54" width="7.1796875" style="21" customWidth="1"/>
    <col min="55" max="55" width="6.7265625" style="5" customWidth="1"/>
    <col min="56" max="57" width="6.7265625" style="22" customWidth="1"/>
    <col min="58" max="58" width="7.1796875" style="22" customWidth="1"/>
    <col min="59" max="59" width="6.7265625" style="22" customWidth="1"/>
    <col min="60" max="65" width="8" style="21" customWidth="1"/>
    <col min="66" max="66" width="6.81640625" style="22" customWidth="1"/>
    <col min="67" max="67" width="5.7265625" style="23" customWidth="1"/>
    <col min="68" max="68" width="8.54296875" style="21" customWidth="1"/>
    <col min="69" max="69" width="6.81640625" style="5" customWidth="1"/>
    <col min="70" max="70" width="6.7265625" style="22" customWidth="1"/>
    <col min="71" max="71" width="7.1796875" style="22" customWidth="1"/>
    <col min="72" max="72" width="8" style="22" customWidth="1"/>
    <col min="73" max="73" width="8.453125" style="21" customWidth="1"/>
    <col min="74" max="75" width="8.26953125" style="23" customWidth="1"/>
    <col min="76" max="76" width="8" style="22" customWidth="1"/>
    <col min="77" max="77" width="18.1796875" style="5" customWidth="1"/>
    <col min="78" max="78" width="7.453125" style="5" customWidth="1"/>
    <col min="79" max="79" width="7.1796875" style="20" customWidth="1"/>
    <col min="80" max="82" width="12" style="22" customWidth="1"/>
    <col min="83" max="84" width="12" style="23" customWidth="1"/>
    <col min="85" max="86" width="12" style="5" customWidth="1"/>
    <col min="87" max="87" width="9.1796875" style="22" customWidth="1"/>
    <col min="88" max="88" width="7.1796875" style="23" customWidth="1"/>
    <col min="89" max="93" width="12" style="22" customWidth="1"/>
    <col min="94" max="95" width="12" style="20" customWidth="1"/>
    <col min="96" max="96" width="9.1796875" style="20" customWidth="1"/>
    <col min="97" max="97" width="6.26953125" style="20" customWidth="1"/>
    <col min="98" max="98" width="9.453125" style="20" customWidth="1"/>
    <col min="99" max="99" width="13.81640625" style="23" customWidth="1"/>
    <col min="100" max="100" width="9.7265625" style="5" customWidth="1"/>
    <col min="101" max="101" width="9.7265625" style="22" customWidth="1"/>
    <col min="102" max="102" width="10" style="23" customWidth="1"/>
    <col min="103" max="104" width="12" style="22" customWidth="1"/>
    <col min="105" max="105" width="10.54296875" style="21" customWidth="1"/>
    <col min="106" max="106" width="8" style="22" customWidth="1"/>
    <col min="107" max="107" width="7.1796875" style="21" customWidth="1"/>
    <col min="108" max="110" width="12" style="22" customWidth="1"/>
    <col min="111" max="111" width="12" style="23" customWidth="1"/>
    <col min="112" max="112" width="12" style="22" customWidth="1"/>
    <col min="113" max="114" width="12" style="5" customWidth="1"/>
    <col min="115" max="115" width="9.1796875" style="21" customWidth="1"/>
    <col min="116" max="116" width="4.81640625" style="20" customWidth="1"/>
    <col min="117" max="117" width="6.453125" style="23" customWidth="1"/>
    <col min="118" max="120" width="7.7265625" style="21" customWidth="1"/>
    <col min="121" max="121" width="6.81640625" style="23" customWidth="1"/>
    <col min="122" max="122" width="6.81640625" style="22" customWidth="1"/>
    <col min="123" max="123" width="7.7265625" style="21" customWidth="1"/>
    <col min="124" max="124" width="7.1796875" style="22" customWidth="1"/>
    <col min="125" max="125" width="7.453125" style="23" customWidth="1"/>
    <col min="126" max="127" width="8.54296875" style="21" customWidth="1"/>
    <col min="128" max="128" width="7.1796875" style="20" customWidth="1"/>
    <col min="129" max="129" width="6.81640625" style="20" customWidth="1"/>
    <col min="130" max="130" width="6.54296875" style="20" customWidth="1"/>
    <col min="131" max="131" width="13" style="20" customWidth="1"/>
    <col min="132" max="133" width="13" style="54" customWidth="1"/>
    <col min="134" max="137" width="10" style="23" customWidth="1"/>
    <col min="138" max="138" width="11.453125" style="20" customWidth="1"/>
    <col min="139" max="139" width="7.26953125" style="20" customWidth="1"/>
    <col min="140" max="146" width="12" style="20" customWidth="1"/>
    <col min="147" max="16384" width="9.1796875" style="20"/>
  </cols>
  <sheetData>
    <row r="1" spans="1:154" ht="15" customHeight="1" x14ac:dyDescent="0.35">
      <c r="A1" s="373" t="s">
        <v>230</v>
      </c>
      <c r="B1" s="373"/>
      <c r="C1" s="373"/>
      <c r="D1" s="373"/>
      <c r="E1" s="373"/>
      <c r="F1" s="373"/>
      <c r="G1" s="373"/>
      <c r="H1" s="373"/>
      <c r="I1" s="373"/>
      <c r="J1" s="373"/>
      <c r="K1" s="345" t="str">
        <f>IF(A1="","",A1)</f>
        <v>June 2016</v>
      </c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 t="str">
        <f>IF(A1="","",A1)</f>
        <v>June 2016</v>
      </c>
      <c r="X1" s="345"/>
      <c r="Y1" s="345"/>
      <c r="Z1" s="345"/>
      <c r="AA1" s="345"/>
      <c r="AB1" s="345"/>
      <c r="AC1" s="345"/>
      <c r="AD1" s="345"/>
      <c r="AE1" s="345"/>
      <c r="AF1" s="345"/>
      <c r="AG1" s="345" t="str">
        <f>IF(A1="","",A1)</f>
        <v>June 2016</v>
      </c>
      <c r="AH1" s="345"/>
      <c r="AI1" s="345"/>
      <c r="AJ1" s="345"/>
      <c r="AK1" s="345"/>
      <c r="AL1" s="345"/>
      <c r="AM1" s="345"/>
      <c r="AN1" s="345"/>
      <c r="AO1" s="345"/>
      <c r="AP1" s="345"/>
      <c r="AQ1" s="345" t="str">
        <f>IF(A1="","",A1)</f>
        <v>June 2016</v>
      </c>
      <c r="AR1" s="345"/>
      <c r="AS1" s="345"/>
      <c r="AT1" s="345"/>
      <c r="AU1" s="345"/>
      <c r="AV1" s="345"/>
      <c r="AW1" s="345"/>
      <c r="AX1" s="345"/>
      <c r="AY1" s="345"/>
      <c r="AZ1" s="345"/>
      <c r="BA1" s="371" t="str">
        <f>IF(A1="","",A1)</f>
        <v>June 2016</v>
      </c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07" t="str">
        <f>IF(A1="","",A1)</f>
        <v>June 2016</v>
      </c>
      <c r="BP1" s="307"/>
      <c r="BQ1" s="307"/>
      <c r="BR1" s="307"/>
      <c r="BS1" s="307"/>
      <c r="BT1" s="307"/>
      <c r="BU1" s="307"/>
      <c r="BV1" s="307"/>
      <c r="BW1" s="307"/>
      <c r="BX1" s="307"/>
      <c r="BY1" s="307"/>
      <c r="BZ1" s="307"/>
      <c r="CA1" s="372" t="str">
        <f>IF(A1="","",A1)</f>
        <v>June 2016</v>
      </c>
      <c r="CB1" s="372"/>
      <c r="CC1" s="372"/>
      <c r="CD1" s="372"/>
      <c r="CE1" s="372"/>
      <c r="CF1" s="372"/>
      <c r="CG1" s="372"/>
      <c r="CH1" s="372"/>
      <c r="CI1" s="372"/>
      <c r="CJ1" s="372" t="str">
        <f>IF(A1="","",A1)</f>
        <v>June 2016</v>
      </c>
      <c r="CK1" s="372"/>
      <c r="CL1" s="372"/>
      <c r="CM1" s="372"/>
      <c r="CN1" s="372"/>
      <c r="CO1" s="372"/>
      <c r="CP1" s="372"/>
      <c r="CQ1" s="372"/>
      <c r="CR1" s="372"/>
      <c r="CS1" s="372" t="str">
        <f>IF(A1="","",A1)</f>
        <v>June 2016</v>
      </c>
      <c r="CT1" s="372"/>
      <c r="CU1" s="372"/>
      <c r="CV1" s="372"/>
      <c r="CW1" s="372"/>
      <c r="CX1" s="372"/>
      <c r="CY1" s="372"/>
      <c r="CZ1" s="372"/>
      <c r="DA1" s="372"/>
      <c r="DB1" s="372"/>
      <c r="DC1" s="372" t="str">
        <f>IF(A1="","",A1)</f>
        <v>June 2016</v>
      </c>
      <c r="DD1" s="372"/>
      <c r="DE1" s="372"/>
      <c r="DF1" s="372"/>
      <c r="DG1" s="372"/>
      <c r="DH1" s="372"/>
      <c r="DI1" s="372"/>
      <c r="DJ1" s="372"/>
      <c r="DK1" s="372"/>
      <c r="DL1" s="307" t="str">
        <f>IF(A1="","",A1)</f>
        <v>June 2016</v>
      </c>
      <c r="DM1" s="307"/>
      <c r="DN1" s="307"/>
      <c r="DO1" s="307"/>
      <c r="DP1" s="307"/>
      <c r="DQ1" s="53"/>
      <c r="DR1" s="85"/>
      <c r="DS1" s="39"/>
      <c r="DT1" s="85"/>
      <c r="DU1" s="53"/>
      <c r="DV1" s="39"/>
      <c r="DW1" s="39"/>
      <c r="DX1" s="39"/>
      <c r="DY1" s="126"/>
      <c r="DZ1" s="307" t="str">
        <f>IF(A1="","",A1)</f>
        <v>June 2016</v>
      </c>
      <c r="EA1" s="307"/>
      <c r="EB1" s="308" t="s">
        <v>196</v>
      </c>
      <c r="EC1" s="309"/>
      <c r="ED1" s="309"/>
      <c r="EE1" s="309"/>
      <c r="EF1" s="309"/>
      <c r="EG1" s="310"/>
      <c r="EH1" s="189"/>
      <c r="EI1" s="307" t="str">
        <f>IF(A1="","",A1)</f>
        <v>June 2016</v>
      </c>
      <c r="EJ1" s="307"/>
      <c r="EK1" s="307"/>
      <c r="EL1" s="307"/>
      <c r="EM1" s="307"/>
      <c r="EN1" s="307"/>
      <c r="EO1" s="307"/>
      <c r="EP1" s="307"/>
      <c r="EQ1" s="307"/>
    </row>
    <row r="2" spans="1:154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07"/>
      <c r="BP2" s="307"/>
      <c r="BQ2" s="307"/>
      <c r="BR2" s="307"/>
      <c r="BS2" s="307"/>
      <c r="BT2" s="307"/>
      <c r="BU2" s="307"/>
      <c r="BV2" s="307"/>
      <c r="BW2" s="307"/>
      <c r="BX2" s="307"/>
      <c r="BY2" s="307"/>
      <c r="BZ2" s="307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  <c r="CL2" s="372"/>
      <c r="CM2" s="372"/>
      <c r="CN2" s="372"/>
      <c r="CO2" s="372"/>
      <c r="CP2" s="372"/>
      <c r="CQ2" s="372"/>
      <c r="CR2" s="372"/>
      <c r="CS2" s="372"/>
      <c r="CT2" s="372"/>
      <c r="CU2" s="372"/>
      <c r="CV2" s="372"/>
      <c r="CW2" s="372"/>
      <c r="CX2" s="372"/>
      <c r="CY2" s="372"/>
      <c r="CZ2" s="372"/>
      <c r="DA2" s="372"/>
      <c r="DB2" s="372"/>
      <c r="DC2" s="372"/>
      <c r="DD2" s="372"/>
      <c r="DE2" s="372"/>
      <c r="DF2" s="372"/>
      <c r="DG2" s="372"/>
      <c r="DH2" s="372"/>
      <c r="DI2" s="372"/>
      <c r="DJ2" s="372"/>
      <c r="DK2" s="372"/>
      <c r="DL2" s="307"/>
      <c r="DM2" s="307"/>
      <c r="DN2" s="307"/>
      <c r="DO2" s="307"/>
      <c r="DP2" s="307"/>
      <c r="DQ2" s="53"/>
      <c r="DR2" s="85"/>
      <c r="DS2" s="39"/>
      <c r="DT2" s="85"/>
      <c r="DU2" s="53"/>
      <c r="DV2" s="39"/>
      <c r="DW2" s="39"/>
      <c r="DX2" s="39"/>
      <c r="DY2" s="126"/>
      <c r="DZ2" s="307"/>
      <c r="EA2" s="307"/>
      <c r="EB2" s="311"/>
      <c r="EC2" s="312"/>
      <c r="ED2" s="312"/>
      <c r="EE2" s="312"/>
      <c r="EF2" s="312"/>
      <c r="EG2" s="313"/>
      <c r="EH2" s="189"/>
      <c r="EI2" s="307"/>
      <c r="EJ2" s="307"/>
      <c r="EK2" s="307"/>
      <c r="EL2" s="307"/>
      <c r="EM2" s="307"/>
      <c r="EN2" s="307"/>
      <c r="EO2" s="307"/>
      <c r="EP2" s="307"/>
      <c r="EQ2" s="307"/>
    </row>
    <row r="3" spans="1:154" ht="25.5" customHeight="1" x14ac:dyDescent="0.25">
      <c r="A3" s="314" t="s">
        <v>449</v>
      </c>
      <c r="B3" s="314"/>
      <c r="C3" s="314"/>
      <c r="D3" s="314"/>
      <c r="E3" s="314"/>
      <c r="F3" s="315" t="s">
        <v>114</v>
      </c>
      <c r="G3" s="315"/>
      <c r="H3" s="315"/>
      <c r="I3" s="315"/>
      <c r="J3" s="315"/>
      <c r="K3" s="314" t="str">
        <f>IF(A3="","",A3)</f>
        <v>Drinking Water System</v>
      </c>
      <c r="L3" s="314"/>
      <c r="M3" s="314"/>
      <c r="N3" s="314"/>
      <c r="O3" s="315" t="s">
        <v>125</v>
      </c>
      <c r="P3" s="315"/>
      <c r="Q3" s="315"/>
      <c r="R3" s="315"/>
      <c r="S3" s="315"/>
      <c r="T3" s="315"/>
      <c r="U3" s="315"/>
      <c r="V3" s="315"/>
      <c r="W3" s="314" t="str">
        <f>IF(A3="","",A3)</f>
        <v>Drinking Water System</v>
      </c>
      <c r="X3" s="314"/>
      <c r="Y3" s="314"/>
      <c r="Z3" s="314"/>
      <c r="AA3" s="314"/>
      <c r="AB3" s="315" t="s">
        <v>129</v>
      </c>
      <c r="AC3" s="315"/>
      <c r="AD3" s="315"/>
      <c r="AE3" s="315"/>
      <c r="AF3" s="315"/>
      <c r="AG3" s="314" t="str">
        <f>IF(A3="","",A3)</f>
        <v>Drinking Water System</v>
      </c>
      <c r="AH3" s="314"/>
      <c r="AI3" s="314"/>
      <c r="AJ3" s="314"/>
      <c r="AK3" s="314"/>
      <c r="AL3" s="315" t="s">
        <v>93</v>
      </c>
      <c r="AM3" s="315"/>
      <c r="AN3" s="315"/>
      <c r="AO3" s="315"/>
      <c r="AP3" s="315"/>
      <c r="AQ3" s="314" t="str">
        <f>IF(A3="","",A3)</f>
        <v>Drinking Water System</v>
      </c>
      <c r="AR3" s="314"/>
      <c r="AS3" s="314"/>
      <c r="AT3" s="314"/>
      <c r="AU3" s="314"/>
      <c r="AV3" s="315" t="s">
        <v>135</v>
      </c>
      <c r="AW3" s="315"/>
      <c r="AX3" s="315"/>
      <c r="AY3" s="315"/>
      <c r="AZ3" s="315"/>
      <c r="BA3" s="314" t="str">
        <f>IF(A3="","",A3)</f>
        <v>Drinking Water System</v>
      </c>
      <c r="BB3" s="314"/>
      <c r="BC3" s="314"/>
      <c r="BD3" s="314"/>
      <c r="BE3" s="314"/>
      <c r="BF3" s="369" t="s">
        <v>145</v>
      </c>
      <c r="BG3" s="369"/>
      <c r="BH3" s="369"/>
      <c r="BI3" s="369"/>
      <c r="BJ3" s="369"/>
      <c r="BK3" s="369"/>
      <c r="BL3" s="369"/>
      <c r="BM3" s="369"/>
      <c r="BN3" s="369"/>
      <c r="BO3" s="314" t="str">
        <f>IF(A3="","",A3)</f>
        <v>Drinking Water System</v>
      </c>
      <c r="BP3" s="314"/>
      <c r="BQ3" s="314"/>
      <c r="BR3" s="314"/>
      <c r="BS3" s="314"/>
      <c r="BT3" s="315" t="s">
        <v>100</v>
      </c>
      <c r="BU3" s="315"/>
      <c r="BV3" s="315"/>
      <c r="BW3" s="315"/>
      <c r="BX3" s="315"/>
      <c r="BY3" s="315"/>
      <c r="BZ3" s="315"/>
      <c r="CA3" s="314" t="str">
        <f>IF(A3="","",A3)</f>
        <v>Drinking Water System</v>
      </c>
      <c r="CB3" s="314"/>
      <c r="CC3" s="314"/>
      <c r="CD3" s="314"/>
      <c r="CE3" s="315" t="s">
        <v>154</v>
      </c>
      <c r="CF3" s="315"/>
      <c r="CG3" s="315"/>
      <c r="CH3" s="315"/>
      <c r="CI3" s="315"/>
      <c r="CJ3" s="314" t="str">
        <f>IF(A3="","",A3)</f>
        <v>Drinking Water System</v>
      </c>
      <c r="CK3" s="314"/>
      <c r="CL3" s="314"/>
      <c r="CM3" s="314"/>
      <c r="CN3" s="315" t="s">
        <v>155</v>
      </c>
      <c r="CO3" s="315"/>
      <c r="CP3" s="315"/>
      <c r="CQ3" s="315"/>
      <c r="CR3" s="315"/>
      <c r="CS3" s="314" t="str">
        <f>IF(A3="","",A3)</f>
        <v>Drinking Water System</v>
      </c>
      <c r="CT3" s="314"/>
      <c r="CU3" s="314"/>
      <c r="CV3" s="314"/>
      <c r="CW3" s="315" t="s">
        <v>101</v>
      </c>
      <c r="CX3" s="315"/>
      <c r="CY3" s="315"/>
      <c r="CZ3" s="315"/>
      <c r="DA3" s="315"/>
      <c r="DB3" s="315"/>
      <c r="DC3" s="314" t="str">
        <f>IF(A3="","",A3)</f>
        <v>Drinking Water System</v>
      </c>
      <c r="DD3" s="314"/>
      <c r="DE3" s="314"/>
      <c r="DF3" s="314"/>
      <c r="DG3" s="315" t="s">
        <v>159</v>
      </c>
      <c r="DH3" s="315"/>
      <c r="DI3" s="315"/>
      <c r="DJ3" s="315"/>
      <c r="DK3" s="315"/>
      <c r="DL3" s="329" t="str">
        <f>IF(A3="","",A3)</f>
        <v>Drinking Water System</v>
      </c>
      <c r="DM3" s="329"/>
      <c r="DN3" s="329"/>
      <c r="DO3" s="329"/>
      <c r="DP3" s="329"/>
      <c r="DQ3" s="370" t="s">
        <v>168</v>
      </c>
      <c r="DR3" s="370"/>
      <c r="DS3" s="370"/>
      <c r="DT3" s="370"/>
      <c r="DU3" s="370"/>
      <c r="DV3" s="370"/>
      <c r="DW3" s="370"/>
      <c r="DX3" s="370"/>
      <c r="DY3" s="370"/>
      <c r="DZ3" s="329" t="str">
        <f>IF(A3="","",A3)</f>
        <v>Drinking Water System</v>
      </c>
      <c r="EA3" s="329"/>
      <c r="EB3" s="329"/>
      <c r="EC3" s="329"/>
      <c r="ED3" s="329"/>
      <c r="EE3" s="329"/>
      <c r="EF3" s="370" t="s">
        <v>91</v>
      </c>
      <c r="EG3" s="370"/>
      <c r="EH3" s="370"/>
      <c r="EI3" s="314" t="str">
        <f>IF(A3="","",A3)</f>
        <v>Drinking Water System</v>
      </c>
      <c r="EJ3" s="314"/>
      <c r="EK3" s="314"/>
      <c r="EL3" s="314"/>
      <c r="EM3" s="315" t="s">
        <v>33</v>
      </c>
      <c r="EN3" s="315"/>
      <c r="EO3" s="315"/>
      <c r="EP3" s="315"/>
      <c r="EQ3" s="315"/>
    </row>
    <row r="4" spans="1:154" ht="17.149999999999999" customHeight="1" x14ac:dyDescent="0.35">
      <c r="A4" s="359" t="s">
        <v>1</v>
      </c>
      <c r="B4" s="359" t="s">
        <v>38</v>
      </c>
      <c r="C4" s="359"/>
      <c r="D4" s="359"/>
      <c r="E4" s="317" t="s">
        <v>24</v>
      </c>
      <c r="F4" s="317"/>
      <c r="G4" s="317"/>
      <c r="H4" s="358" t="s">
        <v>112</v>
      </c>
      <c r="I4" s="358"/>
      <c r="J4" s="360" t="s">
        <v>0</v>
      </c>
      <c r="K4" s="359" t="s">
        <v>1</v>
      </c>
      <c r="L4" s="358" t="s">
        <v>117</v>
      </c>
      <c r="M4" s="358"/>
      <c r="N4" s="358" t="s">
        <v>118</v>
      </c>
      <c r="O4" s="358"/>
      <c r="P4" s="358" t="s">
        <v>119</v>
      </c>
      <c r="Q4" s="358"/>
      <c r="R4" s="362" t="s">
        <v>120</v>
      </c>
      <c r="S4" s="363"/>
      <c r="T4" s="363"/>
      <c r="U4" s="364"/>
      <c r="V4" s="360" t="s">
        <v>0</v>
      </c>
      <c r="W4" s="346" t="s">
        <v>1</v>
      </c>
      <c r="X4" s="344" t="s">
        <v>63</v>
      </c>
      <c r="Y4" s="344"/>
      <c r="Z4" s="344"/>
      <c r="AA4" s="344"/>
      <c r="AB4" s="344" t="s">
        <v>126</v>
      </c>
      <c r="AC4" s="344"/>
      <c r="AD4" s="344"/>
      <c r="AE4" s="344"/>
      <c r="AF4" s="342" t="s">
        <v>0</v>
      </c>
      <c r="AG4" s="346" t="s">
        <v>1</v>
      </c>
      <c r="AH4" s="330" t="s">
        <v>93</v>
      </c>
      <c r="AI4" s="331"/>
      <c r="AJ4" s="331"/>
      <c r="AK4" s="331"/>
      <c r="AL4" s="331"/>
      <c r="AM4" s="331"/>
      <c r="AN4" s="331"/>
      <c r="AO4" s="332"/>
      <c r="AP4" s="342" t="s">
        <v>0</v>
      </c>
      <c r="AQ4" s="346" t="s">
        <v>1</v>
      </c>
      <c r="AR4" s="344" t="s">
        <v>132</v>
      </c>
      <c r="AS4" s="344"/>
      <c r="AT4" s="344"/>
      <c r="AU4" s="344"/>
      <c r="AV4" s="344" t="s">
        <v>94</v>
      </c>
      <c r="AW4" s="344"/>
      <c r="AX4" s="344"/>
      <c r="AY4" s="344"/>
      <c r="AZ4" s="342" t="s">
        <v>0</v>
      </c>
      <c r="BA4" s="317" t="s">
        <v>1</v>
      </c>
      <c r="BB4" s="317" t="s">
        <v>38</v>
      </c>
      <c r="BC4" s="317"/>
      <c r="BD4" s="317"/>
      <c r="BE4" s="317"/>
      <c r="BF4" s="317"/>
      <c r="BG4" s="326" t="s">
        <v>146</v>
      </c>
      <c r="BH4" s="316" t="s">
        <v>136</v>
      </c>
      <c r="BI4" s="316"/>
      <c r="BJ4" s="316" t="s">
        <v>139</v>
      </c>
      <c r="BK4" s="316"/>
      <c r="BL4" s="316" t="s">
        <v>142</v>
      </c>
      <c r="BM4" s="316"/>
      <c r="BN4" s="347" t="s">
        <v>0</v>
      </c>
      <c r="BO4" s="317" t="s">
        <v>1</v>
      </c>
      <c r="BP4" s="344" t="s">
        <v>147</v>
      </c>
      <c r="BQ4" s="344"/>
      <c r="BR4" s="344"/>
      <c r="BS4" s="344"/>
      <c r="BT4" s="344"/>
      <c r="BU4" s="344"/>
      <c r="BV4" s="344"/>
      <c r="BW4" s="344" t="s">
        <v>148</v>
      </c>
      <c r="BX4" s="344"/>
      <c r="BY4" s="344"/>
      <c r="BZ4" s="347" t="s">
        <v>0</v>
      </c>
      <c r="CA4" s="317" t="s">
        <v>1</v>
      </c>
      <c r="CB4" s="318" t="s">
        <v>150</v>
      </c>
      <c r="CC4" s="318" t="s">
        <v>151</v>
      </c>
      <c r="CD4" s="318" t="s">
        <v>78</v>
      </c>
      <c r="CE4" s="321" t="s">
        <v>79</v>
      </c>
      <c r="CF4" s="321" t="s">
        <v>77</v>
      </c>
      <c r="CG4" s="336" t="s">
        <v>152</v>
      </c>
      <c r="CH4" s="336" t="s">
        <v>153</v>
      </c>
      <c r="CI4" s="342" t="s">
        <v>0</v>
      </c>
      <c r="CJ4" s="317" t="s">
        <v>1</v>
      </c>
      <c r="CK4" s="318" t="s">
        <v>150</v>
      </c>
      <c r="CL4" s="318" t="s">
        <v>151</v>
      </c>
      <c r="CM4" s="318" t="s">
        <v>78</v>
      </c>
      <c r="CN4" s="318" t="s">
        <v>79</v>
      </c>
      <c r="CO4" s="318" t="s">
        <v>77</v>
      </c>
      <c r="CP4" s="336" t="s">
        <v>152</v>
      </c>
      <c r="CQ4" s="336" t="s">
        <v>153</v>
      </c>
      <c r="CR4" s="342" t="s">
        <v>0</v>
      </c>
      <c r="CS4" s="317" t="s">
        <v>1</v>
      </c>
      <c r="CT4" s="318" t="s">
        <v>150</v>
      </c>
      <c r="CU4" s="318" t="s">
        <v>157</v>
      </c>
      <c r="CV4" s="318" t="s">
        <v>78</v>
      </c>
      <c r="CW4" s="318" t="s">
        <v>158</v>
      </c>
      <c r="CX4" s="321" t="s">
        <v>77</v>
      </c>
      <c r="CY4" s="336" t="s">
        <v>152</v>
      </c>
      <c r="CZ4" s="336" t="s">
        <v>153</v>
      </c>
      <c r="DA4" s="339" t="s">
        <v>156</v>
      </c>
      <c r="DB4" s="342" t="s">
        <v>0</v>
      </c>
      <c r="DC4" s="317" t="s">
        <v>1</v>
      </c>
      <c r="DD4" s="318" t="s">
        <v>150</v>
      </c>
      <c r="DE4" s="318" t="s">
        <v>151</v>
      </c>
      <c r="DF4" s="318" t="s">
        <v>78</v>
      </c>
      <c r="DG4" s="321" t="s">
        <v>160</v>
      </c>
      <c r="DH4" s="318" t="s">
        <v>77</v>
      </c>
      <c r="DI4" s="336" t="s">
        <v>152</v>
      </c>
      <c r="DJ4" s="336" t="s">
        <v>153</v>
      </c>
      <c r="DK4" s="342" t="s">
        <v>0</v>
      </c>
      <c r="DL4" s="317" t="s">
        <v>1</v>
      </c>
      <c r="DM4" s="129" t="s">
        <v>37</v>
      </c>
      <c r="DN4" s="316" t="s">
        <v>76</v>
      </c>
      <c r="DO4" s="316"/>
      <c r="DP4" s="316" t="s">
        <v>92</v>
      </c>
      <c r="DQ4" s="316"/>
      <c r="DR4" s="316"/>
      <c r="DS4" s="316"/>
      <c r="DT4" s="316"/>
      <c r="DU4" s="316"/>
      <c r="DV4" s="316" t="s">
        <v>165</v>
      </c>
      <c r="DW4" s="316"/>
      <c r="DX4" s="316"/>
      <c r="DY4" s="347" t="s">
        <v>0</v>
      </c>
      <c r="DZ4" s="368" t="s">
        <v>1</v>
      </c>
      <c r="EA4" s="344" t="s">
        <v>170</v>
      </c>
      <c r="EB4" s="344"/>
      <c r="EC4" s="344"/>
      <c r="ED4" s="344" t="s">
        <v>104</v>
      </c>
      <c r="EE4" s="344"/>
      <c r="EF4" s="132" t="s">
        <v>121</v>
      </c>
      <c r="EG4" s="132" t="s">
        <v>122</v>
      </c>
      <c r="EH4" s="367" t="s">
        <v>0</v>
      </c>
      <c r="EI4" s="346" t="s">
        <v>1</v>
      </c>
      <c r="EJ4" s="361" t="s">
        <v>34</v>
      </c>
      <c r="EK4" s="361"/>
      <c r="EL4" s="361"/>
      <c r="EM4" s="361"/>
      <c r="EN4" s="361"/>
      <c r="EO4" s="361"/>
      <c r="EP4" s="361"/>
      <c r="EQ4" s="365" t="s">
        <v>0</v>
      </c>
    </row>
    <row r="5" spans="1:154" ht="17.149999999999999" customHeight="1" x14ac:dyDescent="0.35">
      <c r="A5" s="359"/>
      <c r="B5" s="357" t="s">
        <v>83</v>
      </c>
      <c r="C5" s="357" t="s">
        <v>111</v>
      </c>
      <c r="D5" s="356" t="s">
        <v>32</v>
      </c>
      <c r="E5" s="357" t="s">
        <v>83</v>
      </c>
      <c r="F5" s="357" t="s">
        <v>110</v>
      </c>
      <c r="G5" s="356" t="s">
        <v>32</v>
      </c>
      <c r="H5" s="357" t="s">
        <v>83</v>
      </c>
      <c r="I5" s="357" t="s">
        <v>109</v>
      </c>
      <c r="J5" s="360"/>
      <c r="K5" s="359"/>
      <c r="L5" s="357" t="s">
        <v>83</v>
      </c>
      <c r="M5" s="357" t="s">
        <v>116</v>
      </c>
      <c r="N5" s="357" t="s">
        <v>83</v>
      </c>
      <c r="O5" s="357" t="s">
        <v>66</v>
      </c>
      <c r="P5" s="357" t="s">
        <v>83</v>
      </c>
      <c r="Q5" s="357" t="s">
        <v>116</v>
      </c>
      <c r="R5" s="336" t="s">
        <v>121</v>
      </c>
      <c r="S5" s="336" t="s">
        <v>122</v>
      </c>
      <c r="T5" s="336" t="s">
        <v>123</v>
      </c>
      <c r="U5" s="336" t="s">
        <v>124</v>
      </c>
      <c r="V5" s="360"/>
      <c r="W5" s="346"/>
      <c r="X5" s="333" t="s">
        <v>20</v>
      </c>
      <c r="Y5" s="333"/>
      <c r="Z5" s="333" t="s">
        <v>21</v>
      </c>
      <c r="AA5" s="333"/>
      <c r="AB5" s="333" t="s">
        <v>127</v>
      </c>
      <c r="AC5" s="333"/>
      <c r="AD5" s="333" t="s">
        <v>128</v>
      </c>
      <c r="AE5" s="333"/>
      <c r="AF5" s="342"/>
      <c r="AG5" s="346"/>
      <c r="AH5" s="333" t="s">
        <v>130</v>
      </c>
      <c r="AI5" s="333"/>
      <c r="AJ5" s="333" t="s">
        <v>131</v>
      </c>
      <c r="AK5" s="333"/>
      <c r="AL5" s="333" t="s">
        <v>65</v>
      </c>
      <c r="AM5" s="333"/>
      <c r="AN5" s="333" t="s">
        <v>75</v>
      </c>
      <c r="AO5" s="333"/>
      <c r="AP5" s="342"/>
      <c r="AQ5" s="346"/>
      <c r="AR5" s="333" t="s">
        <v>133</v>
      </c>
      <c r="AS5" s="333"/>
      <c r="AT5" s="333" t="s">
        <v>134</v>
      </c>
      <c r="AU5" s="333"/>
      <c r="AV5" s="333" t="s">
        <v>95</v>
      </c>
      <c r="AW5" s="333"/>
      <c r="AX5" s="333" t="s">
        <v>96</v>
      </c>
      <c r="AY5" s="333"/>
      <c r="AZ5" s="342"/>
      <c r="BA5" s="317"/>
      <c r="BB5" s="343" t="s">
        <v>25</v>
      </c>
      <c r="BC5" s="366" t="s">
        <v>29</v>
      </c>
      <c r="BD5" s="335" t="s">
        <v>4</v>
      </c>
      <c r="BE5" s="335" t="s">
        <v>80</v>
      </c>
      <c r="BF5" s="335" t="s">
        <v>81</v>
      </c>
      <c r="BG5" s="326"/>
      <c r="BH5" s="343" t="s">
        <v>137</v>
      </c>
      <c r="BI5" s="343" t="s">
        <v>138</v>
      </c>
      <c r="BJ5" s="343" t="s">
        <v>140</v>
      </c>
      <c r="BK5" s="343" t="s">
        <v>141</v>
      </c>
      <c r="BL5" s="343" t="s">
        <v>143</v>
      </c>
      <c r="BM5" s="343" t="s">
        <v>144</v>
      </c>
      <c r="BN5" s="347"/>
      <c r="BO5" s="317"/>
      <c r="BP5" s="328" t="s">
        <v>31</v>
      </c>
      <c r="BQ5" s="354" t="s">
        <v>22</v>
      </c>
      <c r="BR5" s="326" t="s">
        <v>4</v>
      </c>
      <c r="BS5" s="326" t="s">
        <v>82</v>
      </c>
      <c r="BT5" s="326" t="s">
        <v>149</v>
      </c>
      <c r="BU5" s="328" t="s">
        <v>23</v>
      </c>
      <c r="BV5" s="327" t="s">
        <v>99</v>
      </c>
      <c r="BW5" s="327" t="s">
        <v>98</v>
      </c>
      <c r="BX5" s="355" t="s">
        <v>26</v>
      </c>
      <c r="BY5" s="355" t="s">
        <v>97</v>
      </c>
      <c r="BZ5" s="347"/>
      <c r="CA5" s="317"/>
      <c r="CB5" s="319"/>
      <c r="CC5" s="319"/>
      <c r="CD5" s="319"/>
      <c r="CE5" s="322"/>
      <c r="CF5" s="322"/>
      <c r="CG5" s="337"/>
      <c r="CH5" s="337"/>
      <c r="CI5" s="342"/>
      <c r="CJ5" s="317"/>
      <c r="CK5" s="319"/>
      <c r="CL5" s="319"/>
      <c r="CM5" s="319"/>
      <c r="CN5" s="319"/>
      <c r="CO5" s="319"/>
      <c r="CP5" s="337"/>
      <c r="CQ5" s="337"/>
      <c r="CR5" s="342"/>
      <c r="CS5" s="317"/>
      <c r="CT5" s="319"/>
      <c r="CU5" s="319"/>
      <c r="CV5" s="319"/>
      <c r="CW5" s="319"/>
      <c r="CX5" s="322"/>
      <c r="CY5" s="337"/>
      <c r="CZ5" s="337"/>
      <c r="DA5" s="340"/>
      <c r="DB5" s="342"/>
      <c r="DC5" s="317"/>
      <c r="DD5" s="319"/>
      <c r="DE5" s="319"/>
      <c r="DF5" s="319"/>
      <c r="DG5" s="322"/>
      <c r="DH5" s="319"/>
      <c r="DI5" s="337"/>
      <c r="DJ5" s="337"/>
      <c r="DK5" s="342"/>
      <c r="DL5" s="317"/>
      <c r="DM5" s="327" t="s">
        <v>4</v>
      </c>
      <c r="DN5" s="328" t="s">
        <v>161</v>
      </c>
      <c r="DO5" s="328" t="s">
        <v>162</v>
      </c>
      <c r="DP5" s="328" t="s">
        <v>85</v>
      </c>
      <c r="DQ5" s="327" t="s">
        <v>4</v>
      </c>
      <c r="DR5" s="326" t="s">
        <v>82</v>
      </c>
      <c r="DS5" s="328" t="s">
        <v>163</v>
      </c>
      <c r="DT5" s="326" t="s">
        <v>164</v>
      </c>
      <c r="DU5" s="327" t="s">
        <v>169</v>
      </c>
      <c r="DV5" s="328" t="s">
        <v>172</v>
      </c>
      <c r="DW5" s="328" t="s">
        <v>166</v>
      </c>
      <c r="DX5" s="328" t="s">
        <v>167</v>
      </c>
      <c r="DY5" s="347"/>
      <c r="DZ5" s="368"/>
      <c r="EA5" s="348" t="s">
        <v>173</v>
      </c>
      <c r="EB5" s="348" t="s">
        <v>174</v>
      </c>
      <c r="EC5" s="348" t="s">
        <v>171</v>
      </c>
      <c r="ED5" s="327" t="s">
        <v>86</v>
      </c>
      <c r="EE5" s="327"/>
      <c r="EF5" s="327" t="s">
        <v>84</v>
      </c>
      <c r="EG5" s="327" t="s">
        <v>84</v>
      </c>
      <c r="EH5" s="367"/>
      <c r="EI5" s="346"/>
      <c r="EJ5" s="361"/>
      <c r="EK5" s="361"/>
      <c r="EL5" s="361"/>
      <c r="EM5" s="361"/>
      <c r="EN5" s="361"/>
      <c r="EO5" s="361"/>
      <c r="EP5" s="361"/>
      <c r="EQ5" s="365"/>
    </row>
    <row r="6" spans="1:154" ht="17.149999999999999" customHeight="1" x14ac:dyDescent="0.35">
      <c r="A6" s="359"/>
      <c r="B6" s="357"/>
      <c r="C6" s="357"/>
      <c r="D6" s="356"/>
      <c r="E6" s="357"/>
      <c r="F6" s="357"/>
      <c r="G6" s="356"/>
      <c r="H6" s="357"/>
      <c r="I6" s="357"/>
      <c r="J6" s="360"/>
      <c r="K6" s="359"/>
      <c r="L6" s="357"/>
      <c r="M6" s="357"/>
      <c r="N6" s="357"/>
      <c r="O6" s="357"/>
      <c r="P6" s="357"/>
      <c r="Q6" s="357"/>
      <c r="R6" s="337"/>
      <c r="S6" s="337"/>
      <c r="T6" s="337"/>
      <c r="U6" s="337"/>
      <c r="V6" s="360"/>
      <c r="W6" s="346"/>
      <c r="X6" s="333" t="s">
        <v>5</v>
      </c>
      <c r="Y6" s="333" t="s">
        <v>6</v>
      </c>
      <c r="Z6" s="333" t="s">
        <v>5</v>
      </c>
      <c r="AA6" s="333" t="s">
        <v>6</v>
      </c>
      <c r="AB6" s="333" t="s">
        <v>5</v>
      </c>
      <c r="AC6" s="333" t="s">
        <v>6</v>
      </c>
      <c r="AD6" s="333" t="s">
        <v>5</v>
      </c>
      <c r="AE6" s="333" t="s">
        <v>6</v>
      </c>
      <c r="AF6" s="342"/>
      <c r="AG6" s="346"/>
      <c r="AH6" s="333" t="s">
        <v>5</v>
      </c>
      <c r="AI6" s="333" t="s">
        <v>6</v>
      </c>
      <c r="AJ6" s="333" t="s">
        <v>5</v>
      </c>
      <c r="AK6" s="333" t="s">
        <v>6</v>
      </c>
      <c r="AL6" s="333" t="s">
        <v>5</v>
      </c>
      <c r="AM6" s="333" t="s">
        <v>6</v>
      </c>
      <c r="AN6" s="333" t="s">
        <v>5</v>
      </c>
      <c r="AO6" s="333" t="s">
        <v>6</v>
      </c>
      <c r="AP6" s="342"/>
      <c r="AQ6" s="346"/>
      <c r="AR6" s="333" t="s">
        <v>5</v>
      </c>
      <c r="AS6" s="333" t="s">
        <v>6</v>
      </c>
      <c r="AT6" s="333" t="s">
        <v>5</v>
      </c>
      <c r="AU6" s="333" t="s">
        <v>6</v>
      </c>
      <c r="AV6" s="333" t="s">
        <v>5</v>
      </c>
      <c r="AW6" s="333" t="s">
        <v>6</v>
      </c>
      <c r="AX6" s="333" t="s">
        <v>5</v>
      </c>
      <c r="AY6" s="333" t="s">
        <v>6</v>
      </c>
      <c r="AZ6" s="342"/>
      <c r="BA6" s="317"/>
      <c r="BB6" s="343"/>
      <c r="BC6" s="366"/>
      <c r="BD6" s="335"/>
      <c r="BE6" s="335"/>
      <c r="BF6" s="335"/>
      <c r="BG6" s="326"/>
      <c r="BH6" s="343"/>
      <c r="BI6" s="343"/>
      <c r="BJ6" s="343"/>
      <c r="BK6" s="343"/>
      <c r="BL6" s="343"/>
      <c r="BM6" s="343"/>
      <c r="BN6" s="347"/>
      <c r="BO6" s="317"/>
      <c r="BP6" s="328"/>
      <c r="BQ6" s="354"/>
      <c r="BR6" s="326"/>
      <c r="BS6" s="326"/>
      <c r="BT6" s="326"/>
      <c r="BU6" s="328"/>
      <c r="BV6" s="327"/>
      <c r="BW6" s="327"/>
      <c r="BX6" s="355"/>
      <c r="BY6" s="355"/>
      <c r="BZ6" s="347"/>
      <c r="CA6" s="317"/>
      <c r="CB6" s="319"/>
      <c r="CC6" s="319"/>
      <c r="CD6" s="319"/>
      <c r="CE6" s="322"/>
      <c r="CF6" s="322"/>
      <c r="CG6" s="337"/>
      <c r="CH6" s="337"/>
      <c r="CI6" s="342"/>
      <c r="CJ6" s="317"/>
      <c r="CK6" s="319"/>
      <c r="CL6" s="319"/>
      <c r="CM6" s="319"/>
      <c r="CN6" s="319"/>
      <c r="CO6" s="319"/>
      <c r="CP6" s="337"/>
      <c r="CQ6" s="337"/>
      <c r="CR6" s="342"/>
      <c r="CS6" s="317"/>
      <c r="CT6" s="319"/>
      <c r="CU6" s="319"/>
      <c r="CV6" s="319"/>
      <c r="CW6" s="319"/>
      <c r="CX6" s="322"/>
      <c r="CY6" s="337"/>
      <c r="CZ6" s="337"/>
      <c r="DA6" s="340"/>
      <c r="DB6" s="342"/>
      <c r="DC6" s="317"/>
      <c r="DD6" s="319"/>
      <c r="DE6" s="319"/>
      <c r="DF6" s="319"/>
      <c r="DG6" s="322"/>
      <c r="DH6" s="319"/>
      <c r="DI6" s="337"/>
      <c r="DJ6" s="337"/>
      <c r="DK6" s="342"/>
      <c r="DL6" s="317"/>
      <c r="DM6" s="327"/>
      <c r="DN6" s="328"/>
      <c r="DO6" s="328"/>
      <c r="DP6" s="328"/>
      <c r="DQ6" s="327"/>
      <c r="DR6" s="326"/>
      <c r="DS6" s="328"/>
      <c r="DT6" s="326"/>
      <c r="DU6" s="327"/>
      <c r="DV6" s="328"/>
      <c r="DW6" s="328"/>
      <c r="DX6" s="328"/>
      <c r="DY6" s="347"/>
      <c r="DZ6" s="368"/>
      <c r="EA6" s="348"/>
      <c r="EB6" s="348"/>
      <c r="EC6" s="348"/>
      <c r="ED6" s="327" t="s">
        <v>102</v>
      </c>
      <c r="EE6" s="327" t="s">
        <v>103</v>
      </c>
      <c r="EF6" s="327"/>
      <c r="EG6" s="327"/>
      <c r="EH6" s="367"/>
      <c r="EI6" s="346"/>
      <c r="EJ6" s="361"/>
      <c r="EK6" s="361"/>
      <c r="EL6" s="361"/>
      <c r="EM6" s="361"/>
      <c r="EN6" s="361"/>
      <c r="EO6" s="361"/>
      <c r="EP6" s="361"/>
      <c r="EQ6" s="365"/>
    </row>
    <row r="7" spans="1:154" ht="17.149999999999999" customHeight="1" x14ac:dyDescent="0.35">
      <c r="A7" s="359"/>
      <c r="B7" s="357"/>
      <c r="C7" s="357"/>
      <c r="D7" s="356"/>
      <c r="E7" s="357"/>
      <c r="F7" s="357"/>
      <c r="G7" s="356"/>
      <c r="H7" s="357"/>
      <c r="I7" s="357"/>
      <c r="J7" s="360"/>
      <c r="K7" s="359"/>
      <c r="L7" s="357"/>
      <c r="M7" s="357"/>
      <c r="N7" s="357"/>
      <c r="O7" s="357"/>
      <c r="P7" s="357"/>
      <c r="Q7" s="357"/>
      <c r="R7" s="338"/>
      <c r="S7" s="338"/>
      <c r="T7" s="338"/>
      <c r="U7" s="338"/>
      <c r="V7" s="360"/>
      <c r="W7" s="346"/>
      <c r="X7" s="333"/>
      <c r="Y7" s="333"/>
      <c r="Z7" s="333"/>
      <c r="AA7" s="333"/>
      <c r="AB7" s="333"/>
      <c r="AC7" s="333"/>
      <c r="AD7" s="333"/>
      <c r="AE7" s="333"/>
      <c r="AF7" s="342"/>
      <c r="AG7" s="346"/>
      <c r="AH7" s="333"/>
      <c r="AI7" s="333"/>
      <c r="AJ7" s="333"/>
      <c r="AK7" s="333"/>
      <c r="AL7" s="333"/>
      <c r="AM7" s="333"/>
      <c r="AN7" s="333"/>
      <c r="AO7" s="333"/>
      <c r="AP7" s="342"/>
      <c r="AQ7" s="346"/>
      <c r="AR7" s="333"/>
      <c r="AS7" s="333"/>
      <c r="AT7" s="333"/>
      <c r="AU7" s="333"/>
      <c r="AV7" s="333"/>
      <c r="AW7" s="333"/>
      <c r="AX7" s="333"/>
      <c r="AY7" s="333"/>
      <c r="AZ7" s="342"/>
      <c r="BA7" s="317"/>
      <c r="BB7" s="343"/>
      <c r="BC7" s="366"/>
      <c r="BD7" s="335"/>
      <c r="BE7" s="335"/>
      <c r="BF7" s="335"/>
      <c r="BG7" s="326"/>
      <c r="BH7" s="343"/>
      <c r="BI7" s="343"/>
      <c r="BJ7" s="343"/>
      <c r="BK7" s="343"/>
      <c r="BL7" s="343"/>
      <c r="BM7" s="343"/>
      <c r="BN7" s="347"/>
      <c r="BO7" s="317"/>
      <c r="BP7" s="328"/>
      <c r="BQ7" s="354"/>
      <c r="BR7" s="326"/>
      <c r="BS7" s="326"/>
      <c r="BT7" s="326"/>
      <c r="BU7" s="328"/>
      <c r="BV7" s="327"/>
      <c r="BW7" s="327"/>
      <c r="BX7" s="355"/>
      <c r="BY7" s="355"/>
      <c r="BZ7" s="347"/>
      <c r="CA7" s="317"/>
      <c r="CB7" s="320"/>
      <c r="CC7" s="320"/>
      <c r="CD7" s="320"/>
      <c r="CE7" s="323"/>
      <c r="CF7" s="323"/>
      <c r="CG7" s="338"/>
      <c r="CH7" s="338"/>
      <c r="CI7" s="342"/>
      <c r="CJ7" s="317"/>
      <c r="CK7" s="320"/>
      <c r="CL7" s="320"/>
      <c r="CM7" s="320"/>
      <c r="CN7" s="320"/>
      <c r="CO7" s="320"/>
      <c r="CP7" s="338"/>
      <c r="CQ7" s="338"/>
      <c r="CR7" s="342"/>
      <c r="CS7" s="317"/>
      <c r="CT7" s="320"/>
      <c r="CU7" s="320"/>
      <c r="CV7" s="320"/>
      <c r="CW7" s="320"/>
      <c r="CX7" s="323"/>
      <c r="CY7" s="338"/>
      <c r="CZ7" s="338"/>
      <c r="DA7" s="341"/>
      <c r="DB7" s="342"/>
      <c r="DC7" s="317"/>
      <c r="DD7" s="320"/>
      <c r="DE7" s="320"/>
      <c r="DF7" s="320"/>
      <c r="DG7" s="323"/>
      <c r="DH7" s="320"/>
      <c r="DI7" s="338"/>
      <c r="DJ7" s="338"/>
      <c r="DK7" s="342"/>
      <c r="DL7" s="317"/>
      <c r="DM7" s="327"/>
      <c r="DN7" s="328"/>
      <c r="DO7" s="328"/>
      <c r="DP7" s="328"/>
      <c r="DQ7" s="327"/>
      <c r="DR7" s="326"/>
      <c r="DS7" s="328"/>
      <c r="DT7" s="326"/>
      <c r="DU7" s="327"/>
      <c r="DV7" s="328"/>
      <c r="DW7" s="328"/>
      <c r="DX7" s="328"/>
      <c r="DY7" s="347"/>
      <c r="DZ7" s="368"/>
      <c r="EA7" s="348"/>
      <c r="EB7" s="348"/>
      <c r="EC7" s="348"/>
      <c r="ED7" s="327"/>
      <c r="EE7" s="327"/>
      <c r="EF7" s="327"/>
      <c r="EG7" s="327"/>
      <c r="EH7" s="367"/>
      <c r="EI7" s="346"/>
      <c r="EJ7" s="361"/>
      <c r="EK7" s="361"/>
      <c r="EL7" s="361"/>
      <c r="EM7" s="361"/>
      <c r="EN7" s="361"/>
      <c r="EO7" s="361"/>
      <c r="EP7" s="361"/>
      <c r="EQ7" s="365"/>
    </row>
    <row r="8" spans="1:154" s="3" customFormat="1" ht="17.149999999999999" customHeight="1" x14ac:dyDescent="0.25">
      <c r="A8" s="56">
        <v>1</v>
      </c>
      <c r="B8" s="57">
        <v>888109</v>
      </c>
      <c r="C8" s="58">
        <f>IF(B9="","",IF(B9=B8,"",(B9-B8)))</f>
        <v>139</v>
      </c>
      <c r="D8" s="167">
        <v>9.32</v>
      </c>
      <c r="E8" s="59">
        <v>792254</v>
      </c>
      <c r="F8" s="58">
        <f>IF(E9="","",IF(E9=E8,"",(E9-E8)))</f>
        <v>173</v>
      </c>
      <c r="G8" s="168">
        <v>1.95</v>
      </c>
      <c r="H8" s="57">
        <v>750501</v>
      </c>
      <c r="I8" s="58">
        <f t="shared" ref="I8:I36" si="0">IF(H9="","",IF(H9=H8,"",(H9-H8)))</f>
        <v>121</v>
      </c>
      <c r="J8" s="60" t="s">
        <v>194</v>
      </c>
      <c r="K8" s="56">
        <v>1</v>
      </c>
      <c r="L8" s="57">
        <v>69577</v>
      </c>
      <c r="M8" s="58" t="str">
        <f t="shared" ref="M8:M36" si="1">IF(L9="","",IF(L9=L8,"",(L9-L8)))</f>
        <v/>
      </c>
      <c r="N8" s="59">
        <v>176488</v>
      </c>
      <c r="O8" s="58">
        <f>IF(N9="","",IF(N9=N8,"",(N9-N8)))</f>
        <v>33</v>
      </c>
      <c r="P8" s="57">
        <v>194749</v>
      </c>
      <c r="Q8" s="58" t="str">
        <f t="shared" ref="Q8:Q36" si="2">IF(P9="","",IF(P9=P8,"",(P9-P8)))</f>
        <v/>
      </c>
      <c r="R8" s="57">
        <v>674</v>
      </c>
      <c r="S8" s="57">
        <v>682</v>
      </c>
      <c r="T8" s="170">
        <v>141</v>
      </c>
      <c r="U8" s="57">
        <v>138</v>
      </c>
      <c r="V8" s="58" t="str">
        <f>IF(J8="","",J8)</f>
        <v>ME</v>
      </c>
      <c r="W8" s="56">
        <v>1</v>
      </c>
      <c r="X8" s="63">
        <v>11721.62</v>
      </c>
      <c r="Y8" s="130">
        <f>IF(X9="","",IF(X9=X8,"",X9-X8))</f>
        <v>2</v>
      </c>
      <c r="Z8" s="63">
        <v>12498.13</v>
      </c>
      <c r="AA8" s="130">
        <f>IF(Z9="","",IF(Z9=Z8,"",Z9-Z8))</f>
        <v>2.1100000000005821</v>
      </c>
      <c r="AB8" s="63">
        <v>9859.5300000000007</v>
      </c>
      <c r="AC8" s="130">
        <f>IF(AB9="","",IF(AB9=AB8,"",AB9-AB8))</f>
        <v>1.6700000000000728</v>
      </c>
      <c r="AD8" s="63">
        <v>9951.2800000000007</v>
      </c>
      <c r="AE8" s="130">
        <f t="shared" ref="AE8:AE36" si="3">IF(AD9="","",IF(AD9=AD8,"",AD9-AD8))</f>
        <v>1.5399999999990541</v>
      </c>
      <c r="AF8" s="125" t="str">
        <f>IF(J8="","",J8)</f>
        <v>ME</v>
      </c>
      <c r="AG8" s="56">
        <v>1</v>
      </c>
      <c r="AH8" s="63">
        <v>46863.12</v>
      </c>
      <c r="AI8" s="130">
        <f>IF(AH9="","",IF(AH9=AH8,"",AH9-AH8))</f>
        <v>11.019999999996799</v>
      </c>
      <c r="AJ8" s="63">
        <v>48998.48</v>
      </c>
      <c r="AK8" s="130">
        <f>IF(AJ9="","",IF(AJ9=AJ8,"",AJ9-AJ8))</f>
        <v>12.009999999994761</v>
      </c>
      <c r="AL8" s="63">
        <v>586.99</v>
      </c>
      <c r="AM8" s="130" t="str">
        <f>IF(AL9="","",IF(AL9=AL8,"",AL9-AL8))</f>
        <v/>
      </c>
      <c r="AN8" s="63">
        <v>548.5</v>
      </c>
      <c r="AO8" s="130" t="str">
        <f t="shared" ref="AO8:AO36" si="4">IF(AN9="","",IF(AN9=AN8,"",AN9-AN8))</f>
        <v/>
      </c>
      <c r="AP8" s="125" t="str">
        <f>IF(J8="","",J8)</f>
        <v>ME</v>
      </c>
      <c r="AQ8" s="56">
        <v>1</v>
      </c>
      <c r="AR8" s="63">
        <v>6751.95</v>
      </c>
      <c r="AS8" s="130">
        <f>IF(AR9="","",IF(AR9=AR8,"",AR9-AR8))</f>
        <v>1.25</v>
      </c>
      <c r="AT8" s="63">
        <v>7491.56</v>
      </c>
      <c r="AU8" s="130">
        <f>IF(AT9="","",IF(AT9=AT8,"",AT9-AT8))</f>
        <v>1.839999999999236</v>
      </c>
      <c r="AV8" s="63">
        <v>255.12</v>
      </c>
      <c r="AW8" s="130" t="str">
        <f>IF(AV9="","",IF(AV9=AV8,"",AV9-AV8))</f>
        <v/>
      </c>
      <c r="AX8" s="63">
        <v>242.8</v>
      </c>
      <c r="AY8" s="130" t="str">
        <f t="shared" ref="AY8:AY36" si="5">IF(AX9="","",IF(AX9=AX8,"",AX9-AX8))</f>
        <v/>
      </c>
      <c r="AZ8" s="125" t="str">
        <f>IF(J8="","",J8)</f>
        <v>ME</v>
      </c>
      <c r="BA8" s="56">
        <v>1</v>
      </c>
      <c r="BB8" s="64">
        <v>1.1100000000000001</v>
      </c>
      <c r="BC8" s="62">
        <v>34</v>
      </c>
      <c r="BD8" s="61">
        <v>7.1</v>
      </c>
      <c r="BE8" s="61">
        <v>13.6</v>
      </c>
      <c r="BF8" s="61">
        <v>15.7</v>
      </c>
      <c r="BG8" s="61">
        <v>7.1</v>
      </c>
      <c r="BH8" s="64">
        <v>0.16300000000000001</v>
      </c>
      <c r="BI8" s="64">
        <v>0.16</v>
      </c>
      <c r="BJ8" s="64">
        <v>5.3999999999999999E-2</v>
      </c>
      <c r="BK8" s="64">
        <v>5.5E-2</v>
      </c>
      <c r="BL8" s="64">
        <v>5.5E-2</v>
      </c>
      <c r="BM8" s="64">
        <v>5.1999999999999998E-2</v>
      </c>
      <c r="BN8" s="65" t="str">
        <f>IF(J8="","",J8)</f>
        <v>ME</v>
      </c>
      <c r="BO8" s="56">
        <v>1</v>
      </c>
      <c r="BP8" s="64">
        <v>9.8000000000000004E-2</v>
      </c>
      <c r="BQ8" s="62">
        <v>0</v>
      </c>
      <c r="BR8" s="61">
        <v>7</v>
      </c>
      <c r="BS8" s="61">
        <v>13</v>
      </c>
      <c r="BT8" s="61">
        <v>18</v>
      </c>
      <c r="BU8" s="64">
        <v>1.9E-2</v>
      </c>
      <c r="BV8" s="63">
        <v>1.07</v>
      </c>
      <c r="BW8" s="63">
        <v>0.82</v>
      </c>
      <c r="BX8" s="66" t="s">
        <v>285</v>
      </c>
      <c r="BY8" s="172" t="s">
        <v>361</v>
      </c>
      <c r="BZ8" s="67" t="str">
        <f>IF(J8="","",J8)</f>
        <v>ME</v>
      </c>
      <c r="CA8" s="56">
        <v>1</v>
      </c>
      <c r="CB8" s="61">
        <v>88.1</v>
      </c>
      <c r="CC8" s="61">
        <v>98.3</v>
      </c>
      <c r="CD8" s="68">
        <f>IF(CB9="","",IF(CC8="",IF(CB8=CB9,"",(CB8-CB9)),IF(CC8=CB9,"",(CC8-CB9))))</f>
        <v>1.2000000000000028</v>
      </c>
      <c r="CE8" s="69">
        <f>IF(CD8="","",(CD8*(0.785*77*77)/1000))</f>
        <v>5.5851180000000138</v>
      </c>
      <c r="CF8" s="69">
        <f>IF(CE8="","",(CE8*0.12*1000)/I8)</f>
        <v>5.5389600000000137</v>
      </c>
      <c r="CG8" s="62">
        <v>68</v>
      </c>
      <c r="CH8" s="62">
        <v>100</v>
      </c>
      <c r="CI8" s="65" t="str">
        <f>IF(J8="","",J8)</f>
        <v>ME</v>
      </c>
      <c r="CJ8" s="56">
        <v>1</v>
      </c>
      <c r="CK8" s="61">
        <v>81.900000000000006</v>
      </c>
      <c r="CL8" s="61">
        <v>98.6</v>
      </c>
      <c r="CM8" s="68">
        <f>IF(CK9="","",IF(CL8="",IF(CK8=CK9,"",(CK8-CK9)),IF(CL8=CK9,"",(CL8-CK9))))</f>
        <v>2</v>
      </c>
      <c r="CN8" s="68">
        <f>IF(CM8="","",(CM8*(0.785*77*77)/1000))</f>
        <v>9.3085300000000011</v>
      </c>
      <c r="CO8" s="68">
        <f>IF(CN8="","",(CN8*0.33*1.205*1000)/C8)</f>
        <v>26.629762262589935</v>
      </c>
      <c r="CP8" s="62">
        <v>55</v>
      </c>
      <c r="CQ8" s="62">
        <v>83</v>
      </c>
      <c r="CR8" s="65" t="str">
        <f>IF(J8="","",J8)</f>
        <v>ME</v>
      </c>
      <c r="CS8" s="56">
        <v>1</v>
      </c>
      <c r="CT8" s="61">
        <v>104.9</v>
      </c>
      <c r="CU8" s="61"/>
      <c r="CV8" s="68">
        <f>IF(CT9="","",IF(CU8="",IF(CT8=CT9,"",(CT8-CT9)),IF(CU8=CT9,"",(CU8-CT9))))</f>
        <v>1.4000000000000057</v>
      </c>
      <c r="CW8" s="68">
        <f>IF(CV8="","",(CV8*(0.785*92*92)/1000))</f>
        <v>9.3019360000000386</v>
      </c>
      <c r="CX8" s="69">
        <f>IF(CW8="","",(CW8)/C8)</f>
        <v>6.6920402877698126E-2</v>
      </c>
      <c r="CY8" s="66" t="s">
        <v>240</v>
      </c>
      <c r="CZ8" s="66" t="s">
        <v>241</v>
      </c>
      <c r="DA8" s="66"/>
      <c r="DB8" s="65" t="str">
        <f>IF(J8="","",J8)</f>
        <v>ME</v>
      </c>
      <c r="DC8" s="56">
        <v>1</v>
      </c>
      <c r="DD8" s="61">
        <v>86.8</v>
      </c>
      <c r="DE8" s="61">
        <v>103.5</v>
      </c>
      <c r="DF8" s="68">
        <f>IF(DD9="","",IF(DE8="",IF(DD8=DD9,"",(DD8-DD9)),IF(DE8=DD9,"",(DE8-DD9))))</f>
        <v>15.400000000000006</v>
      </c>
      <c r="DG8" s="69">
        <f>IF(DF8="","",(DF8*(0.785*92*92)*0.00812/1000))</f>
        <v>0.83084892352000028</v>
      </c>
      <c r="DH8" s="68">
        <f>IF(DG8="","",(DG8*1000)/C8)</f>
        <v>5.9773303850359731</v>
      </c>
      <c r="DI8" s="62">
        <v>87</v>
      </c>
      <c r="DJ8" s="62">
        <v>54</v>
      </c>
      <c r="DK8" s="65" t="str">
        <f>IF(J8="","",J8)</f>
        <v>ME</v>
      </c>
      <c r="DL8" s="56">
        <v>1</v>
      </c>
      <c r="DM8" s="63">
        <v>8.16</v>
      </c>
      <c r="DN8" s="64">
        <v>2.8000000000000001E-2</v>
      </c>
      <c r="DO8" s="64">
        <v>3.4000000000000002E-2</v>
      </c>
      <c r="DP8" s="64">
        <v>7.9000000000000001E-2</v>
      </c>
      <c r="DQ8" s="63">
        <v>6.88</v>
      </c>
      <c r="DR8" s="61">
        <v>13</v>
      </c>
      <c r="DS8" s="64">
        <v>1.1220000000000001</v>
      </c>
      <c r="DT8" s="61">
        <v>83.8</v>
      </c>
      <c r="DU8" s="63">
        <v>4.2300000000000004</v>
      </c>
      <c r="DV8" s="64">
        <v>0.84399999999999997</v>
      </c>
      <c r="DW8" s="64">
        <v>1.4</v>
      </c>
      <c r="DX8" s="66" t="s">
        <v>242</v>
      </c>
      <c r="DY8" s="65" t="str">
        <f>IF(J8="","",J8)</f>
        <v>ME</v>
      </c>
      <c r="DZ8" s="128">
        <v>1</v>
      </c>
      <c r="EA8" s="173">
        <f>IF(C8="","",C8/1496)</f>
        <v>9.2914438502673793E-2</v>
      </c>
      <c r="EB8" s="173">
        <f>IF(F8="","",IF(Q8="",F8/1360,(F8+Q8)/1360))</f>
        <v>0.12720588235294117</v>
      </c>
      <c r="EC8" s="173">
        <f>IF(I8="","",IF(C8="","",I8/C8))</f>
        <v>0.87050359712230219</v>
      </c>
      <c r="ED8" s="284">
        <v>0.66</v>
      </c>
      <c r="EE8" s="63">
        <v>1.1499999999999999</v>
      </c>
      <c r="EF8" s="63">
        <v>0.04</v>
      </c>
      <c r="EG8" s="63">
        <v>0.08</v>
      </c>
      <c r="EH8" s="127" t="str">
        <f t="shared" ref="EH8:EH37" si="6">IF(J8="","",J8)</f>
        <v>ME</v>
      </c>
      <c r="EI8" s="56">
        <v>1</v>
      </c>
      <c r="EJ8" s="334" t="s">
        <v>363</v>
      </c>
      <c r="EK8" s="334"/>
      <c r="EL8" s="334"/>
      <c r="EM8" s="334"/>
      <c r="EN8" s="334"/>
      <c r="EO8" s="334"/>
      <c r="EP8" s="334"/>
      <c r="EQ8" s="65" t="str">
        <f>IF(J8="","",J8)</f>
        <v>ME</v>
      </c>
      <c r="ER8" s="20"/>
      <c r="ES8" s="20"/>
      <c r="ET8" s="20"/>
      <c r="EU8" s="20"/>
      <c r="EV8" s="20"/>
      <c r="EW8" s="20"/>
      <c r="EX8" s="20"/>
    </row>
    <row r="9" spans="1:154" s="3" customFormat="1" ht="17.149999999999999" customHeight="1" x14ac:dyDescent="0.25">
      <c r="A9" s="56">
        <v>2</v>
      </c>
      <c r="B9" s="57">
        <v>888248</v>
      </c>
      <c r="C9" s="58">
        <f t="shared" ref="C9:C36" si="7">IF(B10="","",IF(B10=B9,"",(B10-B9)))</f>
        <v>153</v>
      </c>
      <c r="D9" s="167">
        <v>9.09</v>
      </c>
      <c r="E9" s="57">
        <v>792427</v>
      </c>
      <c r="F9" s="58">
        <f t="shared" ref="F9:F36" si="8">IF(E10="","",IF(E10=E9,"",(E10-E9)))</f>
        <v>181</v>
      </c>
      <c r="G9" s="168">
        <v>1.96</v>
      </c>
      <c r="H9" s="57">
        <v>750622</v>
      </c>
      <c r="I9" s="58">
        <f t="shared" si="0"/>
        <v>128</v>
      </c>
      <c r="J9" s="60" t="s">
        <v>194</v>
      </c>
      <c r="K9" s="56">
        <v>2</v>
      </c>
      <c r="L9" s="57">
        <v>69577</v>
      </c>
      <c r="M9" s="58" t="str">
        <f t="shared" si="1"/>
        <v/>
      </c>
      <c r="N9" s="57">
        <v>176521</v>
      </c>
      <c r="O9" s="58">
        <f t="shared" ref="O9:O36" si="9">IF(N10="","",IF(N10=N9,"",(N10-N9)))</f>
        <v>31</v>
      </c>
      <c r="P9" s="57">
        <v>194749</v>
      </c>
      <c r="Q9" s="58" t="str">
        <f t="shared" si="2"/>
        <v/>
      </c>
      <c r="R9" s="57">
        <v>674</v>
      </c>
      <c r="S9" s="57">
        <v>682</v>
      </c>
      <c r="T9" s="170">
        <v>141</v>
      </c>
      <c r="U9" s="57">
        <v>138</v>
      </c>
      <c r="V9" s="58" t="str">
        <f t="shared" ref="V9:V37" si="10">IF(J9="","",J9)</f>
        <v>ME</v>
      </c>
      <c r="W9" s="56">
        <v>2</v>
      </c>
      <c r="X9" s="63">
        <v>11723.62</v>
      </c>
      <c r="Y9" s="130">
        <f t="shared" ref="Y9:Y36" si="11">IF(X10="","",IF(X10=X9,"",X10-X9))</f>
        <v>2.2799999999988358</v>
      </c>
      <c r="Z9" s="63">
        <v>12500.24</v>
      </c>
      <c r="AA9" s="130">
        <f t="shared" ref="AA9:AA36" si="12">IF(Z10="","",IF(Z10=Z9,"",Z10-Z9))</f>
        <v>2.2199999999993452</v>
      </c>
      <c r="AB9" s="63">
        <v>9861.2000000000007</v>
      </c>
      <c r="AC9" s="130">
        <f t="shared" ref="AC9:AC36" si="13">IF(AB10="","",IF(AB10=AB9,"",AB10-AB9))</f>
        <v>1.7299999999995634</v>
      </c>
      <c r="AD9" s="63">
        <v>9952.82</v>
      </c>
      <c r="AE9" s="130">
        <f t="shared" si="3"/>
        <v>1.7000000000007276</v>
      </c>
      <c r="AF9" s="125" t="str">
        <f t="shared" ref="AF9:AF37" si="14">IF(J9="","",J9)</f>
        <v>ME</v>
      </c>
      <c r="AG9" s="56">
        <v>2</v>
      </c>
      <c r="AH9" s="63">
        <v>46874.14</v>
      </c>
      <c r="AI9" s="130">
        <f t="shared" ref="AI9:AI36" si="15">IF(AH10="","",IF(AH10=AH9,"",AH10-AH9))</f>
        <v>12.980000000003201</v>
      </c>
      <c r="AJ9" s="63">
        <v>49010.49</v>
      </c>
      <c r="AK9" s="130">
        <f t="shared" ref="AK9:AK36" si="16">IF(AJ10="","",IF(AJ10=AJ9,"",AJ10-AJ9))</f>
        <v>10.709999999999127</v>
      </c>
      <c r="AL9" s="63">
        <v>586.99</v>
      </c>
      <c r="AM9" s="130" t="str">
        <f t="shared" ref="AM9:AM36" si="17">IF(AL10="","",IF(AL10=AL9,"",AL10-AL9))</f>
        <v/>
      </c>
      <c r="AN9" s="63">
        <v>548.5</v>
      </c>
      <c r="AO9" s="130" t="str">
        <f t="shared" si="4"/>
        <v/>
      </c>
      <c r="AP9" s="125" t="str">
        <f t="shared" ref="AP9:AP37" si="18">IF(J9="","",J9)</f>
        <v>ME</v>
      </c>
      <c r="AQ9" s="56">
        <v>2</v>
      </c>
      <c r="AR9" s="63">
        <v>6753.2</v>
      </c>
      <c r="AS9" s="130">
        <f t="shared" ref="AS9:AS36" si="19">IF(AR10="","",IF(AR10=AR9,"",AR10-AR9))</f>
        <v>1.25</v>
      </c>
      <c r="AT9" s="63">
        <v>7493.4</v>
      </c>
      <c r="AU9" s="130">
        <f t="shared" ref="AU9:AU36" si="20">IF(AT10="","",IF(AT10=AT9,"",AT10-AT9))</f>
        <v>1.6300000000001091</v>
      </c>
      <c r="AV9" s="63">
        <v>255.12</v>
      </c>
      <c r="AW9" s="130" t="str">
        <f t="shared" ref="AW9:AW36" si="21">IF(AV10="","",IF(AV10=AV9,"",AV10-AV9))</f>
        <v/>
      </c>
      <c r="AX9" s="63">
        <v>242.8</v>
      </c>
      <c r="AY9" s="130" t="str">
        <f t="shared" si="5"/>
        <v/>
      </c>
      <c r="AZ9" s="125" t="str">
        <f t="shared" ref="AZ9:AZ37" si="22">IF(J9="","",J9)</f>
        <v>ME</v>
      </c>
      <c r="BA9" s="56">
        <v>2</v>
      </c>
      <c r="BB9" s="64">
        <v>1.3</v>
      </c>
      <c r="BC9" s="62">
        <v>40</v>
      </c>
      <c r="BD9" s="61">
        <v>7</v>
      </c>
      <c r="BE9" s="61">
        <v>11.9</v>
      </c>
      <c r="BF9" s="61">
        <v>13.9</v>
      </c>
      <c r="BG9" s="61">
        <v>7</v>
      </c>
      <c r="BH9" s="64">
        <v>0.24399999999999999</v>
      </c>
      <c r="BI9" s="64">
        <v>0.20300000000000001</v>
      </c>
      <c r="BJ9" s="64">
        <v>0.08</v>
      </c>
      <c r="BK9" s="64">
        <v>0.06</v>
      </c>
      <c r="BL9" s="64">
        <v>6.0999999999999999E-2</v>
      </c>
      <c r="BM9" s="64">
        <v>6.2E-2</v>
      </c>
      <c r="BN9" s="65" t="str">
        <f t="shared" ref="BN9:BN37" si="23">IF(J9="","",J9)</f>
        <v>ME</v>
      </c>
      <c r="BO9" s="56">
        <v>2</v>
      </c>
      <c r="BP9" s="64">
        <v>9.7000000000000003E-2</v>
      </c>
      <c r="BQ9" s="62">
        <v>0</v>
      </c>
      <c r="BR9" s="61">
        <v>7.1</v>
      </c>
      <c r="BS9" s="61">
        <v>13.2</v>
      </c>
      <c r="BT9" s="61">
        <v>17.100000000000001</v>
      </c>
      <c r="BU9" s="64">
        <v>8.9999999999999993E-3</v>
      </c>
      <c r="BV9" s="63">
        <v>1.08</v>
      </c>
      <c r="BW9" s="63">
        <v>0.84</v>
      </c>
      <c r="BX9" s="66" t="s">
        <v>285</v>
      </c>
      <c r="BY9" s="172" t="s">
        <v>361</v>
      </c>
      <c r="BZ9" s="67" t="str">
        <f t="shared" ref="BZ9:BZ37" si="24">IF(J9="","",J9)</f>
        <v>ME</v>
      </c>
      <c r="CA9" s="56">
        <v>2</v>
      </c>
      <c r="CB9" s="61">
        <v>97.1</v>
      </c>
      <c r="CC9" s="61"/>
      <c r="CD9" s="68">
        <f t="shared" ref="CD9:CD36" si="25">IF(CB10="","",IF(CC9="",IF(CB9=CB10,"",(CB9-CB10)),IF(CC9=CB10,"",(CC9-CB10))))</f>
        <v>1.2999999999999972</v>
      </c>
      <c r="CE9" s="69">
        <f t="shared" ref="CE9:CE37" si="26">IF(CD9="","",(CD9*(0.785*77*77)/1000))</f>
        <v>6.0505444999999876</v>
      </c>
      <c r="CF9" s="69">
        <f t="shared" ref="CF9:CF37" si="27">IF(CE9="","",(CE9*0.12*1000)/I9)</f>
        <v>5.6723854687499875</v>
      </c>
      <c r="CG9" s="62">
        <v>69</v>
      </c>
      <c r="CH9" s="62">
        <v>100</v>
      </c>
      <c r="CI9" s="65" t="str">
        <f t="shared" ref="CI9:CI37" si="28">IF(J9="","",J9)</f>
        <v>ME</v>
      </c>
      <c r="CJ9" s="56">
        <v>2</v>
      </c>
      <c r="CK9" s="61">
        <v>96.6</v>
      </c>
      <c r="CL9" s="61"/>
      <c r="CM9" s="68">
        <f t="shared" ref="CM9:CM36" si="29">IF(CK10="","",IF(CL9="",IF(CK9=CK10,"",(CK9-CK10)),IF(CL9=CK10,"",(CL9-CK10))))</f>
        <v>2</v>
      </c>
      <c r="CN9" s="68">
        <f t="shared" ref="CN9:CN37" si="30">IF(CM9="","",(CM9*(0.785*77*77)/1000))</f>
        <v>9.3085300000000011</v>
      </c>
      <c r="CO9" s="68">
        <f t="shared" ref="CO9:CO37" si="31">IF(CN9="","",(CN9*0.33*1.205*1000)/C9)</f>
        <v>24.193051990196082</v>
      </c>
      <c r="CP9" s="62">
        <v>58</v>
      </c>
      <c r="CQ9" s="62">
        <v>83</v>
      </c>
      <c r="CR9" s="65" t="str">
        <f t="shared" ref="CR9:CR37" si="32">IF(J9="","",J9)</f>
        <v>ME</v>
      </c>
      <c r="CS9" s="56">
        <v>2</v>
      </c>
      <c r="CT9" s="61">
        <v>103.5</v>
      </c>
      <c r="CU9" s="61">
        <v>99.5</v>
      </c>
      <c r="CV9" s="68">
        <f t="shared" ref="CV9:CV36" si="33">IF(CT10="","",IF(CU9="",IF(CT9=CT10,"",(CT9-CT10)),IF(CU9=CT10,"",(CU9-CT10))))</f>
        <v>1.5999999999999943</v>
      </c>
      <c r="CW9" s="68">
        <f t="shared" ref="CW9:CW37" si="34">IF(CV9="","",(CV9*(0.785*92*92)/1000))</f>
        <v>10.630783999999961</v>
      </c>
      <c r="CX9" s="69">
        <f t="shared" ref="CX9:CX37" si="35">IF(CW9="","",(CW9)/C9)</f>
        <v>6.9482248366012814E-2</v>
      </c>
      <c r="CY9" s="66" t="s">
        <v>240</v>
      </c>
      <c r="CZ9" s="66" t="s">
        <v>241</v>
      </c>
      <c r="DA9" s="66" t="s">
        <v>242</v>
      </c>
      <c r="DB9" s="65" t="str">
        <f t="shared" ref="DB9:DB37" si="36">IF(J9="","",J9)</f>
        <v>ME</v>
      </c>
      <c r="DC9" s="56">
        <v>2</v>
      </c>
      <c r="DD9" s="61">
        <v>88.1</v>
      </c>
      <c r="DE9" s="61">
        <v>104.4</v>
      </c>
      <c r="DF9" s="68">
        <f t="shared" ref="DF9:DF36" si="37">IF(DD10="","",IF(DE9="",IF(DD9=DD10,"",(DD9-DD10)),IF(DE9=DD10,"",(DE9-DD10))))</f>
        <v>15.400000000000006</v>
      </c>
      <c r="DG9" s="69">
        <f t="shared" ref="DG9:DG37" si="38">IF(DF9="","",(DF9*(0.785*92*92)*0.00812/1000))</f>
        <v>0.83084892352000028</v>
      </c>
      <c r="DH9" s="68">
        <f t="shared" ref="DH9:DH37" si="39">IF(DG9="","",(DG9*1000)/C9)</f>
        <v>5.4303851210457541</v>
      </c>
      <c r="DI9" s="62">
        <v>85</v>
      </c>
      <c r="DJ9" s="62">
        <v>54</v>
      </c>
      <c r="DK9" s="65" t="str">
        <f t="shared" ref="DK9:DK37" si="40">IF(J9="","",J9)</f>
        <v>ME</v>
      </c>
      <c r="DL9" s="56">
        <v>2</v>
      </c>
      <c r="DM9" s="63">
        <v>8.1199999999999992</v>
      </c>
      <c r="DN9" s="64">
        <v>2.7E-2</v>
      </c>
      <c r="DO9" s="64">
        <v>3.1E-2</v>
      </c>
      <c r="DP9" s="64">
        <v>7.1999999999999995E-2</v>
      </c>
      <c r="DQ9" s="63">
        <v>6.89</v>
      </c>
      <c r="DR9" s="61">
        <v>13.2</v>
      </c>
      <c r="DS9" s="64">
        <v>1.1619999999999999</v>
      </c>
      <c r="DT9" s="61">
        <v>86.6</v>
      </c>
      <c r="DU9" s="63">
        <v>4.21</v>
      </c>
      <c r="DV9" s="64">
        <v>0.67200000000000004</v>
      </c>
      <c r="DW9" s="64">
        <v>0.997</v>
      </c>
      <c r="DX9" s="66" t="s">
        <v>242</v>
      </c>
      <c r="DY9" s="65" t="str">
        <f t="shared" ref="DY9:DY37" si="41">IF(J9="","",J9)</f>
        <v>ME</v>
      </c>
      <c r="DZ9" s="128">
        <v>2</v>
      </c>
      <c r="EA9" s="173">
        <f t="shared" ref="EA9:EA37" si="42">IF(C9="","",C9/1496)</f>
        <v>0.10227272727272728</v>
      </c>
      <c r="EB9" s="173">
        <f t="shared" ref="EB9:EB37" si="43">IF(F9="","",IF(Q9="",F9/1360,(F9+Q9)/1360))</f>
        <v>0.13308823529411765</v>
      </c>
      <c r="EC9" s="173">
        <f t="shared" ref="EC9:EC37" si="44">IF(I9="","",IF(C9="","",I9/C9))</f>
        <v>0.83660130718954251</v>
      </c>
      <c r="ED9" s="63">
        <v>1.1000000000000001</v>
      </c>
      <c r="EE9" s="63">
        <v>1.2</v>
      </c>
      <c r="EF9" s="63">
        <v>0.04</v>
      </c>
      <c r="EG9" s="63">
        <v>0.05</v>
      </c>
      <c r="EH9" s="127" t="str">
        <f t="shared" si="6"/>
        <v>ME</v>
      </c>
      <c r="EI9" s="56">
        <v>2</v>
      </c>
      <c r="EJ9" s="334"/>
      <c r="EK9" s="334"/>
      <c r="EL9" s="334"/>
      <c r="EM9" s="334"/>
      <c r="EN9" s="334"/>
      <c r="EO9" s="334"/>
      <c r="EP9" s="334"/>
      <c r="EQ9" s="65" t="str">
        <f t="shared" ref="EQ9:EQ37" si="45">IF(J9="","",J9)</f>
        <v>ME</v>
      </c>
      <c r="ER9" s="20"/>
      <c r="ES9" s="20"/>
      <c r="ET9" s="20"/>
      <c r="EU9" s="20"/>
      <c r="EV9" s="20"/>
      <c r="EW9" s="20"/>
      <c r="EX9" s="20"/>
    </row>
    <row r="10" spans="1:154" s="3" customFormat="1" ht="17.149999999999999" customHeight="1" x14ac:dyDescent="0.25">
      <c r="A10" s="56">
        <v>3</v>
      </c>
      <c r="B10" s="57">
        <v>888401</v>
      </c>
      <c r="C10" s="58">
        <f t="shared" si="7"/>
        <v>197</v>
      </c>
      <c r="D10" s="167">
        <v>10.08</v>
      </c>
      <c r="E10" s="57">
        <v>792608</v>
      </c>
      <c r="F10" s="58">
        <f t="shared" si="8"/>
        <v>165</v>
      </c>
      <c r="G10" s="168">
        <v>2.14</v>
      </c>
      <c r="H10" s="57">
        <v>750750</v>
      </c>
      <c r="I10" s="58">
        <f t="shared" si="0"/>
        <v>131</v>
      </c>
      <c r="J10" s="60" t="s">
        <v>194</v>
      </c>
      <c r="K10" s="56">
        <v>3</v>
      </c>
      <c r="L10" s="57">
        <v>69577</v>
      </c>
      <c r="M10" s="58">
        <f t="shared" si="1"/>
        <v>49</v>
      </c>
      <c r="N10" s="57">
        <v>176552</v>
      </c>
      <c r="O10" s="58">
        <f t="shared" si="9"/>
        <v>40</v>
      </c>
      <c r="P10" s="57">
        <v>194749</v>
      </c>
      <c r="Q10" s="58" t="str">
        <f t="shared" si="2"/>
        <v/>
      </c>
      <c r="R10" s="57">
        <v>674</v>
      </c>
      <c r="S10" s="57">
        <v>682</v>
      </c>
      <c r="T10" s="170">
        <v>141</v>
      </c>
      <c r="U10" s="57">
        <v>138</v>
      </c>
      <c r="V10" s="58" t="str">
        <f t="shared" si="10"/>
        <v>ME</v>
      </c>
      <c r="W10" s="56">
        <v>3</v>
      </c>
      <c r="X10" s="63">
        <v>11725.9</v>
      </c>
      <c r="Y10" s="130">
        <f t="shared" si="11"/>
        <v>3.5900000000001455</v>
      </c>
      <c r="Z10" s="63">
        <v>12502.46</v>
      </c>
      <c r="AA10" s="130">
        <f t="shared" si="12"/>
        <v>2.3700000000008004</v>
      </c>
      <c r="AB10" s="63">
        <v>9862.93</v>
      </c>
      <c r="AC10" s="130">
        <f t="shared" si="13"/>
        <v>1.8899999999994179</v>
      </c>
      <c r="AD10" s="63">
        <v>9954.52</v>
      </c>
      <c r="AE10" s="130">
        <f t="shared" si="3"/>
        <v>1.5799999999999272</v>
      </c>
      <c r="AF10" s="125" t="str">
        <f t="shared" si="14"/>
        <v>ME</v>
      </c>
      <c r="AG10" s="56">
        <v>3</v>
      </c>
      <c r="AH10" s="63">
        <v>46887.12</v>
      </c>
      <c r="AI10" s="130">
        <f t="shared" si="15"/>
        <v>6.4499999999970896</v>
      </c>
      <c r="AJ10" s="63">
        <v>49021.2</v>
      </c>
      <c r="AK10" s="130">
        <f t="shared" si="16"/>
        <v>13.30000000000291</v>
      </c>
      <c r="AL10" s="63">
        <v>586.99</v>
      </c>
      <c r="AM10" s="130" t="str">
        <f t="shared" si="17"/>
        <v/>
      </c>
      <c r="AN10" s="63">
        <v>548.5</v>
      </c>
      <c r="AO10" s="130">
        <f t="shared" si="4"/>
        <v>7.0000000000050022E-2</v>
      </c>
      <c r="AP10" s="125" t="str">
        <f t="shared" si="18"/>
        <v>ME</v>
      </c>
      <c r="AQ10" s="56">
        <v>3</v>
      </c>
      <c r="AR10" s="63">
        <v>6754.45</v>
      </c>
      <c r="AS10" s="130">
        <f t="shared" si="19"/>
        <v>1.3200000000006185</v>
      </c>
      <c r="AT10" s="63">
        <v>7495.03</v>
      </c>
      <c r="AU10" s="130">
        <f t="shared" si="20"/>
        <v>1.4600000000000364</v>
      </c>
      <c r="AV10" s="63">
        <v>255.12</v>
      </c>
      <c r="AW10" s="130" t="str">
        <f t="shared" si="21"/>
        <v/>
      </c>
      <c r="AX10" s="63">
        <v>242.8</v>
      </c>
      <c r="AY10" s="130">
        <f t="shared" si="5"/>
        <v>0.33999999999997499</v>
      </c>
      <c r="AZ10" s="125" t="str">
        <f t="shared" si="22"/>
        <v>ME</v>
      </c>
      <c r="BA10" s="56">
        <v>3</v>
      </c>
      <c r="BB10" s="64">
        <v>1.05</v>
      </c>
      <c r="BC10" s="62">
        <v>20</v>
      </c>
      <c r="BD10" s="61">
        <v>6.9</v>
      </c>
      <c r="BE10" s="61">
        <v>12.5</v>
      </c>
      <c r="BF10" s="61">
        <v>15.9</v>
      </c>
      <c r="BG10" s="61">
        <v>6.9</v>
      </c>
      <c r="BH10" s="64">
        <v>0.17899999999999999</v>
      </c>
      <c r="BI10" s="64">
        <v>0.187</v>
      </c>
      <c r="BJ10" s="64">
        <v>4.9000000000000002E-2</v>
      </c>
      <c r="BK10" s="64">
        <v>5.0999999999999997E-2</v>
      </c>
      <c r="BL10" s="64">
        <v>5.7000000000000002E-2</v>
      </c>
      <c r="BM10" s="64">
        <v>6.6000000000000003E-2</v>
      </c>
      <c r="BN10" s="65" t="str">
        <f t="shared" si="23"/>
        <v>ME</v>
      </c>
      <c r="BO10" s="56">
        <v>3</v>
      </c>
      <c r="BP10" s="64">
        <v>8.7999999999999995E-2</v>
      </c>
      <c r="BQ10" s="62">
        <v>0</v>
      </c>
      <c r="BR10" s="61">
        <v>7.1</v>
      </c>
      <c r="BS10" s="61">
        <v>13.2</v>
      </c>
      <c r="BT10" s="61">
        <v>17.8</v>
      </c>
      <c r="BU10" s="64">
        <v>1.4E-2</v>
      </c>
      <c r="BV10" s="63">
        <v>1.07</v>
      </c>
      <c r="BW10" s="63">
        <v>0.93</v>
      </c>
      <c r="BX10" s="66" t="s">
        <v>248</v>
      </c>
      <c r="BY10" s="172" t="s">
        <v>361</v>
      </c>
      <c r="BZ10" s="67" t="str">
        <f t="shared" si="24"/>
        <v>ME</v>
      </c>
      <c r="CA10" s="56">
        <v>3</v>
      </c>
      <c r="CB10" s="61">
        <v>95.8</v>
      </c>
      <c r="CC10" s="61"/>
      <c r="CD10" s="68">
        <f t="shared" si="25"/>
        <v>1.5</v>
      </c>
      <c r="CE10" s="69">
        <f t="shared" si="26"/>
        <v>6.9813975000000008</v>
      </c>
      <c r="CF10" s="69">
        <f t="shared" si="27"/>
        <v>6.395173282442749</v>
      </c>
      <c r="CG10" s="62">
        <v>73</v>
      </c>
      <c r="CH10" s="62">
        <v>100</v>
      </c>
      <c r="CI10" s="65" t="str">
        <f t="shared" si="28"/>
        <v>ME</v>
      </c>
      <c r="CJ10" s="56">
        <v>3</v>
      </c>
      <c r="CK10" s="61">
        <v>94.6</v>
      </c>
      <c r="CL10" s="61"/>
      <c r="CM10" s="68">
        <f t="shared" si="29"/>
        <v>2.2999999999999972</v>
      </c>
      <c r="CN10" s="68">
        <f t="shared" si="30"/>
        <v>10.704809499999987</v>
      </c>
      <c r="CO10" s="68">
        <f t="shared" si="31"/>
        <v>21.607956840989822</v>
      </c>
      <c r="CP10" s="62">
        <v>54</v>
      </c>
      <c r="CQ10" s="62">
        <v>83</v>
      </c>
      <c r="CR10" s="65" t="str">
        <f t="shared" si="32"/>
        <v>ME</v>
      </c>
      <c r="CS10" s="56">
        <v>3</v>
      </c>
      <c r="CT10" s="61">
        <v>97.9</v>
      </c>
      <c r="CU10" s="61"/>
      <c r="CV10" s="68">
        <f t="shared" si="33"/>
        <v>1.9000000000000057</v>
      </c>
      <c r="CW10" s="68">
        <f t="shared" si="34"/>
        <v>12.624056000000037</v>
      </c>
      <c r="CX10" s="69">
        <f t="shared" si="35"/>
        <v>6.4081502538071253E-2</v>
      </c>
      <c r="CY10" s="66" t="s">
        <v>251</v>
      </c>
      <c r="CZ10" s="66" t="s">
        <v>241</v>
      </c>
      <c r="DA10" s="66"/>
      <c r="DB10" s="65" t="str">
        <f t="shared" si="36"/>
        <v>ME</v>
      </c>
      <c r="DC10" s="56">
        <v>3</v>
      </c>
      <c r="DD10" s="61">
        <v>89</v>
      </c>
      <c r="DE10" s="61">
        <v>104.4</v>
      </c>
      <c r="DF10" s="68">
        <f t="shared" si="37"/>
        <v>20.200000000000003</v>
      </c>
      <c r="DG10" s="69">
        <f t="shared" si="38"/>
        <v>1.0898148217600001</v>
      </c>
      <c r="DH10" s="68">
        <f t="shared" si="39"/>
        <v>5.5320549327918789</v>
      </c>
      <c r="DI10" s="62">
        <v>90</v>
      </c>
      <c r="DJ10" s="62">
        <v>54</v>
      </c>
      <c r="DK10" s="65" t="str">
        <f t="shared" si="40"/>
        <v>ME</v>
      </c>
      <c r="DL10" s="56">
        <v>3</v>
      </c>
      <c r="DM10" s="63">
        <v>8.1</v>
      </c>
      <c r="DN10" s="64">
        <v>2.5999999999999999E-2</v>
      </c>
      <c r="DO10" s="64">
        <v>0.03</v>
      </c>
      <c r="DP10" s="64">
        <v>7.0000000000000007E-2</v>
      </c>
      <c r="DQ10" s="63">
        <v>6.89</v>
      </c>
      <c r="DR10" s="61">
        <v>13.2</v>
      </c>
      <c r="DS10" s="64">
        <v>1.19</v>
      </c>
      <c r="DT10" s="61">
        <v>85.4</v>
      </c>
      <c r="DU10" s="63">
        <v>4.1900000000000004</v>
      </c>
      <c r="DV10" s="64">
        <v>0.68500000000000005</v>
      </c>
      <c r="DW10" s="64">
        <v>0.81899999999999995</v>
      </c>
      <c r="DX10" s="66" t="s">
        <v>242</v>
      </c>
      <c r="DY10" s="65" t="str">
        <f t="shared" si="41"/>
        <v>ME</v>
      </c>
      <c r="DZ10" s="128">
        <v>3</v>
      </c>
      <c r="EA10" s="173">
        <f t="shared" si="42"/>
        <v>0.13168449197860962</v>
      </c>
      <c r="EB10" s="173">
        <f t="shared" si="43"/>
        <v>0.12132352941176471</v>
      </c>
      <c r="EC10" s="173">
        <f t="shared" si="44"/>
        <v>0.6649746192893401</v>
      </c>
      <c r="ED10" s="63">
        <v>0.85</v>
      </c>
      <c r="EE10" s="63">
        <v>1.23</v>
      </c>
      <c r="EF10" s="63">
        <v>0.04</v>
      </c>
      <c r="EG10" s="63">
        <v>0.05</v>
      </c>
      <c r="EH10" s="127" t="str">
        <f t="shared" si="6"/>
        <v>ME</v>
      </c>
      <c r="EI10" s="56">
        <v>3</v>
      </c>
      <c r="EJ10" s="334"/>
      <c r="EK10" s="334"/>
      <c r="EL10" s="334"/>
      <c r="EM10" s="334"/>
      <c r="EN10" s="334"/>
      <c r="EO10" s="334"/>
      <c r="EP10" s="334"/>
      <c r="EQ10" s="65" t="str">
        <f t="shared" si="45"/>
        <v>ME</v>
      </c>
      <c r="ER10" s="20"/>
      <c r="ES10" s="20"/>
      <c r="ET10" s="20"/>
      <c r="EU10" s="20"/>
      <c r="EV10" s="20"/>
      <c r="EW10" s="20"/>
      <c r="EX10" s="20"/>
    </row>
    <row r="11" spans="1:154" s="3" customFormat="1" ht="17.149999999999999" customHeight="1" x14ac:dyDescent="0.25">
      <c r="A11" s="56">
        <v>4</v>
      </c>
      <c r="B11" s="57">
        <v>888598</v>
      </c>
      <c r="C11" s="58">
        <f t="shared" si="7"/>
        <v>232</v>
      </c>
      <c r="D11" s="167">
        <v>9.32</v>
      </c>
      <c r="E11" s="57">
        <v>792773</v>
      </c>
      <c r="F11" s="58">
        <f t="shared" si="8"/>
        <v>195</v>
      </c>
      <c r="G11" s="168">
        <v>2.69</v>
      </c>
      <c r="H11" s="57">
        <v>750881</v>
      </c>
      <c r="I11" s="58">
        <f t="shared" si="0"/>
        <v>203</v>
      </c>
      <c r="J11" s="60" t="s">
        <v>194</v>
      </c>
      <c r="K11" s="56">
        <v>4</v>
      </c>
      <c r="L11" s="57">
        <v>69626</v>
      </c>
      <c r="M11" s="58" t="str">
        <f t="shared" si="1"/>
        <v/>
      </c>
      <c r="N11" s="57">
        <v>176592</v>
      </c>
      <c r="O11" s="58">
        <f t="shared" si="9"/>
        <v>48</v>
      </c>
      <c r="P11" s="57">
        <v>194749</v>
      </c>
      <c r="Q11" s="169" t="str">
        <f t="shared" si="2"/>
        <v/>
      </c>
      <c r="R11" s="57">
        <v>675</v>
      </c>
      <c r="S11" s="57">
        <v>682</v>
      </c>
      <c r="T11" s="57">
        <v>141</v>
      </c>
      <c r="U11" s="57">
        <v>138</v>
      </c>
      <c r="V11" s="58" t="str">
        <f t="shared" si="10"/>
        <v>ME</v>
      </c>
      <c r="W11" s="56">
        <v>4</v>
      </c>
      <c r="X11" s="63">
        <v>11729.49</v>
      </c>
      <c r="Y11" s="130">
        <f t="shared" si="11"/>
        <v>4.3400000000001455</v>
      </c>
      <c r="Z11" s="63">
        <v>12504.83</v>
      </c>
      <c r="AA11" s="130">
        <f t="shared" si="12"/>
        <v>2.5300000000006548</v>
      </c>
      <c r="AB11" s="63">
        <v>9864.82</v>
      </c>
      <c r="AC11" s="130">
        <f t="shared" si="13"/>
        <v>2.0300000000006548</v>
      </c>
      <c r="AD11" s="63">
        <v>9956.1</v>
      </c>
      <c r="AE11" s="130">
        <f t="shared" si="3"/>
        <v>3.3799999999991996</v>
      </c>
      <c r="AF11" s="125" t="str">
        <f t="shared" si="14"/>
        <v>ME</v>
      </c>
      <c r="AG11" s="56">
        <v>4</v>
      </c>
      <c r="AH11" s="63">
        <v>46893.57</v>
      </c>
      <c r="AI11" s="130">
        <f t="shared" si="15"/>
        <v>17.559999999997672</v>
      </c>
      <c r="AJ11" s="63">
        <v>49034.5</v>
      </c>
      <c r="AK11" s="130">
        <f t="shared" si="16"/>
        <v>6.6500000000014552</v>
      </c>
      <c r="AL11" s="63">
        <v>586.99</v>
      </c>
      <c r="AM11" s="130" t="str">
        <f t="shared" si="17"/>
        <v/>
      </c>
      <c r="AN11" s="63">
        <v>548.57000000000005</v>
      </c>
      <c r="AO11" s="130" t="str">
        <f t="shared" si="4"/>
        <v/>
      </c>
      <c r="AP11" s="125" t="str">
        <f t="shared" si="18"/>
        <v>ME</v>
      </c>
      <c r="AQ11" s="56">
        <v>4</v>
      </c>
      <c r="AR11" s="63">
        <v>6755.77</v>
      </c>
      <c r="AS11" s="130">
        <f t="shared" si="19"/>
        <v>1.5399999999999636</v>
      </c>
      <c r="AT11" s="63">
        <v>7496.49</v>
      </c>
      <c r="AU11" s="130">
        <f t="shared" si="20"/>
        <v>2.1400000000003274</v>
      </c>
      <c r="AV11" s="63">
        <v>255.12</v>
      </c>
      <c r="AW11" s="130" t="str">
        <f t="shared" si="21"/>
        <v/>
      </c>
      <c r="AX11" s="63">
        <v>243.14</v>
      </c>
      <c r="AY11" s="130" t="str">
        <f t="shared" si="5"/>
        <v/>
      </c>
      <c r="AZ11" s="125" t="str">
        <f t="shared" si="22"/>
        <v>ME</v>
      </c>
      <c r="BA11" s="56">
        <v>4</v>
      </c>
      <c r="BB11" s="64"/>
      <c r="BC11" s="62"/>
      <c r="BD11" s="61"/>
      <c r="BE11" s="61"/>
      <c r="BF11" s="61"/>
      <c r="BG11" s="61"/>
      <c r="BH11" s="64"/>
      <c r="BI11" s="64"/>
      <c r="BJ11" s="64"/>
      <c r="BK11" s="64"/>
      <c r="BL11" s="64"/>
      <c r="BM11" s="64"/>
      <c r="BN11" s="65" t="str">
        <f t="shared" si="23"/>
        <v>ME</v>
      </c>
      <c r="BO11" s="56">
        <v>4</v>
      </c>
      <c r="BP11" s="64">
        <v>9.4E-2</v>
      </c>
      <c r="BQ11" s="62"/>
      <c r="BR11" s="61"/>
      <c r="BS11" s="61"/>
      <c r="BT11" s="61"/>
      <c r="BU11" s="64"/>
      <c r="BV11" s="63">
        <v>1.1399999999999999</v>
      </c>
      <c r="BW11" s="63">
        <v>0.87</v>
      </c>
      <c r="BX11" s="66" t="s">
        <v>343</v>
      </c>
      <c r="BY11" s="172" t="s">
        <v>361</v>
      </c>
      <c r="BZ11" s="67" t="str">
        <f t="shared" si="24"/>
        <v>ME</v>
      </c>
      <c r="CA11" s="56">
        <v>4</v>
      </c>
      <c r="CB11" s="61">
        <v>94.3</v>
      </c>
      <c r="CC11" s="61"/>
      <c r="CD11" s="68">
        <f t="shared" si="25"/>
        <v>1.7000000000000028</v>
      </c>
      <c r="CE11" s="69">
        <f t="shared" si="26"/>
        <v>7.9122505000000141</v>
      </c>
      <c r="CF11" s="69">
        <f t="shared" si="27"/>
        <v>4.6771924137931116</v>
      </c>
      <c r="CG11" s="62">
        <v>73</v>
      </c>
      <c r="CH11" s="62">
        <v>100</v>
      </c>
      <c r="CI11" s="65" t="str">
        <f t="shared" si="28"/>
        <v>ME</v>
      </c>
      <c r="CJ11" s="56">
        <v>4</v>
      </c>
      <c r="CK11" s="61">
        <v>92.3</v>
      </c>
      <c r="CL11" s="61"/>
      <c r="CM11" s="68">
        <f t="shared" si="29"/>
        <v>3.2000000000000028</v>
      </c>
      <c r="CN11" s="68">
        <f t="shared" si="30"/>
        <v>14.893648000000013</v>
      </c>
      <c r="CO11" s="68">
        <f t="shared" si="31"/>
        <v>25.527841065517269</v>
      </c>
      <c r="CP11" s="62">
        <v>53</v>
      </c>
      <c r="CQ11" s="62">
        <v>83</v>
      </c>
      <c r="CR11" s="65" t="str">
        <f t="shared" si="32"/>
        <v>ME</v>
      </c>
      <c r="CS11" s="56">
        <v>4</v>
      </c>
      <c r="CT11" s="61">
        <v>96</v>
      </c>
      <c r="CU11" s="61"/>
      <c r="CV11" s="68">
        <f t="shared" si="33"/>
        <v>2.5</v>
      </c>
      <c r="CW11" s="68">
        <f t="shared" si="34"/>
        <v>16.610599999999998</v>
      </c>
      <c r="CX11" s="69">
        <f t="shared" si="35"/>
        <v>7.1597413793103443E-2</v>
      </c>
      <c r="CY11" s="66" t="s">
        <v>240</v>
      </c>
      <c r="CZ11" s="66" t="s">
        <v>241</v>
      </c>
      <c r="DA11" s="66"/>
      <c r="DB11" s="65" t="str">
        <f t="shared" si="36"/>
        <v>ME</v>
      </c>
      <c r="DC11" s="56">
        <v>4</v>
      </c>
      <c r="DD11" s="61">
        <v>84.2</v>
      </c>
      <c r="DE11" s="61">
        <v>104.2</v>
      </c>
      <c r="DF11" s="68">
        <f t="shared" si="37"/>
        <v>23</v>
      </c>
      <c r="DG11" s="69">
        <f t="shared" si="38"/>
        <v>1.2408782624000001</v>
      </c>
      <c r="DH11" s="68">
        <f t="shared" si="39"/>
        <v>5.3486132</v>
      </c>
      <c r="DI11" s="62">
        <v>90</v>
      </c>
      <c r="DJ11" s="62">
        <v>54</v>
      </c>
      <c r="DK11" s="65" t="str">
        <f t="shared" si="40"/>
        <v>ME</v>
      </c>
      <c r="DL11" s="56">
        <v>4</v>
      </c>
      <c r="DM11" s="63">
        <v>8.1199999999999992</v>
      </c>
      <c r="DN11" s="64">
        <v>3.4000000000000002E-2</v>
      </c>
      <c r="DO11" s="64">
        <v>3.1E-2</v>
      </c>
      <c r="DP11" s="64">
        <v>7.6999999999999999E-2</v>
      </c>
      <c r="DQ11" s="63">
        <v>6.89</v>
      </c>
      <c r="DR11" s="61">
        <v>13.3</v>
      </c>
      <c r="DS11" s="64">
        <v>1.21</v>
      </c>
      <c r="DT11" s="61">
        <v>85.5</v>
      </c>
      <c r="DU11" s="63">
        <v>4.21</v>
      </c>
      <c r="DV11" s="64">
        <v>1.762</v>
      </c>
      <c r="DW11" s="64">
        <v>2.31</v>
      </c>
      <c r="DX11" s="66" t="s">
        <v>242</v>
      </c>
      <c r="DY11" s="65" t="str">
        <f t="shared" si="41"/>
        <v>ME</v>
      </c>
      <c r="DZ11" s="128">
        <v>4</v>
      </c>
      <c r="EA11" s="173">
        <f t="shared" si="42"/>
        <v>0.15508021390374332</v>
      </c>
      <c r="EB11" s="173">
        <f t="shared" si="43"/>
        <v>0.14338235294117646</v>
      </c>
      <c r="EC11" s="173">
        <f t="shared" si="44"/>
        <v>0.875</v>
      </c>
      <c r="ED11" s="63">
        <v>1.1299999999999999</v>
      </c>
      <c r="EE11" s="63">
        <v>1.28</v>
      </c>
      <c r="EF11" s="63">
        <v>0.05</v>
      </c>
      <c r="EG11" s="63">
        <v>0.03</v>
      </c>
      <c r="EH11" s="127" t="str">
        <f t="shared" si="6"/>
        <v>ME</v>
      </c>
      <c r="EI11" s="56">
        <v>4</v>
      </c>
      <c r="EJ11" s="334"/>
      <c r="EK11" s="334"/>
      <c r="EL11" s="334"/>
      <c r="EM11" s="334"/>
      <c r="EN11" s="334"/>
      <c r="EO11" s="334"/>
      <c r="EP11" s="334"/>
      <c r="EQ11" s="65" t="str">
        <f t="shared" si="45"/>
        <v>ME</v>
      </c>
      <c r="ER11" s="20"/>
      <c r="ES11" s="20"/>
      <c r="ET11" s="20"/>
      <c r="EU11" s="20"/>
      <c r="EV11" s="20"/>
      <c r="EW11" s="20"/>
      <c r="EX11" s="20"/>
    </row>
    <row r="12" spans="1:154" s="3" customFormat="1" ht="17.149999999999999" customHeight="1" x14ac:dyDescent="0.25">
      <c r="A12" s="56">
        <v>5</v>
      </c>
      <c r="B12" s="57">
        <v>888830</v>
      </c>
      <c r="C12" s="58">
        <f t="shared" si="7"/>
        <v>152</v>
      </c>
      <c r="D12" s="167">
        <v>9.41</v>
      </c>
      <c r="E12" s="57">
        <v>792968</v>
      </c>
      <c r="F12" s="58">
        <f t="shared" si="8"/>
        <v>227</v>
      </c>
      <c r="G12" s="168">
        <v>1.32</v>
      </c>
      <c r="H12" s="57">
        <v>751084</v>
      </c>
      <c r="I12" s="58">
        <f t="shared" si="0"/>
        <v>128</v>
      </c>
      <c r="J12" s="60" t="s">
        <v>194</v>
      </c>
      <c r="K12" s="56">
        <v>5</v>
      </c>
      <c r="L12" s="57">
        <v>69626</v>
      </c>
      <c r="M12" s="58" t="str">
        <f t="shared" si="1"/>
        <v/>
      </c>
      <c r="N12" s="57">
        <v>176640</v>
      </c>
      <c r="O12" s="58">
        <f t="shared" si="9"/>
        <v>52</v>
      </c>
      <c r="P12" s="57">
        <v>194749</v>
      </c>
      <c r="Q12" s="169" t="str">
        <f t="shared" si="2"/>
        <v/>
      </c>
      <c r="R12" s="57">
        <v>675</v>
      </c>
      <c r="S12" s="57">
        <v>682</v>
      </c>
      <c r="T12" s="57">
        <v>141</v>
      </c>
      <c r="U12" s="57">
        <v>138</v>
      </c>
      <c r="V12" s="58" t="str">
        <f t="shared" si="10"/>
        <v>ME</v>
      </c>
      <c r="W12" s="56">
        <v>5</v>
      </c>
      <c r="X12" s="63">
        <v>11733.83</v>
      </c>
      <c r="Y12" s="130">
        <f t="shared" si="11"/>
        <v>2.0599999999994907</v>
      </c>
      <c r="Z12" s="63">
        <v>12507.36</v>
      </c>
      <c r="AA12" s="130">
        <f t="shared" si="12"/>
        <v>2.3699999999989814</v>
      </c>
      <c r="AB12" s="63">
        <v>9866.85</v>
      </c>
      <c r="AC12" s="130">
        <f t="shared" si="13"/>
        <v>1.8099999999994907</v>
      </c>
      <c r="AD12" s="63">
        <v>9959.48</v>
      </c>
      <c r="AE12" s="130">
        <f t="shared" si="3"/>
        <v>1.5900000000001455</v>
      </c>
      <c r="AF12" s="125" t="str">
        <f t="shared" si="14"/>
        <v>ME</v>
      </c>
      <c r="AG12" s="56">
        <v>5</v>
      </c>
      <c r="AH12" s="63">
        <v>46911.13</v>
      </c>
      <c r="AI12" s="130">
        <f t="shared" si="15"/>
        <v>11.860000000000582</v>
      </c>
      <c r="AJ12" s="63">
        <v>49041.15</v>
      </c>
      <c r="AK12" s="130">
        <f t="shared" si="16"/>
        <v>17.360000000000582</v>
      </c>
      <c r="AL12" s="63">
        <v>586.99</v>
      </c>
      <c r="AM12" s="130" t="str">
        <f t="shared" si="17"/>
        <v/>
      </c>
      <c r="AN12" s="63">
        <v>548.57000000000005</v>
      </c>
      <c r="AO12" s="130" t="str">
        <f t="shared" si="4"/>
        <v/>
      </c>
      <c r="AP12" s="125" t="str">
        <f t="shared" si="18"/>
        <v>ME</v>
      </c>
      <c r="AQ12" s="56">
        <v>5</v>
      </c>
      <c r="AR12" s="63">
        <v>6757.31</v>
      </c>
      <c r="AS12" s="130">
        <f t="shared" si="19"/>
        <v>1.9099999999998545</v>
      </c>
      <c r="AT12" s="63">
        <v>7498.63</v>
      </c>
      <c r="AU12" s="130">
        <f t="shared" si="20"/>
        <v>2.9399999999995998</v>
      </c>
      <c r="AV12" s="63">
        <v>255.12</v>
      </c>
      <c r="AW12" s="130" t="str">
        <f t="shared" si="21"/>
        <v/>
      </c>
      <c r="AX12" s="63">
        <v>243.14</v>
      </c>
      <c r="AY12" s="130" t="str">
        <f t="shared" si="5"/>
        <v/>
      </c>
      <c r="AZ12" s="125" t="str">
        <f t="shared" si="22"/>
        <v>ME</v>
      </c>
      <c r="BA12" s="56">
        <v>5</v>
      </c>
      <c r="BB12" s="64"/>
      <c r="BC12" s="62"/>
      <c r="BD12" s="61"/>
      <c r="BE12" s="61"/>
      <c r="BF12" s="61"/>
      <c r="BG12" s="61"/>
      <c r="BH12" s="64"/>
      <c r="BI12" s="64"/>
      <c r="BJ12" s="64"/>
      <c r="BK12" s="64"/>
      <c r="BL12" s="64"/>
      <c r="BM12" s="64"/>
      <c r="BN12" s="65" t="str">
        <f t="shared" si="23"/>
        <v>ME</v>
      </c>
      <c r="BO12" s="56">
        <v>5</v>
      </c>
      <c r="BP12" s="64">
        <v>8.5999999999999993E-2</v>
      </c>
      <c r="BQ12" s="62"/>
      <c r="BR12" s="61"/>
      <c r="BS12" s="61"/>
      <c r="BT12" s="61"/>
      <c r="BU12" s="64"/>
      <c r="BV12" s="63" t="s">
        <v>364</v>
      </c>
      <c r="BW12" s="63">
        <v>1.02</v>
      </c>
      <c r="BX12" s="66" t="s">
        <v>365</v>
      </c>
      <c r="BY12" s="172" t="s">
        <v>361</v>
      </c>
      <c r="BZ12" s="67" t="str">
        <f t="shared" si="24"/>
        <v>ME</v>
      </c>
      <c r="CA12" s="56">
        <v>5</v>
      </c>
      <c r="CB12" s="61">
        <v>92.6</v>
      </c>
      <c r="CC12" s="61"/>
      <c r="CD12" s="68">
        <f t="shared" si="25"/>
        <v>1.1999999999999886</v>
      </c>
      <c r="CE12" s="69">
        <f t="shared" si="26"/>
        <v>5.5851179999999481</v>
      </c>
      <c r="CF12" s="69">
        <f t="shared" si="27"/>
        <v>5.2360481249999511</v>
      </c>
      <c r="CG12" s="62">
        <v>72</v>
      </c>
      <c r="CH12" s="62">
        <v>100</v>
      </c>
      <c r="CI12" s="65" t="str">
        <f t="shared" si="28"/>
        <v>ME</v>
      </c>
      <c r="CJ12" s="56">
        <v>5</v>
      </c>
      <c r="CK12" s="61">
        <v>89.1</v>
      </c>
      <c r="CL12" s="61"/>
      <c r="CM12" s="68">
        <f t="shared" si="29"/>
        <v>2</v>
      </c>
      <c r="CN12" s="68">
        <f t="shared" si="30"/>
        <v>9.3085300000000011</v>
      </c>
      <c r="CO12" s="68">
        <f t="shared" si="31"/>
        <v>24.352216805921056</v>
      </c>
      <c r="CP12" s="62">
        <v>53</v>
      </c>
      <c r="CQ12" s="62">
        <v>83</v>
      </c>
      <c r="CR12" s="65" t="str">
        <f t="shared" si="32"/>
        <v>ME</v>
      </c>
      <c r="CS12" s="56">
        <v>5</v>
      </c>
      <c r="CT12" s="61">
        <v>93.5</v>
      </c>
      <c r="CU12" s="61"/>
      <c r="CV12" s="68">
        <f t="shared" si="33"/>
        <v>1.5999999999999943</v>
      </c>
      <c r="CW12" s="68">
        <f t="shared" si="34"/>
        <v>10.630783999999961</v>
      </c>
      <c r="CX12" s="69">
        <f t="shared" si="35"/>
        <v>6.9939368421052375E-2</v>
      </c>
      <c r="CY12" s="66" t="s">
        <v>240</v>
      </c>
      <c r="CZ12" s="66" t="s">
        <v>241</v>
      </c>
      <c r="DA12" s="66"/>
      <c r="DB12" s="65" t="str">
        <f t="shared" si="36"/>
        <v>ME</v>
      </c>
      <c r="DC12" s="56">
        <v>5</v>
      </c>
      <c r="DD12" s="61">
        <v>81.2</v>
      </c>
      <c r="DE12" s="61">
        <v>105.6</v>
      </c>
      <c r="DF12" s="68">
        <f t="shared" si="37"/>
        <v>14.899999999999991</v>
      </c>
      <c r="DG12" s="69">
        <f t="shared" si="38"/>
        <v>0.80387330911999944</v>
      </c>
      <c r="DH12" s="68">
        <f t="shared" si="39"/>
        <v>5.2886401915789438</v>
      </c>
      <c r="DI12" s="62">
        <v>90</v>
      </c>
      <c r="DJ12" s="62">
        <v>54</v>
      </c>
      <c r="DK12" s="65" t="str">
        <f t="shared" si="40"/>
        <v>ME</v>
      </c>
      <c r="DL12" s="56">
        <v>5</v>
      </c>
      <c r="DM12" s="63">
        <v>8.1</v>
      </c>
      <c r="DN12" s="64">
        <v>2.8000000000000001E-2</v>
      </c>
      <c r="DO12" s="64">
        <v>2.9000000000000001E-2</v>
      </c>
      <c r="DP12" s="64">
        <v>7.0000000000000007E-2</v>
      </c>
      <c r="DQ12" s="63">
        <v>6.88</v>
      </c>
      <c r="DR12" s="61">
        <v>13.4</v>
      </c>
      <c r="DS12" s="64">
        <v>1.2549999999999999</v>
      </c>
      <c r="DT12" s="61">
        <v>84.8</v>
      </c>
      <c r="DU12" s="63">
        <v>4.3600000000000003</v>
      </c>
      <c r="DV12" s="64">
        <v>1.3120000000000001</v>
      </c>
      <c r="DW12" s="64">
        <v>1.02</v>
      </c>
      <c r="DX12" s="66" t="s">
        <v>242</v>
      </c>
      <c r="DY12" s="65" t="str">
        <f t="shared" si="41"/>
        <v>ME</v>
      </c>
      <c r="DZ12" s="128">
        <v>5</v>
      </c>
      <c r="EA12" s="173">
        <f t="shared" si="42"/>
        <v>0.10160427807486631</v>
      </c>
      <c r="EB12" s="173">
        <f t="shared" si="43"/>
        <v>0.16691176470588234</v>
      </c>
      <c r="EC12" s="173">
        <f t="shared" si="44"/>
        <v>0.84210526315789469</v>
      </c>
      <c r="ED12" s="63">
        <v>1.23</v>
      </c>
      <c r="EE12" s="63">
        <v>1.29</v>
      </c>
      <c r="EF12" s="63">
        <v>0.05</v>
      </c>
      <c r="EG12" s="63">
        <v>0.05</v>
      </c>
      <c r="EH12" s="127" t="str">
        <f t="shared" si="6"/>
        <v>ME</v>
      </c>
      <c r="EI12" s="56">
        <v>5</v>
      </c>
      <c r="EJ12" s="334" t="s">
        <v>366</v>
      </c>
      <c r="EK12" s="334"/>
      <c r="EL12" s="334"/>
      <c r="EM12" s="334"/>
      <c r="EN12" s="334"/>
      <c r="EO12" s="334"/>
      <c r="EP12" s="334"/>
      <c r="EQ12" s="65" t="str">
        <f t="shared" si="45"/>
        <v>ME</v>
      </c>
      <c r="ER12" s="20"/>
      <c r="ES12" s="20"/>
      <c r="ET12" s="20"/>
      <c r="EU12" s="20"/>
      <c r="EV12" s="20"/>
      <c r="EW12" s="20"/>
      <c r="EX12" s="20"/>
    </row>
    <row r="13" spans="1:154" s="3" customFormat="1" ht="17.149999999999999" customHeight="1" x14ac:dyDescent="0.25">
      <c r="A13" s="56">
        <v>6</v>
      </c>
      <c r="B13" s="57">
        <v>888982</v>
      </c>
      <c r="C13" s="58">
        <f t="shared" si="7"/>
        <v>142</v>
      </c>
      <c r="D13" s="167">
        <v>9.67</v>
      </c>
      <c r="E13" s="57">
        <v>793195</v>
      </c>
      <c r="F13" s="58">
        <f t="shared" si="8"/>
        <v>163</v>
      </c>
      <c r="G13" s="168">
        <v>1.87</v>
      </c>
      <c r="H13" s="57">
        <v>751212</v>
      </c>
      <c r="I13" s="58">
        <f t="shared" si="0"/>
        <v>122</v>
      </c>
      <c r="J13" s="60" t="s">
        <v>194</v>
      </c>
      <c r="K13" s="56">
        <v>6</v>
      </c>
      <c r="L13" s="57">
        <v>69626</v>
      </c>
      <c r="M13" s="58" t="str">
        <f t="shared" si="1"/>
        <v/>
      </c>
      <c r="N13" s="57">
        <v>176692</v>
      </c>
      <c r="O13" s="58">
        <f t="shared" si="9"/>
        <v>28</v>
      </c>
      <c r="P13" s="57">
        <v>194749</v>
      </c>
      <c r="Q13" s="169" t="str">
        <f t="shared" si="2"/>
        <v/>
      </c>
      <c r="R13" s="57">
        <v>675</v>
      </c>
      <c r="S13" s="57">
        <v>682</v>
      </c>
      <c r="T13" s="57">
        <v>141</v>
      </c>
      <c r="U13" s="57">
        <v>138</v>
      </c>
      <c r="V13" s="58" t="str">
        <f t="shared" si="10"/>
        <v>ME</v>
      </c>
      <c r="W13" s="56">
        <v>6</v>
      </c>
      <c r="X13" s="63">
        <v>11735.89</v>
      </c>
      <c r="Y13" s="130">
        <f t="shared" si="11"/>
        <v>2.1000000000003638</v>
      </c>
      <c r="Z13" s="63">
        <v>12509.73</v>
      </c>
      <c r="AA13" s="130">
        <f t="shared" si="12"/>
        <v>2.0600000000013097</v>
      </c>
      <c r="AB13" s="63">
        <v>9868.66</v>
      </c>
      <c r="AC13" s="130">
        <f t="shared" si="13"/>
        <v>1.5900000000001455</v>
      </c>
      <c r="AD13" s="63">
        <v>9961.07</v>
      </c>
      <c r="AE13" s="130">
        <f t="shared" si="3"/>
        <v>1.6499999999996362</v>
      </c>
      <c r="AF13" s="125" t="str">
        <f t="shared" si="14"/>
        <v>ME</v>
      </c>
      <c r="AG13" s="56">
        <v>6</v>
      </c>
      <c r="AH13" s="63">
        <v>46922.99</v>
      </c>
      <c r="AI13" s="130">
        <f t="shared" si="15"/>
        <v>12.150000000001455</v>
      </c>
      <c r="AJ13" s="63">
        <v>49058.51</v>
      </c>
      <c r="AK13" s="130">
        <f t="shared" si="16"/>
        <v>10.599999999998545</v>
      </c>
      <c r="AL13" s="63">
        <v>586.99</v>
      </c>
      <c r="AM13" s="130" t="str">
        <f t="shared" si="17"/>
        <v/>
      </c>
      <c r="AN13" s="63">
        <v>548.57000000000005</v>
      </c>
      <c r="AO13" s="130" t="str">
        <f t="shared" si="4"/>
        <v/>
      </c>
      <c r="AP13" s="125" t="str">
        <f t="shared" si="18"/>
        <v>ME</v>
      </c>
      <c r="AQ13" s="56">
        <v>6</v>
      </c>
      <c r="AR13" s="63">
        <v>6759.22</v>
      </c>
      <c r="AS13" s="130">
        <f t="shared" si="19"/>
        <v>1.1599999999998545</v>
      </c>
      <c r="AT13" s="63">
        <v>7501.57</v>
      </c>
      <c r="AU13" s="130">
        <f t="shared" si="20"/>
        <v>1.3299999999999272</v>
      </c>
      <c r="AV13" s="63">
        <v>255.12</v>
      </c>
      <c r="AW13" s="130" t="str">
        <f t="shared" si="21"/>
        <v/>
      </c>
      <c r="AX13" s="63">
        <v>243.14</v>
      </c>
      <c r="AY13" s="130" t="str">
        <f t="shared" si="5"/>
        <v/>
      </c>
      <c r="AZ13" s="125" t="str">
        <f t="shared" si="22"/>
        <v>ME</v>
      </c>
      <c r="BA13" s="56">
        <v>6</v>
      </c>
      <c r="BB13" s="64">
        <v>1.17</v>
      </c>
      <c r="BC13" s="62">
        <v>20</v>
      </c>
      <c r="BD13" s="61">
        <v>7</v>
      </c>
      <c r="BE13" s="61">
        <v>12.1</v>
      </c>
      <c r="BF13" s="61">
        <v>14.8</v>
      </c>
      <c r="BG13" s="61">
        <v>7</v>
      </c>
      <c r="BH13" s="64">
        <v>0.27100000000000002</v>
      </c>
      <c r="BI13" s="64">
        <v>0.33400000000000002</v>
      </c>
      <c r="BJ13" s="64">
        <v>6.5000000000000002E-2</v>
      </c>
      <c r="BK13" s="64">
        <v>5.6000000000000001E-2</v>
      </c>
      <c r="BL13" s="64">
        <v>6.7000000000000004E-2</v>
      </c>
      <c r="BM13" s="64">
        <v>6.7000000000000004E-2</v>
      </c>
      <c r="BN13" s="65" t="str">
        <f t="shared" si="23"/>
        <v>ME</v>
      </c>
      <c r="BO13" s="56">
        <v>6</v>
      </c>
      <c r="BP13" s="64">
        <v>9.5000000000000001E-2</v>
      </c>
      <c r="BQ13" s="62">
        <v>0</v>
      </c>
      <c r="BR13" s="61">
        <v>7.2</v>
      </c>
      <c r="BS13" s="61">
        <v>13.6</v>
      </c>
      <c r="BT13" s="61">
        <v>17.3</v>
      </c>
      <c r="BU13" s="64">
        <v>1.7999999999999999E-2</v>
      </c>
      <c r="BV13" s="63">
        <v>1.1499999999999999</v>
      </c>
      <c r="BW13" s="63">
        <v>1.01</v>
      </c>
      <c r="BX13" s="66" t="s">
        <v>269</v>
      </c>
      <c r="BY13" s="172" t="s">
        <v>361</v>
      </c>
      <c r="BZ13" s="67" t="str">
        <f t="shared" si="24"/>
        <v>ME</v>
      </c>
      <c r="CA13" s="56">
        <v>6</v>
      </c>
      <c r="CB13" s="61">
        <v>91.4</v>
      </c>
      <c r="CC13" s="61"/>
      <c r="CD13" s="68">
        <f t="shared" si="25"/>
        <v>0.90000000000000568</v>
      </c>
      <c r="CE13" s="69">
        <f t="shared" si="26"/>
        <v>4.1888385000000268</v>
      </c>
      <c r="CF13" s="69">
        <f t="shared" si="27"/>
        <v>4.1201690163934694</v>
      </c>
      <c r="CG13" s="62">
        <v>61</v>
      </c>
      <c r="CH13" s="62">
        <v>100</v>
      </c>
      <c r="CI13" s="65" t="str">
        <f t="shared" si="28"/>
        <v>ME</v>
      </c>
      <c r="CJ13" s="56">
        <v>6</v>
      </c>
      <c r="CK13" s="61">
        <v>87.1</v>
      </c>
      <c r="CL13" s="61"/>
      <c r="CM13" s="68">
        <f t="shared" si="29"/>
        <v>1.8999999999999915</v>
      </c>
      <c r="CN13" s="68">
        <f t="shared" si="30"/>
        <v>8.8431034999999607</v>
      </c>
      <c r="CO13" s="68">
        <f t="shared" si="31"/>
        <v>24.763803568837918</v>
      </c>
      <c r="CP13" s="62">
        <v>53</v>
      </c>
      <c r="CQ13" s="62">
        <v>83</v>
      </c>
      <c r="CR13" s="65" t="str">
        <f t="shared" si="32"/>
        <v>ME</v>
      </c>
      <c r="CS13" s="56">
        <v>6</v>
      </c>
      <c r="CT13" s="61">
        <v>91.9</v>
      </c>
      <c r="CU13" s="61"/>
      <c r="CV13" s="68">
        <f t="shared" si="33"/>
        <v>1.5</v>
      </c>
      <c r="CW13" s="68">
        <f t="shared" si="34"/>
        <v>9.9663599999999999</v>
      </c>
      <c r="CX13" s="69">
        <f t="shared" si="35"/>
        <v>7.0185633802816907E-2</v>
      </c>
      <c r="CY13" s="66" t="s">
        <v>251</v>
      </c>
      <c r="CZ13" s="66" t="s">
        <v>241</v>
      </c>
      <c r="DA13" s="66"/>
      <c r="DB13" s="65" t="str">
        <f t="shared" si="36"/>
        <v>ME</v>
      </c>
      <c r="DC13" s="56">
        <v>6</v>
      </c>
      <c r="DD13" s="61">
        <v>90.7</v>
      </c>
      <c r="DE13" s="61">
        <v>103.8</v>
      </c>
      <c r="DF13" s="68">
        <f t="shared" si="37"/>
        <v>14.099999999999994</v>
      </c>
      <c r="DG13" s="69">
        <f t="shared" si="38"/>
        <v>0.76071232607999972</v>
      </c>
      <c r="DH13" s="68">
        <f t="shared" si="39"/>
        <v>5.3571290569014058</v>
      </c>
      <c r="DI13" s="62">
        <v>90</v>
      </c>
      <c r="DJ13" s="62">
        <v>54</v>
      </c>
      <c r="DK13" s="65" t="str">
        <f t="shared" si="40"/>
        <v>ME</v>
      </c>
      <c r="DL13" s="56">
        <v>6</v>
      </c>
      <c r="DM13" s="63">
        <v>7.74</v>
      </c>
      <c r="DN13" s="64">
        <v>2.8000000000000001E-2</v>
      </c>
      <c r="DO13" s="64">
        <v>2.9000000000000001E-2</v>
      </c>
      <c r="DP13" s="64">
        <v>6.9000000000000006E-2</v>
      </c>
      <c r="DQ13" s="63">
        <v>6.9</v>
      </c>
      <c r="DR13" s="61">
        <v>13.6</v>
      </c>
      <c r="DS13" s="64">
        <v>1.1599999999999999</v>
      </c>
      <c r="DT13" s="61">
        <v>85.9</v>
      </c>
      <c r="DU13" s="63">
        <v>4.22</v>
      </c>
      <c r="DV13" s="64">
        <v>0.71699999999999997</v>
      </c>
      <c r="DW13" s="64">
        <v>1.1200000000000001</v>
      </c>
      <c r="DX13" s="66" t="s">
        <v>242</v>
      </c>
      <c r="DY13" s="65" t="str">
        <f t="shared" si="41"/>
        <v>ME</v>
      </c>
      <c r="DZ13" s="128">
        <v>6</v>
      </c>
      <c r="EA13" s="173">
        <f t="shared" si="42"/>
        <v>9.4919786096256689E-2</v>
      </c>
      <c r="EB13" s="173">
        <f t="shared" si="43"/>
        <v>0.11985294117647059</v>
      </c>
      <c r="EC13" s="173">
        <f t="shared" si="44"/>
        <v>0.85915492957746475</v>
      </c>
      <c r="ED13" s="63">
        <v>1.1399999999999999</v>
      </c>
      <c r="EE13" s="63">
        <v>1.29</v>
      </c>
      <c r="EF13" s="63">
        <v>0.05</v>
      </c>
      <c r="EG13" s="63">
        <v>0.04</v>
      </c>
      <c r="EH13" s="127" t="str">
        <f t="shared" si="6"/>
        <v>ME</v>
      </c>
      <c r="EI13" s="56">
        <v>6</v>
      </c>
      <c r="EJ13" s="334"/>
      <c r="EK13" s="334"/>
      <c r="EL13" s="334"/>
      <c r="EM13" s="334"/>
      <c r="EN13" s="334"/>
      <c r="EO13" s="334"/>
      <c r="EP13" s="334"/>
      <c r="EQ13" s="65" t="str">
        <f t="shared" si="45"/>
        <v>ME</v>
      </c>
      <c r="ER13" s="20"/>
      <c r="ES13" s="20"/>
      <c r="ET13" s="20"/>
      <c r="EU13" s="20"/>
      <c r="EV13" s="20"/>
      <c r="EW13" s="20"/>
      <c r="EX13" s="20"/>
    </row>
    <row r="14" spans="1:154" s="3" customFormat="1" ht="17.149999999999999" customHeight="1" x14ac:dyDescent="0.25">
      <c r="A14" s="56">
        <v>7</v>
      </c>
      <c r="B14" s="57">
        <v>889124</v>
      </c>
      <c r="C14" s="58">
        <f t="shared" si="7"/>
        <v>235</v>
      </c>
      <c r="D14" s="167">
        <v>9.5299999999999994</v>
      </c>
      <c r="E14" s="57">
        <v>793358</v>
      </c>
      <c r="F14" s="58">
        <f t="shared" si="8"/>
        <v>162</v>
      </c>
      <c r="G14" s="168">
        <v>1.55</v>
      </c>
      <c r="H14" s="57">
        <v>751334</v>
      </c>
      <c r="I14" s="58">
        <f t="shared" si="0"/>
        <v>152</v>
      </c>
      <c r="J14" s="60" t="s">
        <v>194</v>
      </c>
      <c r="K14" s="56">
        <v>7</v>
      </c>
      <c r="L14" s="57">
        <v>69626</v>
      </c>
      <c r="M14" s="58">
        <f t="shared" si="1"/>
        <v>48</v>
      </c>
      <c r="N14" s="57">
        <v>176720</v>
      </c>
      <c r="O14" s="58">
        <f t="shared" si="9"/>
        <v>46</v>
      </c>
      <c r="P14" s="57">
        <v>194749</v>
      </c>
      <c r="Q14" s="169" t="str">
        <f t="shared" si="2"/>
        <v/>
      </c>
      <c r="R14" s="57">
        <v>675</v>
      </c>
      <c r="S14" s="57">
        <v>682</v>
      </c>
      <c r="T14" s="57">
        <v>141</v>
      </c>
      <c r="U14" s="57">
        <v>138</v>
      </c>
      <c r="V14" s="58" t="str">
        <f t="shared" si="10"/>
        <v>ME</v>
      </c>
      <c r="W14" s="56">
        <v>7</v>
      </c>
      <c r="X14" s="63">
        <v>11737.99</v>
      </c>
      <c r="Y14" s="130">
        <f t="shared" si="11"/>
        <v>4.3099999999994907</v>
      </c>
      <c r="Z14" s="63">
        <v>12511.79</v>
      </c>
      <c r="AA14" s="130">
        <f t="shared" si="12"/>
        <v>2.5199999999986176</v>
      </c>
      <c r="AB14" s="63">
        <v>9870.25</v>
      </c>
      <c r="AC14" s="130">
        <f t="shared" si="13"/>
        <v>0.61000000000058208</v>
      </c>
      <c r="AD14" s="63">
        <v>9962.7199999999993</v>
      </c>
      <c r="AE14" s="130">
        <f t="shared" si="3"/>
        <v>3.4800000000013824</v>
      </c>
      <c r="AF14" s="125" t="str">
        <f t="shared" si="14"/>
        <v>ME</v>
      </c>
      <c r="AG14" s="56">
        <v>7</v>
      </c>
      <c r="AH14" s="63">
        <v>46935.14</v>
      </c>
      <c r="AI14" s="130">
        <f t="shared" si="15"/>
        <v>8.9700000000011642</v>
      </c>
      <c r="AJ14" s="63">
        <v>49069.11</v>
      </c>
      <c r="AK14" s="130">
        <f t="shared" si="16"/>
        <v>13.409999999996217</v>
      </c>
      <c r="AL14" s="63">
        <v>586.99</v>
      </c>
      <c r="AM14" s="130" t="str">
        <f t="shared" si="17"/>
        <v/>
      </c>
      <c r="AN14" s="63">
        <v>548.57000000000005</v>
      </c>
      <c r="AO14" s="130" t="str">
        <f t="shared" si="4"/>
        <v/>
      </c>
      <c r="AP14" s="125" t="str">
        <f t="shared" si="18"/>
        <v>ME</v>
      </c>
      <c r="AQ14" s="56">
        <v>7</v>
      </c>
      <c r="AR14" s="63">
        <v>6760.38</v>
      </c>
      <c r="AS14" s="130">
        <f t="shared" si="19"/>
        <v>1.3000000000001819</v>
      </c>
      <c r="AT14" s="63">
        <v>7502.9</v>
      </c>
      <c r="AU14" s="130">
        <f t="shared" si="20"/>
        <v>1.8500000000003638</v>
      </c>
      <c r="AV14" s="63">
        <v>255.12</v>
      </c>
      <c r="AW14" s="130">
        <f t="shared" si="21"/>
        <v>0.32999999999998408</v>
      </c>
      <c r="AX14" s="63">
        <v>243.14</v>
      </c>
      <c r="AY14" s="130" t="str">
        <f t="shared" si="5"/>
        <v/>
      </c>
      <c r="AZ14" s="125" t="str">
        <f t="shared" si="22"/>
        <v>ME</v>
      </c>
      <c r="BA14" s="56">
        <v>7</v>
      </c>
      <c r="BB14" s="64">
        <v>0.92700000000000005</v>
      </c>
      <c r="BC14" s="62">
        <v>44</v>
      </c>
      <c r="BD14" s="61">
        <v>7</v>
      </c>
      <c r="BE14" s="61">
        <v>12.2</v>
      </c>
      <c r="BF14" s="61">
        <v>15.2</v>
      </c>
      <c r="BG14" s="61">
        <v>7</v>
      </c>
      <c r="BH14" s="64">
        <v>0.27900000000000003</v>
      </c>
      <c r="BI14" s="64">
        <v>0.27200000000000002</v>
      </c>
      <c r="BJ14" s="64">
        <v>5.7000000000000002E-2</v>
      </c>
      <c r="BK14" s="64">
        <v>6.0999999999999999E-2</v>
      </c>
      <c r="BL14" s="64">
        <v>6.4000000000000001E-2</v>
      </c>
      <c r="BM14" s="64">
        <v>6.3E-2</v>
      </c>
      <c r="BN14" s="65" t="str">
        <f t="shared" si="23"/>
        <v>ME</v>
      </c>
      <c r="BO14" s="56">
        <v>7</v>
      </c>
      <c r="BP14" s="64">
        <v>9.1999999999999998E-2</v>
      </c>
      <c r="BQ14" s="62">
        <v>0</v>
      </c>
      <c r="BR14" s="61">
        <v>7</v>
      </c>
      <c r="BS14" s="61">
        <v>13.7</v>
      </c>
      <c r="BT14" s="61">
        <v>17.600000000000001</v>
      </c>
      <c r="BU14" s="64">
        <v>0.01</v>
      </c>
      <c r="BV14" s="63">
        <v>1.17</v>
      </c>
      <c r="BW14" s="63">
        <v>1</v>
      </c>
      <c r="BX14" s="66" t="s">
        <v>245</v>
      </c>
      <c r="BY14" s="172" t="s">
        <v>361</v>
      </c>
      <c r="BZ14" s="67" t="str">
        <f t="shared" si="24"/>
        <v>ME</v>
      </c>
      <c r="CA14" s="56">
        <v>7</v>
      </c>
      <c r="CB14" s="61">
        <v>90.5</v>
      </c>
      <c r="CC14" s="61"/>
      <c r="CD14" s="68">
        <f t="shared" si="25"/>
        <v>1.2999999999999972</v>
      </c>
      <c r="CE14" s="69">
        <f t="shared" si="26"/>
        <v>6.0505444999999876</v>
      </c>
      <c r="CF14" s="69">
        <f t="shared" si="27"/>
        <v>4.7767456578947263</v>
      </c>
      <c r="CG14" s="62">
        <v>61</v>
      </c>
      <c r="CH14" s="62">
        <v>100</v>
      </c>
      <c r="CI14" s="65" t="str">
        <f t="shared" si="28"/>
        <v>ME</v>
      </c>
      <c r="CJ14" s="56">
        <v>7</v>
      </c>
      <c r="CK14" s="61">
        <v>85.2</v>
      </c>
      <c r="CL14" s="61"/>
      <c r="CM14" s="68">
        <f t="shared" si="29"/>
        <v>2.9000000000000057</v>
      </c>
      <c r="CN14" s="68">
        <f t="shared" si="30"/>
        <v>13.497368500000027</v>
      </c>
      <c r="CO14" s="68">
        <f t="shared" si="31"/>
        <v>22.839270570319197</v>
      </c>
      <c r="CP14" s="62">
        <v>53</v>
      </c>
      <c r="CQ14" s="62">
        <v>83</v>
      </c>
      <c r="CR14" s="65" t="str">
        <f t="shared" si="32"/>
        <v>ME</v>
      </c>
      <c r="CS14" s="56">
        <v>7</v>
      </c>
      <c r="CT14" s="61">
        <v>90.4</v>
      </c>
      <c r="CU14" s="61"/>
      <c r="CV14" s="68">
        <f t="shared" si="33"/>
        <v>2.5</v>
      </c>
      <c r="CW14" s="68">
        <f t="shared" si="34"/>
        <v>16.610599999999998</v>
      </c>
      <c r="CX14" s="69">
        <f t="shared" si="35"/>
        <v>7.0683404255319146E-2</v>
      </c>
      <c r="CY14" s="66" t="s">
        <v>240</v>
      </c>
      <c r="CZ14" s="66" t="s">
        <v>241</v>
      </c>
      <c r="DA14" s="66"/>
      <c r="DB14" s="65" t="str">
        <f t="shared" si="36"/>
        <v>ME</v>
      </c>
      <c r="DC14" s="56">
        <v>7</v>
      </c>
      <c r="DD14" s="61">
        <v>89.7</v>
      </c>
      <c r="DE14" s="61">
        <v>104.1</v>
      </c>
      <c r="DF14" s="68">
        <f t="shared" si="37"/>
        <v>23.799999999999997</v>
      </c>
      <c r="DG14" s="69">
        <f t="shared" si="38"/>
        <v>1.2840392454399998</v>
      </c>
      <c r="DH14" s="68">
        <f t="shared" si="39"/>
        <v>5.4639967891063819</v>
      </c>
      <c r="DI14" s="62">
        <v>90</v>
      </c>
      <c r="DJ14" s="62">
        <v>54</v>
      </c>
      <c r="DK14" s="65" t="str">
        <f t="shared" si="40"/>
        <v>ME</v>
      </c>
      <c r="DL14" s="56">
        <v>7</v>
      </c>
      <c r="DM14" s="63">
        <v>8.0399999999999991</v>
      </c>
      <c r="DN14" s="64">
        <v>2.5999999999999999E-2</v>
      </c>
      <c r="DO14" s="64">
        <v>2.7E-2</v>
      </c>
      <c r="DP14" s="64">
        <v>6.9000000000000006E-2</v>
      </c>
      <c r="DQ14" s="63">
        <v>6.92</v>
      </c>
      <c r="DR14" s="61">
        <v>13.7</v>
      </c>
      <c r="DS14" s="64">
        <v>1.157</v>
      </c>
      <c r="DT14" s="61">
        <v>84.4</v>
      </c>
      <c r="DU14" s="63">
        <v>4.2300000000000004</v>
      </c>
      <c r="DV14" s="64">
        <v>0.71799999999999997</v>
      </c>
      <c r="DW14" s="64">
        <v>1.1100000000000001</v>
      </c>
      <c r="DX14" s="66" t="s">
        <v>247</v>
      </c>
      <c r="DY14" s="65" t="str">
        <f t="shared" si="41"/>
        <v>ME</v>
      </c>
      <c r="DZ14" s="128">
        <v>7</v>
      </c>
      <c r="EA14" s="173">
        <f t="shared" si="42"/>
        <v>0.15708556149732619</v>
      </c>
      <c r="EB14" s="173">
        <f t="shared" si="43"/>
        <v>0.11911764705882352</v>
      </c>
      <c r="EC14" s="173">
        <f t="shared" si="44"/>
        <v>0.64680851063829792</v>
      </c>
      <c r="ED14" s="63">
        <v>1.1499999999999999</v>
      </c>
      <c r="EE14" s="63">
        <v>1.17</v>
      </c>
      <c r="EF14" s="63">
        <v>0.03</v>
      </c>
      <c r="EG14" s="63">
        <v>0.04</v>
      </c>
      <c r="EH14" s="127" t="str">
        <f t="shared" si="6"/>
        <v>ME</v>
      </c>
      <c r="EI14" s="56">
        <v>7</v>
      </c>
      <c r="EJ14" s="334" t="s">
        <v>367</v>
      </c>
      <c r="EK14" s="334"/>
      <c r="EL14" s="334"/>
      <c r="EM14" s="334"/>
      <c r="EN14" s="334"/>
      <c r="EO14" s="334"/>
      <c r="EP14" s="334"/>
      <c r="EQ14" s="65" t="str">
        <f t="shared" si="45"/>
        <v>ME</v>
      </c>
      <c r="ER14" s="20"/>
      <c r="ES14" s="20"/>
      <c r="ET14" s="20"/>
      <c r="EU14" s="20"/>
      <c r="EV14" s="20"/>
      <c r="EW14" s="20"/>
      <c r="EX14" s="20"/>
    </row>
    <row r="15" spans="1:154" s="3" customFormat="1" ht="17.149999999999999" customHeight="1" x14ac:dyDescent="0.25">
      <c r="A15" s="56">
        <v>8</v>
      </c>
      <c r="B15" s="57">
        <v>889359</v>
      </c>
      <c r="C15" s="58">
        <f t="shared" si="7"/>
        <v>157</v>
      </c>
      <c r="D15" s="167">
        <v>9.4600000000000009</v>
      </c>
      <c r="E15" s="57">
        <v>793520</v>
      </c>
      <c r="F15" s="58">
        <f t="shared" si="8"/>
        <v>205</v>
      </c>
      <c r="G15" s="168">
        <v>3.27</v>
      </c>
      <c r="H15" s="57">
        <v>751486</v>
      </c>
      <c r="I15" s="58">
        <f t="shared" si="0"/>
        <v>130</v>
      </c>
      <c r="J15" s="60" t="s">
        <v>194</v>
      </c>
      <c r="K15" s="56">
        <v>8</v>
      </c>
      <c r="L15" s="57">
        <v>69674</v>
      </c>
      <c r="M15" s="58" t="str">
        <f t="shared" si="1"/>
        <v/>
      </c>
      <c r="N15" s="57">
        <v>176766</v>
      </c>
      <c r="O15" s="58">
        <f t="shared" si="9"/>
        <v>53</v>
      </c>
      <c r="P15" s="57">
        <v>194749</v>
      </c>
      <c r="Q15" s="169" t="str">
        <f t="shared" si="2"/>
        <v/>
      </c>
      <c r="R15" s="57">
        <v>675</v>
      </c>
      <c r="S15" s="57">
        <v>683</v>
      </c>
      <c r="T15" s="57">
        <v>141</v>
      </c>
      <c r="U15" s="57">
        <v>138</v>
      </c>
      <c r="V15" s="58" t="str">
        <f t="shared" si="10"/>
        <v>ME</v>
      </c>
      <c r="W15" s="56">
        <v>8</v>
      </c>
      <c r="X15" s="63">
        <v>11742.3</v>
      </c>
      <c r="Y15" s="130">
        <f t="shared" si="11"/>
        <v>2.5200000000004366</v>
      </c>
      <c r="Z15" s="63">
        <v>12514.31</v>
      </c>
      <c r="AA15" s="130">
        <f t="shared" si="12"/>
        <v>2.3100000000013097</v>
      </c>
      <c r="AB15" s="63">
        <v>9870.86</v>
      </c>
      <c r="AC15" s="130">
        <f t="shared" si="13"/>
        <v>1.819999999999709</v>
      </c>
      <c r="AD15" s="63">
        <v>9966.2000000000007</v>
      </c>
      <c r="AE15" s="130">
        <f t="shared" si="3"/>
        <v>1.6199999999989814</v>
      </c>
      <c r="AF15" s="125" t="str">
        <f t="shared" si="14"/>
        <v>ME</v>
      </c>
      <c r="AG15" s="56">
        <v>8</v>
      </c>
      <c r="AH15" s="63">
        <v>46944.11</v>
      </c>
      <c r="AI15" s="130">
        <f t="shared" si="15"/>
        <v>15.029999999998836</v>
      </c>
      <c r="AJ15" s="63">
        <v>49082.52</v>
      </c>
      <c r="AK15" s="130">
        <f t="shared" si="16"/>
        <v>10.460000000006403</v>
      </c>
      <c r="AL15" s="63">
        <v>586.99</v>
      </c>
      <c r="AM15" s="130" t="str">
        <f t="shared" si="17"/>
        <v/>
      </c>
      <c r="AN15" s="63">
        <v>548.57000000000005</v>
      </c>
      <c r="AO15" s="130" t="str">
        <f t="shared" si="4"/>
        <v/>
      </c>
      <c r="AP15" s="125" t="str">
        <f t="shared" si="18"/>
        <v>ME</v>
      </c>
      <c r="AQ15" s="56">
        <v>8</v>
      </c>
      <c r="AR15" s="63">
        <v>6761.68</v>
      </c>
      <c r="AS15" s="130">
        <f t="shared" si="19"/>
        <v>1.6700000000000728</v>
      </c>
      <c r="AT15" s="63">
        <v>7504.75</v>
      </c>
      <c r="AU15" s="130">
        <f t="shared" si="20"/>
        <v>2.180000000000291</v>
      </c>
      <c r="AV15" s="63">
        <v>255.45</v>
      </c>
      <c r="AW15" s="130" t="str">
        <f t="shared" si="21"/>
        <v/>
      </c>
      <c r="AX15" s="63">
        <v>243.14</v>
      </c>
      <c r="AY15" s="130" t="str">
        <f t="shared" si="5"/>
        <v/>
      </c>
      <c r="AZ15" s="125" t="str">
        <f t="shared" si="22"/>
        <v>ME</v>
      </c>
      <c r="BA15" s="56">
        <v>8</v>
      </c>
      <c r="BB15" s="64">
        <v>0.98299999999999998</v>
      </c>
      <c r="BC15" s="62">
        <v>21</v>
      </c>
      <c r="BD15" s="61">
        <v>7</v>
      </c>
      <c r="BE15" s="61">
        <v>12.8</v>
      </c>
      <c r="BF15" s="61">
        <v>15.6</v>
      </c>
      <c r="BG15" s="61">
        <v>7</v>
      </c>
      <c r="BH15" s="64">
        <v>0.318</v>
      </c>
      <c r="BI15" s="64">
        <v>0.29299999999999998</v>
      </c>
      <c r="BJ15" s="64">
        <v>5.3999999999999999E-2</v>
      </c>
      <c r="BK15" s="64">
        <v>5.5E-2</v>
      </c>
      <c r="BL15" s="64">
        <v>5.6000000000000001E-2</v>
      </c>
      <c r="BM15" s="64">
        <v>5.1999999999999998E-2</v>
      </c>
      <c r="BN15" s="65" t="str">
        <f t="shared" si="23"/>
        <v>ME</v>
      </c>
      <c r="BO15" s="56">
        <v>8</v>
      </c>
      <c r="BP15" s="64">
        <v>8.8999999999999996E-2</v>
      </c>
      <c r="BQ15" s="62">
        <v>0</v>
      </c>
      <c r="BR15" s="61">
        <v>7</v>
      </c>
      <c r="BS15" s="61">
        <v>13.8</v>
      </c>
      <c r="BT15" s="61">
        <v>17.2</v>
      </c>
      <c r="BU15" s="64">
        <v>1.2999999999999999E-2</v>
      </c>
      <c r="BV15" s="63">
        <v>1.17</v>
      </c>
      <c r="BW15" s="63">
        <v>0.91</v>
      </c>
      <c r="BX15" s="66" t="s">
        <v>245</v>
      </c>
      <c r="BY15" s="172" t="s">
        <v>361</v>
      </c>
      <c r="BZ15" s="67" t="str">
        <f t="shared" si="24"/>
        <v>ME</v>
      </c>
      <c r="CA15" s="56">
        <v>8</v>
      </c>
      <c r="CB15" s="61">
        <v>89.2</v>
      </c>
      <c r="CC15" s="61">
        <v>98.9</v>
      </c>
      <c r="CD15" s="68">
        <f t="shared" si="25"/>
        <v>1.1000000000000085</v>
      </c>
      <c r="CE15" s="69">
        <f t="shared" si="26"/>
        <v>5.11969150000004</v>
      </c>
      <c r="CF15" s="69">
        <f t="shared" si="27"/>
        <v>4.7258690769231135</v>
      </c>
      <c r="CG15" s="62">
        <v>61</v>
      </c>
      <c r="CH15" s="62">
        <v>100</v>
      </c>
      <c r="CI15" s="65" t="str">
        <f t="shared" si="28"/>
        <v>ME</v>
      </c>
      <c r="CJ15" s="56">
        <v>8</v>
      </c>
      <c r="CK15" s="61">
        <v>82.3</v>
      </c>
      <c r="CL15" s="61">
        <v>98.6</v>
      </c>
      <c r="CM15" s="68">
        <f t="shared" si="29"/>
        <v>2.0999999999999943</v>
      </c>
      <c r="CN15" s="68">
        <f t="shared" si="30"/>
        <v>9.773956499999974</v>
      </c>
      <c r="CO15" s="68">
        <f t="shared" si="31"/>
        <v>24.755501924999937</v>
      </c>
      <c r="CP15" s="62">
        <v>55</v>
      </c>
      <c r="CQ15" s="62">
        <v>83</v>
      </c>
      <c r="CR15" s="65" t="str">
        <f t="shared" si="32"/>
        <v>ME</v>
      </c>
      <c r="CS15" s="56">
        <v>8</v>
      </c>
      <c r="CT15" s="61">
        <v>87.9</v>
      </c>
      <c r="CU15" s="61">
        <v>113.1</v>
      </c>
      <c r="CV15" s="68">
        <f t="shared" si="33"/>
        <v>2</v>
      </c>
      <c r="CW15" s="68">
        <f t="shared" si="34"/>
        <v>13.28848</v>
      </c>
      <c r="CX15" s="69">
        <f t="shared" si="35"/>
        <v>8.4639999999999993E-2</v>
      </c>
      <c r="CY15" s="66" t="s">
        <v>240</v>
      </c>
      <c r="CZ15" s="66" t="s">
        <v>241</v>
      </c>
      <c r="DA15" s="66" t="s">
        <v>242</v>
      </c>
      <c r="DB15" s="65" t="str">
        <f t="shared" si="36"/>
        <v>ME</v>
      </c>
      <c r="DC15" s="56">
        <v>8</v>
      </c>
      <c r="DD15" s="61">
        <v>80.3</v>
      </c>
      <c r="DE15" s="61">
        <v>104.2</v>
      </c>
      <c r="DF15" s="68">
        <f t="shared" si="37"/>
        <v>17.400000000000006</v>
      </c>
      <c r="DG15" s="69">
        <f t="shared" si="38"/>
        <v>0.93875138112000023</v>
      </c>
      <c r="DH15" s="68">
        <f t="shared" si="39"/>
        <v>5.9793081600000013</v>
      </c>
      <c r="DI15" s="62">
        <v>84</v>
      </c>
      <c r="DJ15" s="62">
        <v>54</v>
      </c>
      <c r="DK15" s="65" t="str">
        <f t="shared" si="40"/>
        <v>ME</v>
      </c>
      <c r="DL15" s="56">
        <v>8</v>
      </c>
      <c r="DM15" s="63">
        <v>8</v>
      </c>
      <c r="DN15" s="64">
        <v>2.5000000000000001E-2</v>
      </c>
      <c r="DO15" s="64">
        <v>3.2000000000000001E-2</v>
      </c>
      <c r="DP15" s="64">
        <v>6.7000000000000004E-2</v>
      </c>
      <c r="DQ15" s="63">
        <v>6.9</v>
      </c>
      <c r="DR15" s="61">
        <v>13.8</v>
      </c>
      <c r="DS15" s="64">
        <v>1.153</v>
      </c>
      <c r="DT15" s="61">
        <v>84.2</v>
      </c>
      <c r="DU15" s="63">
        <v>4.3899999999999997</v>
      </c>
      <c r="DV15" s="64">
        <v>1.9490000000000001</v>
      </c>
      <c r="DW15" s="64">
        <v>1.1000000000000001</v>
      </c>
      <c r="DX15" s="66" t="s">
        <v>242</v>
      </c>
      <c r="DY15" s="65" t="str">
        <f t="shared" si="41"/>
        <v>ME</v>
      </c>
      <c r="DZ15" s="128">
        <v>8</v>
      </c>
      <c r="EA15" s="173">
        <f t="shared" si="42"/>
        <v>0.10494652406417113</v>
      </c>
      <c r="EB15" s="173">
        <f t="shared" si="43"/>
        <v>0.15073529411764705</v>
      </c>
      <c r="EC15" s="173">
        <f t="shared" si="44"/>
        <v>0.82802547770700641</v>
      </c>
      <c r="ED15" s="63">
        <v>1.08</v>
      </c>
      <c r="EE15" s="63">
        <v>1.1599999999999999</v>
      </c>
      <c r="EF15" s="63">
        <v>0.04</v>
      </c>
      <c r="EG15" s="63">
        <v>7.0000000000000007E-2</v>
      </c>
      <c r="EH15" s="127" t="str">
        <f t="shared" si="6"/>
        <v>ME</v>
      </c>
      <c r="EI15" s="56">
        <v>8</v>
      </c>
      <c r="EJ15" s="334"/>
      <c r="EK15" s="334"/>
      <c r="EL15" s="334"/>
      <c r="EM15" s="334"/>
      <c r="EN15" s="334"/>
      <c r="EO15" s="334"/>
      <c r="EP15" s="334"/>
      <c r="EQ15" s="65" t="str">
        <f t="shared" si="45"/>
        <v>ME</v>
      </c>
      <c r="ER15" s="20"/>
      <c r="ES15" s="20"/>
      <c r="ET15" s="20"/>
      <c r="EU15" s="20"/>
      <c r="EV15" s="20"/>
      <c r="EW15" s="20"/>
      <c r="EX15" s="20"/>
    </row>
    <row r="16" spans="1:154" s="3" customFormat="1" ht="17.149999999999999" customHeight="1" x14ac:dyDescent="0.25">
      <c r="A16" s="56">
        <v>9</v>
      </c>
      <c r="B16" s="57">
        <v>889516</v>
      </c>
      <c r="C16" s="58">
        <f t="shared" si="7"/>
        <v>196</v>
      </c>
      <c r="D16" s="167">
        <v>9.34</v>
      </c>
      <c r="E16" s="57">
        <v>793725</v>
      </c>
      <c r="F16" s="58">
        <f t="shared" si="8"/>
        <v>194</v>
      </c>
      <c r="G16" s="168">
        <v>2.5</v>
      </c>
      <c r="H16" s="57">
        <v>751616</v>
      </c>
      <c r="I16" s="58">
        <f t="shared" si="0"/>
        <v>179</v>
      </c>
      <c r="J16" s="60" t="s">
        <v>194</v>
      </c>
      <c r="K16" s="56">
        <v>9</v>
      </c>
      <c r="L16" s="57">
        <v>69674</v>
      </c>
      <c r="M16" s="58" t="str">
        <f t="shared" si="1"/>
        <v/>
      </c>
      <c r="N16" s="57">
        <v>176819</v>
      </c>
      <c r="O16" s="58">
        <f t="shared" si="9"/>
        <v>56</v>
      </c>
      <c r="P16" s="57">
        <v>194749</v>
      </c>
      <c r="Q16" s="169" t="str">
        <f t="shared" si="2"/>
        <v/>
      </c>
      <c r="R16" s="57">
        <v>675</v>
      </c>
      <c r="S16" s="57">
        <v>683</v>
      </c>
      <c r="T16" s="57">
        <v>141</v>
      </c>
      <c r="U16" s="57">
        <v>138</v>
      </c>
      <c r="V16" s="58" t="str">
        <f t="shared" si="10"/>
        <v>ME</v>
      </c>
      <c r="W16" s="56">
        <v>9</v>
      </c>
      <c r="X16" s="63">
        <v>11744.82</v>
      </c>
      <c r="Y16" s="130">
        <f t="shared" si="11"/>
        <v>2.7000000000007276</v>
      </c>
      <c r="Z16" s="63">
        <v>12516.62</v>
      </c>
      <c r="AA16" s="130">
        <f t="shared" si="12"/>
        <v>2.7399999999997817</v>
      </c>
      <c r="AB16" s="63">
        <v>9872.68</v>
      </c>
      <c r="AC16" s="130">
        <f t="shared" si="13"/>
        <v>2.680000000000291</v>
      </c>
      <c r="AD16" s="63">
        <v>9967.82</v>
      </c>
      <c r="AE16" s="130">
        <f t="shared" si="3"/>
        <v>2.1900000000005093</v>
      </c>
      <c r="AF16" s="125" t="str">
        <f t="shared" si="14"/>
        <v>ME</v>
      </c>
      <c r="AG16" s="56">
        <v>9</v>
      </c>
      <c r="AH16" s="63">
        <v>46959.14</v>
      </c>
      <c r="AI16" s="130">
        <f t="shared" si="15"/>
        <v>7.0500000000029104</v>
      </c>
      <c r="AJ16" s="63">
        <v>49092.98</v>
      </c>
      <c r="AK16" s="130">
        <f t="shared" si="16"/>
        <v>13.539999999993597</v>
      </c>
      <c r="AL16" s="63">
        <v>586.99</v>
      </c>
      <c r="AM16" s="130" t="str">
        <f t="shared" si="17"/>
        <v/>
      </c>
      <c r="AN16" s="63">
        <v>548.57000000000005</v>
      </c>
      <c r="AO16" s="130" t="str">
        <f t="shared" si="4"/>
        <v/>
      </c>
      <c r="AP16" s="125" t="str">
        <f t="shared" si="18"/>
        <v>ME</v>
      </c>
      <c r="AQ16" s="56">
        <v>9</v>
      </c>
      <c r="AR16" s="63">
        <v>6763.35</v>
      </c>
      <c r="AS16" s="130">
        <f t="shared" si="19"/>
        <v>1.9600000000000364</v>
      </c>
      <c r="AT16" s="63">
        <v>7506.93</v>
      </c>
      <c r="AU16" s="130">
        <f t="shared" si="20"/>
        <v>2.9299999999993815</v>
      </c>
      <c r="AV16" s="63">
        <v>255.45</v>
      </c>
      <c r="AW16" s="130" t="str">
        <f t="shared" si="21"/>
        <v/>
      </c>
      <c r="AX16" s="63">
        <v>243.14</v>
      </c>
      <c r="AY16" s="130" t="str">
        <f t="shared" si="5"/>
        <v/>
      </c>
      <c r="AZ16" s="125" t="str">
        <f t="shared" si="22"/>
        <v>ME</v>
      </c>
      <c r="BA16" s="56">
        <v>9</v>
      </c>
      <c r="BB16" s="64">
        <v>1.29</v>
      </c>
      <c r="BC16" s="62">
        <v>25</v>
      </c>
      <c r="BD16" s="61">
        <v>6.8</v>
      </c>
      <c r="BE16" s="61">
        <v>13.2</v>
      </c>
      <c r="BF16" s="61">
        <v>16.600000000000001</v>
      </c>
      <c r="BG16" s="61">
        <v>6.8</v>
      </c>
      <c r="BH16" s="64">
        <v>0.20799999999999999</v>
      </c>
      <c r="BI16" s="64">
        <v>0.224</v>
      </c>
      <c r="BJ16" s="64">
        <v>6.7000000000000004E-2</v>
      </c>
      <c r="BK16" s="64">
        <v>0.06</v>
      </c>
      <c r="BL16" s="64">
        <v>6.2E-2</v>
      </c>
      <c r="BM16" s="64">
        <v>6.6000000000000003E-2</v>
      </c>
      <c r="BN16" s="65" t="str">
        <f t="shared" si="23"/>
        <v>ME</v>
      </c>
      <c r="BO16" s="56">
        <v>9</v>
      </c>
      <c r="BP16" s="64">
        <v>9.2999999999999999E-2</v>
      </c>
      <c r="BQ16" s="62">
        <v>0</v>
      </c>
      <c r="BR16" s="61">
        <v>7</v>
      </c>
      <c r="BS16" s="61">
        <v>13.9</v>
      </c>
      <c r="BT16" s="61">
        <v>18.7</v>
      </c>
      <c r="BU16" s="64">
        <v>8.9999999999999993E-3</v>
      </c>
      <c r="BV16" s="63">
        <v>1.1399999999999999</v>
      </c>
      <c r="BW16" s="63">
        <v>0.89</v>
      </c>
      <c r="BX16" s="66" t="s">
        <v>245</v>
      </c>
      <c r="BY16" s="172" t="s">
        <v>361</v>
      </c>
      <c r="BZ16" s="67" t="str">
        <f t="shared" si="24"/>
        <v>ME</v>
      </c>
      <c r="CA16" s="56">
        <v>9</v>
      </c>
      <c r="CB16" s="61">
        <v>97.8</v>
      </c>
      <c r="CC16" s="61"/>
      <c r="CD16" s="68">
        <f t="shared" si="25"/>
        <v>1.7000000000000028</v>
      </c>
      <c r="CE16" s="69">
        <f t="shared" si="26"/>
        <v>7.9122505000000141</v>
      </c>
      <c r="CF16" s="69">
        <f t="shared" si="27"/>
        <v>5.3043020111731938</v>
      </c>
      <c r="CG16" s="62">
        <v>61</v>
      </c>
      <c r="CH16" s="62">
        <v>100</v>
      </c>
      <c r="CI16" s="65" t="str">
        <f t="shared" si="28"/>
        <v>ME</v>
      </c>
      <c r="CJ16" s="56">
        <v>9</v>
      </c>
      <c r="CK16" s="61">
        <v>96.5</v>
      </c>
      <c r="CL16" s="61"/>
      <c r="CM16" s="68">
        <f t="shared" si="29"/>
        <v>2.5</v>
      </c>
      <c r="CN16" s="68">
        <f t="shared" si="30"/>
        <v>11.6356625</v>
      </c>
      <c r="CO16" s="68">
        <f t="shared" si="31"/>
        <v>23.606740781250007</v>
      </c>
      <c r="CP16" s="62">
        <v>53</v>
      </c>
      <c r="CQ16" s="62">
        <v>83</v>
      </c>
      <c r="CR16" s="65" t="str">
        <f t="shared" si="32"/>
        <v>ME</v>
      </c>
      <c r="CS16" s="56">
        <v>9</v>
      </c>
      <c r="CT16" s="61">
        <v>111.1</v>
      </c>
      <c r="CU16" s="61">
        <v>107.7</v>
      </c>
      <c r="CV16" s="68">
        <f t="shared" si="33"/>
        <v>2.1000000000000085</v>
      </c>
      <c r="CW16" s="68">
        <f t="shared" si="34"/>
        <v>13.952904000000057</v>
      </c>
      <c r="CX16" s="69">
        <f t="shared" si="35"/>
        <v>7.1188285714286009E-2</v>
      </c>
      <c r="CY16" s="66" t="s">
        <v>240</v>
      </c>
      <c r="CZ16" s="66" t="s">
        <v>241</v>
      </c>
      <c r="DA16" s="66"/>
      <c r="DB16" s="65" t="str">
        <f t="shared" si="36"/>
        <v>ME</v>
      </c>
      <c r="DC16" s="56">
        <v>9</v>
      </c>
      <c r="DD16" s="61">
        <v>86.8</v>
      </c>
      <c r="DE16" s="61">
        <v>104.2</v>
      </c>
      <c r="DF16" s="68">
        <f t="shared" si="37"/>
        <v>19</v>
      </c>
      <c r="DG16" s="69">
        <f t="shared" si="38"/>
        <v>1.0250733472</v>
      </c>
      <c r="DH16" s="68">
        <f t="shared" si="39"/>
        <v>5.2299660571428568</v>
      </c>
      <c r="DI16" s="62">
        <v>90</v>
      </c>
      <c r="DJ16" s="62">
        <v>54</v>
      </c>
      <c r="DK16" s="65" t="str">
        <f t="shared" si="40"/>
        <v>ME</v>
      </c>
      <c r="DL16" s="56">
        <v>9</v>
      </c>
      <c r="DM16" s="63">
        <v>8.16</v>
      </c>
      <c r="DN16" s="64">
        <v>2.9000000000000001E-2</v>
      </c>
      <c r="DO16" s="64">
        <v>0.03</v>
      </c>
      <c r="DP16" s="64">
        <v>6.5000000000000002E-2</v>
      </c>
      <c r="DQ16" s="63">
        <v>6.89</v>
      </c>
      <c r="DR16" s="61">
        <v>13.9</v>
      </c>
      <c r="DS16" s="64">
        <v>1.133</v>
      </c>
      <c r="DT16" s="61">
        <v>85.7</v>
      </c>
      <c r="DU16" s="63">
        <v>4.25</v>
      </c>
      <c r="DV16" s="64">
        <v>1.544</v>
      </c>
      <c r="DW16" s="64">
        <v>1.53</v>
      </c>
      <c r="DX16" s="66" t="s">
        <v>242</v>
      </c>
      <c r="DY16" s="65" t="str">
        <f t="shared" si="41"/>
        <v>ME</v>
      </c>
      <c r="DZ16" s="128">
        <v>9</v>
      </c>
      <c r="EA16" s="173">
        <f t="shared" si="42"/>
        <v>0.13101604278074866</v>
      </c>
      <c r="EB16" s="173">
        <f t="shared" si="43"/>
        <v>0.1426470588235294</v>
      </c>
      <c r="EC16" s="173">
        <f t="shared" si="44"/>
        <v>0.91326530612244894</v>
      </c>
      <c r="ED16" s="63">
        <v>1.1200000000000001</v>
      </c>
      <c r="EE16" s="63">
        <v>1.1599999999999999</v>
      </c>
      <c r="EF16" s="63">
        <v>0.04</v>
      </c>
      <c r="EG16" s="63">
        <v>7.0000000000000007E-2</v>
      </c>
      <c r="EH16" s="127" t="str">
        <f t="shared" si="6"/>
        <v>ME</v>
      </c>
      <c r="EI16" s="56">
        <v>9</v>
      </c>
      <c r="EJ16" s="334"/>
      <c r="EK16" s="334"/>
      <c r="EL16" s="334"/>
      <c r="EM16" s="334"/>
      <c r="EN16" s="334"/>
      <c r="EO16" s="334"/>
      <c r="EP16" s="334"/>
      <c r="EQ16" s="65" t="str">
        <f t="shared" si="45"/>
        <v>ME</v>
      </c>
      <c r="ER16" s="20"/>
      <c r="ES16" s="20"/>
      <c r="ET16" s="20"/>
      <c r="EU16" s="20"/>
      <c r="EV16" s="20"/>
      <c r="EW16" s="20"/>
      <c r="EX16" s="20"/>
    </row>
    <row r="17" spans="1:154" s="3" customFormat="1" ht="17.149999999999999" customHeight="1" x14ac:dyDescent="0.25">
      <c r="A17" s="56">
        <v>10</v>
      </c>
      <c r="B17" s="57">
        <v>889712</v>
      </c>
      <c r="C17" s="58">
        <f t="shared" si="7"/>
        <v>152</v>
      </c>
      <c r="D17" s="167">
        <v>9.5500000000000007</v>
      </c>
      <c r="E17" s="57">
        <v>793919</v>
      </c>
      <c r="F17" s="58">
        <f t="shared" si="8"/>
        <v>184</v>
      </c>
      <c r="G17" s="168">
        <v>2.54</v>
      </c>
      <c r="H17" s="57">
        <v>751795</v>
      </c>
      <c r="I17" s="58">
        <f t="shared" si="0"/>
        <v>103</v>
      </c>
      <c r="J17" s="60" t="s">
        <v>237</v>
      </c>
      <c r="K17" s="56">
        <v>10</v>
      </c>
      <c r="L17" s="57">
        <v>69674</v>
      </c>
      <c r="M17" s="58">
        <f t="shared" si="1"/>
        <v>49</v>
      </c>
      <c r="N17" s="57">
        <v>176875</v>
      </c>
      <c r="O17" s="58">
        <f t="shared" si="9"/>
        <v>32</v>
      </c>
      <c r="P17" s="57">
        <v>194749</v>
      </c>
      <c r="Q17" s="169" t="str">
        <f t="shared" si="2"/>
        <v/>
      </c>
      <c r="R17" s="57">
        <v>675</v>
      </c>
      <c r="S17" s="57">
        <v>683</v>
      </c>
      <c r="T17" s="57">
        <v>141</v>
      </c>
      <c r="U17" s="57">
        <v>138</v>
      </c>
      <c r="V17" s="58" t="str">
        <f t="shared" si="10"/>
        <v>SA/ME</v>
      </c>
      <c r="W17" s="56">
        <v>10</v>
      </c>
      <c r="X17" s="63">
        <v>11747.52</v>
      </c>
      <c r="Y17" s="130">
        <f t="shared" si="11"/>
        <v>2.4399999999986903</v>
      </c>
      <c r="Z17" s="63">
        <v>12519.36</v>
      </c>
      <c r="AA17" s="130">
        <f t="shared" si="12"/>
        <v>2.25</v>
      </c>
      <c r="AB17" s="63">
        <v>9875.36</v>
      </c>
      <c r="AC17" s="130">
        <f t="shared" si="13"/>
        <v>0.68999999999869033</v>
      </c>
      <c r="AD17" s="63">
        <v>9970.01</v>
      </c>
      <c r="AE17" s="130">
        <f t="shared" si="3"/>
        <v>1.9499999999989086</v>
      </c>
      <c r="AF17" s="125" t="str">
        <f t="shared" si="14"/>
        <v>SA/ME</v>
      </c>
      <c r="AG17" s="56">
        <v>10</v>
      </c>
      <c r="AH17" s="63">
        <v>46966.19</v>
      </c>
      <c r="AI17" s="130">
        <f t="shared" si="15"/>
        <v>16.959999999999127</v>
      </c>
      <c r="AJ17" s="63">
        <v>49106.52</v>
      </c>
      <c r="AK17" s="130">
        <f t="shared" si="16"/>
        <v>7.9000000000014552</v>
      </c>
      <c r="AL17" s="63">
        <v>586.99</v>
      </c>
      <c r="AM17" s="130" t="str">
        <f t="shared" si="17"/>
        <v/>
      </c>
      <c r="AN17" s="63">
        <v>548.57000000000005</v>
      </c>
      <c r="AO17" s="130" t="str">
        <f t="shared" si="4"/>
        <v/>
      </c>
      <c r="AP17" s="125" t="str">
        <f t="shared" si="18"/>
        <v>SA/ME</v>
      </c>
      <c r="AQ17" s="56">
        <v>10</v>
      </c>
      <c r="AR17" s="63">
        <v>6765.31</v>
      </c>
      <c r="AS17" s="130">
        <f t="shared" si="19"/>
        <v>1.339999999999236</v>
      </c>
      <c r="AT17" s="63">
        <v>7509.86</v>
      </c>
      <c r="AU17" s="130">
        <f t="shared" si="20"/>
        <v>1.3600000000005821</v>
      </c>
      <c r="AV17" s="63">
        <v>255.45</v>
      </c>
      <c r="AW17" s="130" t="str">
        <f t="shared" si="21"/>
        <v/>
      </c>
      <c r="AX17" s="63">
        <v>243.14</v>
      </c>
      <c r="AY17" s="130">
        <f t="shared" si="5"/>
        <v>0.34000000000000341</v>
      </c>
      <c r="AZ17" s="125" t="str">
        <f t="shared" si="22"/>
        <v>SA/ME</v>
      </c>
      <c r="BA17" s="56">
        <v>10</v>
      </c>
      <c r="BB17" s="64">
        <v>0.92</v>
      </c>
      <c r="BC17" s="62">
        <v>13</v>
      </c>
      <c r="BD17" s="61">
        <v>7.3</v>
      </c>
      <c r="BE17" s="61">
        <v>14.1</v>
      </c>
      <c r="BF17" s="61">
        <v>14.9</v>
      </c>
      <c r="BG17" s="61">
        <v>7.3</v>
      </c>
      <c r="BH17" s="64">
        <v>0.39800000000000002</v>
      </c>
      <c r="BI17" s="64">
        <v>0.37</v>
      </c>
      <c r="BJ17" s="64">
        <v>0.05</v>
      </c>
      <c r="BK17" s="64">
        <v>6.0999999999999999E-2</v>
      </c>
      <c r="BL17" s="64">
        <v>5.8999999999999997E-2</v>
      </c>
      <c r="BM17" s="64">
        <v>6.2E-2</v>
      </c>
      <c r="BN17" s="65" t="str">
        <f t="shared" si="23"/>
        <v>SA/ME</v>
      </c>
      <c r="BO17" s="56">
        <v>10</v>
      </c>
      <c r="BP17" s="64">
        <v>9.0999999999999998E-2</v>
      </c>
      <c r="BQ17" s="62">
        <v>0</v>
      </c>
      <c r="BR17" s="61">
        <v>7.2</v>
      </c>
      <c r="BS17" s="61">
        <v>14.1</v>
      </c>
      <c r="BT17" s="61">
        <v>14.9</v>
      </c>
      <c r="BU17" s="64">
        <v>1.2E-2</v>
      </c>
      <c r="BV17" s="63">
        <v>1.1200000000000001</v>
      </c>
      <c r="BW17" s="63">
        <v>0.91</v>
      </c>
      <c r="BX17" s="66" t="s">
        <v>368</v>
      </c>
      <c r="BY17" s="172" t="s">
        <v>239</v>
      </c>
      <c r="BZ17" s="67" t="str">
        <f t="shared" si="24"/>
        <v>SA/ME</v>
      </c>
      <c r="CA17" s="56">
        <v>10</v>
      </c>
      <c r="CB17" s="61">
        <v>96.1</v>
      </c>
      <c r="CC17" s="61"/>
      <c r="CD17" s="68">
        <f t="shared" si="25"/>
        <v>1.0999999999999943</v>
      </c>
      <c r="CE17" s="69">
        <f t="shared" si="26"/>
        <v>5.1196914999999734</v>
      </c>
      <c r="CF17" s="69">
        <f t="shared" si="27"/>
        <v>5.9646891262135613</v>
      </c>
      <c r="CG17" s="62">
        <v>61</v>
      </c>
      <c r="CH17" s="62">
        <v>100</v>
      </c>
      <c r="CI17" s="65" t="str">
        <f t="shared" si="28"/>
        <v>SA/ME</v>
      </c>
      <c r="CJ17" s="56">
        <v>10</v>
      </c>
      <c r="CK17" s="61">
        <v>94</v>
      </c>
      <c r="CL17" s="61"/>
      <c r="CM17" s="68">
        <f t="shared" si="29"/>
        <v>2</v>
      </c>
      <c r="CN17" s="68">
        <f t="shared" si="30"/>
        <v>9.3085300000000011</v>
      </c>
      <c r="CO17" s="68">
        <f t="shared" si="31"/>
        <v>24.352216805921056</v>
      </c>
      <c r="CP17" s="62">
        <v>53</v>
      </c>
      <c r="CQ17" s="62">
        <v>83</v>
      </c>
      <c r="CR17" s="65" t="str">
        <f t="shared" si="32"/>
        <v>SA/ME</v>
      </c>
      <c r="CS17" s="56">
        <v>10</v>
      </c>
      <c r="CT17" s="61">
        <v>105.6</v>
      </c>
      <c r="CU17" s="61"/>
      <c r="CV17" s="68">
        <f t="shared" si="33"/>
        <v>1.3999999999999915</v>
      </c>
      <c r="CW17" s="68">
        <f t="shared" si="34"/>
        <v>9.3019359999999427</v>
      </c>
      <c r="CX17" s="69">
        <f t="shared" si="35"/>
        <v>6.1196947368420677E-2</v>
      </c>
      <c r="CY17" s="66" t="s">
        <v>240</v>
      </c>
      <c r="CZ17" s="66" t="s">
        <v>241</v>
      </c>
      <c r="DA17" s="66"/>
      <c r="DB17" s="65" t="str">
        <f t="shared" si="36"/>
        <v>SA/ME</v>
      </c>
      <c r="DC17" s="56">
        <v>10</v>
      </c>
      <c r="DD17" s="61">
        <v>85.2</v>
      </c>
      <c r="DE17" s="61">
        <v>105.9</v>
      </c>
      <c r="DF17" s="68">
        <f t="shared" si="37"/>
        <v>14.300000000000011</v>
      </c>
      <c r="DG17" s="69">
        <f t="shared" si="38"/>
        <v>0.77150257184000071</v>
      </c>
      <c r="DH17" s="68">
        <f t="shared" si="39"/>
        <v>5.0756748147368462</v>
      </c>
      <c r="DI17" s="62">
        <v>90</v>
      </c>
      <c r="DJ17" s="62">
        <v>54</v>
      </c>
      <c r="DK17" s="65" t="str">
        <f t="shared" si="40"/>
        <v>SA/ME</v>
      </c>
      <c r="DL17" s="56">
        <v>10</v>
      </c>
      <c r="DM17" s="63">
        <v>8.17</v>
      </c>
      <c r="DN17" s="64">
        <v>2.4E-2</v>
      </c>
      <c r="DO17" s="64">
        <v>2.8000000000000001E-2</v>
      </c>
      <c r="DP17" s="64">
        <v>6.3E-2</v>
      </c>
      <c r="DQ17" s="63">
        <v>6.86</v>
      </c>
      <c r="DR17" s="61">
        <v>14.1</v>
      </c>
      <c r="DS17" s="64">
        <v>1.1259999999999999</v>
      </c>
      <c r="DT17" s="61">
        <v>86.4</v>
      </c>
      <c r="DU17" s="63">
        <v>4.34</v>
      </c>
      <c r="DV17" s="64">
        <v>0.81100000000000005</v>
      </c>
      <c r="DW17" s="64">
        <v>2.64</v>
      </c>
      <c r="DX17" s="66" t="s">
        <v>242</v>
      </c>
      <c r="DY17" s="65" t="str">
        <f t="shared" si="41"/>
        <v>SA/ME</v>
      </c>
      <c r="DZ17" s="128">
        <v>10</v>
      </c>
      <c r="EA17" s="173">
        <f t="shared" si="42"/>
        <v>0.10160427807486631</v>
      </c>
      <c r="EB17" s="173">
        <f t="shared" si="43"/>
        <v>0.13529411764705881</v>
      </c>
      <c r="EC17" s="173">
        <f t="shared" si="44"/>
        <v>0.67763157894736847</v>
      </c>
      <c r="ED17" s="63">
        <v>1.05</v>
      </c>
      <c r="EE17" s="63">
        <v>1.1399999999999999</v>
      </c>
      <c r="EF17" s="63">
        <v>0.04</v>
      </c>
      <c r="EG17" s="63">
        <v>0.05</v>
      </c>
      <c r="EH17" s="127" t="str">
        <f t="shared" si="6"/>
        <v>SA/ME</v>
      </c>
      <c r="EI17" s="56">
        <v>10</v>
      </c>
      <c r="EJ17" s="334"/>
      <c r="EK17" s="334"/>
      <c r="EL17" s="334"/>
      <c r="EM17" s="334"/>
      <c r="EN17" s="334"/>
      <c r="EO17" s="334"/>
      <c r="EP17" s="334"/>
      <c r="EQ17" s="65" t="str">
        <f t="shared" si="45"/>
        <v>SA/ME</v>
      </c>
      <c r="ER17" s="20"/>
      <c r="ES17" s="20"/>
      <c r="ET17" s="20"/>
      <c r="EU17" s="20"/>
      <c r="EV17" s="20"/>
      <c r="EW17" s="20"/>
      <c r="EX17" s="20"/>
    </row>
    <row r="18" spans="1:154" s="3" customFormat="1" ht="17.149999999999999" customHeight="1" x14ac:dyDescent="0.25">
      <c r="A18" s="56">
        <v>11</v>
      </c>
      <c r="B18" s="57">
        <v>889864</v>
      </c>
      <c r="C18" s="58">
        <f t="shared" si="7"/>
        <v>286</v>
      </c>
      <c r="D18" s="167">
        <v>9.6300000000000008</v>
      </c>
      <c r="E18" s="57">
        <v>794103</v>
      </c>
      <c r="F18" s="58">
        <f t="shared" si="8"/>
        <v>272</v>
      </c>
      <c r="G18" s="168">
        <v>2.41</v>
      </c>
      <c r="H18" s="57">
        <v>751898</v>
      </c>
      <c r="I18" s="58">
        <f t="shared" si="0"/>
        <v>234</v>
      </c>
      <c r="J18" s="60" t="s">
        <v>237</v>
      </c>
      <c r="K18" s="56">
        <v>11</v>
      </c>
      <c r="L18" s="57">
        <v>69723</v>
      </c>
      <c r="M18" s="58" t="str">
        <f t="shared" si="1"/>
        <v/>
      </c>
      <c r="N18" s="57">
        <v>176907</v>
      </c>
      <c r="O18" s="58">
        <f t="shared" si="9"/>
        <v>74</v>
      </c>
      <c r="P18" s="57">
        <v>194749</v>
      </c>
      <c r="Q18" s="169" t="str">
        <f t="shared" si="2"/>
        <v/>
      </c>
      <c r="R18" s="57">
        <v>676</v>
      </c>
      <c r="S18" s="57">
        <v>683</v>
      </c>
      <c r="T18" s="57">
        <v>141</v>
      </c>
      <c r="U18" s="57">
        <v>138</v>
      </c>
      <c r="V18" s="58" t="str">
        <f t="shared" si="10"/>
        <v>SA/ME</v>
      </c>
      <c r="W18" s="56">
        <v>11</v>
      </c>
      <c r="X18" s="63">
        <v>11749.96</v>
      </c>
      <c r="Y18" s="130">
        <f t="shared" si="11"/>
        <v>2.8100000000013097</v>
      </c>
      <c r="Z18" s="63">
        <v>12521.61</v>
      </c>
      <c r="AA18" s="130">
        <f t="shared" si="12"/>
        <v>5.6099999999987631</v>
      </c>
      <c r="AB18" s="63">
        <v>9876.0499999999993</v>
      </c>
      <c r="AC18" s="130">
        <f t="shared" si="13"/>
        <v>2.7100000000009459</v>
      </c>
      <c r="AD18" s="63">
        <v>9971.9599999999991</v>
      </c>
      <c r="AE18" s="130">
        <f t="shared" si="3"/>
        <v>3.6400000000012369</v>
      </c>
      <c r="AF18" s="125" t="str">
        <f t="shared" si="14"/>
        <v>SA/ME</v>
      </c>
      <c r="AG18" s="56">
        <v>11</v>
      </c>
      <c r="AH18" s="63">
        <v>46983.15</v>
      </c>
      <c r="AI18" s="130">
        <f t="shared" si="15"/>
        <v>15.209999999999127</v>
      </c>
      <c r="AJ18" s="63">
        <v>49114.42</v>
      </c>
      <c r="AK18" s="130">
        <f t="shared" si="16"/>
        <v>16.110000000000582</v>
      </c>
      <c r="AL18" s="63">
        <v>586.99</v>
      </c>
      <c r="AM18" s="130" t="str">
        <f t="shared" si="17"/>
        <v/>
      </c>
      <c r="AN18" s="63">
        <v>548.57000000000005</v>
      </c>
      <c r="AO18" s="130" t="str">
        <f t="shared" si="4"/>
        <v/>
      </c>
      <c r="AP18" s="125" t="str">
        <f t="shared" si="18"/>
        <v>SA/ME</v>
      </c>
      <c r="AQ18" s="56">
        <v>11</v>
      </c>
      <c r="AR18" s="63">
        <v>6766.65</v>
      </c>
      <c r="AS18" s="130">
        <f t="shared" si="19"/>
        <v>2.4000000000005457</v>
      </c>
      <c r="AT18" s="63">
        <v>7511.22</v>
      </c>
      <c r="AU18" s="130">
        <f t="shared" si="20"/>
        <v>3.1399999999994179</v>
      </c>
      <c r="AV18" s="63">
        <v>255.45</v>
      </c>
      <c r="AW18" s="130"/>
      <c r="AX18" s="63">
        <v>243.48</v>
      </c>
      <c r="AY18" s="130" t="str">
        <f t="shared" si="5"/>
        <v/>
      </c>
      <c r="AZ18" s="125" t="str">
        <f t="shared" si="22"/>
        <v>SA/ME</v>
      </c>
      <c r="BA18" s="56">
        <v>11</v>
      </c>
      <c r="BB18" s="64"/>
      <c r="BC18" s="62"/>
      <c r="BD18" s="61"/>
      <c r="BE18" s="61"/>
      <c r="BF18" s="61"/>
      <c r="BG18" s="61"/>
      <c r="BH18" s="64"/>
      <c r="BI18" s="64"/>
      <c r="BJ18" s="64"/>
      <c r="BK18" s="64"/>
      <c r="BL18" s="64"/>
      <c r="BM18" s="64"/>
      <c r="BN18" s="65" t="str">
        <f t="shared" si="23"/>
        <v>SA/ME</v>
      </c>
      <c r="BO18" s="56">
        <v>11</v>
      </c>
      <c r="BP18" s="64">
        <v>8.7999999999999995E-2</v>
      </c>
      <c r="BQ18" s="62">
        <v>0</v>
      </c>
      <c r="BR18" s="61">
        <v>7.2</v>
      </c>
      <c r="BS18" s="61">
        <v>14.2</v>
      </c>
      <c r="BT18" s="61">
        <v>16.100000000000001</v>
      </c>
      <c r="BU18" s="64">
        <v>1.6E-2</v>
      </c>
      <c r="BV18" s="63">
        <v>1.1299999999999999</v>
      </c>
      <c r="BW18" s="63">
        <v>0.9</v>
      </c>
      <c r="BX18" s="66" t="s">
        <v>369</v>
      </c>
      <c r="BY18" s="172" t="s">
        <v>239</v>
      </c>
      <c r="BZ18" s="67" t="str">
        <f t="shared" si="24"/>
        <v>SA/ME</v>
      </c>
      <c r="CA18" s="56">
        <v>11</v>
      </c>
      <c r="CB18" s="61">
        <v>95</v>
      </c>
      <c r="CC18" s="61"/>
      <c r="CD18" s="68">
        <f t="shared" si="25"/>
        <v>2.2999999999999972</v>
      </c>
      <c r="CE18" s="69">
        <f t="shared" si="26"/>
        <v>10.704809499999987</v>
      </c>
      <c r="CF18" s="69">
        <f t="shared" si="27"/>
        <v>5.4896458974358904</v>
      </c>
      <c r="CG18" s="62">
        <v>61</v>
      </c>
      <c r="CH18" s="62">
        <v>100</v>
      </c>
      <c r="CI18" s="65" t="str">
        <f t="shared" si="28"/>
        <v>SA/ME</v>
      </c>
      <c r="CJ18" s="56">
        <v>11</v>
      </c>
      <c r="CK18" s="61">
        <v>92</v>
      </c>
      <c r="CL18" s="61"/>
      <c r="CM18" s="68">
        <f t="shared" si="29"/>
        <v>3.5999999999999943</v>
      </c>
      <c r="CN18" s="68">
        <f t="shared" si="30"/>
        <v>16.755353999999976</v>
      </c>
      <c r="CO18" s="68">
        <f t="shared" si="31"/>
        <v>23.296386426923046</v>
      </c>
      <c r="CP18" s="62">
        <v>53</v>
      </c>
      <c r="CQ18" s="62">
        <v>83</v>
      </c>
      <c r="CR18" s="65" t="str">
        <f t="shared" si="32"/>
        <v>SA/ME</v>
      </c>
      <c r="CS18" s="56">
        <v>11</v>
      </c>
      <c r="CT18" s="61">
        <v>104.2</v>
      </c>
      <c r="CU18" s="61"/>
      <c r="CV18" s="68">
        <f t="shared" si="33"/>
        <v>3.1000000000000085</v>
      </c>
      <c r="CW18" s="68">
        <f t="shared" si="34"/>
        <v>20.597144000000053</v>
      </c>
      <c r="CX18" s="69">
        <f t="shared" si="35"/>
        <v>7.2017986013986207E-2</v>
      </c>
      <c r="CY18" s="66" t="s">
        <v>240</v>
      </c>
      <c r="CZ18" s="66" t="s">
        <v>241</v>
      </c>
      <c r="DA18" s="66"/>
      <c r="DB18" s="65" t="str">
        <f t="shared" si="36"/>
        <v>SA/ME</v>
      </c>
      <c r="DC18" s="56">
        <v>11</v>
      </c>
      <c r="DD18" s="61">
        <v>91.6</v>
      </c>
      <c r="DE18" s="61">
        <v>104.7</v>
      </c>
      <c r="DF18" s="68">
        <f t="shared" si="37"/>
        <v>27</v>
      </c>
      <c r="DG18" s="69">
        <f t="shared" si="38"/>
        <v>1.4566831776</v>
      </c>
      <c r="DH18" s="68">
        <f t="shared" si="39"/>
        <v>5.0932978237762239</v>
      </c>
      <c r="DI18" s="62">
        <v>90</v>
      </c>
      <c r="DJ18" s="62">
        <v>54</v>
      </c>
      <c r="DK18" s="65" t="str">
        <f t="shared" si="40"/>
        <v>SA/ME</v>
      </c>
      <c r="DL18" s="56">
        <v>11</v>
      </c>
      <c r="DM18" s="63">
        <v>8.1300000000000008</v>
      </c>
      <c r="DN18" s="64">
        <v>0.03</v>
      </c>
      <c r="DO18" s="64">
        <v>2.8000000000000001E-2</v>
      </c>
      <c r="DP18" s="64">
        <v>6.5000000000000002E-2</v>
      </c>
      <c r="DQ18" s="63">
        <v>6.86</v>
      </c>
      <c r="DR18" s="61">
        <v>14.2</v>
      </c>
      <c r="DS18" s="64">
        <v>1.103</v>
      </c>
      <c r="DT18" s="61">
        <v>86</v>
      </c>
      <c r="DU18" s="63">
        <v>4.22</v>
      </c>
      <c r="DV18" s="64">
        <v>2.218</v>
      </c>
      <c r="DW18" s="64">
        <v>1.5</v>
      </c>
      <c r="DX18" s="66" t="s">
        <v>242</v>
      </c>
      <c r="DY18" s="65" t="str">
        <f t="shared" si="41"/>
        <v>SA/ME</v>
      </c>
      <c r="DZ18" s="128">
        <v>11</v>
      </c>
      <c r="EA18" s="173">
        <f t="shared" si="42"/>
        <v>0.19117647058823528</v>
      </c>
      <c r="EB18" s="173">
        <f t="shared" si="43"/>
        <v>0.2</v>
      </c>
      <c r="EC18" s="173">
        <f t="shared" si="44"/>
        <v>0.81818181818181823</v>
      </c>
      <c r="ED18" s="63">
        <v>1.07</v>
      </c>
      <c r="EE18" s="63">
        <v>1.1399999999999999</v>
      </c>
      <c r="EF18" s="63">
        <v>0.05</v>
      </c>
      <c r="EG18" s="63">
        <v>7.0000000000000007E-2</v>
      </c>
      <c r="EH18" s="127" t="str">
        <f t="shared" si="6"/>
        <v>SA/ME</v>
      </c>
      <c r="EI18" s="56">
        <v>11</v>
      </c>
      <c r="EJ18" s="334"/>
      <c r="EK18" s="334"/>
      <c r="EL18" s="334"/>
      <c r="EM18" s="334"/>
      <c r="EN18" s="334"/>
      <c r="EO18" s="334"/>
      <c r="EP18" s="334"/>
      <c r="EQ18" s="65" t="str">
        <f t="shared" si="45"/>
        <v>SA/ME</v>
      </c>
      <c r="ER18" s="20"/>
      <c r="ES18" s="20"/>
      <c r="ET18" s="20"/>
      <c r="EU18" s="20"/>
      <c r="EV18" s="20"/>
      <c r="EW18" s="20"/>
      <c r="EX18" s="20"/>
    </row>
    <row r="19" spans="1:154" s="3" customFormat="1" ht="17.149999999999999" customHeight="1" x14ac:dyDescent="0.25">
      <c r="A19" s="56">
        <v>12</v>
      </c>
      <c r="B19" s="57">
        <v>890150</v>
      </c>
      <c r="C19" s="58">
        <f t="shared" si="7"/>
        <v>130</v>
      </c>
      <c r="D19" s="167">
        <v>9.42</v>
      </c>
      <c r="E19" s="57">
        <v>794375</v>
      </c>
      <c r="F19" s="58">
        <f t="shared" si="8"/>
        <v>150</v>
      </c>
      <c r="G19" s="168">
        <v>1.37</v>
      </c>
      <c r="H19" s="57">
        <v>752132</v>
      </c>
      <c r="I19" s="58">
        <f t="shared" si="0"/>
        <v>106</v>
      </c>
      <c r="J19" s="60" t="s">
        <v>237</v>
      </c>
      <c r="K19" s="56">
        <v>12</v>
      </c>
      <c r="L19" s="57">
        <v>69723</v>
      </c>
      <c r="M19" s="58" t="str">
        <f t="shared" si="1"/>
        <v/>
      </c>
      <c r="N19" s="57">
        <v>176981</v>
      </c>
      <c r="O19" s="58">
        <f t="shared" si="9"/>
        <v>36</v>
      </c>
      <c r="P19" s="57">
        <v>194749</v>
      </c>
      <c r="Q19" s="169" t="str">
        <f t="shared" si="2"/>
        <v/>
      </c>
      <c r="R19" s="57">
        <v>676</v>
      </c>
      <c r="S19" s="57">
        <v>683</v>
      </c>
      <c r="T19" s="57">
        <v>141</v>
      </c>
      <c r="U19" s="57">
        <v>138</v>
      </c>
      <c r="V19" s="58" t="str">
        <f t="shared" si="10"/>
        <v>SA/ME</v>
      </c>
      <c r="W19" s="56">
        <v>12</v>
      </c>
      <c r="X19" s="63">
        <v>11752.77</v>
      </c>
      <c r="Y19" s="130">
        <f t="shared" si="11"/>
        <v>1.7899999999990541</v>
      </c>
      <c r="Z19" s="63">
        <v>12527.22</v>
      </c>
      <c r="AA19" s="130">
        <f t="shared" si="12"/>
        <v>2.1000000000003638</v>
      </c>
      <c r="AB19" s="63">
        <v>9878.76</v>
      </c>
      <c r="AC19" s="130">
        <f t="shared" si="13"/>
        <v>1.069999999999709</v>
      </c>
      <c r="AD19" s="63">
        <v>9975.6</v>
      </c>
      <c r="AE19" s="130">
        <f t="shared" si="3"/>
        <v>1.6399999999994179</v>
      </c>
      <c r="AF19" s="125" t="str">
        <f t="shared" si="14"/>
        <v>SA/ME</v>
      </c>
      <c r="AG19" s="56">
        <v>12</v>
      </c>
      <c r="AH19" s="63">
        <v>46998.36</v>
      </c>
      <c r="AI19" s="130">
        <f t="shared" si="15"/>
        <v>8.8000000000029104</v>
      </c>
      <c r="AJ19" s="63">
        <v>49130.53</v>
      </c>
      <c r="AK19" s="130">
        <f t="shared" si="16"/>
        <v>12.099999999998545</v>
      </c>
      <c r="AL19" s="63">
        <v>586.99</v>
      </c>
      <c r="AM19" s="130" t="str">
        <f t="shared" si="17"/>
        <v/>
      </c>
      <c r="AN19" s="63">
        <v>548.57000000000005</v>
      </c>
      <c r="AO19" s="130" t="str">
        <f t="shared" si="4"/>
        <v/>
      </c>
      <c r="AP19" s="125" t="str">
        <f t="shared" si="18"/>
        <v>SA/ME</v>
      </c>
      <c r="AQ19" s="56">
        <v>12</v>
      </c>
      <c r="AR19" s="63">
        <v>6769.05</v>
      </c>
      <c r="AS19" s="130">
        <f t="shared" si="19"/>
        <v>1.3800000000001091</v>
      </c>
      <c r="AT19" s="63">
        <v>7514.36</v>
      </c>
      <c r="AU19" s="130">
        <f t="shared" si="20"/>
        <v>2.0500000000001819</v>
      </c>
      <c r="AV19" s="63">
        <v>255.45</v>
      </c>
      <c r="AW19" s="130" t="str">
        <f t="shared" si="21"/>
        <v/>
      </c>
      <c r="AX19" s="63">
        <v>243.48</v>
      </c>
      <c r="AY19" s="130" t="str">
        <f t="shared" si="5"/>
        <v/>
      </c>
      <c r="AZ19" s="125" t="str">
        <f t="shared" si="22"/>
        <v>SA/ME</v>
      </c>
      <c r="BA19" s="56">
        <v>12</v>
      </c>
      <c r="BB19" s="64"/>
      <c r="BC19" s="62"/>
      <c r="BD19" s="61"/>
      <c r="BE19" s="61"/>
      <c r="BF19" s="61"/>
      <c r="BG19" s="61"/>
      <c r="BH19" s="64"/>
      <c r="BI19" s="64"/>
      <c r="BJ19" s="64"/>
      <c r="BK19" s="64"/>
      <c r="BL19" s="64"/>
      <c r="BM19" s="64"/>
      <c r="BN19" s="65" t="str">
        <f t="shared" si="23"/>
        <v>SA/ME</v>
      </c>
      <c r="BO19" s="56">
        <v>12</v>
      </c>
      <c r="BP19" s="64">
        <v>8.5000000000000006E-2</v>
      </c>
      <c r="BQ19" s="62">
        <v>0</v>
      </c>
      <c r="BR19" s="61">
        <v>7.2</v>
      </c>
      <c r="BS19" s="61">
        <v>14.2</v>
      </c>
      <c r="BT19" s="61">
        <v>18.399999999999999</v>
      </c>
      <c r="BU19" s="64">
        <v>1.4E-2</v>
      </c>
      <c r="BV19" s="63">
        <v>1.1100000000000001</v>
      </c>
      <c r="BW19" s="63">
        <v>0.94</v>
      </c>
      <c r="BX19" s="66" t="s">
        <v>238</v>
      </c>
      <c r="BY19" s="172" t="s">
        <v>239</v>
      </c>
      <c r="BZ19" s="67" t="str">
        <f t="shared" si="24"/>
        <v>SA/ME</v>
      </c>
      <c r="CA19" s="56">
        <v>12</v>
      </c>
      <c r="CB19" s="61">
        <v>92.7</v>
      </c>
      <c r="CC19" s="61"/>
      <c r="CD19" s="68">
        <f t="shared" si="25"/>
        <v>0.90000000000000568</v>
      </c>
      <c r="CE19" s="69">
        <f t="shared" si="26"/>
        <v>4.1888385000000268</v>
      </c>
      <c r="CF19" s="69">
        <f t="shared" si="27"/>
        <v>4.7420813207547479</v>
      </c>
      <c r="CG19" s="62">
        <v>61</v>
      </c>
      <c r="CH19" s="62">
        <v>100</v>
      </c>
      <c r="CI19" s="65" t="str">
        <f t="shared" si="28"/>
        <v>SA/ME</v>
      </c>
      <c r="CJ19" s="56">
        <v>12</v>
      </c>
      <c r="CK19" s="61">
        <v>88.4</v>
      </c>
      <c r="CL19" s="61"/>
      <c r="CM19" s="68">
        <f t="shared" si="29"/>
        <v>1.8000000000000114</v>
      </c>
      <c r="CN19" s="68">
        <f t="shared" si="30"/>
        <v>8.3776770000000536</v>
      </c>
      <c r="CO19" s="68">
        <f t="shared" si="31"/>
        <v>25.626025069615551</v>
      </c>
      <c r="CP19" s="62">
        <v>53</v>
      </c>
      <c r="CQ19" s="62">
        <v>83</v>
      </c>
      <c r="CR19" s="65" t="str">
        <f t="shared" si="32"/>
        <v>SA/ME</v>
      </c>
      <c r="CS19" s="56">
        <v>12</v>
      </c>
      <c r="CT19" s="61">
        <v>101.1</v>
      </c>
      <c r="CU19" s="61"/>
      <c r="CV19" s="68">
        <f t="shared" si="33"/>
        <v>1.2999999999999972</v>
      </c>
      <c r="CW19" s="68">
        <f t="shared" si="34"/>
        <v>8.6375119999999814</v>
      </c>
      <c r="CX19" s="69">
        <f t="shared" si="35"/>
        <v>6.644239999999986E-2</v>
      </c>
      <c r="CY19" s="66" t="s">
        <v>240</v>
      </c>
      <c r="CZ19" s="66" t="s">
        <v>241</v>
      </c>
      <c r="DA19" s="66"/>
      <c r="DB19" s="65" t="str">
        <f t="shared" si="36"/>
        <v>SA/ME</v>
      </c>
      <c r="DC19" s="56">
        <v>12</v>
      </c>
      <c r="DD19" s="61">
        <v>77.7</v>
      </c>
      <c r="DE19" s="61">
        <v>103.8</v>
      </c>
      <c r="DF19" s="68">
        <f t="shared" si="37"/>
        <v>14.200000000000003</v>
      </c>
      <c r="DG19" s="69">
        <f t="shared" si="38"/>
        <v>0.76610744896000016</v>
      </c>
      <c r="DH19" s="68">
        <f t="shared" si="39"/>
        <v>5.8931342227692323</v>
      </c>
      <c r="DI19" s="62">
        <v>90</v>
      </c>
      <c r="DJ19" s="62">
        <v>54</v>
      </c>
      <c r="DK19" s="65" t="str">
        <f t="shared" si="40"/>
        <v>SA/ME</v>
      </c>
      <c r="DL19" s="56">
        <v>12</v>
      </c>
      <c r="DM19" s="63">
        <v>8.01</v>
      </c>
      <c r="DN19" s="64">
        <v>2.4E-2</v>
      </c>
      <c r="DO19" s="64">
        <v>2.8000000000000001E-2</v>
      </c>
      <c r="DP19" s="64">
        <v>6.0999999999999999E-2</v>
      </c>
      <c r="DQ19" s="63">
        <v>6.86</v>
      </c>
      <c r="DR19" s="61">
        <v>14.2</v>
      </c>
      <c r="DS19" s="64">
        <v>1.109</v>
      </c>
      <c r="DT19" s="61">
        <v>86.8</v>
      </c>
      <c r="DU19" s="63">
        <v>4.25</v>
      </c>
      <c r="DV19" s="64">
        <v>1.1020000000000001</v>
      </c>
      <c r="DW19" s="64">
        <v>1.53</v>
      </c>
      <c r="DX19" s="66" t="s">
        <v>242</v>
      </c>
      <c r="DY19" s="65" t="str">
        <f t="shared" si="41"/>
        <v>SA/ME</v>
      </c>
      <c r="DZ19" s="128">
        <v>12</v>
      </c>
      <c r="EA19" s="173">
        <f t="shared" si="42"/>
        <v>8.6898395721925134E-2</v>
      </c>
      <c r="EB19" s="173">
        <f t="shared" si="43"/>
        <v>0.11029411764705882</v>
      </c>
      <c r="EC19" s="173">
        <f t="shared" si="44"/>
        <v>0.81538461538461537</v>
      </c>
      <c r="ED19" s="63">
        <v>1.06</v>
      </c>
      <c r="EE19" s="63">
        <v>1.1100000000000001</v>
      </c>
      <c r="EF19" s="63">
        <v>0.05</v>
      </c>
      <c r="EG19" s="63">
        <v>0.05</v>
      </c>
      <c r="EH19" s="127" t="str">
        <f t="shared" si="6"/>
        <v>SA/ME</v>
      </c>
      <c r="EI19" s="56">
        <v>12</v>
      </c>
      <c r="EJ19" s="334"/>
      <c r="EK19" s="334"/>
      <c r="EL19" s="334"/>
      <c r="EM19" s="334"/>
      <c r="EN19" s="334"/>
      <c r="EO19" s="334"/>
      <c r="EP19" s="334"/>
      <c r="EQ19" s="65" t="str">
        <f t="shared" si="45"/>
        <v>SA/ME</v>
      </c>
      <c r="ER19" s="20"/>
      <c r="ES19" s="20"/>
      <c r="ET19" s="20"/>
      <c r="EU19" s="20"/>
      <c r="EV19" s="20"/>
      <c r="EW19" s="20"/>
      <c r="EX19" s="20"/>
    </row>
    <row r="20" spans="1:154" s="3" customFormat="1" ht="17.149999999999999" customHeight="1" x14ac:dyDescent="0.25">
      <c r="A20" s="56">
        <v>13</v>
      </c>
      <c r="B20" s="57">
        <v>890280</v>
      </c>
      <c r="C20" s="58">
        <f t="shared" si="7"/>
        <v>135</v>
      </c>
      <c r="D20" s="167">
        <v>9.9499999999999993</v>
      </c>
      <c r="E20" s="59">
        <v>794525</v>
      </c>
      <c r="F20" s="58">
        <f t="shared" si="8"/>
        <v>173</v>
      </c>
      <c r="G20" s="168">
        <v>2.82</v>
      </c>
      <c r="H20" s="57">
        <v>752238</v>
      </c>
      <c r="I20" s="58">
        <f t="shared" si="0"/>
        <v>117</v>
      </c>
      <c r="J20" s="60" t="s">
        <v>194</v>
      </c>
      <c r="K20" s="56">
        <v>13</v>
      </c>
      <c r="L20" s="57">
        <v>69723</v>
      </c>
      <c r="M20" s="58" t="str">
        <f t="shared" si="1"/>
        <v/>
      </c>
      <c r="N20" s="59">
        <v>177017</v>
      </c>
      <c r="O20" s="58">
        <f t="shared" si="9"/>
        <v>27</v>
      </c>
      <c r="P20" s="57">
        <v>194749</v>
      </c>
      <c r="Q20" s="169" t="str">
        <f t="shared" si="2"/>
        <v/>
      </c>
      <c r="R20" s="57">
        <v>676</v>
      </c>
      <c r="S20" s="57">
        <v>638</v>
      </c>
      <c r="T20" s="57">
        <v>141</v>
      </c>
      <c r="U20" s="57">
        <v>138</v>
      </c>
      <c r="V20" s="58" t="str">
        <f t="shared" si="10"/>
        <v>ME</v>
      </c>
      <c r="W20" s="56">
        <v>13</v>
      </c>
      <c r="X20" s="63">
        <v>11754.56</v>
      </c>
      <c r="Y20" s="130">
        <f t="shared" si="11"/>
        <v>1.8100000000013097</v>
      </c>
      <c r="Z20" s="63">
        <v>12529.32</v>
      </c>
      <c r="AA20" s="130">
        <f t="shared" si="12"/>
        <v>2.25</v>
      </c>
      <c r="AB20" s="63">
        <v>9879.83</v>
      </c>
      <c r="AC20" s="130">
        <f t="shared" si="13"/>
        <v>1.319999999999709</v>
      </c>
      <c r="AD20" s="63">
        <v>9977.24</v>
      </c>
      <c r="AE20" s="130">
        <f t="shared" si="3"/>
        <v>1.7900000000008731</v>
      </c>
      <c r="AF20" s="125" t="str">
        <f t="shared" si="14"/>
        <v>ME</v>
      </c>
      <c r="AG20" s="56">
        <v>13</v>
      </c>
      <c r="AH20" s="63">
        <v>47007.16</v>
      </c>
      <c r="AI20" s="130">
        <f t="shared" si="15"/>
        <v>10.769999999996799</v>
      </c>
      <c r="AJ20" s="63">
        <v>49142.63</v>
      </c>
      <c r="AK20" s="130">
        <f t="shared" si="16"/>
        <v>11.900000000001455</v>
      </c>
      <c r="AL20" s="63">
        <v>586.99</v>
      </c>
      <c r="AM20" s="130" t="str">
        <f t="shared" si="17"/>
        <v/>
      </c>
      <c r="AN20" s="63">
        <v>548.57000000000005</v>
      </c>
      <c r="AO20" s="130" t="str">
        <f t="shared" si="4"/>
        <v/>
      </c>
      <c r="AP20" s="125" t="str">
        <f t="shared" si="18"/>
        <v>ME</v>
      </c>
      <c r="AQ20" s="56">
        <v>13</v>
      </c>
      <c r="AR20" s="63">
        <v>6770.43</v>
      </c>
      <c r="AS20" s="130">
        <f t="shared" si="19"/>
        <v>1.0799999999999272</v>
      </c>
      <c r="AT20" s="63">
        <v>7516.41</v>
      </c>
      <c r="AU20" s="130">
        <f t="shared" si="20"/>
        <v>1.4400000000005093</v>
      </c>
      <c r="AV20" s="63">
        <v>255.45</v>
      </c>
      <c r="AW20" s="130" t="str">
        <f t="shared" si="21"/>
        <v/>
      </c>
      <c r="AX20" s="63">
        <v>243.48</v>
      </c>
      <c r="AY20" s="130" t="str">
        <f t="shared" si="5"/>
        <v/>
      </c>
      <c r="AZ20" s="125" t="str">
        <f t="shared" si="22"/>
        <v>ME</v>
      </c>
      <c r="BA20" s="56">
        <v>13</v>
      </c>
      <c r="BB20" s="64">
        <v>1.1599999999999999</v>
      </c>
      <c r="BC20" s="62">
        <v>32</v>
      </c>
      <c r="BD20" s="61">
        <v>7.1</v>
      </c>
      <c r="BE20" s="61">
        <v>14.2</v>
      </c>
      <c r="BF20" s="61">
        <v>14.3</v>
      </c>
      <c r="BG20" s="61">
        <v>7.1</v>
      </c>
      <c r="BH20" s="64">
        <v>0.34499999999999997</v>
      </c>
      <c r="BI20" s="64">
        <v>0.312</v>
      </c>
      <c r="BJ20" s="64">
        <v>5.6000000000000001E-2</v>
      </c>
      <c r="BK20" s="64">
        <v>5.8000000000000003E-2</v>
      </c>
      <c r="BL20" s="64">
        <v>5.5E-2</v>
      </c>
      <c r="BM20" s="64">
        <v>5.5E-2</v>
      </c>
      <c r="BN20" s="65" t="str">
        <f t="shared" si="23"/>
        <v>ME</v>
      </c>
      <c r="BO20" s="56">
        <v>13</v>
      </c>
      <c r="BP20" s="64">
        <v>8.6999999999999994E-2</v>
      </c>
      <c r="BQ20" s="62">
        <v>0</v>
      </c>
      <c r="BR20" s="61">
        <v>7.2</v>
      </c>
      <c r="BS20" s="61">
        <v>14.3</v>
      </c>
      <c r="BT20" s="61">
        <v>19.5</v>
      </c>
      <c r="BU20" s="64">
        <v>1.2E-2</v>
      </c>
      <c r="BV20" s="63">
        <v>1.0900000000000001</v>
      </c>
      <c r="BW20" s="63">
        <v>0.93</v>
      </c>
      <c r="BX20" s="66" t="s">
        <v>245</v>
      </c>
      <c r="BY20" s="172" t="s">
        <v>361</v>
      </c>
      <c r="BZ20" s="67" t="str">
        <f t="shared" si="24"/>
        <v>ME</v>
      </c>
      <c r="CA20" s="56">
        <v>13</v>
      </c>
      <c r="CB20" s="61">
        <v>91.8</v>
      </c>
      <c r="CC20" s="61"/>
      <c r="CD20" s="68">
        <f t="shared" si="25"/>
        <v>1.2000000000000028</v>
      </c>
      <c r="CE20" s="69">
        <f t="shared" si="26"/>
        <v>5.5851180000000138</v>
      </c>
      <c r="CF20" s="69">
        <f t="shared" si="27"/>
        <v>5.7283261538461687</v>
      </c>
      <c r="CG20" s="62">
        <v>69</v>
      </c>
      <c r="CH20" s="62">
        <v>100</v>
      </c>
      <c r="CI20" s="65" t="str">
        <f t="shared" si="28"/>
        <v>ME</v>
      </c>
      <c r="CJ20" s="56">
        <v>13</v>
      </c>
      <c r="CK20" s="61">
        <v>86.6</v>
      </c>
      <c r="CL20" s="61"/>
      <c r="CM20" s="68">
        <f t="shared" si="29"/>
        <v>1.6999999999999886</v>
      </c>
      <c r="CN20" s="68">
        <f t="shared" si="30"/>
        <v>7.9122504999999475</v>
      </c>
      <c r="CO20" s="68">
        <f t="shared" si="31"/>
        <v>23.30597341722207</v>
      </c>
      <c r="CP20" s="62">
        <v>55</v>
      </c>
      <c r="CQ20" s="62">
        <v>83</v>
      </c>
      <c r="CR20" s="65" t="str">
        <f t="shared" si="32"/>
        <v>ME</v>
      </c>
      <c r="CS20" s="56">
        <v>13</v>
      </c>
      <c r="CT20" s="61">
        <v>99.8</v>
      </c>
      <c r="CU20" s="61"/>
      <c r="CV20" s="68">
        <f t="shared" si="33"/>
        <v>1.5</v>
      </c>
      <c r="CW20" s="68">
        <f t="shared" si="34"/>
        <v>9.9663599999999999</v>
      </c>
      <c r="CX20" s="69">
        <f t="shared" si="35"/>
        <v>7.3824888888888884E-2</v>
      </c>
      <c r="CY20" s="66" t="s">
        <v>251</v>
      </c>
      <c r="CZ20" s="66" t="s">
        <v>241</v>
      </c>
      <c r="DA20" s="66"/>
      <c r="DB20" s="65" t="str">
        <f t="shared" si="36"/>
        <v>ME</v>
      </c>
      <c r="DC20" s="56">
        <v>13</v>
      </c>
      <c r="DD20" s="61">
        <v>89.6</v>
      </c>
      <c r="DE20" s="61">
        <v>103.8</v>
      </c>
      <c r="DF20" s="68">
        <f t="shared" si="37"/>
        <v>13.099999999999994</v>
      </c>
      <c r="DG20" s="69">
        <f t="shared" si="38"/>
        <v>0.70676109727999969</v>
      </c>
      <c r="DH20" s="68">
        <f t="shared" si="39"/>
        <v>5.235267387259257</v>
      </c>
      <c r="DI20" s="62">
        <v>90</v>
      </c>
      <c r="DJ20" s="62">
        <v>54</v>
      </c>
      <c r="DK20" s="65" t="str">
        <f t="shared" si="40"/>
        <v>ME</v>
      </c>
      <c r="DL20" s="56">
        <v>13</v>
      </c>
      <c r="DM20" s="63">
        <v>8.1300000000000008</v>
      </c>
      <c r="DN20" s="64">
        <v>2.8000000000000001E-2</v>
      </c>
      <c r="DO20" s="64">
        <v>2.8000000000000001E-2</v>
      </c>
      <c r="DP20" s="64">
        <v>6.4000000000000001E-2</v>
      </c>
      <c r="DQ20" s="63">
        <v>6.9</v>
      </c>
      <c r="DR20" s="61">
        <v>14.3</v>
      </c>
      <c r="DS20" s="64">
        <v>1.097</v>
      </c>
      <c r="DT20" s="61">
        <v>86.4</v>
      </c>
      <c r="DU20" s="63">
        <v>4.25</v>
      </c>
      <c r="DV20" s="64">
        <v>0.7</v>
      </c>
      <c r="DW20" s="64">
        <v>1.05</v>
      </c>
      <c r="DX20" s="66" t="s">
        <v>242</v>
      </c>
      <c r="DY20" s="65" t="str">
        <f t="shared" si="41"/>
        <v>ME</v>
      </c>
      <c r="DZ20" s="128">
        <v>13</v>
      </c>
      <c r="EA20" s="173">
        <f t="shared" si="42"/>
        <v>9.0240641711229946E-2</v>
      </c>
      <c r="EB20" s="173">
        <f t="shared" si="43"/>
        <v>0.12720588235294117</v>
      </c>
      <c r="EC20" s="173">
        <f t="shared" si="44"/>
        <v>0.8666666666666667</v>
      </c>
      <c r="ED20" s="63">
        <v>1.07</v>
      </c>
      <c r="EE20" s="63">
        <v>1.1200000000000001</v>
      </c>
      <c r="EF20" s="63">
        <v>0.05</v>
      </c>
      <c r="EG20" s="63">
        <v>0.04</v>
      </c>
      <c r="EH20" s="127" t="str">
        <f t="shared" si="6"/>
        <v>ME</v>
      </c>
      <c r="EI20" s="56">
        <v>13</v>
      </c>
      <c r="EJ20" s="334"/>
      <c r="EK20" s="334"/>
      <c r="EL20" s="334"/>
      <c r="EM20" s="334"/>
      <c r="EN20" s="334"/>
      <c r="EO20" s="334"/>
      <c r="EP20" s="334"/>
      <c r="EQ20" s="65" t="str">
        <f t="shared" si="45"/>
        <v>ME</v>
      </c>
      <c r="ER20" s="20"/>
      <c r="ES20" s="20"/>
      <c r="ET20" s="20"/>
      <c r="EU20" s="20"/>
      <c r="EV20" s="20"/>
      <c r="EW20" s="20"/>
      <c r="EX20" s="20"/>
    </row>
    <row r="21" spans="1:154" s="3" customFormat="1" ht="17.149999999999999" customHeight="1" x14ac:dyDescent="0.25">
      <c r="A21" s="56">
        <v>14</v>
      </c>
      <c r="B21" s="57">
        <v>890415</v>
      </c>
      <c r="C21" s="58">
        <f t="shared" si="7"/>
        <v>216</v>
      </c>
      <c r="D21" s="167">
        <v>9.0500000000000007</v>
      </c>
      <c r="E21" s="59">
        <v>794698</v>
      </c>
      <c r="F21" s="58">
        <f t="shared" si="8"/>
        <v>217</v>
      </c>
      <c r="G21" s="168">
        <v>2.46</v>
      </c>
      <c r="H21" s="57">
        <v>752355</v>
      </c>
      <c r="I21" s="58">
        <f t="shared" si="0"/>
        <v>151</v>
      </c>
      <c r="J21" s="60" t="s">
        <v>194</v>
      </c>
      <c r="K21" s="56">
        <v>14</v>
      </c>
      <c r="L21" s="57">
        <v>69723</v>
      </c>
      <c r="M21" s="58">
        <f t="shared" si="1"/>
        <v>48</v>
      </c>
      <c r="N21" s="59">
        <v>177044</v>
      </c>
      <c r="O21" s="58">
        <f t="shared" si="9"/>
        <v>59</v>
      </c>
      <c r="P21" s="57">
        <v>194749</v>
      </c>
      <c r="Q21" s="169" t="str">
        <f t="shared" si="2"/>
        <v/>
      </c>
      <c r="R21" s="57">
        <v>676</v>
      </c>
      <c r="S21" s="57">
        <v>683</v>
      </c>
      <c r="T21" s="57">
        <v>141</v>
      </c>
      <c r="U21" s="57">
        <v>138</v>
      </c>
      <c r="V21" s="58" t="str">
        <f t="shared" si="10"/>
        <v>ME</v>
      </c>
      <c r="W21" s="56">
        <v>14</v>
      </c>
      <c r="X21" s="63">
        <v>11756.37</v>
      </c>
      <c r="Y21" s="130">
        <f t="shared" si="11"/>
        <v>4.0599999999994907</v>
      </c>
      <c r="Z21" s="63">
        <v>12531.57</v>
      </c>
      <c r="AA21" s="130">
        <f t="shared" si="12"/>
        <v>2.4600000000009459</v>
      </c>
      <c r="AB21" s="63">
        <v>9881.15</v>
      </c>
      <c r="AC21" s="130">
        <f t="shared" si="13"/>
        <v>2.069999999999709</v>
      </c>
      <c r="AD21" s="63">
        <v>9979.0300000000007</v>
      </c>
      <c r="AE21" s="130">
        <f t="shared" si="3"/>
        <v>1.9599999999991269</v>
      </c>
      <c r="AF21" s="125" t="str">
        <f t="shared" si="14"/>
        <v>ME</v>
      </c>
      <c r="AG21" s="56">
        <v>14</v>
      </c>
      <c r="AH21" s="63">
        <v>47017.93</v>
      </c>
      <c r="AI21" s="130">
        <f t="shared" si="15"/>
        <v>13.230000000003201</v>
      </c>
      <c r="AJ21" s="63">
        <v>49154.53</v>
      </c>
      <c r="AK21" s="130">
        <f t="shared" si="16"/>
        <v>11.380000000004657</v>
      </c>
      <c r="AL21" s="63">
        <v>586.99</v>
      </c>
      <c r="AM21" s="130" t="str">
        <f t="shared" si="17"/>
        <v/>
      </c>
      <c r="AN21" s="63">
        <v>548.57000000000005</v>
      </c>
      <c r="AO21" s="130" t="str">
        <f t="shared" si="4"/>
        <v/>
      </c>
      <c r="AP21" s="125" t="str">
        <f t="shared" si="18"/>
        <v>ME</v>
      </c>
      <c r="AQ21" s="56">
        <v>14</v>
      </c>
      <c r="AR21" s="63">
        <v>6771.51</v>
      </c>
      <c r="AS21" s="130">
        <f t="shared" si="19"/>
        <v>1.75</v>
      </c>
      <c r="AT21" s="63">
        <v>7517.85</v>
      </c>
      <c r="AU21" s="130">
        <f t="shared" si="20"/>
        <v>2.6299999999991996</v>
      </c>
      <c r="AV21" s="63">
        <v>255.45</v>
      </c>
      <c r="AW21" s="130">
        <f t="shared" si="21"/>
        <v>0.34000000000000341</v>
      </c>
      <c r="AX21" s="63">
        <v>243.48</v>
      </c>
      <c r="AY21" s="130" t="str">
        <f t="shared" si="5"/>
        <v/>
      </c>
      <c r="AZ21" s="125" t="str">
        <f t="shared" si="22"/>
        <v>ME</v>
      </c>
      <c r="BA21" s="56">
        <v>14</v>
      </c>
      <c r="BB21" s="64">
        <v>1.19</v>
      </c>
      <c r="BC21" s="62">
        <v>37</v>
      </c>
      <c r="BD21" s="61">
        <v>6.9</v>
      </c>
      <c r="BE21" s="61">
        <v>14.8</v>
      </c>
      <c r="BF21" s="61">
        <v>14.8</v>
      </c>
      <c r="BG21" s="61">
        <v>6.9</v>
      </c>
      <c r="BH21" s="64">
        <v>0.221</v>
      </c>
      <c r="BI21" s="64">
        <v>2.2200000000000001E-2</v>
      </c>
      <c r="BJ21" s="64">
        <v>6.8000000000000005E-2</v>
      </c>
      <c r="BK21" s="64">
        <v>6.2E-2</v>
      </c>
      <c r="BL21" s="64">
        <v>6.0999999999999999E-2</v>
      </c>
      <c r="BM21" s="64">
        <v>6.5000000000000002E-2</v>
      </c>
      <c r="BN21" s="65" t="str">
        <f t="shared" si="23"/>
        <v>ME</v>
      </c>
      <c r="BO21" s="56">
        <v>14</v>
      </c>
      <c r="BP21" s="64">
        <v>0.1</v>
      </c>
      <c r="BQ21" s="62">
        <v>0</v>
      </c>
      <c r="BR21" s="61">
        <v>7.1</v>
      </c>
      <c r="BS21" s="61">
        <v>14.5</v>
      </c>
      <c r="BT21" s="61">
        <v>17.2</v>
      </c>
      <c r="BU21" s="64">
        <v>1.0999999999999999E-2</v>
      </c>
      <c r="BV21" s="63">
        <v>1.1200000000000001</v>
      </c>
      <c r="BW21" s="63">
        <v>0.92</v>
      </c>
      <c r="BX21" s="66" t="s">
        <v>245</v>
      </c>
      <c r="BY21" s="172" t="s">
        <v>361</v>
      </c>
      <c r="BZ21" s="67" t="str">
        <f t="shared" si="24"/>
        <v>ME</v>
      </c>
      <c r="CA21" s="56">
        <v>14</v>
      </c>
      <c r="CB21" s="61">
        <v>90.6</v>
      </c>
      <c r="CC21" s="61"/>
      <c r="CD21" s="68">
        <f t="shared" si="25"/>
        <v>1.5</v>
      </c>
      <c r="CE21" s="69">
        <f t="shared" si="26"/>
        <v>6.9813975000000008</v>
      </c>
      <c r="CF21" s="69">
        <f t="shared" si="27"/>
        <v>5.5481304635761592</v>
      </c>
      <c r="CG21" s="62">
        <v>68</v>
      </c>
      <c r="CH21" s="62">
        <v>100</v>
      </c>
      <c r="CI21" s="65" t="str">
        <f t="shared" si="28"/>
        <v>ME</v>
      </c>
      <c r="CJ21" s="56">
        <v>14</v>
      </c>
      <c r="CK21" s="61">
        <v>84.9</v>
      </c>
      <c r="CL21" s="61"/>
      <c r="CM21" s="68">
        <f t="shared" si="29"/>
        <v>2.7000000000000028</v>
      </c>
      <c r="CN21" s="68">
        <f t="shared" si="30"/>
        <v>12.566515500000014</v>
      </c>
      <c r="CO21" s="68">
        <f t="shared" si="31"/>
        <v>23.134605965625028</v>
      </c>
      <c r="CP21" s="62">
        <v>60</v>
      </c>
      <c r="CQ21" s="62">
        <v>83</v>
      </c>
      <c r="CR21" s="65" t="str">
        <f t="shared" si="32"/>
        <v>ME</v>
      </c>
      <c r="CS21" s="56">
        <v>14</v>
      </c>
      <c r="CT21" s="61">
        <v>98.3</v>
      </c>
      <c r="CU21" s="61"/>
      <c r="CV21" s="68">
        <f t="shared" si="33"/>
        <v>2.2000000000000028</v>
      </c>
      <c r="CW21" s="68">
        <f t="shared" si="34"/>
        <v>14.617328000000018</v>
      </c>
      <c r="CX21" s="69">
        <f t="shared" si="35"/>
        <v>6.7672814814814894E-2</v>
      </c>
      <c r="CY21" s="66" t="s">
        <v>240</v>
      </c>
      <c r="CZ21" s="66" t="s">
        <v>241</v>
      </c>
      <c r="DA21" s="66"/>
      <c r="DB21" s="65" t="str">
        <f t="shared" si="36"/>
        <v>ME</v>
      </c>
      <c r="DC21" s="56">
        <v>14</v>
      </c>
      <c r="DD21" s="61">
        <v>90.7</v>
      </c>
      <c r="DE21" s="61">
        <v>103.2</v>
      </c>
      <c r="DF21" s="68">
        <f t="shared" si="37"/>
        <v>23.200000000000003</v>
      </c>
      <c r="DG21" s="69">
        <f t="shared" si="38"/>
        <v>1.2516685081600001</v>
      </c>
      <c r="DH21" s="68">
        <f t="shared" si="39"/>
        <v>5.7947616118518521</v>
      </c>
      <c r="DI21" s="62">
        <v>85</v>
      </c>
      <c r="DJ21" s="62">
        <v>54</v>
      </c>
      <c r="DK21" s="65" t="str">
        <f t="shared" si="40"/>
        <v>ME</v>
      </c>
      <c r="DL21" s="56">
        <v>14</v>
      </c>
      <c r="DM21" s="63">
        <v>8.0500000000000007</v>
      </c>
      <c r="DN21" s="64">
        <v>0.03</v>
      </c>
      <c r="DO21" s="64">
        <v>2.8000000000000001E-2</v>
      </c>
      <c r="DP21" s="64">
        <v>6.5000000000000002E-2</v>
      </c>
      <c r="DQ21" s="63">
        <v>6.89</v>
      </c>
      <c r="DR21" s="61">
        <v>14.5</v>
      </c>
      <c r="DS21" s="64">
        <v>1.1000000000000001</v>
      </c>
      <c r="DT21" s="61">
        <v>84.7</v>
      </c>
      <c r="DU21" s="63">
        <v>4.21</v>
      </c>
      <c r="DV21" s="64">
        <v>0.67600000000000005</v>
      </c>
      <c r="DW21" s="64">
        <v>1.18</v>
      </c>
      <c r="DX21" s="66" t="s">
        <v>242</v>
      </c>
      <c r="DY21" s="65" t="str">
        <f t="shared" si="41"/>
        <v>ME</v>
      </c>
      <c r="DZ21" s="128">
        <v>14</v>
      </c>
      <c r="EA21" s="173">
        <f t="shared" si="42"/>
        <v>0.14438502673796791</v>
      </c>
      <c r="EB21" s="173">
        <f t="shared" si="43"/>
        <v>0.15955882352941175</v>
      </c>
      <c r="EC21" s="173">
        <f t="shared" si="44"/>
        <v>0.69907407407407407</v>
      </c>
      <c r="ED21" s="63">
        <v>1.04</v>
      </c>
      <c r="EE21" s="63">
        <v>1.1499999999999999</v>
      </c>
      <c r="EF21" s="63">
        <v>0.05</v>
      </c>
      <c r="EG21" s="63">
        <v>0.05</v>
      </c>
      <c r="EH21" s="127" t="str">
        <f t="shared" si="6"/>
        <v>ME</v>
      </c>
      <c r="EI21" s="56">
        <v>14</v>
      </c>
      <c r="EJ21" s="334"/>
      <c r="EK21" s="334"/>
      <c r="EL21" s="334"/>
      <c r="EM21" s="334"/>
      <c r="EN21" s="334"/>
      <c r="EO21" s="334"/>
      <c r="EP21" s="334"/>
      <c r="EQ21" s="65" t="str">
        <f t="shared" si="45"/>
        <v>ME</v>
      </c>
      <c r="ER21" s="20"/>
      <c r="ES21" s="20"/>
      <c r="ET21" s="20"/>
      <c r="EU21" s="20"/>
      <c r="EV21" s="20"/>
      <c r="EW21" s="20"/>
      <c r="EX21" s="20"/>
    </row>
    <row r="22" spans="1:154" s="3" customFormat="1" ht="17.149999999999999" customHeight="1" x14ac:dyDescent="0.35">
      <c r="A22" s="56">
        <v>15</v>
      </c>
      <c r="B22" s="57">
        <v>890631</v>
      </c>
      <c r="C22" s="58">
        <f t="shared" si="7"/>
        <v>174</v>
      </c>
      <c r="D22" s="167">
        <v>9.61</v>
      </c>
      <c r="E22" s="59">
        <v>794915</v>
      </c>
      <c r="F22" s="58">
        <f t="shared" si="8"/>
        <v>173</v>
      </c>
      <c r="G22" s="168">
        <v>2.62</v>
      </c>
      <c r="H22" s="57">
        <v>752506</v>
      </c>
      <c r="I22" s="58">
        <f t="shared" si="0"/>
        <v>153</v>
      </c>
      <c r="J22" s="60" t="s">
        <v>194</v>
      </c>
      <c r="K22" s="56">
        <v>15</v>
      </c>
      <c r="L22" s="57">
        <v>69771</v>
      </c>
      <c r="M22" s="58" t="str">
        <f t="shared" si="1"/>
        <v/>
      </c>
      <c r="N22" s="59">
        <v>177103</v>
      </c>
      <c r="O22" s="58">
        <f t="shared" si="9"/>
        <v>42</v>
      </c>
      <c r="P22" s="57">
        <v>194749</v>
      </c>
      <c r="Q22" s="169" t="str">
        <f t="shared" si="2"/>
        <v/>
      </c>
      <c r="R22" s="57">
        <v>676</v>
      </c>
      <c r="S22" s="57">
        <v>684</v>
      </c>
      <c r="T22" s="57">
        <v>141</v>
      </c>
      <c r="U22" s="57">
        <v>138</v>
      </c>
      <c r="V22" s="58" t="str">
        <f t="shared" si="10"/>
        <v>ME</v>
      </c>
      <c r="W22" s="56">
        <v>15</v>
      </c>
      <c r="X22" s="63">
        <v>11760.43</v>
      </c>
      <c r="Y22" s="130">
        <f t="shared" si="11"/>
        <v>3.0499999999992724</v>
      </c>
      <c r="Z22" s="63">
        <v>12534.03</v>
      </c>
      <c r="AA22" s="130">
        <f t="shared" si="12"/>
        <v>2.069999999999709</v>
      </c>
      <c r="AB22" s="63">
        <v>9883.2199999999993</v>
      </c>
      <c r="AC22" s="130">
        <f t="shared" si="13"/>
        <v>2.430000000000291</v>
      </c>
      <c r="AD22" s="63">
        <v>9980.99</v>
      </c>
      <c r="AE22" s="130">
        <f t="shared" si="3"/>
        <v>1.6300000000010186</v>
      </c>
      <c r="AF22" s="125" t="str">
        <f t="shared" si="14"/>
        <v>ME</v>
      </c>
      <c r="AG22" s="56">
        <v>15</v>
      </c>
      <c r="AH22" s="63">
        <v>47031.16</v>
      </c>
      <c r="AI22" s="130">
        <f t="shared" si="15"/>
        <v>11.259999999994761</v>
      </c>
      <c r="AJ22" s="63">
        <v>49165.91</v>
      </c>
      <c r="AK22" s="130">
        <f t="shared" si="16"/>
        <v>12.629999999997381</v>
      </c>
      <c r="AL22" s="63">
        <v>586.99</v>
      </c>
      <c r="AM22" s="130" t="str">
        <f t="shared" si="17"/>
        <v/>
      </c>
      <c r="AN22" s="63">
        <v>548.57000000000005</v>
      </c>
      <c r="AO22" s="130" t="str">
        <f t="shared" si="4"/>
        <v/>
      </c>
      <c r="AP22" s="125" t="str">
        <f t="shared" si="18"/>
        <v>ME</v>
      </c>
      <c r="AQ22" s="56">
        <v>15</v>
      </c>
      <c r="AR22" s="63">
        <v>6773.26</v>
      </c>
      <c r="AS22" s="130">
        <f t="shared" si="19"/>
        <v>1.5500000000001819</v>
      </c>
      <c r="AT22" s="63">
        <v>7520.48</v>
      </c>
      <c r="AU22" s="130">
        <f t="shared" si="20"/>
        <v>2.7000000000007276</v>
      </c>
      <c r="AV22" s="63">
        <v>255.79</v>
      </c>
      <c r="AW22" s="130" t="str">
        <f t="shared" si="21"/>
        <v/>
      </c>
      <c r="AX22" s="63">
        <v>243.48</v>
      </c>
      <c r="AY22" s="130" t="str">
        <f t="shared" si="5"/>
        <v/>
      </c>
      <c r="AZ22" s="125" t="str">
        <f t="shared" si="22"/>
        <v>ME</v>
      </c>
      <c r="BA22" s="56">
        <v>15</v>
      </c>
      <c r="BB22" s="64">
        <v>1.37</v>
      </c>
      <c r="BC22" s="70">
        <v>88</v>
      </c>
      <c r="BD22" s="71">
        <v>7</v>
      </c>
      <c r="BE22" s="71">
        <v>16.2</v>
      </c>
      <c r="BF22" s="71">
        <v>15.2</v>
      </c>
      <c r="BG22" s="71">
        <v>7</v>
      </c>
      <c r="BH22" s="72">
        <v>0.185</v>
      </c>
      <c r="BI22" s="72">
        <v>0.16600000000000001</v>
      </c>
      <c r="BJ22" s="72">
        <v>6.9000000000000006E-2</v>
      </c>
      <c r="BK22" s="72">
        <v>6.2E-2</v>
      </c>
      <c r="BL22" s="64">
        <v>5.7000000000000002E-2</v>
      </c>
      <c r="BM22" s="64">
        <v>5.8000000000000003E-2</v>
      </c>
      <c r="BN22" s="65" t="str">
        <f t="shared" si="23"/>
        <v>ME</v>
      </c>
      <c r="BO22" s="56">
        <v>15</v>
      </c>
      <c r="BP22" s="64">
        <v>9.8000000000000004E-2</v>
      </c>
      <c r="BQ22" s="62">
        <v>0</v>
      </c>
      <c r="BR22" s="61">
        <v>7</v>
      </c>
      <c r="BS22" s="61">
        <v>14.7</v>
      </c>
      <c r="BT22" s="61">
        <v>18.899999999999999</v>
      </c>
      <c r="BU22" s="64">
        <v>1.4E-2</v>
      </c>
      <c r="BV22" s="63">
        <v>1.1499999999999999</v>
      </c>
      <c r="BW22" s="63">
        <v>0.93</v>
      </c>
      <c r="BX22" s="66" t="s">
        <v>245</v>
      </c>
      <c r="BY22" s="172" t="s">
        <v>361</v>
      </c>
      <c r="BZ22" s="67" t="str">
        <f t="shared" si="24"/>
        <v>ME</v>
      </c>
      <c r="CA22" s="56">
        <v>15</v>
      </c>
      <c r="CB22" s="61">
        <v>89.1</v>
      </c>
      <c r="CC22" s="61">
        <v>96.6</v>
      </c>
      <c r="CD22" s="68">
        <f t="shared" si="25"/>
        <v>1.5</v>
      </c>
      <c r="CE22" s="69">
        <f t="shared" si="26"/>
        <v>6.9813975000000008</v>
      </c>
      <c r="CF22" s="69">
        <f t="shared" si="27"/>
        <v>5.4756058823529417</v>
      </c>
      <c r="CG22" s="62">
        <v>68</v>
      </c>
      <c r="CH22" s="62">
        <v>100</v>
      </c>
      <c r="CI22" s="65" t="str">
        <f t="shared" si="28"/>
        <v>ME</v>
      </c>
      <c r="CJ22" s="56">
        <v>15</v>
      </c>
      <c r="CK22" s="61">
        <v>82.2</v>
      </c>
      <c r="CL22" s="61">
        <v>98.3</v>
      </c>
      <c r="CM22" s="68">
        <f t="shared" si="29"/>
        <v>2.2000000000000028</v>
      </c>
      <c r="CN22" s="68">
        <f t="shared" si="30"/>
        <v>10.239383000000014</v>
      </c>
      <c r="CO22" s="68">
        <f t="shared" si="31"/>
        <v>23.400520976724174</v>
      </c>
      <c r="CP22" s="62">
        <v>56</v>
      </c>
      <c r="CQ22" s="62">
        <v>83</v>
      </c>
      <c r="CR22" s="65" t="str">
        <f t="shared" si="32"/>
        <v>ME</v>
      </c>
      <c r="CS22" s="56">
        <v>15</v>
      </c>
      <c r="CT22" s="61">
        <v>96.1</v>
      </c>
      <c r="CU22" s="61"/>
      <c r="CV22" s="68">
        <f t="shared" si="33"/>
        <v>1.6999999999999886</v>
      </c>
      <c r="CW22" s="68">
        <f t="shared" si="34"/>
        <v>11.295207999999924</v>
      </c>
      <c r="CX22" s="69">
        <f t="shared" si="35"/>
        <v>6.4914988505746687E-2</v>
      </c>
      <c r="CY22" s="66" t="s">
        <v>240</v>
      </c>
      <c r="CZ22" s="66" t="s">
        <v>241</v>
      </c>
      <c r="DA22" s="66"/>
      <c r="DB22" s="65" t="str">
        <f t="shared" si="36"/>
        <v>ME</v>
      </c>
      <c r="DC22" s="56">
        <v>15</v>
      </c>
      <c r="DD22" s="61">
        <v>80</v>
      </c>
      <c r="DE22" s="61">
        <v>104.5</v>
      </c>
      <c r="DF22" s="68">
        <f t="shared" si="37"/>
        <v>17</v>
      </c>
      <c r="DG22" s="69">
        <f t="shared" si="38"/>
        <v>0.91717088960000015</v>
      </c>
      <c r="DH22" s="68">
        <f t="shared" si="39"/>
        <v>5.271097066666667</v>
      </c>
      <c r="DI22" s="62">
        <v>90</v>
      </c>
      <c r="DJ22" s="62">
        <v>54</v>
      </c>
      <c r="DK22" s="65" t="str">
        <f t="shared" si="40"/>
        <v>ME</v>
      </c>
      <c r="DL22" s="56">
        <v>15</v>
      </c>
      <c r="DM22" s="63">
        <v>8.33</v>
      </c>
      <c r="DN22" s="64">
        <v>0.03</v>
      </c>
      <c r="DO22" s="64">
        <v>3.3000000000000002E-2</v>
      </c>
      <c r="DP22" s="64">
        <v>6.5000000000000002E-2</v>
      </c>
      <c r="DQ22" s="63">
        <v>6.89</v>
      </c>
      <c r="DR22" s="61">
        <v>14.7</v>
      </c>
      <c r="DS22" s="64">
        <v>1.117</v>
      </c>
      <c r="DT22" s="61">
        <v>85.2</v>
      </c>
      <c r="DU22" s="63">
        <v>4.1500000000000004</v>
      </c>
      <c r="DV22" s="64">
        <v>1.1819999999999999</v>
      </c>
      <c r="DW22" s="64">
        <v>3.04</v>
      </c>
      <c r="DX22" s="66" t="s">
        <v>242</v>
      </c>
      <c r="DY22" s="65" t="str">
        <f t="shared" si="41"/>
        <v>ME</v>
      </c>
      <c r="DZ22" s="128">
        <v>15</v>
      </c>
      <c r="EA22" s="173">
        <f t="shared" si="42"/>
        <v>0.11631016042780749</v>
      </c>
      <c r="EB22" s="173">
        <f t="shared" si="43"/>
        <v>0.12720588235294117</v>
      </c>
      <c r="EC22" s="173">
        <f t="shared" si="44"/>
        <v>0.87931034482758619</v>
      </c>
      <c r="ED22" s="63">
        <v>1.0900000000000001</v>
      </c>
      <c r="EE22" s="63">
        <v>1.1399999999999999</v>
      </c>
      <c r="EF22" s="63">
        <v>0.05</v>
      </c>
      <c r="EG22" s="63">
        <v>0.06</v>
      </c>
      <c r="EH22" s="127" t="str">
        <f t="shared" si="6"/>
        <v>ME</v>
      </c>
      <c r="EI22" s="56">
        <v>15</v>
      </c>
      <c r="EJ22" s="334"/>
      <c r="EK22" s="334"/>
      <c r="EL22" s="334"/>
      <c r="EM22" s="334"/>
      <c r="EN22" s="334"/>
      <c r="EO22" s="334"/>
      <c r="EP22" s="334"/>
      <c r="EQ22" s="65" t="str">
        <f t="shared" si="45"/>
        <v>ME</v>
      </c>
      <c r="ER22" s="20"/>
      <c r="ES22" s="20"/>
      <c r="ET22" s="20"/>
      <c r="EU22" s="20"/>
      <c r="EV22" s="20"/>
      <c r="EW22" s="20"/>
      <c r="EX22" s="20"/>
    </row>
    <row r="23" spans="1:154" s="3" customFormat="1" ht="17.149999999999999" customHeight="1" x14ac:dyDescent="0.35">
      <c r="A23" s="56">
        <v>16</v>
      </c>
      <c r="B23" s="57">
        <v>890805</v>
      </c>
      <c r="C23" s="58">
        <f t="shared" si="7"/>
        <v>158</v>
      </c>
      <c r="D23" s="167">
        <v>9.32</v>
      </c>
      <c r="E23" s="59">
        <v>795088</v>
      </c>
      <c r="F23" s="58">
        <f t="shared" si="8"/>
        <v>220</v>
      </c>
      <c r="G23" s="168">
        <v>1.79</v>
      </c>
      <c r="H23" s="57">
        <v>752659</v>
      </c>
      <c r="I23" s="58">
        <f t="shared" si="0"/>
        <v>138</v>
      </c>
      <c r="J23" s="60" t="s">
        <v>194</v>
      </c>
      <c r="K23" s="56">
        <v>16</v>
      </c>
      <c r="L23" s="57">
        <v>69771</v>
      </c>
      <c r="M23" s="58" t="str">
        <f t="shared" si="1"/>
        <v/>
      </c>
      <c r="N23" s="59">
        <v>177145</v>
      </c>
      <c r="O23" s="58">
        <f t="shared" si="9"/>
        <v>29</v>
      </c>
      <c r="P23" s="57">
        <v>194749</v>
      </c>
      <c r="Q23" s="169" t="str">
        <f t="shared" si="2"/>
        <v/>
      </c>
      <c r="R23" s="57">
        <v>676</v>
      </c>
      <c r="S23" s="57">
        <v>684</v>
      </c>
      <c r="T23" s="57">
        <v>141</v>
      </c>
      <c r="U23" s="57">
        <v>138</v>
      </c>
      <c r="V23" s="58" t="str">
        <f t="shared" si="10"/>
        <v>ME</v>
      </c>
      <c r="W23" s="56">
        <v>16</v>
      </c>
      <c r="X23" s="63">
        <v>11763.48</v>
      </c>
      <c r="Y23" s="130">
        <f t="shared" si="11"/>
        <v>2.0400000000008731</v>
      </c>
      <c r="Z23" s="63">
        <v>12536.1</v>
      </c>
      <c r="AA23" s="130">
        <f t="shared" si="12"/>
        <v>2.5900000000001455</v>
      </c>
      <c r="AB23" s="63">
        <v>9885.65</v>
      </c>
      <c r="AC23" s="130">
        <f t="shared" si="13"/>
        <v>1.6000000000003638</v>
      </c>
      <c r="AD23" s="63">
        <v>9982.6200000000008</v>
      </c>
      <c r="AE23" s="130">
        <f t="shared" si="3"/>
        <v>2.0799999999999272</v>
      </c>
      <c r="AF23" s="125" t="str">
        <f t="shared" si="14"/>
        <v>ME</v>
      </c>
      <c r="AG23" s="56">
        <v>16</v>
      </c>
      <c r="AH23" s="63">
        <v>47042.42</v>
      </c>
      <c r="AI23" s="130">
        <f t="shared" si="15"/>
        <v>12.75</v>
      </c>
      <c r="AJ23" s="63">
        <v>49178.54</v>
      </c>
      <c r="AK23" s="130">
        <f t="shared" si="16"/>
        <v>13.779999999998836</v>
      </c>
      <c r="AL23" s="63">
        <v>586.99</v>
      </c>
      <c r="AM23" s="130" t="str">
        <f t="shared" si="17"/>
        <v/>
      </c>
      <c r="AN23" s="63">
        <v>548.57000000000005</v>
      </c>
      <c r="AO23" s="130" t="str">
        <f t="shared" si="4"/>
        <v/>
      </c>
      <c r="AP23" s="125" t="str">
        <f t="shared" si="18"/>
        <v>ME</v>
      </c>
      <c r="AQ23" s="56">
        <v>16</v>
      </c>
      <c r="AR23" s="63">
        <v>6774.81</v>
      </c>
      <c r="AS23" s="130">
        <f t="shared" si="19"/>
        <v>0.80999999999949068</v>
      </c>
      <c r="AT23" s="63">
        <v>7523.18</v>
      </c>
      <c r="AU23" s="130">
        <f t="shared" si="20"/>
        <v>1.6799999999993815</v>
      </c>
      <c r="AV23" s="63">
        <v>255.79</v>
      </c>
      <c r="AW23" s="130" t="str">
        <f t="shared" si="21"/>
        <v/>
      </c>
      <c r="AX23" s="63">
        <v>243.48</v>
      </c>
      <c r="AY23" s="130" t="str">
        <f t="shared" si="5"/>
        <v/>
      </c>
      <c r="AZ23" s="125" t="str">
        <f t="shared" si="22"/>
        <v>ME</v>
      </c>
      <c r="BA23" s="56">
        <v>16</v>
      </c>
      <c r="BB23" s="64">
        <v>1.1599999999999999</v>
      </c>
      <c r="BC23" s="62">
        <v>29</v>
      </c>
      <c r="BD23" s="61">
        <v>7</v>
      </c>
      <c r="BE23" s="61">
        <v>16</v>
      </c>
      <c r="BF23" s="61">
        <v>15.5</v>
      </c>
      <c r="BG23" s="61">
        <v>7</v>
      </c>
      <c r="BH23" s="64">
        <v>0.16300000000000001</v>
      </c>
      <c r="BI23" s="64">
        <v>0.159</v>
      </c>
      <c r="BJ23" s="64">
        <v>6.9000000000000006E-2</v>
      </c>
      <c r="BK23" s="64">
        <v>5.0999999999999997E-2</v>
      </c>
      <c r="BL23" s="64">
        <v>5.8000000000000003E-2</v>
      </c>
      <c r="BM23" s="64">
        <v>5.3999999999999999E-2</v>
      </c>
      <c r="BN23" s="65" t="str">
        <f t="shared" si="23"/>
        <v>ME</v>
      </c>
      <c r="BO23" s="56">
        <v>16</v>
      </c>
      <c r="BP23" s="64">
        <v>8.5000000000000006E-2</v>
      </c>
      <c r="BQ23" s="62">
        <v>0</v>
      </c>
      <c r="BR23" s="61">
        <v>7.1</v>
      </c>
      <c r="BS23" s="61">
        <v>14.8</v>
      </c>
      <c r="BT23" s="61">
        <v>17.2</v>
      </c>
      <c r="BU23" s="64">
        <v>1.2999999999999999E-2</v>
      </c>
      <c r="BV23" s="63">
        <v>1.1499999999999999</v>
      </c>
      <c r="BW23" s="63">
        <v>0.86</v>
      </c>
      <c r="BX23" s="66" t="s">
        <v>245</v>
      </c>
      <c r="BY23" s="172" t="s">
        <v>361</v>
      </c>
      <c r="BZ23" s="67" t="str">
        <f t="shared" si="24"/>
        <v>ME</v>
      </c>
      <c r="CA23" s="56">
        <v>16</v>
      </c>
      <c r="CB23" s="61">
        <v>95.1</v>
      </c>
      <c r="CC23" s="61"/>
      <c r="CD23" s="68">
        <f t="shared" si="25"/>
        <v>1.3999999999999915</v>
      </c>
      <c r="CE23" s="69">
        <f t="shared" si="26"/>
        <v>6.5159709999999604</v>
      </c>
      <c r="CF23" s="69">
        <f t="shared" si="27"/>
        <v>5.6660617391304005</v>
      </c>
      <c r="CG23" s="62">
        <v>69</v>
      </c>
      <c r="CH23" s="62">
        <v>100</v>
      </c>
      <c r="CI23" s="65" t="str">
        <f t="shared" si="28"/>
        <v>ME</v>
      </c>
      <c r="CJ23" s="56">
        <v>16</v>
      </c>
      <c r="CK23" s="61">
        <v>96.1</v>
      </c>
      <c r="CL23" s="61"/>
      <c r="CM23" s="68">
        <f t="shared" si="29"/>
        <v>2.0999999999999943</v>
      </c>
      <c r="CN23" s="68">
        <f t="shared" si="30"/>
        <v>9.773956499999974</v>
      </c>
      <c r="CO23" s="68">
        <f t="shared" si="31"/>
        <v>24.598821533069557</v>
      </c>
      <c r="CP23" s="62">
        <v>55</v>
      </c>
      <c r="CQ23" s="62">
        <v>83</v>
      </c>
      <c r="CR23" s="65" t="str">
        <f t="shared" si="32"/>
        <v>ME</v>
      </c>
      <c r="CS23" s="56">
        <v>16</v>
      </c>
      <c r="CT23" s="61">
        <v>94.4</v>
      </c>
      <c r="CU23" s="61"/>
      <c r="CV23" s="68">
        <f t="shared" si="33"/>
        <v>1.7000000000000028</v>
      </c>
      <c r="CW23" s="68">
        <f t="shared" si="34"/>
        <v>11.295208000000018</v>
      </c>
      <c r="CX23" s="69">
        <f t="shared" si="35"/>
        <v>7.1488658227848223E-2</v>
      </c>
      <c r="CY23" s="66" t="s">
        <v>240</v>
      </c>
      <c r="CZ23" s="66" t="s">
        <v>241</v>
      </c>
      <c r="DA23" s="66"/>
      <c r="DB23" s="65" t="str">
        <f t="shared" si="36"/>
        <v>ME</v>
      </c>
      <c r="DC23" s="56">
        <v>16</v>
      </c>
      <c r="DD23" s="61">
        <v>87.5</v>
      </c>
      <c r="DE23" s="61">
        <v>105.3</v>
      </c>
      <c r="DF23" s="68">
        <f t="shared" si="37"/>
        <v>15.5</v>
      </c>
      <c r="DG23" s="69">
        <f t="shared" si="38"/>
        <v>0.83624404640000016</v>
      </c>
      <c r="DH23" s="68">
        <f t="shared" si="39"/>
        <v>5.2926838379746846</v>
      </c>
      <c r="DI23" s="62">
        <v>88</v>
      </c>
      <c r="DJ23" s="62">
        <v>54</v>
      </c>
      <c r="DK23" s="65" t="str">
        <f t="shared" si="40"/>
        <v>ME</v>
      </c>
      <c r="DL23" s="56">
        <v>16</v>
      </c>
      <c r="DM23" s="63">
        <v>8.26</v>
      </c>
      <c r="DN23" s="64">
        <v>2.8000000000000001E-2</v>
      </c>
      <c r="DO23" s="64">
        <v>0.03</v>
      </c>
      <c r="DP23" s="64">
        <v>6.4000000000000001E-2</v>
      </c>
      <c r="DQ23" s="63">
        <v>6.91</v>
      </c>
      <c r="DR23" s="61">
        <v>14.8</v>
      </c>
      <c r="DS23" s="64">
        <v>1.1120000000000001</v>
      </c>
      <c r="DT23" s="61">
        <v>86.3</v>
      </c>
      <c r="DU23" s="63">
        <v>4.2300000000000004</v>
      </c>
      <c r="DV23" s="64">
        <v>0.70299999999999996</v>
      </c>
      <c r="DW23" s="64">
        <v>1.97</v>
      </c>
      <c r="DX23" s="66" t="s">
        <v>247</v>
      </c>
      <c r="DY23" s="65" t="str">
        <f t="shared" si="41"/>
        <v>ME</v>
      </c>
      <c r="DZ23" s="128">
        <v>16</v>
      </c>
      <c r="EA23" s="173">
        <f t="shared" si="42"/>
        <v>0.10561497326203209</v>
      </c>
      <c r="EB23" s="173">
        <f t="shared" si="43"/>
        <v>0.16176470588235295</v>
      </c>
      <c r="EC23" s="173">
        <f t="shared" si="44"/>
        <v>0.87341772151898733</v>
      </c>
      <c r="ED23" s="63">
        <v>1.1000000000000001</v>
      </c>
      <c r="EE23" s="63">
        <v>1.1599999999999999</v>
      </c>
      <c r="EF23" s="63">
        <v>0.04</v>
      </c>
      <c r="EG23" s="63">
        <v>0.06</v>
      </c>
      <c r="EH23" s="127" t="str">
        <f t="shared" si="6"/>
        <v>ME</v>
      </c>
      <c r="EI23" s="56">
        <v>16</v>
      </c>
      <c r="EJ23" s="334"/>
      <c r="EK23" s="334"/>
      <c r="EL23" s="334"/>
      <c r="EM23" s="334"/>
      <c r="EN23" s="334"/>
      <c r="EO23" s="334"/>
      <c r="EP23" s="334"/>
      <c r="EQ23" s="65" t="str">
        <f t="shared" si="45"/>
        <v>ME</v>
      </c>
      <c r="ER23" s="20"/>
      <c r="ES23" s="20"/>
      <c r="ET23" s="20"/>
      <c r="EU23" s="20"/>
      <c r="EV23" s="20"/>
      <c r="EW23" s="20"/>
      <c r="EX23" s="20"/>
    </row>
    <row r="24" spans="1:154" s="3" customFormat="1" ht="17.149999999999999" customHeight="1" x14ac:dyDescent="0.35">
      <c r="A24" s="56">
        <v>17</v>
      </c>
      <c r="B24" s="57">
        <v>890963</v>
      </c>
      <c r="C24" s="58">
        <f t="shared" si="7"/>
        <v>174</v>
      </c>
      <c r="D24" s="167">
        <v>8.86</v>
      </c>
      <c r="E24" s="59">
        <v>795308</v>
      </c>
      <c r="F24" s="58">
        <f t="shared" si="8"/>
        <v>122</v>
      </c>
      <c r="G24" s="168">
        <v>2.71</v>
      </c>
      <c r="H24" s="57">
        <v>752797</v>
      </c>
      <c r="I24" s="58">
        <f t="shared" si="0"/>
        <v>153</v>
      </c>
      <c r="J24" s="60" t="s">
        <v>194</v>
      </c>
      <c r="K24" s="56">
        <v>17</v>
      </c>
      <c r="L24" s="57">
        <v>69771</v>
      </c>
      <c r="M24" s="58" t="str">
        <f t="shared" si="1"/>
        <v/>
      </c>
      <c r="N24" s="59">
        <v>177174</v>
      </c>
      <c r="O24" s="58">
        <f t="shared" si="9"/>
        <v>20</v>
      </c>
      <c r="P24" s="57">
        <v>194749</v>
      </c>
      <c r="Q24" s="169" t="str">
        <f t="shared" si="2"/>
        <v/>
      </c>
      <c r="R24" s="57">
        <v>676</v>
      </c>
      <c r="S24" s="57">
        <v>684</v>
      </c>
      <c r="T24" s="57">
        <v>141</v>
      </c>
      <c r="U24" s="57">
        <v>138</v>
      </c>
      <c r="V24" s="58" t="str">
        <f t="shared" si="10"/>
        <v>ME</v>
      </c>
      <c r="W24" s="56">
        <v>17</v>
      </c>
      <c r="X24" s="63">
        <v>11765.52</v>
      </c>
      <c r="Y24" s="130">
        <f t="shared" si="11"/>
        <v>3</v>
      </c>
      <c r="Z24" s="63">
        <v>12538.69</v>
      </c>
      <c r="AA24" s="130">
        <f t="shared" si="12"/>
        <v>2.1099999999987631</v>
      </c>
      <c r="AB24" s="63">
        <v>9887.25</v>
      </c>
      <c r="AC24" s="130">
        <f t="shared" si="13"/>
        <v>2.4099999999998545</v>
      </c>
      <c r="AD24" s="63">
        <v>9984.7000000000007</v>
      </c>
      <c r="AE24" s="130">
        <f t="shared" si="3"/>
        <v>1.6499999999996362</v>
      </c>
      <c r="AF24" s="125" t="str">
        <f t="shared" si="14"/>
        <v>ME</v>
      </c>
      <c r="AG24" s="56">
        <v>17</v>
      </c>
      <c r="AH24" s="63">
        <v>47055.17</v>
      </c>
      <c r="AI24" s="130">
        <f t="shared" si="15"/>
        <v>7.1500000000014552</v>
      </c>
      <c r="AJ24" s="63">
        <v>49192.32</v>
      </c>
      <c r="AK24" s="130">
        <f t="shared" si="16"/>
        <v>10.230000000003201</v>
      </c>
      <c r="AL24" s="63">
        <v>586.99</v>
      </c>
      <c r="AM24" s="130" t="str">
        <f t="shared" si="17"/>
        <v/>
      </c>
      <c r="AN24" s="63">
        <v>548.57000000000005</v>
      </c>
      <c r="AO24" s="130" t="str">
        <f t="shared" si="4"/>
        <v/>
      </c>
      <c r="AP24" s="125" t="str">
        <f t="shared" si="18"/>
        <v>ME</v>
      </c>
      <c r="AQ24" s="56">
        <v>17</v>
      </c>
      <c r="AR24" s="63">
        <v>6775.62</v>
      </c>
      <c r="AS24" s="130">
        <f t="shared" si="19"/>
        <v>1</v>
      </c>
      <c r="AT24" s="63">
        <v>7524.86</v>
      </c>
      <c r="AU24" s="130">
        <f t="shared" si="20"/>
        <v>0.96000000000003638</v>
      </c>
      <c r="AV24" s="63">
        <v>255.79</v>
      </c>
      <c r="AW24" s="130" t="str">
        <f t="shared" si="21"/>
        <v/>
      </c>
      <c r="AX24" s="63">
        <v>243.48</v>
      </c>
      <c r="AY24" s="130" t="str">
        <f t="shared" si="5"/>
        <v/>
      </c>
      <c r="AZ24" s="125" t="str">
        <f t="shared" si="22"/>
        <v>ME</v>
      </c>
      <c r="BA24" s="56">
        <v>17</v>
      </c>
      <c r="BB24" s="64">
        <v>1.61</v>
      </c>
      <c r="BC24" s="62">
        <v>28</v>
      </c>
      <c r="BD24" s="61">
        <v>7.3</v>
      </c>
      <c r="BE24" s="61">
        <v>16.3</v>
      </c>
      <c r="BF24" s="61">
        <v>16.899999999999999</v>
      </c>
      <c r="BG24" s="61">
        <v>7.3</v>
      </c>
      <c r="BH24" s="64">
        <v>0.216</v>
      </c>
      <c r="BI24" s="64">
        <v>0.17499999999999999</v>
      </c>
      <c r="BJ24" s="64">
        <v>7.4999999999999997E-2</v>
      </c>
      <c r="BK24" s="64">
        <v>6.9000000000000006E-2</v>
      </c>
      <c r="BL24" s="64">
        <v>5.8000000000000003E-2</v>
      </c>
      <c r="BM24" s="64">
        <v>5.0999999999999997E-2</v>
      </c>
      <c r="BN24" s="65" t="str">
        <f t="shared" si="23"/>
        <v>ME</v>
      </c>
      <c r="BO24" s="56">
        <v>17</v>
      </c>
      <c r="BP24" s="64">
        <v>8.3000000000000004E-2</v>
      </c>
      <c r="BQ24" s="62">
        <v>0</v>
      </c>
      <c r="BR24" s="61">
        <v>7.1</v>
      </c>
      <c r="BS24" s="61">
        <v>15</v>
      </c>
      <c r="BT24" s="61">
        <v>18.8</v>
      </c>
      <c r="BU24" s="64">
        <v>1.4E-2</v>
      </c>
      <c r="BV24" s="63">
        <v>1.1000000000000001</v>
      </c>
      <c r="BW24" s="63">
        <v>0.87</v>
      </c>
      <c r="BX24" s="66" t="s">
        <v>245</v>
      </c>
      <c r="BY24" s="172" t="s">
        <v>361</v>
      </c>
      <c r="BZ24" s="67" t="str">
        <f t="shared" si="24"/>
        <v>ME</v>
      </c>
      <c r="CA24" s="56">
        <v>17</v>
      </c>
      <c r="CB24" s="61">
        <v>93.7</v>
      </c>
      <c r="CC24" s="61"/>
      <c r="CD24" s="68">
        <f t="shared" si="25"/>
        <v>1.5</v>
      </c>
      <c r="CE24" s="69">
        <f t="shared" si="26"/>
        <v>6.9813975000000008</v>
      </c>
      <c r="CF24" s="69">
        <f t="shared" si="27"/>
        <v>5.4756058823529417</v>
      </c>
      <c r="CG24" s="62">
        <v>67</v>
      </c>
      <c r="CH24" s="62">
        <v>100</v>
      </c>
      <c r="CI24" s="65" t="str">
        <f t="shared" si="28"/>
        <v>ME</v>
      </c>
      <c r="CJ24" s="56">
        <v>17</v>
      </c>
      <c r="CK24" s="61">
        <v>94</v>
      </c>
      <c r="CL24" s="61"/>
      <c r="CM24" s="68">
        <f t="shared" si="29"/>
        <v>2.2999999999999972</v>
      </c>
      <c r="CN24" s="68">
        <f t="shared" si="30"/>
        <v>10.704809499999987</v>
      </c>
      <c r="CO24" s="68">
        <f t="shared" si="31"/>
        <v>24.464181021120659</v>
      </c>
      <c r="CP24" s="62">
        <v>53</v>
      </c>
      <c r="CQ24" s="62">
        <v>83</v>
      </c>
      <c r="CR24" s="65" t="str">
        <f t="shared" si="32"/>
        <v>ME</v>
      </c>
      <c r="CS24" s="56">
        <v>17</v>
      </c>
      <c r="CT24" s="61">
        <v>92.7</v>
      </c>
      <c r="CU24" s="61">
        <v>90.9</v>
      </c>
      <c r="CV24" s="68">
        <f t="shared" si="33"/>
        <v>1.8000000000000114</v>
      </c>
      <c r="CW24" s="68">
        <f t="shared" si="34"/>
        <v>11.959632000000076</v>
      </c>
      <c r="CX24" s="69">
        <f t="shared" si="35"/>
        <v>6.8733517241379744E-2</v>
      </c>
      <c r="CY24" s="66" t="s">
        <v>240</v>
      </c>
      <c r="CZ24" s="66" t="s">
        <v>241</v>
      </c>
      <c r="DA24" s="66" t="s">
        <v>242</v>
      </c>
      <c r="DB24" s="65" t="str">
        <f t="shared" si="36"/>
        <v>ME</v>
      </c>
      <c r="DC24" s="56">
        <v>17</v>
      </c>
      <c r="DD24" s="61">
        <v>89.8</v>
      </c>
      <c r="DE24" s="61">
        <v>103.4</v>
      </c>
      <c r="DF24" s="68">
        <f t="shared" si="37"/>
        <v>16.700000000000003</v>
      </c>
      <c r="DG24" s="69">
        <f t="shared" si="38"/>
        <v>0.90098552096000029</v>
      </c>
      <c r="DH24" s="68">
        <f t="shared" si="39"/>
        <v>5.1780777066666683</v>
      </c>
      <c r="DI24" s="62">
        <v>86</v>
      </c>
      <c r="DJ24" s="62">
        <v>54</v>
      </c>
      <c r="DK24" s="65" t="str">
        <f t="shared" si="40"/>
        <v>ME</v>
      </c>
      <c r="DL24" s="56">
        <v>17</v>
      </c>
      <c r="DM24" s="63">
        <v>8.07</v>
      </c>
      <c r="DN24" s="64">
        <v>2.8000000000000001E-2</v>
      </c>
      <c r="DO24" s="64">
        <v>0.03</v>
      </c>
      <c r="DP24" s="64">
        <v>6.4000000000000001E-2</v>
      </c>
      <c r="DQ24" s="63">
        <v>6.92</v>
      </c>
      <c r="DR24" s="61">
        <v>15</v>
      </c>
      <c r="DS24" s="64">
        <v>1.1160000000000001</v>
      </c>
      <c r="DT24" s="61">
        <v>84.5</v>
      </c>
      <c r="DU24" s="63">
        <v>4.1399999999999997</v>
      </c>
      <c r="DV24" s="64">
        <v>0.67800000000000005</v>
      </c>
      <c r="DW24" s="64">
        <v>1.1299999999999999</v>
      </c>
      <c r="DX24" s="66" t="s">
        <v>247</v>
      </c>
      <c r="DY24" s="65" t="str">
        <f t="shared" si="41"/>
        <v>ME</v>
      </c>
      <c r="DZ24" s="128">
        <v>17</v>
      </c>
      <c r="EA24" s="173">
        <f t="shared" si="42"/>
        <v>0.11631016042780749</v>
      </c>
      <c r="EB24" s="173">
        <f t="shared" si="43"/>
        <v>8.9705882352941177E-2</v>
      </c>
      <c r="EC24" s="173">
        <f t="shared" si="44"/>
        <v>0.87931034482758619</v>
      </c>
      <c r="ED24" s="63">
        <v>1.1100000000000001</v>
      </c>
      <c r="EE24" s="63">
        <v>1.1299999999999999</v>
      </c>
      <c r="EF24" s="63">
        <v>0.05</v>
      </c>
      <c r="EG24" s="63">
        <v>0.06</v>
      </c>
      <c r="EH24" s="127" t="str">
        <f t="shared" si="6"/>
        <v>ME</v>
      </c>
      <c r="EI24" s="56">
        <v>17</v>
      </c>
      <c r="EJ24" s="334"/>
      <c r="EK24" s="334"/>
      <c r="EL24" s="334"/>
      <c r="EM24" s="334"/>
      <c r="EN24" s="334"/>
      <c r="EO24" s="334"/>
      <c r="EP24" s="334"/>
      <c r="EQ24" s="65" t="str">
        <f t="shared" si="45"/>
        <v>ME</v>
      </c>
      <c r="ER24" s="20"/>
      <c r="ES24" s="20"/>
      <c r="ET24" s="20"/>
      <c r="EU24" s="20"/>
      <c r="EV24" s="20"/>
      <c r="EW24" s="20"/>
      <c r="EX24" s="20"/>
    </row>
    <row r="25" spans="1:154" s="3" customFormat="1" ht="17.149999999999999" customHeight="1" x14ac:dyDescent="0.35">
      <c r="A25" s="56">
        <v>18</v>
      </c>
      <c r="B25" s="57">
        <v>891137</v>
      </c>
      <c r="C25" s="58">
        <f t="shared" si="7"/>
        <v>222</v>
      </c>
      <c r="D25" s="167">
        <v>9.41</v>
      </c>
      <c r="E25" s="59">
        <v>795430</v>
      </c>
      <c r="F25" s="58">
        <f t="shared" si="8"/>
        <v>201</v>
      </c>
      <c r="G25" s="168">
        <v>3.16</v>
      </c>
      <c r="H25" s="57">
        <v>752950</v>
      </c>
      <c r="I25" s="58">
        <f t="shared" si="0"/>
        <v>137</v>
      </c>
      <c r="J25" s="60" t="s">
        <v>194</v>
      </c>
      <c r="K25" s="56">
        <v>18</v>
      </c>
      <c r="L25" s="57">
        <v>69771</v>
      </c>
      <c r="M25" s="58">
        <f t="shared" si="1"/>
        <v>56</v>
      </c>
      <c r="N25" s="59">
        <v>177194</v>
      </c>
      <c r="O25" s="58">
        <f t="shared" si="9"/>
        <v>55</v>
      </c>
      <c r="P25" s="57">
        <v>194749</v>
      </c>
      <c r="Q25" s="169" t="str">
        <f t="shared" si="2"/>
        <v/>
      </c>
      <c r="R25" s="57">
        <v>676</v>
      </c>
      <c r="S25" s="57">
        <v>684</v>
      </c>
      <c r="T25" s="57">
        <v>141</v>
      </c>
      <c r="U25" s="57">
        <v>138</v>
      </c>
      <c r="V25" s="58" t="str">
        <f t="shared" si="10"/>
        <v>ME</v>
      </c>
      <c r="W25" s="56">
        <v>18</v>
      </c>
      <c r="X25" s="63">
        <v>11768.52</v>
      </c>
      <c r="Y25" s="130">
        <f t="shared" si="11"/>
        <v>3.3699999999989814</v>
      </c>
      <c r="Z25" s="63">
        <v>12540.8</v>
      </c>
      <c r="AA25" s="130">
        <f t="shared" si="12"/>
        <v>3.3400000000001455</v>
      </c>
      <c r="AB25" s="63">
        <v>9889.66</v>
      </c>
      <c r="AC25" s="130">
        <f t="shared" si="13"/>
        <v>2.2299999999995634</v>
      </c>
      <c r="AD25" s="63">
        <v>9986.35</v>
      </c>
      <c r="AE25" s="130">
        <f t="shared" si="3"/>
        <v>1.430000000000291</v>
      </c>
      <c r="AF25" s="125" t="str">
        <f t="shared" si="14"/>
        <v>ME</v>
      </c>
      <c r="AG25" s="56">
        <v>18</v>
      </c>
      <c r="AH25" s="63">
        <v>47062.32</v>
      </c>
      <c r="AI25" s="130">
        <f t="shared" si="15"/>
        <v>16.849999999998545</v>
      </c>
      <c r="AJ25" s="63">
        <v>49202.55</v>
      </c>
      <c r="AK25" s="130">
        <f t="shared" si="16"/>
        <v>7.4199999999982538</v>
      </c>
      <c r="AL25" s="63">
        <v>586.99</v>
      </c>
      <c r="AM25" s="130" t="str">
        <f t="shared" si="17"/>
        <v/>
      </c>
      <c r="AN25" s="63">
        <v>548.57000000000005</v>
      </c>
      <c r="AO25" s="130" t="str">
        <f t="shared" si="4"/>
        <v/>
      </c>
      <c r="AP25" s="125" t="str">
        <f t="shared" si="18"/>
        <v>ME</v>
      </c>
      <c r="AQ25" s="56">
        <v>18</v>
      </c>
      <c r="AR25" s="63">
        <v>6776.62</v>
      </c>
      <c r="AS25" s="130">
        <f t="shared" si="19"/>
        <v>1.7399999999997817</v>
      </c>
      <c r="AT25" s="63">
        <v>7525.82</v>
      </c>
      <c r="AU25" s="130">
        <f t="shared" si="20"/>
        <v>2.3900000000003274</v>
      </c>
      <c r="AV25" s="63">
        <v>255.79</v>
      </c>
      <c r="AW25" s="130">
        <f t="shared" si="21"/>
        <v>0.34000000000000341</v>
      </c>
      <c r="AX25" s="63">
        <v>243.48</v>
      </c>
      <c r="AY25" s="130">
        <f t="shared" si="5"/>
        <v>9.0000000000003411E-2</v>
      </c>
      <c r="AZ25" s="125" t="str">
        <f t="shared" si="22"/>
        <v>ME</v>
      </c>
      <c r="BA25" s="56">
        <v>18</v>
      </c>
      <c r="BB25" s="218"/>
      <c r="BC25" s="62"/>
      <c r="BD25" s="61"/>
      <c r="BE25" s="61"/>
      <c r="BF25" s="61"/>
      <c r="BG25" s="61"/>
      <c r="BH25" s="64"/>
      <c r="BI25" s="64"/>
      <c r="BJ25" s="64"/>
      <c r="BK25" s="64"/>
      <c r="BL25" s="64"/>
      <c r="BM25" s="64"/>
      <c r="BN25" s="65" t="str">
        <f t="shared" si="23"/>
        <v>ME</v>
      </c>
      <c r="BO25" s="56">
        <v>18</v>
      </c>
      <c r="BP25" s="64">
        <v>8.7999999999999995E-2</v>
      </c>
      <c r="BQ25" s="62"/>
      <c r="BR25" s="61"/>
      <c r="BS25" s="61"/>
      <c r="BT25" s="61"/>
      <c r="BU25" s="64"/>
      <c r="BV25" s="63">
        <v>1.1499999999999999</v>
      </c>
      <c r="BW25" s="63">
        <v>0.87</v>
      </c>
      <c r="BX25" s="66" t="s">
        <v>245</v>
      </c>
      <c r="BY25" s="172" t="s">
        <v>361</v>
      </c>
      <c r="BZ25" s="67" t="str">
        <f t="shared" si="24"/>
        <v>ME</v>
      </c>
      <c r="CA25" s="56">
        <v>18</v>
      </c>
      <c r="CB25" s="61">
        <v>92.2</v>
      </c>
      <c r="CC25" s="61"/>
      <c r="CD25" s="68">
        <f t="shared" si="25"/>
        <v>1.2999999999999972</v>
      </c>
      <c r="CE25" s="69">
        <f t="shared" si="26"/>
        <v>6.0505444999999876</v>
      </c>
      <c r="CF25" s="69">
        <f t="shared" si="27"/>
        <v>5.2997470072992581</v>
      </c>
      <c r="CG25" s="62">
        <v>69</v>
      </c>
      <c r="CH25" s="62">
        <v>100</v>
      </c>
      <c r="CI25" s="65" t="str">
        <f t="shared" si="28"/>
        <v>ME</v>
      </c>
      <c r="CJ25" s="56">
        <v>18</v>
      </c>
      <c r="CK25" s="61">
        <v>91.7</v>
      </c>
      <c r="CL25" s="61"/>
      <c r="CM25" s="68">
        <f t="shared" si="29"/>
        <v>3.1000000000000085</v>
      </c>
      <c r="CN25" s="68">
        <f t="shared" si="30"/>
        <v>14.428221500000042</v>
      </c>
      <c r="CO25" s="68">
        <f t="shared" si="31"/>
        <v>25.844064321959539</v>
      </c>
      <c r="CP25" s="62">
        <v>53</v>
      </c>
      <c r="CQ25" s="62">
        <v>83</v>
      </c>
      <c r="CR25" s="65" t="str">
        <f t="shared" si="32"/>
        <v>ME</v>
      </c>
      <c r="CS25" s="56">
        <v>18</v>
      </c>
      <c r="CT25" s="61">
        <v>89.1</v>
      </c>
      <c r="CU25" s="61"/>
      <c r="CV25" s="68">
        <f t="shared" si="33"/>
        <v>2.3999999999999915</v>
      </c>
      <c r="CW25" s="68">
        <f t="shared" si="34"/>
        <v>15.946175999999943</v>
      </c>
      <c r="CX25" s="69">
        <f t="shared" si="35"/>
        <v>7.1829621621621362E-2</v>
      </c>
      <c r="CY25" s="66" t="s">
        <v>240</v>
      </c>
      <c r="CZ25" s="66" t="s">
        <v>241</v>
      </c>
      <c r="DA25" s="66"/>
      <c r="DB25" s="65" t="str">
        <f t="shared" si="36"/>
        <v>ME</v>
      </c>
      <c r="DC25" s="56">
        <v>18</v>
      </c>
      <c r="DD25" s="61">
        <v>86.7</v>
      </c>
      <c r="DE25" s="61">
        <v>104.2</v>
      </c>
      <c r="DF25" s="68">
        <f t="shared" si="37"/>
        <v>21.200000000000003</v>
      </c>
      <c r="DG25" s="69">
        <f t="shared" si="38"/>
        <v>1.1437660505600002</v>
      </c>
      <c r="DH25" s="68">
        <f t="shared" si="39"/>
        <v>5.152099326846848</v>
      </c>
      <c r="DI25" s="62">
        <v>89</v>
      </c>
      <c r="DJ25" s="62">
        <v>54</v>
      </c>
      <c r="DK25" s="65" t="str">
        <f t="shared" si="40"/>
        <v>ME</v>
      </c>
      <c r="DL25" s="56">
        <v>18</v>
      </c>
      <c r="DM25" s="63">
        <v>8.11</v>
      </c>
      <c r="DN25" s="64">
        <v>2.5999999999999999E-2</v>
      </c>
      <c r="DO25" s="64">
        <v>2.9000000000000001E-2</v>
      </c>
      <c r="DP25" s="64">
        <v>6.4000000000000001E-2</v>
      </c>
      <c r="DQ25" s="63">
        <v>6.93</v>
      </c>
      <c r="DR25" s="61">
        <v>15</v>
      </c>
      <c r="DS25" s="64">
        <v>1.115</v>
      </c>
      <c r="DT25" s="61">
        <v>88</v>
      </c>
      <c r="DU25" s="63">
        <v>4.34</v>
      </c>
      <c r="DV25" s="64">
        <v>0.71199999999999997</v>
      </c>
      <c r="DW25" s="64">
        <v>0.54800000000000004</v>
      </c>
      <c r="DX25" s="66" t="s">
        <v>247</v>
      </c>
      <c r="DY25" s="65" t="str">
        <f t="shared" si="41"/>
        <v>ME</v>
      </c>
      <c r="DZ25" s="128">
        <v>18</v>
      </c>
      <c r="EA25" s="173">
        <f t="shared" si="42"/>
        <v>0.1483957219251337</v>
      </c>
      <c r="EB25" s="173">
        <f t="shared" si="43"/>
        <v>0.14779411764705883</v>
      </c>
      <c r="EC25" s="173">
        <f t="shared" si="44"/>
        <v>0.61711711711711714</v>
      </c>
      <c r="ED25" s="63">
        <v>1.0900000000000001</v>
      </c>
      <c r="EE25" s="63">
        <v>1.1299999999999999</v>
      </c>
      <c r="EF25" s="63">
        <v>0.05</v>
      </c>
      <c r="EG25" s="63">
        <v>0.06</v>
      </c>
      <c r="EH25" s="127" t="str">
        <f t="shared" si="6"/>
        <v>ME</v>
      </c>
      <c r="EI25" s="56">
        <v>18</v>
      </c>
      <c r="EJ25" s="334"/>
      <c r="EK25" s="334"/>
      <c r="EL25" s="334"/>
      <c r="EM25" s="334"/>
      <c r="EN25" s="334"/>
      <c r="EO25" s="334"/>
      <c r="EP25" s="334"/>
      <c r="EQ25" s="65" t="str">
        <f t="shared" si="45"/>
        <v>ME</v>
      </c>
      <c r="ER25" s="20"/>
      <c r="ES25" s="20"/>
      <c r="ET25" s="20"/>
      <c r="EU25" s="20"/>
      <c r="EV25" s="20"/>
      <c r="EW25" s="20"/>
      <c r="EX25" s="20"/>
    </row>
    <row r="26" spans="1:154" s="3" customFormat="1" ht="17.149999999999999" customHeight="1" x14ac:dyDescent="0.35">
      <c r="A26" s="56">
        <v>19</v>
      </c>
      <c r="B26" s="57">
        <v>891359</v>
      </c>
      <c r="C26" s="58">
        <f t="shared" si="7"/>
        <v>191</v>
      </c>
      <c r="D26" s="167">
        <v>9.52</v>
      </c>
      <c r="E26" s="59">
        <v>795631</v>
      </c>
      <c r="F26" s="58">
        <f t="shared" si="8"/>
        <v>244</v>
      </c>
      <c r="G26" s="168">
        <v>1.89</v>
      </c>
      <c r="H26" s="57">
        <v>753087</v>
      </c>
      <c r="I26" s="58">
        <f t="shared" si="0"/>
        <v>152</v>
      </c>
      <c r="J26" s="60" t="s">
        <v>194</v>
      </c>
      <c r="K26" s="56">
        <v>19</v>
      </c>
      <c r="L26" s="57">
        <v>69827</v>
      </c>
      <c r="M26" s="58" t="str">
        <f t="shared" si="1"/>
        <v/>
      </c>
      <c r="N26" s="59">
        <v>177249</v>
      </c>
      <c r="O26" s="58">
        <f t="shared" si="9"/>
        <v>63</v>
      </c>
      <c r="P26" s="57">
        <v>194749</v>
      </c>
      <c r="Q26" s="169" t="str">
        <f t="shared" si="2"/>
        <v/>
      </c>
      <c r="R26" s="57">
        <v>677</v>
      </c>
      <c r="S26" s="57">
        <v>684</v>
      </c>
      <c r="T26" s="57">
        <v>141</v>
      </c>
      <c r="U26" s="57">
        <v>138</v>
      </c>
      <c r="V26" s="58" t="str">
        <f t="shared" si="10"/>
        <v>ME</v>
      </c>
      <c r="W26" s="56">
        <v>19</v>
      </c>
      <c r="X26" s="63">
        <v>11771.89</v>
      </c>
      <c r="Y26" s="130">
        <f t="shared" si="11"/>
        <v>3.3400000000001455</v>
      </c>
      <c r="Z26" s="63">
        <v>12544.14</v>
      </c>
      <c r="AA26" s="130">
        <f t="shared" si="12"/>
        <v>2.3000000000010914</v>
      </c>
      <c r="AB26" s="63">
        <v>9891.89</v>
      </c>
      <c r="AC26" s="130">
        <f t="shared" si="13"/>
        <v>0.1000000000003638</v>
      </c>
      <c r="AD26" s="63">
        <v>9987.7800000000007</v>
      </c>
      <c r="AE26" s="130">
        <f t="shared" si="3"/>
        <v>3.9699999999993452</v>
      </c>
      <c r="AF26" s="125" t="str">
        <f t="shared" si="14"/>
        <v>ME</v>
      </c>
      <c r="AG26" s="56">
        <v>19</v>
      </c>
      <c r="AH26" s="63">
        <v>47079.17</v>
      </c>
      <c r="AI26" s="130">
        <f t="shared" si="15"/>
        <v>4.3600000000005821</v>
      </c>
      <c r="AJ26" s="63">
        <v>49209.97</v>
      </c>
      <c r="AK26" s="130">
        <f t="shared" si="16"/>
        <v>23.5</v>
      </c>
      <c r="AL26" s="63">
        <v>586.99</v>
      </c>
      <c r="AM26" s="130">
        <f t="shared" si="17"/>
        <v>5.999999999994543E-2</v>
      </c>
      <c r="AN26" s="63">
        <v>548.57000000000005</v>
      </c>
      <c r="AO26" s="130" t="str">
        <f t="shared" si="4"/>
        <v/>
      </c>
      <c r="AP26" s="125" t="str">
        <f t="shared" si="18"/>
        <v>ME</v>
      </c>
      <c r="AQ26" s="56">
        <v>19</v>
      </c>
      <c r="AR26" s="63">
        <v>6778.36</v>
      </c>
      <c r="AS26" s="130">
        <f t="shared" si="19"/>
        <v>1.9500000000007276</v>
      </c>
      <c r="AT26" s="63">
        <v>7528.21</v>
      </c>
      <c r="AU26" s="130">
        <f t="shared" si="20"/>
        <v>2.3000000000001819</v>
      </c>
      <c r="AV26" s="63">
        <v>256.13</v>
      </c>
      <c r="AW26" s="130" t="str">
        <f t="shared" si="21"/>
        <v/>
      </c>
      <c r="AX26" s="63">
        <v>243.57</v>
      </c>
      <c r="AY26" s="130" t="str">
        <f t="shared" si="5"/>
        <v/>
      </c>
      <c r="AZ26" s="125" t="str">
        <f t="shared" si="22"/>
        <v>ME</v>
      </c>
      <c r="BA26" s="56">
        <v>19</v>
      </c>
      <c r="BB26" s="64"/>
      <c r="BC26" s="62"/>
      <c r="BD26" s="61"/>
      <c r="BE26" s="61"/>
      <c r="BF26" s="61"/>
      <c r="BG26" s="61"/>
      <c r="BH26" s="64"/>
      <c r="BI26" s="64"/>
      <c r="BJ26" s="64"/>
      <c r="BK26" s="64"/>
      <c r="BL26" s="64"/>
      <c r="BM26" s="64"/>
      <c r="BN26" s="65" t="str">
        <f t="shared" si="23"/>
        <v>ME</v>
      </c>
      <c r="BO26" s="56">
        <v>19</v>
      </c>
      <c r="BP26" s="64">
        <v>8.5000000000000006E-2</v>
      </c>
      <c r="BQ26" s="62"/>
      <c r="BR26" s="61"/>
      <c r="BS26" s="61"/>
      <c r="BT26" s="61"/>
      <c r="BU26" s="64"/>
      <c r="BV26" s="63">
        <v>1.1200000000000001</v>
      </c>
      <c r="BW26" s="63">
        <v>0.96</v>
      </c>
      <c r="BX26" s="66" t="s">
        <v>245</v>
      </c>
      <c r="BY26" s="172" t="s">
        <v>361</v>
      </c>
      <c r="BZ26" s="67" t="str">
        <f t="shared" si="24"/>
        <v>ME</v>
      </c>
      <c r="CA26" s="56">
        <v>19</v>
      </c>
      <c r="CB26" s="61">
        <v>90.9</v>
      </c>
      <c r="CC26" s="61"/>
      <c r="CD26" s="68">
        <f t="shared" si="25"/>
        <v>1.8000000000000114</v>
      </c>
      <c r="CE26" s="69">
        <f t="shared" si="26"/>
        <v>8.3776770000000536</v>
      </c>
      <c r="CF26" s="69">
        <f t="shared" si="27"/>
        <v>6.6139555263158316</v>
      </c>
      <c r="CG26" s="62">
        <v>69</v>
      </c>
      <c r="CH26" s="62">
        <v>100</v>
      </c>
      <c r="CI26" s="65" t="str">
        <f t="shared" si="28"/>
        <v>ME</v>
      </c>
      <c r="CJ26" s="56">
        <v>19</v>
      </c>
      <c r="CK26" s="61">
        <v>88.6</v>
      </c>
      <c r="CL26" s="61"/>
      <c r="CM26" s="68">
        <f t="shared" si="29"/>
        <v>2.3999999999999915</v>
      </c>
      <c r="CN26" s="68">
        <f t="shared" si="30"/>
        <v>11.17023599999996</v>
      </c>
      <c r="CO26" s="68">
        <f t="shared" si="31"/>
        <v>23.25572955706798</v>
      </c>
      <c r="CP26" s="62">
        <v>53</v>
      </c>
      <c r="CQ26" s="62">
        <v>83</v>
      </c>
      <c r="CR26" s="65" t="str">
        <f t="shared" si="32"/>
        <v>ME</v>
      </c>
      <c r="CS26" s="56">
        <v>19</v>
      </c>
      <c r="CT26" s="61">
        <v>86.7</v>
      </c>
      <c r="CU26" s="61"/>
      <c r="CV26" s="68">
        <f t="shared" si="33"/>
        <v>1.7000000000000028</v>
      </c>
      <c r="CW26" s="68">
        <f t="shared" si="34"/>
        <v>11.295208000000018</v>
      </c>
      <c r="CX26" s="69">
        <f t="shared" si="35"/>
        <v>5.9137214659685959E-2</v>
      </c>
      <c r="CY26" s="66" t="s">
        <v>240</v>
      </c>
      <c r="CZ26" s="66" t="s">
        <v>241</v>
      </c>
      <c r="DA26" s="66"/>
      <c r="DB26" s="65" t="str">
        <f t="shared" si="36"/>
        <v>ME</v>
      </c>
      <c r="DC26" s="56">
        <v>19</v>
      </c>
      <c r="DD26" s="61">
        <v>83</v>
      </c>
      <c r="DE26" s="61">
        <v>102.5</v>
      </c>
      <c r="DF26" s="68">
        <f t="shared" si="37"/>
        <v>18.900000000000006</v>
      </c>
      <c r="DG26" s="69">
        <f t="shared" si="38"/>
        <v>1.0196782243200002</v>
      </c>
      <c r="DH26" s="68">
        <f t="shared" si="39"/>
        <v>5.3386294467015718</v>
      </c>
      <c r="DI26" s="62">
        <v>90</v>
      </c>
      <c r="DJ26" s="62">
        <v>54</v>
      </c>
      <c r="DK26" s="65" t="str">
        <f t="shared" si="40"/>
        <v>ME</v>
      </c>
      <c r="DL26" s="56">
        <v>19</v>
      </c>
      <c r="DM26" s="63">
        <v>8.09</v>
      </c>
      <c r="DN26" s="64">
        <v>2.9000000000000001E-2</v>
      </c>
      <c r="DO26" s="64">
        <v>0.03</v>
      </c>
      <c r="DP26" s="64">
        <v>6.3E-2</v>
      </c>
      <c r="DQ26" s="63">
        <v>6.93</v>
      </c>
      <c r="DR26" s="61">
        <v>15.2</v>
      </c>
      <c r="DS26" s="64">
        <v>1.1080000000000001</v>
      </c>
      <c r="DT26" s="61">
        <v>85</v>
      </c>
      <c r="DU26" s="63">
        <v>4.29</v>
      </c>
      <c r="DV26" s="64">
        <v>2.133</v>
      </c>
      <c r="DW26" s="64">
        <v>1.1399999999999999</v>
      </c>
      <c r="DX26" s="66" t="s">
        <v>242</v>
      </c>
      <c r="DY26" s="65" t="str">
        <f t="shared" si="41"/>
        <v>ME</v>
      </c>
      <c r="DZ26" s="128">
        <v>19</v>
      </c>
      <c r="EA26" s="173">
        <f t="shared" si="42"/>
        <v>0.12767379679144386</v>
      </c>
      <c r="EB26" s="173">
        <f t="shared" si="43"/>
        <v>0.17941176470588235</v>
      </c>
      <c r="EC26" s="173">
        <f t="shared" si="44"/>
        <v>0.79581151832460728</v>
      </c>
      <c r="ED26" s="284">
        <v>0</v>
      </c>
      <c r="EE26" s="284">
        <v>5.63</v>
      </c>
      <c r="EF26" s="63">
        <v>0.05</v>
      </c>
      <c r="EG26" s="63">
        <v>0.06</v>
      </c>
      <c r="EH26" s="127" t="str">
        <f t="shared" si="6"/>
        <v>ME</v>
      </c>
      <c r="EI26" s="56">
        <v>19</v>
      </c>
      <c r="EJ26" s="334" t="s">
        <v>373</v>
      </c>
      <c r="EK26" s="334"/>
      <c r="EL26" s="334"/>
      <c r="EM26" s="334"/>
      <c r="EN26" s="334"/>
      <c r="EO26" s="334"/>
      <c r="EP26" s="334"/>
      <c r="EQ26" s="65" t="str">
        <f t="shared" si="45"/>
        <v>ME</v>
      </c>
      <c r="ER26" s="20"/>
      <c r="ES26" s="20"/>
      <c r="ET26" s="20"/>
      <c r="EU26" s="20"/>
      <c r="EV26" s="20"/>
      <c r="EW26" s="20"/>
      <c r="EX26" s="20"/>
    </row>
    <row r="27" spans="1:154" s="3" customFormat="1" ht="17.149999999999999" customHeight="1" x14ac:dyDescent="0.35">
      <c r="A27" s="56">
        <v>20</v>
      </c>
      <c r="B27" s="57">
        <v>891550</v>
      </c>
      <c r="C27" s="58">
        <f t="shared" si="7"/>
        <v>164</v>
      </c>
      <c r="D27" s="167">
        <v>9.18</v>
      </c>
      <c r="E27" s="59">
        <v>795875</v>
      </c>
      <c r="F27" s="58">
        <f t="shared" si="8"/>
        <v>187</v>
      </c>
      <c r="G27" s="168">
        <v>2.94</v>
      </c>
      <c r="H27" s="57">
        <v>753239</v>
      </c>
      <c r="I27" s="58">
        <f t="shared" si="0"/>
        <v>140</v>
      </c>
      <c r="J27" s="60" t="s">
        <v>194</v>
      </c>
      <c r="K27" s="56">
        <v>20</v>
      </c>
      <c r="L27" s="57">
        <v>69827</v>
      </c>
      <c r="M27" s="58" t="str">
        <f t="shared" si="1"/>
        <v/>
      </c>
      <c r="N27" s="59">
        <v>177312</v>
      </c>
      <c r="O27" s="58">
        <f t="shared" si="9"/>
        <v>53</v>
      </c>
      <c r="P27" s="57">
        <v>194749</v>
      </c>
      <c r="Q27" s="169" t="str">
        <f t="shared" si="2"/>
        <v/>
      </c>
      <c r="R27" s="57">
        <v>677</v>
      </c>
      <c r="S27" s="57">
        <v>684</v>
      </c>
      <c r="T27" s="57">
        <v>141</v>
      </c>
      <c r="U27" s="57">
        <v>139</v>
      </c>
      <c r="V27" s="58" t="str">
        <f t="shared" si="10"/>
        <v>ME</v>
      </c>
      <c r="W27" s="56">
        <v>20</v>
      </c>
      <c r="X27" s="63">
        <v>11775.23</v>
      </c>
      <c r="Y27" s="130">
        <f t="shared" si="11"/>
        <v>2.3100000000013097</v>
      </c>
      <c r="Z27" s="63">
        <v>12546.44</v>
      </c>
      <c r="AA27" s="130">
        <f t="shared" si="12"/>
        <v>2.5299999999988358</v>
      </c>
      <c r="AB27" s="63">
        <v>9891.99</v>
      </c>
      <c r="AC27" s="130">
        <f t="shared" si="13"/>
        <v>2.0100000000002183</v>
      </c>
      <c r="AD27" s="63">
        <v>9991.75</v>
      </c>
      <c r="AE27" s="130">
        <f t="shared" si="3"/>
        <v>1.7199999999993452</v>
      </c>
      <c r="AF27" s="125" t="str">
        <f t="shared" si="14"/>
        <v>ME</v>
      </c>
      <c r="AG27" s="56">
        <v>20</v>
      </c>
      <c r="AH27" s="63">
        <v>47083.53</v>
      </c>
      <c r="AI27" s="130">
        <f t="shared" si="15"/>
        <v>10.970000000001164</v>
      </c>
      <c r="AJ27" s="63">
        <v>49233.47</v>
      </c>
      <c r="AK27" s="130">
        <f t="shared" si="16"/>
        <v>12.69999999999709</v>
      </c>
      <c r="AL27" s="63">
        <v>587.04999999999995</v>
      </c>
      <c r="AM27" s="130" t="str">
        <f t="shared" si="17"/>
        <v/>
      </c>
      <c r="AN27" s="63">
        <v>548.57000000000005</v>
      </c>
      <c r="AO27" s="130" t="str">
        <f t="shared" si="4"/>
        <v/>
      </c>
      <c r="AP27" s="125" t="str">
        <f t="shared" si="18"/>
        <v>ME</v>
      </c>
      <c r="AQ27" s="56">
        <v>20</v>
      </c>
      <c r="AR27" s="63">
        <v>6780.31</v>
      </c>
      <c r="AS27" s="130">
        <f t="shared" si="19"/>
        <v>1.8899999999994179</v>
      </c>
      <c r="AT27" s="63">
        <v>7530.51</v>
      </c>
      <c r="AU27" s="130">
        <f t="shared" si="20"/>
        <v>2.4499999999998181</v>
      </c>
      <c r="AV27" s="63">
        <v>256.13</v>
      </c>
      <c r="AW27" s="130" t="str">
        <f t="shared" si="21"/>
        <v/>
      </c>
      <c r="AX27" s="63">
        <v>243.57</v>
      </c>
      <c r="AY27" s="130" t="str">
        <f t="shared" si="5"/>
        <v/>
      </c>
      <c r="AZ27" s="125" t="str">
        <f t="shared" si="22"/>
        <v>ME</v>
      </c>
      <c r="BA27" s="56">
        <v>20</v>
      </c>
      <c r="BB27" s="64">
        <v>1.78</v>
      </c>
      <c r="BC27" s="62">
        <v>32</v>
      </c>
      <c r="BD27" s="61">
        <v>6.8</v>
      </c>
      <c r="BE27" s="61">
        <v>14.4</v>
      </c>
      <c r="BF27" s="61">
        <v>15.4</v>
      </c>
      <c r="BG27" s="61">
        <v>6.8</v>
      </c>
      <c r="BH27" s="64">
        <v>0.20300000000000001</v>
      </c>
      <c r="BI27" s="64">
        <v>0.20399999999999999</v>
      </c>
      <c r="BJ27" s="64">
        <v>5.3999999999999999E-2</v>
      </c>
      <c r="BK27" s="64">
        <v>5.3999999999999999E-2</v>
      </c>
      <c r="BL27" s="64">
        <v>5.3999999999999999E-2</v>
      </c>
      <c r="BM27" s="64">
        <v>5.6000000000000001E-2</v>
      </c>
      <c r="BN27" s="65" t="str">
        <f t="shared" si="23"/>
        <v>ME</v>
      </c>
      <c r="BO27" s="56">
        <v>20</v>
      </c>
      <c r="BP27" s="64">
        <v>9.7000000000000003E-2</v>
      </c>
      <c r="BQ27" s="62">
        <v>0</v>
      </c>
      <c r="BR27" s="61">
        <v>7</v>
      </c>
      <c r="BS27" s="61">
        <v>15.4</v>
      </c>
      <c r="BT27" s="61">
        <v>18.899999999999999</v>
      </c>
      <c r="BU27" s="64">
        <v>1.0999999999999999E-2</v>
      </c>
      <c r="BV27" s="63">
        <v>1.1200000000000001</v>
      </c>
      <c r="BW27" s="63">
        <v>0.83</v>
      </c>
      <c r="BX27" s="66" t="s">
        <v>245</v>
      </c>
      <c r="BY27" s="172" t="s">
        <v>361</v>
      </c>
      <c r="BZ27" s="67" t="str">
        <f t="shared" si="24"/>
        <v>ME</v>
      </c>
      <c r="CA27" s="56">
        <v>20</v>
      </c>
      <c r="CB27" s="61">
        <v>89.1</v>
      </c>
      <c r="CC27" s="61">
        <v>96</v>
      </c>
      <c r="CD27" s="68">
        <f t="shared" si="25"/>
        <v>1.4000000000000057</v>
      </c>
      <c r="CE27" s="69">
        <f t="shared" si="26"/>
        <v>6.515971000000027</v>
      </c>
      <c r="CF27" s="69">
        <f t="shared" si="27"/>
        <v>5.5851180000000227</v>
      </c>
      <c r="CG27" s="62">
        <v>70</v>
      </c>
      <c r="CH27" s="62">
        <v>100</v>
      </c>
      <c r="CI27" s="65" t="str">
        <f t="shared" si="28"/>
        <v>ME</v>
      </c>
      <c r="CJ27" s="56">
        <v>20</v>
      </c>
      <c r="CK27" s="61">
        <v>86.2</v>
      </c>
      <c r="CL27" s="61">
        <v>97.4</v>
      </c>
      <c r="CM27" s="68">
        <f t="shared" si="29"/>
        <v>2.3000000000000114</v>
      </c>
      <c r="CN27" s="68">
        <f t="shared" si="30"/>
        <v>10.704809500000055</v>
      </c>
      <c r="CO27" s="68">
        <f t="shared" si="31"/>
        <v>25.955899376067208</v>
      </c>
      <c r="CP27" s="62">
        <v>60</v>
      </c>
      <c r="CQ27" s="62">
        <v>83</v>
      </c>
      <c r="CR27" s="65" t="str">
        <f t="shared" si="32"/>
        <v>ME</v>
      </c>
      <c r="CS27" s="56">
        <v>20</v>
      </c>
      <c r="CT27" s="61">
        <v>85</v>
      </c>
      <c r="CU27" s="61">
        <v>109.9</v>
      </c>
      <c r="CV27" s="68">
        <f t="shared" si="33"/>
        <v>2.2000000000000028</v>
      </c>
      <c r="CW27" s="68">
        <f t="shared" si="34"/>
        <v>14.617328000000018</v>
      </c>
      <c r="CX27" s="69">
        <f t="shared" si="35"/>
        <v>8.9130048780487914E-2</v>
      </c>
      <c r="CY27" s="66" t="s">
        <v>240</v>
      </c>
      <c r="CZ27" s="66" t="s">
        <v>241</v>
      </c>
      <c r="DA27" s="66"/>
      <c r="DB27" s="65" t="str">
        <f t="shared" si="36"/>
        <v>ME</v>
      </c>
      <c r="DC27" s="56">
        <v>20</v>
      </c>
      <c r="DD27" s="61">
        <v>83.6</v>
      </c>
      <c r="DE27" s="61">
        <v>103.5</v>
      </c>
      <c r="DF27" s="68">
        <f t="shared" si="37"/>
        <v>16</v>
      </c>
      <c r="DG27" s="69">
        <f t="shared" si="38"/>
        <v>0.86321966080000001</v>
      </c>
      <c r="DH27" s="68">
        <f t="shared" si="39"/>
        <v>5.2635345170731709</v>
      </c>
      <c r="DI27" s="62">
        <v>88</v>
      </c>
      <c r="DJ27" s="62">
        <v>54</v>
      </c>
      <c r="DK27" s="65" t="str">
        <f t="shared" si="40"/>
        <v>ME</v>
      </c>
      <c r="DL27" s="56">
        <v>20</v>
      </c>
      <c r="DM27" s="63">
        <v>7.8</v>
      </c>
      <c r="DN27" s="64">
        <v>2.9000000000000001E-2</v>
      </c>
      <c r="DO27" s="64">
        <v>2.8000000000000001E-2</v>
      </c>
      <c r="DP27" s="64">
        <v>7.8E-2</v>
      </c>
      <c r="DQ27" s="63">
        <v>6.91</v>
      </c>
      <c r="DR27" s="61">
        <v>15.4</v>
      </c>
      <c r="DS27" s="64">
        <v>1.113</v>
      </c>
      <c r="DT27" s="61">
        <v>86</v>
      </c>
      <c r="DU27" s="63">
        <v>4.18</v>
      </c>
      <c r="DV27" s="64">
        <v>1.7</v>
      </c>
      <c r="DW27" s="64">
        <v>1.07</v>
      </c>
      <c r="DX27" s="66" t="s">
        <v>242</v>
      </c>
      <c r="DY27" s="65" t="str">
        <f t="shared" si="41"/>
        <v>ME</v>
      </c>
      <c r="DZ27" s="128">
        <v>20</v>
      </c>
      <c r="EA27" s="173">
        <f t="shared" si="42"/>
        <v>0.10962566844919786</v>
      </c>
      <c r="EB27" s="173">
        <f t="shared" si="43"/>
        <v>0.13750000000000001</v>
      </c>
      <c r="EC27" s="173">
        <f t="shared" si="44"/>
        <v>0.85365853658536583</v>
      </c>
      <c r="ED27" s="63">
        <v>1.1000000000000001</v>
      </c>
      <c r="EE27" s="63">
        <v>1.1299999999999999</v>
      </c>
      <c r="EF27" s="63">
        <v>0.05</v>
      </c>
      <c r="EG27" s="63">
        <v>0.05</v>
      </c>
      <c r="EH27" s="127" t="str">
        <f t="shared" si="6"/>
        <v>ME</v>
      </c>
      <c r="EI27" s="56">
        <v>20</v>
      </c>
      <c r="EJ27" s="334"/>
      <c r="EK27" s="334"/>
      <c r="EL27" s="334"/>
      <c r="EM27" s="334"/>
      <c r="EN27" s="334"/>
      <c r="EO27" s="334"/>
      <c r="EP27" s="334"/>
      <c r="EQ27" s="65" t="str">
        <f t="shared" si="45"/>
        <v>ME</v>
      </c>
      <c r="ER27" s="20"/>
      <c r="ES27" s="20"/>
      <c r="ET27" s="20"/>
      <c r="EU27" s="20"/>
      <c r="EV27" s="20"/>
      <c r="EW27" s="20"/>
      <c r="EX27" s="20"/>
    </row>
    <row r="28" spans="1:154" s="3" customFormat="1" ht="17.149999999999999" customHeight="1" x14ac:dyDescent="0.35">
      <c r="A28" s="56">
        <v>21</v>
      </c>
      <c r="B28" s="57">
        <v>891714</v>
      </c>
      <c r="C28" s="58">
        <f t="shared" si="7"/>
        <v>216</v>
      </c>
      <c r="D28" s="167">
        <v>9.6300000000000008</v>
      </c>
      <c r="E28" s="59">
        <v>796062</v>
      </c>
      <c r="F28" s="58">
        <f t="shared" si="8"/>
        <v>187</v>
      </c>
      <c r="G28" s="168">
        <v>1.29</v>
      </c>
      <c r="H28" s="57">
        <v>753379</v>
      </c>
      <c r="I28" s="58">
        <f t="shared" si="0"/>
        <v>147</v>
      </c>
      <c r="J28" s="60" t="s">
        <v>194</v>
      </c>
      <c r="K28" s="56">
        <v>21</v>
      </c>
      <c r="L28" s="57">
        <v>69827</v>
      </c>
      <c r="M28" s="58">
        <f t="shared" si="1"/>
        <v>48</v>
      </c>
      <c r="N28" s="59">
        <v>177365</v>
      </c>
      <c r="O28" s="58">
        <f t="shared" si="9"/>
        <v>54</v>
      </c>
      <c r="P28" s="57">
        <v>194749</v>
      </c>
      <c r="Q28" s="169" t="str">
        <f t="shared" si="2"/>
        <v/>
      </c>
      <c r="R28" s="57">
        <v>677</v>
      </c>
      <c r="S28" s="57">
        <v>684</v>
      </c>
      <c r="T28" s="57">
        <v>141</v>
      </c>
      <c r="U28" s="57">
        <v>139</v>
      </c>
      <c r="V28" s="58" t="str">
        <f t="shared" si="10"/>
        <v>ME</v>
      </c>
      <c r="W28" s="56">
        <v>21</v>
      </c>
      <c r="X28" s="63">
        <v>11777.54</v>
      </c>
      <c r="Y28" s="130">
        <f t="shared" si="11"/>
        <v>4.1099999999987631</v>
      </c>
      <c r="Z28" s="63">
        <v>12548.97</v>
      </c>
      <c r="AA28" s="130">
        <f t="shared" si="12"/>
        <v>2.4099999999998545</v>
      </c>
      <c r="AB28" s="63">
        <v>9894</v>
      </c>
      <c r="AC28" s="130">
        <f t="shared" si="13"/>
        <v>1.9200000000000728</v>
      </c>
      <c r="AD28" s="63">
        <v>9993.4699999999993</v>
      </c>
      <c r="AE28" s="130">
        <f t="shared" si="3"/>
        <v>2</v>
      </c>
      <c r="AF28" s="125" t="str">
        <f t="shared" si="14"/>
        <v>ME</v>
      </c>
      <c r="AG28" s="56">
        <v>21</v>
      </c>
      <c r="AH28" s="63">
        <v>47094.5</v>
      </c>
      <c r="AI28" s="130">
        <f t="shared" si="15"/>
        <v>13.040000000000873</v>
      </c>
      <c r="AJ28" s="63">
        <v>49246.17</v>
      </c>
      <c r="AK28" s="130">
        <f t="shared" si="16"/>
        <v>10.099999999998545</v>
      </c>
      <c r="AL28" s="63">
        <v>587.04999999999995</v>
      </c>
      <c r="AM28" s="130" t="str">
        <f t="shared" si="17"/>
        <v/>
      </c>
      <c r="AN28" s="63">
        <v>548.57000000000005</v>
      </c>
      <c r="AO28" s="130" t="str">
        <f t="shared" si="4"/>
        <v/>
      </c>
      <c r="AP28" s="125" t="str">
        <f t="shared" si="18"/>
        <v>ME</v>
      </c>
      <c r="AQ28" s="56">
        <v>21</v>
      </c>
      <c r="AR28" s="63">
        <v>6782.2</v>
      </c>
      <c r="AS28" s="130">
        <f t="shared" si="19"/>
        <v>1.7700000000004366</v>
      </c>
      <c r="AT28" s="63">
        <v>7532.96</v>
      </c>
      <c r="AU28" s="130">
        <f t="shared" si="20"/>
        <v>2.7100000000000364</v>
      </c>
      <c r="AV28" s="63">
        <v>256.13</v>
      </c>
      <c r="AW28" s="130">
        <f t="shared" si="21"/>
        <v>0.34000000000003183</v>
      </c>
      <c r="AX28" s="63">
        <v>243.57</v>
      </c>
      <c r="AY28" s="130" t="str">
        <f t="shared" si="5"/>
        <v/>
      </c>
      <c r="AZ28" s="125" t="str">
        <f t="shared" si="22"/>
        <v>ME</v>
      </c>
      <c r="BA28" s="56">
        <v>21</v>
      </c>
      <c r="BB28" s="64">
        <v>1.51</v>
      </c>
      <c r="BC28" s="62">
        <v>24</v>
      </c>
      <c r="BD28" s="61">
        <v>6.7</v>
      </c>
      <c r="BE28" s="61">
        <v>15</v>
      </c>
      <c r="BF28" s="61">
        <v>17.2</v>
      </c>
      <c r="BG28" s="61">
        <v>6.7</v>
      </c>
      <c r="BH28" s="64">
        <v>0.17100000000000001</v>
      </c>
      <c r="BI28" s="64">
        <v>0.17699999999999999</v>
      </c>
      <c r="BJ28" s="64">
        <v>5.8000000000000003E-2</v>
      </c>
      <c r="BK28" s="64">
        <v>5.3999999999999999E-2</v>
      </c>
      <c r="BL28" s="64">
        <v>5.8000000000000003E-2</v>
      </c>
      <c r="BM28" s="64">
        <v>5.0999999999999997E-2</v>
      </c>
      <c r="BN28" s="65" t="str">
        <f t="shared" si="23"/>
        <v>ME</v>
      </c>
      <c r="BO28" s="56">
        <v>21</v>
      </c>
      <c r="BP28" s="64">
        <v>9.7000000000000003E-2</v>
      </c>
      <c r="BQ28" s="62">
        <v>0</v>
      </c>
      <c r="BR28" s="61">
        <v>7.1</v>
      </c>
      <c r="BS28" s="61">
        <v>15.5</v>
      </c>
      <c r="BT28" s="61">
        <v>18.2</v>
      </c>
      <c r="BU28" s="64">
        <v>1.4E-2</v>
      </c>
      <c r="BV28" s="63">
        <v>1.0900000000000001</v>
      </c>
      <c r="BW28" s="63">
        <v>0.85</v>
      </c>
      <c r="BX28" s="66" t="s">
        <v>285</v>
      </c>
      <c r="BY28" s="172" t="s">
        <v>361</v>
      </c>
      <c r="BZ28" s="67" t="str">
        <f t="shared" si="24"/>
        <v>ME</v>
      </c>
      <c r="CA28" s="56">
        <v>21</v>
      </c>
      <c r="CB28" s="61">
        <v>94.6</v>
      </c>
      <c r="CC28" s="61"/>
      <c r="CD28" s="68">
        <f t="shared" si="25"/>
        <v>2.2999999999999972</v>
      </c>
      <c r="CE28" s="69">
        <f t="shared" si="26"/>
        <v>10.704809499999987</v>
      </c>
      <c r="CF28" s="69">
        <f t="shared" si="27"/>
        <v>8.7386199999999885</v>
      </c>
      <c r="CG28" s="62">
        <v>73</v>
      </c>
      <c r="CH28" s="62">
        <v>100</v>
      </c>
      <c r="CI28" s="65" t="str">
        <f t="shared" si="28"/>
        <v>ME</v>
      </c>
      <c r="CJ28" s="56">
        <v>21</v>
      </c>
      <c r="CK28" s="61">
        <v>95.1</v>
      </c>
      <c r="CL28" s="61"/>
      <c r="CM28" s="68">
        <f t="shared" si="29"/>
        <v>2.8999999999999915</v>
      </c>
      <c r="CN28" s="68">
        <f t="shared" si="30"/>
        <v>13.497368499999961</v>
      </c>
      <c r="CO28" s="68">
        <f t="shared" si="31"/>
        <v>24.848280481597154</v>
      </c>
      <c r="CP28" s="62">
        <v>57</v>
      </c>
      <c r="CQ28" s="62">
        <v>83</v>
      </c>
      <c r="CR28" s="65" t="str">
        <f t="shared" si="32"/>
        <v>ME</v>
      </c>
      <c r="CS28" s="56">
        <v>21</v>
      </c>
      <c r="CT28" s="61">
        <v>107.7</v>
      </c>
      <c r="CU28" s="61">
        <v>104.3</v>
      </c>
      <c r="CV28" s="68">
        <f t="shared" si="33"/>
        <v>2.5</v>
      </c>
      <c r="CW28" s="68">
        <f t="shared" si="34"/>
        <v>16.610599999999998</v>
      </c>
      <c r="CX28" s="69">
        <f t="shared" si="35"/>
        <v>7.6900925925925914E-2</v>
      </c>
      <c r="CY28" s="66" t="s">
        <v>240</v>
      </c>
      <c r="CZ28" s="66" t="s">
        <v>241</v>
      </c>
      <c r="DA28" s="66" t="s">
        <v>242</v>
      </c>
      <c r="DB28" s="65" t="str">
        <f t="shared" si="36"/>
        <v>ME</v>
      </c>
      <c r="DC28" s="56">
        <v>21</v>
      </c>
      <c r="DD28" s="61">
        <v>87.5</v>
      </c>
      <c r="DE28" s="61">
        <v>103.6</v>
      </c>
      <c r="DF28" s="68">
        <f t="shared" si="37"/>
        <v>19.399999999999991</v>
      </c>
      <c r="DG28" s="69">
        <f t="shared" si="38"/>
        <v>1.0466538387199995</v>
      </c>
      <c r="DH28" s="68">
        <f t="shared" si="39"/>
        <v>4.8456196237037021</v>
      </c>
      <c r="DI28" s="62">
        <v>90</v>
      </c>
      <c r="DJ28" s="62">
        <v>54</v>
      </c>
      <c r="DK28" s="65" t="str">
        <f t="shared" si="40"/>
        <v>ME</v>
      </c>
      <c r="DL28" s="56">
        <v>21</v>
      </c>
      <c r="DM28" s="63">
        <v>7.53</v>
      </c>
      <c r="DN28" s="64">
        <v>2.7E-2</v>
      </c>
      <c r="DO28" s="64">
        <v>2.8000000000000001E-2</v>
      </c>
      <c r="DP28" s="64">
        <v>7.0000000000000007E-2</v>
      </c>
      <c r="DQ28" s="63">
        <v>6.92</v>
      </c>
      <c r="DR28" s="61">
        <v>15.5</v>
      </c>
      <c r="DS28" s="64">
        <v>1.117</v>
      </c>
      <c r="DT28" s="61">
        <v>86.9</v>
      </c>
      <c r="DU28" s="63">
        <v>4.1900000000000004</v>
      </c>
      <c r="DV28" s="64">
        <v>0.91100000000000003</v>
      </c>
      <c r="DW28" s="64">
        <v>1.36</v>
      </c>
      <c r="DX28" s="66" t="s">
        <v>242</v>
      </c>
      <c r="DY28" s="65" t="str">
        <f t="shared" si="41"/>
        <v>ME</v>
      </c>
      <c r="DZ28" s="128">
        <v>21</v>
      </c>
      <c r="EA28" s="173">
        <f t="shared" si="42"/>
        <v>0.14438502673796791</v>
      </c>
      <c r="EB28" s="173">
        <f t="shared" si="43"/>
        <v>0.13750000000000001</v>
      </c>
      <c r="EC28" s="173">
        <f t="shared" si="44"/>
        <v>0.68055555555555558</v>
      </c>
      <c r="ED28" s="63">
        <v>1.03</v>
      </c>
      <c r="EE28" s="63">
        <v>1.1499999999999999</v>
      </c>
      <c r="EF28" s="63">
        <v>0.04</v>
      </c>
      <c r="EG28" s="63">
        <v>0.04</v>
      </c>
      <c r="EH28" s="127" t="str">
        <f t="shared" si="6"/>
        <v>ME</v>
      </c>
      <c r="EI28" s="56">
        <v>21</v>
      </c>
      <c r="EJ28" s="334"/>
      <c r="EK28" s="334"/>
      <c r="EL28" s="334"/>
      <c r="EM28" s="334"/>
      <c r="EN28" s="334"/>
      <c r="EO28" s="334"/>
      <c r="EP28" s="334"/>
      <c r="EQ28" s="65" t="str">
        <f t="shared" si="45"/>
        <v>ME</v>
      </c>
      <c r="ER28" s="20"/>
      <c r="ES28" s="20"/>
      <c r="ET28" s="20"/>
      <c r="EU28" s="20"/>
      <c r="EV28" s="20"/>
      <c r="EW28" s="20"/>
      <c r="EX28" s="20"/>
    </row>
    <row r="29" spans="1:154" s="3" customFormat="1" ht="17.149999999999999" customHeight="1" x14ac:dyDescent="0.35">
      <c r="A29" s="56">
        <v>22</v>
      </c>
      <c r="B29" s="57">
        <v>891930</v>
      </c>
      <c r="C29" s="58">
        <f t="shared" si="7"/>
        <v>269</v>
      </c>
      <c r="D29" s="167">
        <v>9.18</v>
      </c>
      <c r="E29" s="59">
        <v>796249</v>
      </c>
      <c r="F29" s="58">
        <f t="shared" si="8"/>
        <v>219</v>
      </c>
      <c r="G29" s="168">
        <v>1.91</v>
      </c>
      <c r="H29" s="57">
        <v>753526</v>
      </c>
      <c r="I29" s="58">
        <f t="shared" si="0"/>
        <v>227</v>
      </c>
      <c r="J29" s="60" t="s">
        <v>194</v>
      </c>
      <c r="K29" s="56">
        <v>22</v>
      </c>
      <c r="L29" s="57">
        <v>69875</v>
      </c>
      <c r="M29" s="58" t="str">
        <f t="shared" si="1"/>
        <v/>
      </c>
      <c r="N29" s="59">
        <v>177419</v>
      </c>
      <c r="O29" s="58">
        <f t="shared" si="9"/>
        <v>51</v>
      </c>
      <c r="P29" s="57">
        <v>194749</v>
      </c>
      <c r="Q29" s="169" t="str">
        <f t="shared" si="2"/>
        <v/>
      </c>
      <c r="R29" s="57">
        <v>677</v>
      </c>
      <c r="S29" s="57">
        <v>685</v>
      </c>
      <c r="T29" s="57">
        <v>141</v>
      </c>
      <c r="U29" s="57">
        <v>139</v>
      </c>
      <c r="V29" s="58" t="str">
        <f t="shared" si="10"/>
        <v>ME</v>
      </c>
      <c r="W29" s="56">
        <v>22</v>
      </c>
      <c r="X29" s="63">
        <v>11781.65</v>
      </c>
      <c r="Y29" s="130">
        <f t="shared" si="11"/>
        <v>3</v>
      </c>
      <c r="Z29" s="63">
        <v>12551.38</v>
      </c>
      <c r="AA29" s="130">
        <f t="shared" si="12"/>
        <v>4.9400000000005093</v>
      </c>
      <c r="AB29" s="63">
        <v>9895.92</v>
      </c>
      <c r="AC29" s="130">
        <f t="shared" si="13"/>
        <v>3.7800000000006548</v>
      </c>
      <c r="AD29" s="63">
        <v>9995.4699999999993</v>
      </c>
      <c r="AE29" s="130">
        <f t="shared" si="3"/>
        <v>2.25</v>
      </c>
      <c r="AF29" s="125" t="str">
        <f t="shared" si="14"/>
        <v>ME</v>
      </c>
      <c r="AG29" s="56">
        <v>22</v>
      </c>
      <c r="AH29" s="63">
        <v>47107.54</v>
      </c>
      <c r="AI29" s="130">
        <f t="shared" si="15"/>
        <v>9.0400000000008731</v>
      </c>
      <c r="AJ29" s="63">
        <v>49256.27</v>
      </c>
      <c r="AK29" s="130">
        <f t="shared" si="16"/>
        <v>13.910000000003492</v>
      </c>
      <c r="AL29" s="63">
        <v>587.04999999999995</v>
      </c>
      <c r="AM29" s="130" t="str">
        <f t="shared" si="17"/>
        <v/>
      </c>
      <c r="AN29" s="63">
        <v>548.57000000000005</v>
      </c>
      <c r="AO29" s="130" t="str">
        <f t="shared" si="4"/>
        <v/>
      </c>
      <c r="AP29" s="125" t="str">
        <f t="shared" si="18"/>
        <v>ME</v>
      </c>
      <c r="AQ29" s="56">
        <v>22</v>
      </c>
      <c r="AR29" s="63">
        <v>6783.97</v>
      </c>
      <c r="AS29" s="130">
        <f t="shared" si="19"/>
        <v>1.6599999999998545</v>
      </c>
      <c r="AT29" s="63">
        <v>7535.67</v>
      </c>
      <c r="AU29" s="130">
        <f t="shared" si="20"/>
        <v>2.1499999999996362</v>
      </c>
      <c r="AV29" s="63">
        <v>256.47000000000003</v>
      </c>
      <c r="AW29" s="130" t="str">
        <f t="shared" si="21"/>
        <v/>
      </c>
      <c r="AX29" s="63">
        <v>243.57</v>
      </c>
      <c r="AY29" s="130" t="str">
        <f t="shared" si="5"/>
        <v/>
      </c>
      <c r="AZ29" s="125" t="str">
        <f t="shared" si="22"/>
        <v>ME</v>
      </c>
      <c r="BA29" s="56">
        <v>22</v>
      </c>
      <c r="BB29" s="64">
        <v>1.41</v>
      </c>
      <c r="BC29" s="62">
        <v>20</v>
      </c>
      <c r="BD29" s="61">
        <v>6.7</v>
      </c>
      <c r="BE29" s="61">
        <v>15.5</v>
      </c>
      <c r="BF29" s="61">
        <v>14.6</v>
      </c>
      <c r="BG29" s="61">
        <v>6.7</v>
      </c>
      <c r="BH29" s="64">
        <v>0.189</v>
      </c>
      <c r="BI29" s="64">
        <v>0.19800000000000001</v>
      </c>
      <c r="BJ29" s="64">
        <v>4.8000000000000001E-2</v>
      </c>
      <c r="BK29" s="64">
        <v>4.5999999999999999E-2</v>
      </c>
      <c r="BL29" s="64">
        <v>0.05</v>
      </c>
      <c r="BM29" s="64">
        <v>4.8000000000000001E-2</v>
      </c>
      <c r="BN29" s="65" t="str">
        <f t="shared" si="23"/>
        <v>ME</v>
      </c>
      <c r="BO29" s="56">
        <v>22</v>
      </c>
      <c r="BP29" s="64">
        <v>0.09</v>
      </c>
      <c r="BQ29" s="62">
        <v>0</v>
      </c>
      <c r="BR29" s="61">
        <v>7</v>
      </c>
      <c r="BS29" s="61">
        <v>15.8</v>
      </c>
      <c r="BT29" s="61">
        <v>19.399999999999999</v>
      </c>
      <c r="BU29" s="64">
        <v>1.4E-2</v>
      </c>
      <c r="BV29" s="63">
        <v>1.1200000000000001</v>
      </c>
      <c r="BW29" s="63">
        <v>0.96</v>
      </c>
      <c r="BX29" s="66" t="s">
        <v>245</v>
      </c>
      <c r="BY29" s="172" t="s">
        <v>361</v>
      </c>
      <c r="BZ29" s="67" t="str">
        <f t="shared" si="24"/>
        <v>ME</v>
      </c>
      <c r="CA29" s="56">
        <v>22</v>
      </c>
      <c r="CB29" s="61">
        <v>92.3</v>
      </c>
      <c r="CC29" s="61"/>
      <c r="CD29" s="68">
        <f t="shared" si="25"/>
        <v>2.2999999999999972</v>
      </c>
      <c r="CE29" s="69">
        <f t="shared" si="26"/>
        <v>10.704809499999987</v>
      </c>
      <c r="CF29" s="69">
        <f t="shared" si="27"/>
        <v>5.6589301321585825</v>
      </c>
      <c r="CG29" s="62">
        <v>72</v>
      </c>
      <c r="CH29" s="62">
        <v>100</v>
      </c>
      <c r="CI29" s="65" t="str">
        <f t="shared" si="28"/>
        <v>ME</v>
      </c>
      <c r="CJ29" s="56">
        <v>22</v>
      </c>
      <c r="CK29" s="61">
        <v>92.2</v>
      </c>
      <c r="CL29" s="61"/>
      <c r="CM29" s="68">
        <f t="shared" si="29"/>
        <v>3.6000000000000085</v>
      </c>
      <c r="CN29" s="68">
        <f t="shared" si="30"/>
        <v>16.75535400000004</v>
      </c>
      <c r="CO29" s="68">
        <f t="shared" si="31"/>
        <v>24.768648766171065</v>
      </c>
      <c r="CP29" s="62">
        <v>54</v>
      </c>
      <c r="CQ29" s="62">
        <v>83</v>
      </c>
      <c r="CR29" s="65" t="str">
        <f t="shared" si="32"/>
        <v>ME</v>
      </c>
      <c r="CS29" s="56">
        <v>22</v>
      </c>
      <c r="CT29" s="61">
        <v>101.8</v>
      </c>
      <c r="CU29" s="61"/>
      <c r="CV29" s="68">
        <f t="shared" si="33"/>
        <v>2.7999999999999972</v>
      </c>
      <c r="CW29" s="68">
        <f t="shared" si="34"/>
        <v>18.603871999999981</v>
      </c>
      <c r="CX29" s="69">
        <f t="shared" si="35"/>
        <v>6.9159375464683939E-2</v>
      </c>
      <c r="CY29" s="66" t="s">
        <v>240</v>
      </c>
      <c r="CZ29" s="66" t="s">
        <v>241</v>
      </c>
      <c r="DA29" s="66"/>
      <c r="DB29" s="65" t="str">
        <f t="shared" si="36"/>
        <v>ME</v>
      </c>
      <c r="DC29" s="56">
        <v>22</v>
      </c>
      <c r="DD29" s="61">
        <v>84.2</v>
      </c>
      <c r="DE29" s="61">
        <v>103.1</v>
      </c>
      <c r="DF29" s="68">
        <f t="shared" si="37"/>
        <v>26.5</v>
      </c>
      <c r="DG29" s="69">
        <f t="shared" si="38"/>
        <v>1.4297075631999998</v>
      </c>
      <c r="DH29" s="68">
        <f t="shared" si="39"/>
        <v>5.3148980044609662</v>
      </c>
      <c r="DI29" s="62">
        <v>89</v>
      </c>
      <c r="DJ29" s="62">
        <v>54</v>
      </c>
      <c r="DK29" s="65" t="str">
        <f t="shared" si="40"/>
        <v>ME</v>
      </c>
      <c r="DL29" s="56">
        <v>22</v>
      </c>
      <c r="DM29" s="63">
        <v>7.64</v>
      </c>
      <c r="DN29" s="64">
        <v>2.9000000000000001E-2</v>
      </c>
      <c r="DO29" s="64">
        <v>0.03</v>
      </c>
      <c r="DP29" s="64">
        <v>7.0000000000000007E-2</v>
      </c>
      <c r="DQ29" s="63">
        <v>6.91</v>
      </c>
      <c r="DR29" s="61">
        <v>15.8</v>
      </c>
      <c r="DS29" s="64">
        <v>1.1439999999999999</v>
      </c>
      <c r="DT29" s="61">
        <v>87.3</v>
      </c>
      <c r="DU29" s="63">
        <v>4.2</v>
      </c>
      <c r="DV29" s="64">
        <v>1.75</v>
      </c>
      <c r="DW29" s="64">
        <v>2.4900000000000002</v>
      </c>
      <c r="DX29" s="66" t="s">
        <v>242</v>
      </c>
      <c r="DY29" s="65" t="str">
        <f t="shared" si="41"/>
        <v>ME</v>
      </c>
      <c r="DZ29" s="128">
        <v>22</v>
      </c>
      <c r="EA29" s="173">
        <f t="shared" si="42"/>
        <v>0.17981283422459893</v>
      </c>
      <c r="EB29" s="173">
        <f t="shared" si="43"/>
        <v>0.16102941176470589</v>
      </c>
      <c r="EC29" s="173">
        <f t="shared" si="44"/>
        <v>0.84386617100371752</v>
      </c>
      <c r="ED29" s="63">
        <v>1.1299999999999999</v>
      </c>
      <c r="EE29" s="63" t="s">
        <v>374</v>
      </c>
      <c r="EF29" s="63">
        <v>0.04</v>
      </c>
      <c r="EG29" s="63">
        <v>0.05</v>
      </c>
      <c r="EH29" s="127" t="str">
        <f t="shared" si="6"/>
        <v>ME</v>
      </c>
      <c r="EI29" s="56">
        <v>22</v>
      </c>
      <c r="EJ29" s="334"/>
      <c r="EK29" s="334"/>
      <c r="EL29" s="334"/>
      <c r="EM29" s="334"/>
      <c r="EN29" s="334"/>
      <c r="EO29" s="334"/>
      <c r="EP29" s="334"/>
      <c r="EQ29" s="65" t="str">
        <f t="shared" si="45"/>
        <v>ME</v>
      </c>
      <c r="ER29" s="20"/>
      <c r="ES29" s="20"/>
      <c r="ET29" s="20"/>
      <c r="EU29" s="20"/>
      <c r="EV29" s="20"/>
      <c r="EW29" s="20"/>
      <c r="EX29" s="20"/>
    </row>
    <row r="30" spans="1:154" s="3" customFormat="1" ht="17.149999999999999" customHeight="1" x14ac:dyDescent="0.35">
      <c r="A30" s="56">
        <v>23</v>
      </c>
      <c r="B30" s="57">
        <v>892199</v>
      </c>
      <c r="C30" s="58">
        <f t="shared" si="7"/>
        <v>150</v>
      </c>
      <c r="D30" s="167">
        <v>9.69</v>
      </c>
      <c r="E30" s="59">
        <v>796468</v>
      </c>
      <c r="F30" s="58">
        <f t="shared" si="8"/>
        <v>205</v>
      </c>
      <c r="G30" s="168">
        <v>3.04</v>
      </c>
      <c r="H30" s="57">
        <v>753753</v>
      </c>
      <c r="I30" s="58">
        <f t="shared" si="0"/>
        <v>131</v>
      </c>
      <c r="J30" s="60" t="s">
        <v>194</v>
      </c>
      <c r="K30" s="56">
        <v>23</v>
      </c>
      <c r="L30" s="57">
        <v>69875</v>
      </c>
      <c r="M30" s="58" t="str">
        <f t="shared" si="1"/>
        <v/>
      </c>
      <c r="N30" s="59">
        <v>177470</v>
      </c>
      <c r="O30" s="58">
        <f t="shared" si="9"/>
        <v>53</v>
      </c>
      <c r="P30" s="57">
        <v>194749</v>
      </c>
      <c r="Q30" s="169" t="str">
        <f t="shared" si="2"/>
        <v/>
      </c>
      <c r="R30" s="57">
        <v>677</v>
      </c>
      <c r="S30" s="57">
        <v>685</v>
      </c>
      <c r="T30" s="57">
        <v>141</v>
      </c>
      <c r="U30" s="57">
        <v>139</v>
      </c>
      <c r="V30" s="58" t="str">
        <f t="shared" si="10"/>
        <v>ME</v>
      </c>
      <c r="W30" s="56">
        <v>23</v>
      </c>
      <c r="X30" s="63">
        <v>11784.65</v>
      </c>
      <c r="Y30" s="130">
        <f t="shared" si="11"/>
        <v>2.3999999999996362</v>
      </c>
      <c r="Z30" s="63">
        <v>12556.32</v>
      </c>
      <c r="AA30" s="130">
        <f t="shared" si="12"/>
        <v>1.9799999999995634</v>
      </c>
      <c r="AB30" s="63">
        <v>9899.7000000000007</v>
      </c>
      <c r="AC30" s="130">
        <f t="shared" si="13"/>
        <v>1.5900000000001455</v>
      </c>
      <c r="AD30" s="63">
        <v>9997.7199999999993</v>
      </c>
      <c r="AE30" s="130">
        <f t="shared" si="3"/>
        <v>1.9000000000014552</v>
      </c>
      <c r="AF30" s="125" t="str">
        <f t="shared" si="14"/>
        <v>ME</v>
      </c>
      <c r="AG30" s="56">
        <v>23</v>
      </c>
      <c r="AH30" s="63">
        <v>47116.58</v>
      </c>
      <c r="AI30" s="130">
        <f t="shared" si="15"/>
        <v>14.959999999999127</v>
      </c>
      <c r="AJ30" s="63">
        <v>49270.18</v>
      </c>
      <c r="AK30" s="130">
        <f t="shared" si="16"/>
        <v>8.7799999999988358</v>
      </c>
      <c r="AL30" s="63">
        <v>587.04999999999995</v>
      </c>
      <c r="AM30" s="130" t="str">
        <f t="shared" si="17"/>
        <v/>
      </c>
      <c r="AN30" s="63">
        <v>548.57000000000005</v>
      </c>
      <c r="AO30" s="130" t="str">
        <f t="shared" si="4"/>
        <v/>
      </c>
      <c r="AP30" s="125" t="str">
        <f t="shared" si="18"/>
        <v>ME</v>
      </c>
      <c r="AQ30" s="56">
        <v>23</v>
      </c>
      <c r="AR30" s="63">
        <v>6785.63</v>
      </c>
      <c r="AS30" s="130">
        <f t="shared" si="19"/>
        <v>1.8999999999996362</v>
      </c>
      <c r="AT30" s="63">
        <v>7537.82</v>
      </c>
      <c r="AU30" s="130">
        <f t="shared" si="20"/>
        <v>2.9600000000000364</v>
      </c>
      <c r="AV30" s="63">
        <v>256.47000000000003</v>
      </c>
      <c r="AW30" s="130" t="str">
        <f t="shared" si="21"/>
        <v/>
      </c>
      <c r="AX30" s="63">
        <v>243.57</v>
      </c>
      <c r="AY30" s="130" t="str">
        <f t="shared" si="5"/>
        <v/>
      </c>
      <c r="AZ30" s="125" t="str">
        <f t="shared" si="22"/>
        <v>ME</v>
      </c>
      <c r="BA30" s="56">
        <v>23</v>
      </c>
      <c r="BB30" s="64">
        <v>1.22</v>
      </c>
      <c r="BC30" s="62">
        <v>35</v>
      </c>
      <c r="BD30" s="61">
        <v>7.1</v>
      </c>
      <c r="BE30" s="61">
        <v>16.5</v>
      </c>
      <c r="BF30" s="61">
        <v>15.2</v>
      </c>
      <c r="BG30" s="61">
        <v>7.1</v>
      </c>
      <c r="BH30" s="64">
        <v>0.29699999999999999</v>
      </c>
      <c r="BI30" s="64">
        <v>0.29499999999999998</v>
      </c>
      <c r="BJ30" s="64">
        <v>4.8000000000000001E-2</v>
      </c>
      <c r="BK30" s="64">
        <v>4.5999999999999999E-2</v>
      </c>
      <c r="BL30" s="64">
        <v>4.8000000000000001E-2</v>
      </c>
      <c r="BM30" s="64">
        <v>4.9000000000000002E-2</v>
      </c>
      <c r="BN30" s="65" t="str">
        <f t="shared" si="23"/>
        <v>ME</v>
      </c>
      <c r="BO30" s="56">
        <v>23</v>
      </c>
      <c r="BP30" s="64">
        <v>8.8999999999999996E-2</v>
      </c>
      <c r="BQ30" s="62">
        <v>0</v>
      </c>
      <c r="BR30" s="61">
        <v>7</v>
      </c>
      <c r="BS30" s="61">
        <v>16</v>
      </c>
      <c r="BT30" s="61">
        <v>18.5</v>
      </c>
      <c r="BU30" s="64">
        <v>1.4E-2</v>
      </c>
      <c r="BV30" s="63">
        <v>1.2</v>
      </c>
      <c r="BW30" s="63">
        <v>0.91</v>
      </c>
      <c r="BX30" s="66" t="s">
        <v>324</v>
      </c>
      <c r="BY30" s="172" t="s">
        <v>361</v>
      </c>
      <c r="BZ30" s="67" t="str">
        <f t="shared" si="24"/>
        <v>ME</v>
      </c>
      <c r="CA30" s="56">
        <v>23</v>
      </c>
      <c r="CB30" s="61">
        <v>90</v>
      </c>
      <c r="CC30" s="61"/>
      <c r="CD30" s="68">
        <f t="shared" si="25"/>
        <v>1.2999999999999972</v>
      </c>
      <c r="CE30" s="69">
        <f t="shared" si="26"/>
        <v>6.0505444999999876</v>
      </c>
      <c r="CF30" s="69">
        <f t="shared" si="27"/>
        <v>5.5424835114503699</v>
      </c>
      <c r="CG30" s="62">
        <v>73</v>
      </c>
      <c r="CH30" s="62">
        <v>100</v>
      </c>
      <c r="CI30" s="65" t="str">
        <f t="shared" si="28"/>
        <v>ME</v>
      </c>
      <c r="CJ30" s="56">
        <v>23</v>
      </c>
      <c r="CK30" s="61">
        <v>88.6</v>
      </c>
      <c r="CL30" s="61"/>
      <c r="CM30" s="68">
        <f t="shared" si="29"/>
        <v>1.7999999999999972</v>
      </c>
      <c r="CN30" s="68">
        <f t="shared" si="30"/>
        <v>8.3776769999999878</v>
      </c>
      <c r="CO30" s="68">
        <f t="shared" si="31"/>
        <v>22.209221726999971</v>
      </c>
      <c r="CP30" s="62">
        <v>57</v>
      </c>
      <c r="CQ30" s="62">
        <v>83</v>
      </c>
      <c r="CR30" s="65" t="str">
        <f t="shared" si="32"/>
        <v>ME</v>
      </c>
      <c r="CS30" s="56">
        <v>23</v>
      </c>
      <c r="CT30" s="61">
        <v>99</v>
      </c>
      <c r="CU30" s="61"/>
      <c r="CV30" s="68">
        <f t="shared" si="33"/>
        <v>1.7999999999999972</v>
      </c>
      <c r="CW30" s="68">
        <f t="shared" si="34"/>
        <v>11.959631999999981</v>
      </c>
      <c r="CX30" s="69">
        <f t="shared" si="35"/>
        <v>7.9730879999999879E-2</v>
      </c>
      <c r="CY30" s="66" t="s">
        <v>240</v>
      </c>
      <c r="CZ30" s="66" t="s">
        <v>241</v>
      </c>
      <c r="DA30" s="66"/>
      <c r="DB30" s="65" t="str">
        <f t="shared" si="36"/>
        <v>ME</v>
      </c>
      <c r="DC30" s="56">
        <v>23</v>
      </c>
      <c r="DD30" s="61">
        <v>76.599999999999994</v>
      </c>
      <c r="DE30" s="61">
        <v>103.9</v>
      </c>
      <c r="DF30" s="68">
        <f t="shared" si="37"/>
        <v>14.800000000000011</v>
      </c>
      <c r="DG30" s="69">
        <f t="shared" si="38"/>
        <v>0.79847818624000055</v>
      </c>
      <c r="DH30" s="68">
        <f t="shared" si="39"/>
        <v>5.3231879082666707</v>
      </c>
      <c r="DI30" s="62">
        <v>90</v>
      </c>
      <c r="DJ30" s="62">
        <v>54</v>
      </c>
      <c r="DK30" s="65" t="str">
        <f t="shared" si="40"/>
        <v>ME</v>
      </c>
      <c r="DL30" s="56">
        <v>23</v>
      </c>
      <c r="DM30" s="63">
        <v>7.74</v>
      </c>
      <c r="DN30" s="64">
        <v>2.5999999999999999E-2</v>
      </c>
      <c r="DO30" s="64">
        <v>2.9000000000000001E-2</v>
      </c>
      <c r="DP30" s="64">
        <v>6.5000000000000002E-2</v>
      </c>
      <c r="DQ30" s="63">
        <v>6.88</v>
      </c>
      <c r="DR30" s="61">
        <v>16</v>
      </c>
      <c r="DS30" s="64">
        <v>1.2410000000000001</v>
      </c>
      <c r="DT30" s="61">
        <v>84.1</v>
      </c>
      <c r="DU30" s="63">
        <v>4.37</v>
      </c>
      <c r="DV30" s="64">
        <v>1.474</v>
      </c>
      <c r="DW30" s="64">
        <v>0.66200000000000003</v>
      </c>
      <c r="DX30" s="66" t="s">
        <v>242</v>
      </c>
      <c r="DY30" s="65" t="str">
        <f t="shared" si="41"/>
        <v>ME</v>
      </c>
      <c r="DZ30" s="128">
        <v>23</v>
      </c>
      <c r="EA30" s="173">
        <f t="shared" si="42"/>
        <v>0.10026737967914438</v>
      </c>
      <c r="EB30" s="173">
        <f t="shared" si="43"/>
        <v>0.15073529411764705</v>
      </c>
      <c r="EC30" s="173">
        <f t="shared" si="44"/>
        <v>0.87333333333333329</v>
      </c>
      <c r="ED30" s="63">
        <v>1.1200000000000001</v>
      </c>
      <c r="EE30" s="63">
        <v>1.31</v>
      </c>
      <c r="EF30" s="63">
        <v>0.04</v>
      </c>
      <c r="EG30" s="63">
        <v>0.04</v>
      </c>
      <c r="EH30" s="127" t="str">
        <f t="shared" si="6"/>
        <v>ME</v>
      </c>
      <c r="EI30" s="56">
        <v>23</v>
      </c>
      <c r="EJ30" s="334"/>
      <c r="EK30" s="334"/>
      <c r="EL30" s="334"/>
      <c r="EM30" s="334"/>
      <c r="EN30" s="334"/>
      <c r="EO30" s="334"/>
      <c r="EP30" s="334"/>
      <c r="EQ30" s="65" t="str">
        <f t="shared" si="45"/>
        <v>ME</v>
      </c>
      <c r="ER30" s="20"/>
      <c r="ES30" s="20"/>
      <c r="ET30" s="20"/>
      <c r="EU30" s="20"/>
      <c r="EV30" s="20"/>
      <c r="EW30" s="20"/>
      <c r="EX30" s="20"/>
    </row>
    <row r="31" spans="1:154" s="3" customFormat="1" ht="17.149999999999999" customHeight="1" x14ac:dyDescent="0.35">
      <c r="A31" s="56">
        <v>24</v>
      </c>
      <c r="B31" s="57">
        <v>892349</v>
      </c>
      <c r="C31" s="58">
        <f t="shared" si="7"/>
        <v>180</v>
      </c>
      <c r="D31" s="167">
        <v>9.0500000000000007</v>
      </c>
      <c r="E31" s="59">
        <v>796673</v>
      </c>
      <c r="F31" s="58">
        <f t="shared" si="8"/>
        <v>281</v>
      </c>
      <c r="G31" s="168">
        <v>3.43</v>
      </c>
      <c r="H31" s="57">
        <v>753884</v>
      </c>
      <c r="I31" s="58">
        <f t="shared" si="0"/>
        <v>164</v>
      </c>
      <c r="J31" s="60" t="s">
        <v>237</v>
      </c>
      <c r="K31" s="56">
        <v>24</v>
      </c>
      <c r="L31" s="57">
        <v>69875</v>
      </c>
      <c r="M31" s="58" t="str">
        <f t="shared" si="1"/>
        <v/>
      </c>
      <c r="N31" s="59">
        <v>177523</v>
      </c>
      <c r="O31" s="58">
        <f t="shared" si="9"/>
        <v>36</v>
      </c>
      <c r="P31" s="57">
        <v>194749</v>
      </c>
      <c r="Q31" s="169" t="str">
        <f t="shared" si="2"/>
        <v/>
      </c>
      <c r="R31" s="57">
        <v>677</v>
      </c>
      <c r="S31" s="57">
        <v>685</v>
      </c>
      <c r="T31" s="57">
        <v>141</v>
      </c>
      <c r="U31" s="57">
        <v>139</v>
      </c>
      <c r="V31" s="58" t="str">
        <f t="shared" si="10"/>
        <v>SA/ME</v>
      </c>
      <c r="W31" s="56">
        <v>24</v>
      </c>
      <c r="X31" s="63">
        <v>11787.05</v>
      </c>
      <c r="Y31" s="130">
        <f t="shared" si="11"/>
        <v>2.320000000001528</v>
      </c>
      <c r="Z31" s="63">
        <v>12558.3</v>
      </c>
      <c r="AA31" s="130">
        <f t="shared" si="12"/>
        <v>2.8500000000003638</v>
      </c>
      <c r="AB31" s="63">
        <v>9901.2900000000009</v>
      </c>
      <c r="AC31" s="130">
        <f t="shared" si="13"/>
        <v>2.319999999999709</v>
      </c>
      <c r="AD31" s="63">
        <v>9999.6200000000008</v>
      </c>
      <c r="AE31" s="130">
        <f t="shared" si="3"/>
        <v>2.1299999999991996</v>
      </c>
      <c r="AF31" s="125" t="str">
        <f t="shared" si="14"/>
        <v>SA/ME</v>
      </c>
      <c r="AG31" s="56">
        <v>24</v>
      </c>
      <c r="AH31" s="63">
        <v>47131.54</v>
      </c>
      <c r="AI31" s="130">
        <f t="shared" si="15"/>
        <v>12.269999999996799</v>
      </c>
      <c r="AJ31" s="63">
        <v>49278.96</v>
      </c>
      <c r="AK31" s="130">
        <f t="shared" si="16"/>
        <v>15.220000000001164</v>
      </c>
      <c r="AL31" s="63">
        <v>587.04999999999995</v>
      </c>
      <c r="AM31" s="130">
        <f t="shared" si="17"/>
        <v>5.0000000000068212E-2</v>
      </c>
      <c r="AN31" s="63">
        <v>548.57000000000005</v>
      </c>
      <c r="AO31" s="130" t="str">
        <f t="shared" si="4"/>
        <v/>
      </c>
      <c r="AP31" s="125" t="str">
        <f t="shared" si="18"/>
        <v>SA/ME</v>
      </c>
      <c r="AQ31" s="56">
        <v>24</v>
      </c>
      <c r="AR31" s="63">
        <v>6787.53</v>
      </c>
      <c r="AS31" s="130">
        <f t="shared" si="19"/>
        <v>1.3699999999998909</v>
      </c>
      <c r="AT31" s="63">
        <v>7540.78</v>
      </c>
      <c r="AU31" s="130">
        <f t="shared" si="20"/>
        <v>2.1100000000005821</v>
      </c>
      <c r="AV31" s="63">
        <v>256.47000000000003</v>
      </c>
      <c r="AW31" s="130" t="str">
        <f t="shared" si="21"/>
        <v/>
      </c>
      <c r="AX31" s="63">
        <v>243.57</v>
      </c>
      <c r="AY31" s="130" t="str">
        <f t="shared" si="5"/>
        <v/>
      </c>
      <c r="AZ31" s="125" t="str">
        <f t="shared" si="22"/>
        <v>SA/ME</v>
      </c>
      <c r="BA31" s="56">
        <v>24</v>
      </c>
      <c r="BB31" s="64">
        <v>1.24</v>
      </c>
      <c r="BC31" s="62">
        <v>18</v>
      </c>
      <c r="BD31" s="61">
        <v>7.3</v>
      </c>
      <c r="BE31" s="61">
        <v>16.7</v>
      </c>
      <c r="BF31" s="61">
        <v>16</v>
      </c>
      <c r="BG31" s="61">
        <v>7.3</v>
      </c>
      <c r="BH31" s="64">
        <v>0.35</v>
      </c>
      <c r="BI31" s="64">
        <v>0.31</v>
      </c>
      <c r="BJ31" s="64">
        <v>4.7E-2</v>
      </c>
      <c r="BK31" s="64">
        <v>4.9000000000000002E-2</v>
      </c>
      <c r="BL31" s="64">
        <v>5.1999999999999998E-2</v>
      </c>
      <c r="BM31" s="64">
        <v>5.1999999999999998E-2</v>
      </c>
      <c r="BN31" s="65" t="str">
        <f t="shared" si="23"/>
        <v>SA/ME</v>
      </c>
      <c r="BO31" s="56">
        <v>24</v>
      </c>
      <c r="BP31" s="64">
        <v>9.6000000000000002E-2</v>
      </c>
      <c r="BQ31" s="62">
        <v>0</v>
      </c>
      <c r="BR31" s="61">
        <v>7.2</v>
      </c>
      <c r="BS31" s="61">
        <v>16.2</v>
      </c>
      <c r="BT31" s="61">
        <v>17.2</v>
      </c>
      <c r="BU31" s="64">
        <v>1.2999999999999999E-2</v>
      </c>
      <c r="BV31" s="63">
        <v>1.28</v>
      </c>
      <c r="BW31" s="63">
        <v>0.94</v>
      </c>
      <c r="BX31" s="66" t="s">
        <v>312</v>
      </c>
      <c r="BY31" s="172" t="s">
        <v>239</v>
      </c>
      <c r="BZ31" s="67" t="str">
        <f t="shared" si="24"/>
        <v>SA/ME</v>
      </c>
      <c r="CA31" s="56">
        <v>24</v>
      </c>
      <c r="CB31" s="61">
        <v>88.7</v>
      </c>
      <c r="CC31" s="61"/>
      <c r="CD31" s="68">
        <f t="shared" si="25"/>
        <v>1.5</v>
      </c>
      <c r="CE31" s="69">
        <f t="shared" si="26"/>
        <v>6.9813975000000008</v>
      </c>
      <c r="CF31" s="69">
        <f t="shared" si="27"/>
        <v>5.1083396341463425</v>
      </c>
      <c r="CG31" s="62">
        <v>73</v>
      </c>
      <c r="CH31" s="62">
        <v>100</v>
      </c>
      <c r="CI31" s="65" t="str">
        <f t="shared" si="28"/>
        <v>SA/ME</v>
      </c>
      <c r="CJ31" s="56">
        <v>24</v>
      </c>
      <c r="CK31" s="61">
        <v>86.8</v>
      </c>
      <c r="CL31" s="61"/>
      <c r="CM31" s="68">
        <f t="shared" si="29"/>
        <v>2</v>
      </c>
      <c r="CN31" s="68">
        <f t="shared" si="30"/>
        <v>9.3085300000000011</v>
      </c>
      <c r="CO31" s="68">
        <f t="shared" si="31"/>
        <v>20.564094191666673</v>
      </c>
      <c r="CP31" s="62">
        <v>57</v>
      </c>
      <c r="CQ31" s="62">
        <v>83</v>
      </c>
      <c r="CR31" s="65" t="str">
        <f t="shared" si="32"/>
        <v>SA/ME</v>
      </c>
      <c r="CS31" s="56">
        <v>24</v>
      </c>
      <c r="CT31" s="61">
        <v>97.2</v>
      </c>
      <c r="CU31" s="61"/>
      <c r="CV31" s="68">
        <f t="shared" si="33"/>
        <v>1.6000000000000085</v>
      </c>
      <c r="CW31" s="68">
        <f t="shared" si="34"/>
        <v>10.630784000000055</v>
      </c>
      <c r="CX31" s="69">
        <f t="shared" si="35"/>
        <v>5.9059911111111418E-2</v>
      </c>
      <c r="CY31" s="66" t="s">
        <v>240</v>
      </c>
      <c r="CZ31" s="66" t="s">
        <v>241</v>
      </c>
      <c r="DA31" s="66"/>
      <c r="DB31" s="65" t="str">
        <f t="shared" si="36"/>
        <v>SA/ME</v>
      </c>
      <c r="DC31" s="56">
        <v>24</v>
      </c>
      <c r="DD31" s="61">
        <v>89.1</v>
      </c>
      <c r="DE31" s="61">
        <v>105.2</v>
      </c>
      <c r="DF31" s="68">
        <f t="shared" si="37"/>
        <v>20.700000000000003</v>
      </c>
      <c r="DG31" s="69">
        <f t="shared" si="38"/>
        <v>1.1167904361600001</v>
      </c>
      <c r="DH31" s="68">
        <f t="shared" si="39"/>
        <v>6.2043913120000003</v>
      </c>
      <c r="DI31" s="62">
        <v>90</v>
      </c>
      <c r="DJ31" s="62">
        <v>54</v>
      </c>
      <c r="DK31" s="65" t="str">
        <f t="shared" si="40"/>
        <v>SA/ME</v>
      </c>
      <c r="DL31" s="56">
        <v>24</v>
      </c>
      <c r="DM31" s="63">
        <v>7.87</v>
      </c>
      <c r="DN31" s="64">
        <v>2.7E-2</v>
      </c>
      <c r="DO31" s="64">
        <v>2.9000000000000001E-2</v>
      </c>
      <c r="DP31" s="64">
        <v>6.3E-2</v>
      </c>
      <c r="DQ31" s="63">
        <v>6.88</v>
      </c>
      <c r="DR31" s="61">
        <v>16.2</v>
      </c>
      <c r="DS31" s="64">
        <v>1.31</v>
      </c>
      <c r="DT31" s="61">
        <v>83.6</v>
      </c>
      <c r="DU31" s="63">
        <v>4.26</v>
      </c>
      <c r="DV31" s="64">
        <v>0.73199999999999998</v>
      </c>
      <c r="DW31" s="64">
        <v>0.874</v>
      </c>
      <c r="DX31" s="66" t="s">
        <v>242</v>
      </c>
      <c r="DY31" s="65" t="str">
        <f t="shared" si="41"/>
        <v>SA/ME</v>
      </c>
      <c r="DZ31" s="128">
        <v>24</v>
      </c>
      <c r="EA31" s="173">
        <f t="shared" si="42"/>
        <v>0.12032085561497326</v>
      </c>
      <c r="EB31" s="173">
        <f t="shared" si="43"/>
        <v>0.20661764705882352</v>
      </c>
      <c r="EC31" s="173">
        <f t="shared" si="44"/>
        <v>0.91111111111111109</v>
      </c>
      <c r="ED31" s="63">
        <v>1</v>
      </c>
      <c r="EE31" s="63">
        <v>1.38</v>
      </c>
      <c r="EF31" s="63">
        <v>0.04</v>
      </c>
      <c r="EG31" s="63">
        <v>0.05</v>
      </c>
      <c r="EH31" s="127" t="str">
        <f t="shared" si="6"/>
        <v>SA/ME</v>
      </c>
      <c r="EI31" s="56">
        <v>24</v>
      </c>
      <c r="EJ31" s="334" t="s">
        <v>377</v>
      </c>
      <c r="EK31" s="334"/>
      <c r="EL31" s="334"/>
      <c r="EM31" s="334"/>
      <c r="EN31" s="334"/>
      <c r="EO31" s="334"/>
      <c r="EP31" s="334"/>
      <c r="EQ31" s="65" t="str">
        <f t="shared" si="45"/>
        <v>SA/ME</v>
      </c>
      <c r="ER31" s="20"/>
      <c r="ES31" s="20"/>
      <c r="ET31" s="20"/>
      <c r="EU31" s="20"/>
      <c r="EV31" s="20"/>
      <c r="EW31" s="20"/>
      <c r="EX31" s="20"/>
    </row>
    <row r="32" spans="1:154" s="3" customFormat="1" ht="17.149999999999999" customHeight="1" x14ac:dyDescent="0.35">
      <c r="A32" s="56">
        <v>25</v>
      </c>
      <c r="B32" s="57">
        <v>892529</v>
      </c>
      <c r="C32" s="58">
        <v>304</v>
      </c>
      <c r="D32" s="167">
        <v>9.07</v>
      </c>
      <c r="E32" s="59">
        <v>796954</v>
      </c>
      <c r="F32" s="58">
        <f t="shared" si="8"/>
        <v>172</v>
      </c>
      <c r="G32" s="168">
        <v>3.48</v>
      </c>
      <c r="H32" s="57">
        <v>754048</v>
      </c>
      <c r="I32" s="58">
        <f t="shared" si="0"/>
        <v>228</v>
      </c>
      <c r="J32" s="60" t="s">
        <v>237</v>
      </c>
      <c r="K32" s="56">
        <v>25</v>
      </c>
      <c r="L32" s="57">
        <v>69875</v>
      </c>
      <c r="M32" s="58">
        <f t="shared" si="1"/>
        <v>57</v>
      </c>
      <c r="N32" s="59">
        <v>177559</v>
      </c>
      <c r="O32" s="58">
        <f t="shared" si="9"/>
        <v>50</v>
      </c>
      <c r="P32" s="57">
        <v>194749</v>
      </c>
      <c r="Q32" s="169" t="str">
        <f t="shared" si="2"/>
        <v/>
      </c>
      <c r="R32" s="57">
        <v>677</v>
      </c>
      <c r="S32" s="57">
        <v>685</v>
      </c>
      <c r="T32" s="57">
        <v>141</v>
      </c>
      <c r="U32" s="57">
        <v>139</v>
      </c>
      <c r="V32" s="58" t="str">
        <f t="shared" si="10"/>
        <v>SA/ME</v>
      </c>
      <c r="W32" s="56">
        <v>25</v>
      </c>
      <c r="X32" s="63">
        <v>11789.37</v>
      </c>
      <c r="Y32" s="130">
        <f t="shared" si="11"/>
        <v>6.6599999999998545</v>
      </c>
      <c r="Z32" s="63">
        <v>12561.15</v>
      </c>
      <c r="AA32" s="130">
        <f t="shared" si="12"/>
        <v>2.180000000000291</v>
      </c>
      <c r="AB32" s="63">
        <v>9903.61</v>
      </c>
      <c r="AC32" s="130">
        <f t="shared" si="13"/>
        <v>2.5199999999986176</v>
      </c>
      <c r="AD32" s="63">
        <v>10001.75</v>
      </c>
      <c r="AE32" s="130">
        <f t="shared" si="3"/>
        <v>3.5599999999994907</v>
      </c>
      <c r="AF32" s="125" t="str">
        <f t="shared" si="14"/>
        <v>SA/ME</v>
      </c>
      <c r="AG32" s="56">
        <v>25</v>
      </c>
      <c r="AH32" s="63">
        <v>47143.81</v>
      </c>
      <c r="AI32" s="130">
        <f t="shared" si="15"/>
        <v>11.740000000005239</v>
      </c>
      <c r="AJ32" s="63">
        <v>49294.18</v>
      </c>
      <c r="AK32" s="130">
        <f t="shared" si="16"/>
        <v>10.730000000003201</v>
      </c>
      <c r="AL32" s="63">
        <v>587.1</v>
      </c>
      <c r="AM32" s="130" t="str">
        <f t="shared" si="17"/>
        <v/>
      </c>
      <c r="AN32" s="63">
        <v>548.57000000000005</v>
      </c>
      <c r="AO32" s="130" t="str">
        <f t="shared" si="4"/>
        <v/>
      </c>
      <c r="AP32" s="125" t="str">
        <f t="shared" si="18"/>
        <v>SA/ME</v>
      </c>
      <c r="AQ32" s="56">
        <v>25</v>
      </c>
      <c r="AR32" s="63">
        <v>6788.9</v>
      </c>
      <c r="AS32" s="130">
        <f t="shared" si="19"/>
        <v>1.4000000000005457</v>
      </c>
      <c r="AT32" s="63">
        <v>7542.89</v>
      </c>
      <c r="AU32" s="130">
        <f t="shared" si="20"/>
        <v>1.8800000000001091</v>
      </c>
      <c r="AV32" s="63">
        <v>256.47000000000003</v>
      </c>
      <c r="AW32" s="130">
        <f t="shared" si="21"/>
        <v>8.9999999999974989E-2</v>
      </c>
      <c r="AX32" s="63">
        <v>243.57</v>
      </c>
      <c r="AY32" s="130">
        <f t="shared" si="5"/>
        <v>0.33000000000001251</v>
      </c>
      <c r="AZ32" s="125" t="str">
        <f t="shared" si="22"/>
        <v>SA/ME</v>
      </c>
      <c r="BA32" s="56">
        <v>25</v>
      </c>
      <c r="BB32" s="64"/>
      <c r="BC32" s="62"/>
      <c r="BD32" s="61"/>
      <c r="BE32" s="61"/>
      <c r="BF32" s="61"/>
      <c r="BG32" s="61"/>
      <c r="BH32" s="64"/>
      <c r="BI32" s="64"/>
      <c r="BJ32" s="64"/>
      <c r="BK32" s="64"/>
      <c r="BL32" s="64"/>
      <c r="BM32" s="64"/>
      <c r="BN32" s="65" t="str">
        <f t="shared" si="23"/>
        <v>SA/ME</v>
      </c>
      <c r="BO32" s="56">
        <v>25</v>
      </c>
      <c r="BP32" s="64">
        <v>9.0999999999999998E-2</v>
      </c>
      <c r="BQ32" s="62">
        <v>0</v>
      </c>
      <c r="BR32" s="61">
        <v>7.3</v>
      </c>
      <c r="BS32" s="61">
        <v>16.399999999999999</v>
      </c>
      <c r="BT32" s="61">
        <v>17.600000000000001</v>
      </c>
      <c r="BU32" s="64">
        <v>1.2999999999999999E-2</v>
      </c>
      <c r="BV32" s="63">
        <v>1.31</v>
      </c>
      <c r="BW32" s="63">
        <v>0.96</v>
      </c>
      <c r="BX32" s="66" t="s">
        <v>375</v>
      </c>
      <c r="BY32" s="172" t="s">
        <v>239</v>
      </c>
      <c r="BZ32" s="67" t="str">
        <f t="shared" si="24"/>
        <v>SA/ME</v>
      </c>
      <c r="CA32" s="56">
        <v>25</v>
      </c>
      <c r="CB32" s="61">
        <v>87.2</v>
      </c>
      <c r="CC32" s="61"/>
      <c r="CD32" s="68">
        <f t="shared" si="25"/>
        <v>2.2000000000000028</v>
      </c>
      <c r="CE32" s="69">
        <f t="shared" si="26"/>
        <v>10.239383000000014</v>
      </c>
      <c r="CF32" s="69">
        <f t="shared" si="27"/>
        <v>5.3891489473684286</v>
      </c>
      <c r="CG32" s="62">
        <v>73</v>
      </c>
      <c r="CH32" s="62">
        <v>100</v>
      </c>
      <c r="CI32" s="65" t="str">
        <f t="shared" si="28"/>
        <v>SA/ME</v>
      </c>
      <c r="CJ32" s="56">
        <v>25</v>
      </c>
      <c r="CK32" s="61">
        <v>84.8</v>
      </c>
      <c r="CL32" s="61"/>
      <c r="CM32" s="68">
        <f t="shared" si="29"/>
        <v>4.2000000000000028</v>
      </c>
      <c r="CN32" s="68">
        <f t="shared" si="30"/>
        <v>19.547913000000015</v>
      </c>
      <c r="CO32" s="68">
        <f t="shared" si="31"/>
        <v>25.569827646217128</v>
      </c>
      <c r="CP32" s="62">
        <v>57</v>
      </c>
      <c r="CQ32" s="62">
        <v>83</v>
      </c>
      <c r="CR32" s="65" t="str">
        <f t="shared" si="32"/>
        <v>SA/ME</v>
      </c>
      <c r="CS32" s="56">
        <v>25</v>
      </c>
      <c r="CT32" s="61">
        <v>95.6</v>
      </c>
      <c r="CU32" s="61"/>
      <c r="CV32" s="68">
        <f t="shared" si="33"/>
        <v>3.1999999999999886</v>
      </c>
      <c r="CW32" s="68">
        <f t="shared" si="34"/>
        <v>21.261567999999922</v>
      </c>
      <c r="CX32" s="69">
        <f t="shared" si="35"/>
        <v>6.9939368421052375E-2</v>
      </c>
      <c r="CY32" s="66" t="s">
        <v>240</v>
      </c>
      <c r="CZ32" s="66" t="s">
        <v>241</v>
      </c>
      <c r="DA32" s="66"/>
      <c r="DB32" s="65" t="str">
        <f t="shared" si="36"/>
        <v>SA/ME</v>
      </c>
      <c r="DC32" s="56">
        <v>25</v>
      </c>
      <c r="DD32" s="61">
        <v>84.5</v>
      </c>
      <c r="DE32" s="61">
        <v>101.9</v>
      </c>
      <c r="DF32" s="68">
        <f t="shared" si="37"/>
        <v>24</v>
      </c>
      <c r="DG32" s="69">
        <f t="shared" si="38"/>
        <v>1.2948294912</v>
      </c>
      <c r="DH32" s="68">
        <f t="shared" si="39"/>
        <v>4.2593075368421056</v>
      </c>
      <c r="DI32" s="62">
        <v>90</v>
      </c>
      <c r="DJ32" s="62">
        <v>54</v>
      </c>
      <c r="DK32" s="65" t="str">
        <f t="shared" si="40"/>
        <v>SA/ME</v>
      </c>
      <c r="DL32" s="56">
        <v>25</v>
      </c>
      <c r="DM32" s="63">
        <v>8.1300000000000008</v>
      </c>
      <c r="DN32" s="64">
        <v>2.7E-2</v>
      </c>
      <c r="DO32" s="64">
        <v>3.1E-2</v>
      </c>
      <c r="DP32" s="64">
        <v>6.6000000000000003E-2</v>
      </c>
      <c r="DQ32" s="63">
        <v>6.87</v>
      </c>
      <c r="DR32" s="61">
        <v>16.399999999999999</v>
      </c>
      <c r="DS32" s="64">
        <v>1.345</v>
      </c>
      <c r="DT32" s="61">
        <v>83.3</v>
      </c>
      <c r="DU32" s="63">
        <v>4.03</v>
      </c>
      <c r="DV32" s="64">
        <v>0.69599999999999995</v>
      </c>
      <c r="DW32" s="64">
        <v>0.91200000000000003</v>
      </c>
      <c r="DX32" s="66" t="s">
        <v>242</v>
      </c>
      <c r="DY32" s="65" t="str">
        <f t="shared" si="41"/>
        <v>SA/ME</v>
      </c>
      <c r="DZ32" s="128">
        <v>25</v>
      </c>
      <c r="EA32" s="173">
        <f t="shared" si="42"/>
        <v>0.20320855614973263</v>
      </c>
      <c r="EB32" s="173">
        <f t="shared" si="43"/>
        <v>0.12647058823529411</v>
      </c>
      <c r="EC32" s="173">
        <f t="shared" si="44"/>
        <v>0.75</v>
      </c>
      <c r="ED32" s="63">
        <v>1.18</v>
      </c>
      <c r="EE32" s="63">
        <v>1.37</v>
      </c>
      <c r="EF32" s="63">
        <v>0.05</v>
      </c>
      <c r="EG32" s="63">
        <v>0.05</v>
      </c>
      <c r="EH32" s="127" t="str">
        <f t="shared" si="6"/>
        <v>SA/ME</v>
      </c>
      <c r="EI32" s="56">
        <v>25</v>
      </c>
      <c r="EJ32" s="334"/>
      <c r="EK32" s="334"/>
      <c r="EL32" s="334"/>
      <c r="EM32" s="334"/>
      <c r="EN32" s="334"/>
      <c r="EO32" s="334"/>
      <c r="EP32" s="334"/>
      <c r="EQ32" s="65" t="str">
        <f t="shared" si="45"/>
        <v>SA/ME</v>
      </c>
      <c r="ER32" s="20"/>
      <c r="ES32" s="20"/>
      <c r="ET32" s="20"/>
      <c r="EU32" s="20"/>
      <c r="EV32" s="20"/>
      <c r="EW32" s="20"/>
      <c r="EX32" s="20"/>
    </row>
    <row r="33" spans="1:154" s="3" customFormat="1" ht="17.149999999999999" customHeight="1" x14ac:dyDescent="0.35">
      <c r="A33" s="56">
        <v>26</v>
      </c>
      <c r="B33" s="57">
        <v>892833</v>
      </c>
      <c r="C33" s="58">
        <f t="shared" si="7"/>
        <v>121</v>
      </c>
      <c r="D33" s="167">
        <v>9.4499999999999993</v>
      </c>
      <c r="E33" s="59">
        <v>797126</v>
      </c>
      <c r="F33" s="58">
        <f t="shared" si="8"/>
        <v>200</v>
      </c>
      <c r="G33" s="168">
        <v>2.37</v>
      </c>
      <c r="H33" s="57">
        <v>754276</v>
      </c>
      <c r="I33" s="58">
        <f t="shared" si="0"/>
        <v>82</v>
      </c>
      <c r="J33" s="60" t="s">
        <v>237</v>
      </c>
      <c r="K33" s="56">
        <v>26</v>
      </c>
      <c r="L33" s="57">
        <v>69932</v>
      </c>
      <c r="M33" s="58" t="str">
        <f t="shared" si="1"/>
        <v/>
      </c>
      <c r="N33" s="59">
        <v>177609</v>
      </c>
      <c r="O33" s="58">
        <f t="shared" si="9"/>
        <v>57</v>
      </c>
      <c r="P33" s="57">
        <v>194749</v>
      </c>
      <c r="Q33" s="169" t="str">
        <f t="shared" si="2"/>
        <v/>
      </c>
      <c r="R33" s="57">
        <v>678</v>
      </c>
      <c r="S33" s="57">
        <v>685</v>
      </c>
      <c r="T33" s="57">
        <v>142</v>
      </c>
      <c r="U33" s="57">
        <v>139</v>
      </c>
      <c r="V33" s="58" t="str">
        <f t="shared" si="10"/>
        <v>SA/ME</v>
      </c>
      <c r="W33" s="56">
        <v>26</v>
      </c>
      <c r="X33" s="63">
        <v>11796.03</v>
      </c>
      <c r="Y33" s="130">
        <f t="shared" si="11"/>
        <v>1.6399999999994179</v>
      </c>
      <c r="Z33" s="63">
        <v>12563.33</v>
      </c>
      <c r="AA33" s="130">
        <f t="shared" si="12"/>
        <v>2.3799999999991996</v>
      </c>
      <c r="AB33" s="63">
        <v>9906.1299999999992</v>
      </c>
      <c r="AC33" s="130">
        <f t="shared" si="13"/>
        <v>0.31000000000130967</v>
      </c>
      <c r="AD33" s="63">
        <v>10005.31</v>
      </c>
      <c r="AE33" s="130">
        <f t="shared" si="3"/>
        <v>1.7800000000006548</v>
      </c>
      <c r="AF33" s="125" t="str">
        <f t="shared" si="14"/>
        <v>SA/ME</v>
      </c>
      <c r="AG33" s="56">
        <v>26</v>
      </c>
      <c r="AH33" s="63">
        <v>47155.55</v>
      </c>
      <c r="AI33" s="130">
        <f t="shared" si="15"/>
        <v>11.739999999997963</v>
      </c>
      <c r="AJ33" s="63">
        <v>49304.91</v>
      </c>
      <c r="AK33" s="130">
        <f t="shared" si="16"/>
        <v>13.279999999998836</v>
      </c>
      <c r="AL33" s="63">
        <v>587.1</v>
      </c>
      <c r="AM33" s="130" t="str">
        <f t="shared" si="17"/>
        <v/>
      </c>
      <c r="AN33" s="63">
        <v>548.57000000000005</v>
      </c>
      <c r="AO33" s="130" t="str">
        <f t="shared" si="4"/>
        <v/>
      </c>
      <c r="AP33" s="125" t="str">
        <f t="shared" si="18"/>
        <v>SA/ME</v>
      </c>
      <c r="AQ33" s="56">
        <v>26</v>
      </c>
      <c r="AR33" s="63">
        <v>6790.3</v>
      </c>
      <c r="AS33" s="130">
        <f t="shared" si="19"/>
        <v>1.7699999999995271</v>
      </c>
      <c r="AT33" s="63">
        <v>7544.77</v>
      </c>
      <c r="AU33" s="130">
        <f t="shared" si="20"/>
        <v>2.2799999999997453</v>
      </c>
      <c r="AV33" s="63">
        <v>256.56</v>
      </c>
      <c r="AW33" s="130" t="str">
        <f t="shared" si="21"/>
        <v/>
      </c>
      <c r="AX33" s="63">
        <v>243.9</v>
      </c>
      <c r="AY33" s="130" t="str">
        <f t="shared" si="5"/>
        <v/>
      </c>
      <c r="AZ33" s="125" t="str">
        <f t="shared" si="22"/>
        <v>SA/ME</v>
      </c>
      <c r="BA33" s="56">
        <v>26</v>
      </c>
      <c r="BB33" s="64"/>
      <c r="BC33" s="62"/>
      <c r="BD33" s="61"/>
      <c r="BE33" s="61"/>
      <c r="BF33" s="61"/>
      <c r="BG33" s="61"/>
      <c r="BH33" s="64"/>
      <c r="BI33" s="64"/>
      <c r="BJ33" s="64"/>
      <c r="BK33" s="64"/>
      <c r="BL33" s="64"/>
      <c r="BM33" s="64"/>
      <c r="BN33" s="65" t="str">
        <f t="shared" si="23"/>
        <v>SA/ME</v>
      </c>
      <c r="BO33" s="56">
        <v>26</v>
      </c>
      <c r="BP33" s="64">
        <v>8.2000000000000003E-2</v>
      </c>
      <c r="BQ33" s="62">
        <v>0</v>
      </c>
      <c r="BR33" s="61">
        <v>7.3</v>
      </c>
      <c r="BS33" s="61">
        <v>16.5</v>
      </c>
      <c r="BT33" s="61">
        <v>18.8</v>
      </c>
      <c r="BU33" s="64">
        <v>1.2E-2</v>
      </c>
      <c r="BV33" s="63">
        <v>1.3</v>
      </c>
      <c r="BW33" s="63">
        <v>1.01</v>
      </c>
      <c r="BX33" s="66" t="s">
        <v>376</v>
      </c>
      <c r="BY33" s="172" t="s">
        <v>239</v>
      </c>
      <c r="BZ33" s="67" t="str">
        <f t="shared" si="24"/>
        <v>SA/ME</v>
      </c>
      <c r="CA33" s="56">
        <v>26</v>
      </c>
      <c r="CB33" s="61">
        <v>85</v>
      </c>
      <c r="CC33" s="61"/>
      <c r="CD33" s="68">
        <f t="shared" si="25"/>
        <v>0.59999999999999432</v>
      </c>
      <c r="CE33" s="69">
        <f t="shared" si="26"/>
        <v>2.792558999999974</v>
      </c>
      <c r="CF33" s="69">
        <f t="shared" si="27"/>
        <v>4.0866717073170351</v>
      </c>
      <c r="CG33" s="62">
        <v>73</v>
      </c>
      <c r="CH33" s="62">
        <v>100</v>
      </c>
      <c r="CI33" s="65" t="str">
        <f t="shared" si="28"/>
        <v>SA/ME</v>
      </c>
      <c r="CJ33" s="56">
        <v>26</v>
      </c>
      <c r="CK33" s="61">
        <v>80.599999999999994</v>
      </c>
      <c r="CL33" s="61"/>
      <c r="CM33" s="68">
        <f t="shared" si="29"/>
        <v>1.6999999999999886</v>
      </c>
      <c r="CN33" s="68">
        <f t="shared" si="30"/>
        <v>7.9122504999999475</v>
      </c>
      <c r="CO33" s="68">
        <f t="shared" si="31"/>
        <v>26.00253232499983</v>
      </c>
      <c r="CP33" s="62">
        <v>57</v>
      </c>
      <c r="CQ33" s="62">
        <v>83</v>
      </c>
      <c r="CR33" s="65" t="str">
        <f t="shared" si="32"/>
        <v>SA/ME</v>
      </c>
      <c r="CS33" s="56">
        <v>26</v>
      </c>
      <c r="CT33" s="61">
        <v>92.4</v>
      </c>
      <c r="CU33" s="61"/>
      <c r="CV33" s="68">
        <f t="shared" si="33"/>
        <v>1.3000000000000114</v>
      </c>
      <c r="CW33" s="68">
        <f t="shared" si="34"/>
        <v>8.6375120000000756</v>
      </c>
      <c r="CX33" s="69">
        <f t="shared" si="35"/>
        <v>7.1384396694215507E-2</v>
      </c>
      <c r="CY33" s="66" t="s">
        <v>240</v>
      </c>
      <c r="CZ33" s="66" t="s">
        <v>241</v>
      </c>
      <c r="DA33" s="66"/>
      <c r="DB33" s="65" t="str">
        <f t="shared" si="36"/>
        <v>SA/ME</v>
      </c>
      <c r="DC33" s="56">
        <v>26</v>
      </c>
      <c r="DD33" s="61">
        <v>77.900000000000006</v>
      </c>
      <c r="DE33" s="61">
        <v>104.8</v>
      </c>
      <c r="DF33" s="68">
        <f t="shared" si="37"/>
        <v>10.599999999999994</v>
      </c>
      <c r="DG33" s="69">
        <f t="shared" si="38"/>
        <v>0.57188302527999979</v>
      </c>
      <c r="DH33" s="68">
        <f t="shared" si="39"/>
        <v>4.7263059940495848</v>
      </c>
      <c r="DI33" s="62">
        <v>90</v>
      </c>
      <c r="DJ33" s="62">
        <v>54</v>
      </c>
      <c r="DK33" s="65" t="str">
        <f t="shared" si="40"/>
        <v>SA/ME</v>
      </c>
      <c r="DL33" s="56">
        <v>26</v>
      </c>
      <c r="DM33" s="63">
        <v>7.78</v>
      </c>
      <c r="DN33" s="64">
        <v>2.7E-2</v>
      </c>
      <c r="DO33" s="64">
        <v>2.9000000000000001E-2</v>
      </c>
      <c r="DP33" s="64">
        <v>6.5000000000000002E-2</v>
      </c>
      <c r="DQ33" s="63">
        <v>6.88</v>
      </c>
      <c r="DR33" s="61">
        <v>16.5</v>
      </c>
      <c r="DS33" s="64">
        <v>1.3380000000000001</v>
      </c>
      <c r="DT33" s="61">
        <v>85.6</v>
      </c>
      <c r="DU33" s="63">
        <v>4.32</v>
      </c>
      <c r="DV33" s="64">
        <v>2.1309999999999998</v>
      </c>
      <c r="DW33" s="64">
        <v>1.31</v>
      </c>
      <c r="DX33" s="66" t="s">
        <v>242</v>
      </c>
      <c r="DY33" s="65" t="str">
        <f t="shared" si="41"/>
        <v>SA/ME</v>
      </c>
      <c r="DZ33" s="128">
        <v>26</v>
      </c>
      <c r="EA33" s="173">
        <f t="shared" si="42"/>
        <v>8.0882352941176475E-2</v>
      </c>
      <c r="EB33" s="173">
        <f t="shared" si="43"/>
        <v>0.14705882352941177</v>
      </c>
      <c r="EC33" s="173">
        <f t="shared" si="44"/>
        <v>0.6776859504132231</v>
      </c>
      <c r="ED33" s="63">
        <v>1.3</v>
      </c>
      <c r="EE33" s="63">
        <v>1.36</v>
      </c>
      <c r="EF33" s="63">
        <v>0.06</v>
      </c>
      <c r="EG33" s="63">
        <v>0.06</v>
      </c>
      <c r="EH33" s="127" t="str">
        <f t="shared" si="6"/>
        <v>SA/ME</v>
      </c>
      <c r="EI33" s="56">
        <v>26</v>
      </c>
      <c r="EJ33" s="334"/>
      <c r="EK33" s="334"/>
      <c r="EL33" s="334"/>
      <c r="EM33" s="334"/>
      <c r="EN33" s="334"/>
      <c r="EO33" s="334"/>
      <c r="EP33" s="334"/>
      <c r="EQ33" s="65" t="str">
        <f t="shared" si="45"/>
        <v>SA/ME</v>
      </c>
      <c r="ER33" s="20"/>
      <c r="ES33" s="20"/>
      <c r="ET33" s="20"/>
      <c r="EU33" s="20"/>
      <c r="EV33" s="20"/>
      <c r="EW33" s="20"/>
      <c r="EX33" s="20"/>
    </row>
    <row r="34" spans="1:154" s="3" customFormat="1" ht="17.149999999999999" customHeight="1" x14ac:dyDescent="0.35">
      <c r="A34" s="56">
        <v>27</v>
      </c>
      <c r="B34" s="57">
        <v>892954</v>
      </c>
      <c r="C34" s="58">
        <f t="shared" si="7"/>
        <v>190</v>
      </c>
      <c r="D34" s="167">
        <v>9.59</v>
      </c>
      <c r="E34" s="59">
        <v>797326</v>
      </c>
      <c r="F34" s="58">
        <f t="shared" si="8"/>
        <v>188</v>
      </c>
      <c r="G34" s="168">
        <v>1.81</v>
      </c>
      <c r="H34" s="57">
        <v>754358</v>
      </c>
      <c r="I34" s="58">
        <f t="shared" si="0"/>
        <v>169</v>
      </c>
      <c r="J34" s="60" t="s">
        <v>194</v>
      </c>
      <c r="K34" s="56">
        <v>27</v>
      </c>
      <c r="L34" s="57">
        <v>69932</v>
      </c>
      <c r="M34" s="58" t="str">
        <f t="shared" si="1"/>
        <v/>
      </c>
      <c r="N34" s="59">
        <v>177666</v>
      </c>
      <c r="O34" s="58">
        <f t="shared" si="9"/>
        <v>44</v>
      </c>
      <c r="P34" s="57">
        <v>194749</v>
      </c>
      <c r="Q34" s="169" t="str">
        <f t="shared" si="2"/>
        <v/>
      </c>
      <c r="R34" s="57">
        <v>678</v>
      </c>
      <c r="S34" s="57">
        <v>685</v>
      </c>
      <c r="T34" s="57">
        <v>142</v>
      </c>
      <c r="U34" s="57">
        <v>139</v>
      </c>
      <c r="V34" s="58" t="str">
        <f t="shared" si="10"/>
        <v>ME</v>
      </c>
      <c r="W34" s="56">
        <v>27</v>
      </c>
      <c r="X34" s="63">
        <v>11797.67</v>
      </c>
      <c r="Y34" s="130">
        <f t="shared" si="11"/>
        <v>3.3899999999994179</v>
      </c>
      <c r="Z34" s="63">
        <v>12565.71</v>
      </c>
      <c r="AA34" s="130">
        <f t="shared" si="12"/>
        <v>2.1100000000005821</v>
      </c>
      <c r="AB34" s="63">
        <v>9906.44</v>
      </c>
      <c r="AC34" s="130">
        <f t="shared" si="13"/>
        <v>2.819999999999709</v>
      </c>
      <c r="AD34" s="63">
        <v>10007.09</v>
      </c>
      <c r="AE34" s="130">
        <f t="shared" si="3"/>
        <v>1.6700000000000728</v>
      </c>
      <c r="AF34" s="125" t="str">
        <f t="shared" si="14"/>
        <v>ME</v>
      </c>
      <c r="AG34" s="56">
        <v>27</v>
      </c>
      <c r="AH34" s="63">
        <v>47167.29</v>
      </c>
      <c r="AI34" s="130">
        <f t="shared" si="15"/>
        <v>12.269999999996799</v>
      </c>
      <c r="AJ34" s="63">
        <v>49318.19</v>
      </c>
      <c r="AK34" s="130">
        <f t="shared" si="16"/>
        <v>11.290000000000873</v>
      </c>
      <c r="AL34" s="63">
        <v>587.1</v>
      </c>
      <c r="AM34" s="130" t="str">
        <f t="shared" si="17"/>
        <v/>
      </c>
      <c r="AN34" s="63">
        <v>548.57000000000005</v>
      </c>
      <c r="AO34" s="130" t="str">
        <f t="shared" si="4"/>
        <v/>
      </c>
      <c r="AP34" s="125" t="str">
        <f t="shared" si="18"/>
        <v>ME</v>
      </c>
      <c r="AQ34" s="56">
        <v>27</v>
      </c>
      <c r="AR34" s="63">
        <v>6792.07</v>
      </c>
      <c r="AS34" s="130">
        <f t="shared" si="19"/>
        <v>1.6500000000005457</v>
      </c>
      <c r="AT34" s="63">
        <v>7547.05</v>
      </c>
      <c r="AU34" s="130">
        <f t="shared" si="20"/>
        <v>2.3899999999994179</v>
      </c>
      <c r="AV34" s="63">
        <v>256.56</v>
      </c>
      <c r="AW34" s="130" t="str">
        <f t="shared" si="21"/>
        <v/>
      </c>
      <c r="AX34" s="63">
        <v>243.9</v>
      </c>
      <c r="AY34" s="130" t="str">
        <f t="shared" si="5"/>
        <v/>
      </c>
      <c r="AZ34" s="125" t="str">
        <f t="shared" si="22"/>
        <v>ME</v>
      </c>
      <c r="BA34" s="56">
        <v>27</v>
      </c>
      <c r="BB34" s="64">
        <v>1.35</v>
      </c>
      <c r="BC34" s="62">
        <v>37</v>
      </c>
      <c r="BD34" s="61">
        <v>7.1</v>
      </c>
      <c r="BE34" s="61">
        <v>17.5</v>
      </c>
      <c r="BF34" s="61">
        <v>17.399999999999999</v>
      </c>
      <c r="BG34" s="61">
        <v>7.1</v>
      </c>
      <c r="BH34" s="64">
        <v>0.20899999999999999</v>
      </c>
      <c r="BI34" s="64">
        <v>0.20499999999999999</v>
      </c>
      <c r="BJ34" s="64">
        <v>6.2E-2</v>
      </c>
      <c r="BK34" s="64">
        <v>5.8999999999999997E-2</v>
      </c>
      <c r="BL34" s="64">
        <v>5.1999999999999998E-2</v>
      </c>
      <c r="BM34" s="64">
        <v>6.4000000000000001E-2</v>
      </c>
      <c r="BN34" s="65" t="str">
        <f t="shared" si="23"/>
        <v>ME</v>
      </c>
      <c r="BO34" s="56">
        <v>27</v>
      </c>
      <c r="BP34" s="64">
        <v>9.9000000000000005E-2</v>
      </c>
      <c r="BQ34" s="62">
        <v>0</v>
      </c>
      <c r="BR34" s="61">
        <v>7</v>
      </c>
      <c r="BS34" s="61">
        <v>16.600000000000001</v>
      </c>
      <c r="BT34" s="61">
        <v>17.899999999999999</v>
      </c>
      <c r="BU34" s="64">
        <v>1.2E-2</v>
      </c>
      <c r="BV34" s="63">
        <v>1.28</v>
      </c>
      <c r="BW34" s="63">
        <v>1.06</v>
      </c>
      <c r="BX34" s="66" t="s">
        <v>269</v>
      </c>
      <c r="BY34" s="172" t="s">
        <v>361</v>
      </c>
      <c r="BZ34" s="67" t="str">
        <f t="shared" si="24"/>
        <v>ME</v>
      </c>
      <c r="CA34" s="56">
        <v>27</v>
      </c>
      <c r="CB34" s="61">
        <v>84.4</v>
      </c>
      <c r="CC34" s="61">
        <v>97.3</v>
      </c>
      <c r="CD34" s="68">
        <f t="shared" si="25"/>
        <v>1.5999999999999943</v>
      </c>
      <c r="CE34" s="69">
        <f t="shared" si="26"/>
        <v>7.4468239999999746</v>
      </c>
      <c r="CF34" s="69">
        <f t="shared" si="27"/>
        <v>5.2876856804733547</v>
      </c>
      <c r="CG34" s="62">
        <v>66</v>
      </c>
      <c r="CH34" s="62">
        <v>100</v>
      </c>
      <c r="CI34" s="65" t="str">
        <f t="shared" si="28"/>
        <v>ME</v>
      </c>
      <c r="CJ34" s="56">
        <v>27</v>
      </c>
      <c r="CK34" s="61">
        <v>78.900000000000006</v>
      </c>
      <c r="CL34" s="61">
        <v>99.8</v>
      </c>
      <c r="CM34" s="68">
        <f t="shared" si="29"/>
        <v>2.5</v>
      </c>
      <c r="CN34" s="68">
        <f t="shared" si="30"/>
        <v>11.6356625</v>
      </c>
      <c r="CO34" s="68">
        <f t="shared" si="31"/>
        <v>24.35221680592106</v>
      </c>
      <c r="CP34" s="62">
        <v>57</v>
      </c>
      <c r="CQ34" s="62">
        <v>83</v>
      </c>
      <c r="CR34" s="65" t="str">
        <f t="shared" si="32"/>
        <v>ME</v>
      </c>
      <c r="CS34" s="56">
        <v>27</v>
      </c>
      <c r="CT34" s="61">
        <v>91.1</v>
      </c>
      <c r="CU34" s="61"/>
      <c r="CV34" s="68">
        <f t="shared" si="33"/>
        <v>2</v>
      </c>
      <c r="CW34" s="68">
        <f t="shared" si="34"/>
        <v>13.28848</v>
      </c>
      <c r="CX34" s="69">
        <f t="shared" si="35"/>
        <v>6.9939368421052625E-2</v>
      </c>
      <c r="CY34" s="66" t="s">
        <v>240</v>
      </c>
      <c r="CZ34" s="66" t="s">
        <v>241</v>
      </c>
      <c r="DA34" s="66"/>
      <c r="DB34" s="65" t="str">
        <f t="shared" si="36"/>
        <v>ME</v>
      </c>
      <c r="DC34" s="56">
        <v>27</v>
      </c>
      <c r="DD34" s="61">
        <v>94.2</v>
      </c>
      <c r="DE34" s="61">
        <v>103.5</v>
      </c>
      <c r="DF34" s="68">
        <f t="shared" si="37"/>
        <v>20.900000000000006</v>
      </c>
      <c r="DG34" s="69">
        <f t="shared" si="38"/>
        <v>1.1275806819200005</v>
      </c>
      <c r="DH34" s="68">
        <f t="shared" si="39"/>
        <v>5.9346351680000025</v>
      </c>
      <c r="DI34" s="62">
        <v>90</v>
      </c>
      <c r="DJ34" s="62">
        <v>54</v>
      </c>
      <c r="DK34" s="65" t="str">
        <f t="shared" si="40"/>
        <v>ME</v>
      </c>
      <c r="DL34" s="56">
        <v>27</v>
      </c>
      <c r="DM34" s="63">
        <v>7.97</v>
      </c>
      <c r="DN34" s="64">
        <v>3.2000000000000001E-2</v>
      </c>
      <c r="DO34" s="64">
        <v>0.03</v>
      </c>
      <c r="DP34" s="64">
        <v>7.0000000000000007E-2</v>
      </c>
      <c r="DQ34" s="63">
        <v>6.92</v>
      </c>
      <c r="DR34" s="61">
        <v>16.600000000000001</v>
      </c>
      <c r="DS34" s="64">
        <v>1.2969999999999999</v>
      </c>
      <c r="DT34" s="61">
        <v>85.7</v>
      </c>
      <c r="DU34" s="63">
        <v>4.12</v>
      </c>
      <c r="DV34" s="64">
        <v>1.238</v>
      </c>
      <c r="DW34" s="64">
        <v>0.95199999999999996</v>
      </c>
      <c r="DX34" s="66" t="s">
        <v>242</v>
      </c>
      <c r="DY34" s="65" t="str">
        <f t="shared" si="41"/>
        <v>ME</v>
      </c>
      <c r="DZ34" s="128">
        <v>27</v>
      </c>
      <c r="EA34" s="173">
        <f t="shared" si="42"/>
        <v>0.1270053475935829</v>
      </c>
      <c r="EB34" s="173">
        <f t="shared" si="43"/>
        <v>0.13823529411764707</v>
      </c>
      <c r="EC34" s="173">
        <f t="shared" si="44"/>
        <v>0.88947368421052631</v>
      </c>
      <c r="ED34" s="63">
        <v>1.2</v>
      </c>
      <c r="EE34" s="63">
        <v>1.34</v>
      </c>
      <c r="EF34" s="63">
        <v>0.06</v>
      </c>
      <c r="EG34" s="63">
        <v>0.05</v>
      </c>
      <c r="EH34" s="127" t="str">
        <f t="shared" si="6"/>
        <v>ME</v>
      </c>
      <c r="EI34" s="56">
        <v>27</v>
      </c>
      <c r="EJ34" s="334"/>
      <c r="EK34" s="334"/>
      <c r="EL34" s="334"/>
      <c r="EM34" s="334"/>
      <c r="EN34" s="334"/>
      <c r="EO34" s="334"/>
      <c r="EP34" s="334"/>
      <c r="EQ34" s="65" t="str">
        <f t="shared" si="45"/>
        <v>ME</v>
      </c>
      <c r="ER34" s="20"/>
      <c r="ES34" s="20"/>
      <c r="ET34" s="20"/>
      <c r="EU34" s="20"/>
      <c r="EV34" s="20"/>
      <c r="EW34" s="20"/>
      <c r="EX34" s="20"/>
    </row>
    <row r="35" spans="1:154" s="3" customFormat="1" ht="17.149999999999999" customHeight="1" x14ac:dyDescent="0.35">
      <c r="A35" s="56">
        <v>28</v>
      </c>
      <c r="B35" s="57">
        <v>893144</v>
      </c>
      <c r="C35" s="58">
        <f t="shared" si="7"/>
        <v>235</v>
      </c>
      <c r="D35" s="167">
        <v>9.25</v>
      </c>
      <c r="E35" s="59">
        <v>797514</v>
      </c>
      <c r="F35" s="58">
        <f t="shared" si="8"/>
        <v>173</v>
      </c>
      <c r="G35" s="168">
        <v>1.07</v>
      </c>
      <c r="H35" s="57">
        <v>754527</v>
      </c>
      <c r="I35" s="58">
        <f t="shared" si="0"/>
        <v>161</v>
      </c>
      <c r="J35" s="60" t="s">
        <v>194</v>
      </c>
      <c r="K35" s="56">
        <v>28</v>
      </c>
      <c r="L35" s="57">
        <v>69932</v>
      </c>
      <c r="M35" s="58">
        <f t="shared" si="1"/>
        <v>49</v>
      </c>
      <c r="N35" s="59">
        <v>177710</v>
      </c>
      <c r="O35" s="58">
        <f t="shared" si="9"/>
        <v>35</v>
      </c>
      <c r="P35" s="57">
        <v>194749</v>
      </c>
      <c r="Q35" s="169" t="str">
        <f t="shared" si="2"/>
        <v/>
      </c>
      <c r="R35" s="57">
        <v>678</v>
      </c>
      <c r="S35" s="57">
        <v>685</v>
      </c>
      <c r="T35" s="57">
        <v>142</v>
      </c>
      <c r="U35" s="57">
        <v>139</v>
      </c>
      <c r="V35" s="58" t="str">
        <f t="shared" si="10"/>
        <v>ME</v>
      </c>
      <c r="W35" s="56">
        <v>28</v>
      </c>
      <c r="X35" s="63">
        <v>11801.06</v>
      </c>
      <c r="Y35" s="130">
        <f t="shared" si="11"/>
        <v>4.3800000000010186</v>
      </c>
      <c r="Z35" s="63">
        <v>12567.82</v>
      </c>
      <c r="AA35" s="130">
        <f t="shared" si="12"/>
        <v>2.7100000000009459</v>
      </c>
      <c r="AB35" s="63">
        <v>9909.26</v>
      </c>
      <c r="AC35" s="130">
        <f t="shared" si="13"/>
        <v>3.4400000000005093</v>
      </c>
      <c r="AD35" s="63">
        <v>10008.76</v>
      </c>
      <c r="AE35" s="130">
        <f t="shared" si="3"/>
        <v>0.82999999999992724</v>
      </c>
      <c r="AF35" s="125" t="str">
        <f t="shared" si="14"/>
        <v>ME</v>
      </c>
      <c r="AG35" s="56">
        <v>28</v>
      </c>
      <c r="AH35" s="63">
        <v>47179.56</v>
      </c>
      <c r="AI35" s="130">
        <f t="shared" si="15"/>
        <v>8.3800000000046566</v>
      </c>
      <c r="AJ35" s="63">
        <v>49329.48</v>
      </c>
      <c r="AK35" s="130">
        <f t="shared" si="16"/>
        <v>12.709999999999127</v>
      </c>
      <c r="AL35" s="63">
        <v>587.1</v>
      </c>
      <c r="AM35" s="130" t="str">
        <f t="shared" si="17"/>
        <v/>
      </c>
      <c r="AN35" s="63">
        <v>548.57000000000005</v>
      </c>
      <c r="AO35" s="130" t="str">
        <f t="shared" si="4"/>
        <v/>
      </c>
      <c r="AP35" s="125" t="str">
        <f t="shared" si="18"/>
        <v>ME</v>
      </c>
      <c r="AQ35" s="56">
        <v>28</v>
      </c>
      <c r="AR35" s="63">
        <v>6793.72</v>
      </c>
      <c r="AS35" s="130">
        <f t="shared" si="19"/>
        <v>0.93999999999959982</v>
      </c>
      <c r="AT35" s="63">
        <v>7549.44</v>
      </c>
      <c r="AU35" s="130">
        <f t="shared" si="20"/>
        <v>10.25</v>
      </c>
      <c r="AV35" s="63">
        <v>256.56</v>
      </c>
      <c r="AW35" s="130" t="str">
        <f t="shared" si="21"/>
        <v/>
      </c>
      <c r="AX35" s="63">
        <v>243.9</v>
      </c>
      <c r="AY35" s="130">
        <f t="shared" si="5"/>
        <v>0.34000000000000341</v>
      </c>
      <c r="AZ35" s="125" t="str">
        <f t="shared" si="22"/>
        <v>ME</v>
      </c>
      <c r="BA35" s="56">
        <v>28</v>
      </c>
      <c r="BB35" s="64">
        <v>1.29</v>
      </c>
      <c r="BC35" s="62">
        <v>22</v>
      </c>
      <c r="BD35" s="61">
        <v>7.1</v>
      </c>
      <c r="BE35" s="61">
        <v>17.600000000000001</v>
      </c>
      <c r="BF35" s="61">
        <v>16</v>
      </c>
      <c r="BG35" s="61">
        <v>7.1</v>
      </c>
      <c r="BH35" s="64">
        <v>0.17899999999999999</v>
      </c>
      <c r="BI35" s="64">
        <v>0.17100000000000001</v>
      </c>
      <c r="BJ35" s="64">
        <v>5.8999999999999997E-2</v>
      </c>
      <c r="BK35" s="64">
        <v>5.3999999999999999E-2</v>
      </c>
      <c r="BL35" s="64">
        <v>5.1999999999999998E-2</v>
      </c>
      <c r="BM35" s="64">
        <v>6.6000000000000003E-2</v>
      </c>
      <c r="BN35" s="65" t="str">
        <f t="shared" si="23"/>
        <v>ME</v>
      </c>
      <c r="BO35" s="56">
        <v>28</v>
      </c>
      <c r="BP35" s="64">
        <v>0.09</v>
      </c>
      <c r="BQ35" s="62">
        <v>0</v>
      </c>
      <c r="BR35" s="61">
        <v>7</v>
      </c>
      <c r="BS35" s="61">
        <v>16.7</v>
      </c>
      <c r="BT35" s="61">
        <v>17.7</v>
      </c>
      <c r="BU35" s="64">
        <v>0.01</v>
      </c>
      <c r="BV35" s="63">
        <v>1.19</v>
      </c>
      <c r="BW35" s="63">
        <v>0.85</v>
      </c>
      <c r="BX35" s="66" t="s">
        <v>269</v>
      </c>
      <c r="BY35" s="172" t="s">
        <v>361</v>
      </c>
      <c r="BZ35" s="67" t="str">
        <f t="shared" si="24"/>
        <v>ME</v>
      </c>
      <c r="CA35" s="56">
        <v>28</v>
      </c>
      <c r="CB35" s="61">
        <v>95.7</v>
      </c>
      <c r="CC35" s="61"/>
      <c r="CD35" s="68">
        <f t="shared" si="25"/>
        <v>1.7999999999999972</v>
      </c>
      <c r="CE35" s="69">
        <f t="shared" si="26"/>
        <v>8.3776769999999878</v>
      </c>
      <c r="CF35" s="69">
        <f t="shared" si="27"/>
        <v>6.2442313043478164</v>
      </c>
      <c r="CG35" s="62">
        <v>65</v>
      </c>
      <c r="CH35" s="62">
        <v>100</v>
      </c>
      <c r="CI35" s="65" t="str">
        <f t="shared" si="28"/>
        <v>ME</v>
      </c>
      <c r="CJ35" s="56">
        <v>28</v>
      </c>
      <c r="CK35" s="61">
        <v>97.3</v>
      </c>
      <c r="CL35" s="61"/>
      <c r="CM35" s="68">
        <f t="shared" si="29"/>
        <v>2.7000000000000028</v>
      </c>
      <c r="CN35" s="68">
        <f t="shared" si="30"/>
        <v>12.566515500000014</v>
      </c>
      <c r="CO35" s="68">
        <f t="shared" si="31"/>
        <v>21.264148462021303</v>
      </c>
      <c r="CP35" s="62">
        <v>52</v>
      </c>
      <c r="CQ35" s="62">
        <v>83</v>
      </c>
      <c r="CR35" s="65" t="str">
        <f t="shared" si="32"/>
        <v>ME</v>
      </c>
      <c r="CS35" s="56">
        <v>28</v>
      </c>
      <c r="CT35" s="61">
        <v>89.1</v>
      </c>
      <c r="CU35" s="61">
        <v>113.4</v>
      </c>
      <c r="CV35" s="68">
        <f t="shared" si="33"/>
        <v>2.8000000000000114</v>
      </c>
      <c r="CW35" s="68">
        <f t="shared" si="34"/>
        <v>18.603872000000077</v>
      </c>
      <c r="CX35" s="69">
        <f t="shared" si="35"/>
        <v>7.9165412765957774E-2</v>
      </c>
      <c r="CY35" s="66" t="s">
        <v>240</v>
      </c>
      <c r="CZ35" s="66" t="s">
        <v>241</v>
      </c>
      <c r="DA35" s="66"/>
      <c r="DB35" s="65" t="str">
        <f t="shared" si="36"/>
        <v>ME</v>
      </c>
      <c r="DC35" s="56">
        <v>28</v>
      </c>
      <c r="DD35" s="61">
        <v>82.6</v>
      </c>
      <c r="DE35" s="61">
        <v>102.5</v>
      </c>
      <c r="DF35" s="68">
        <f t="shared" si="37"/>
        <v>23.099999999999994</v>
      </c>
      <c r="DG35" s="69">
        <f t="shared" si="38"/>
        <v>1.2462733852799996</v>
      </c>
      <c r="DH35" s="68">
        <f t="shared" si="39"/>
        <v>5.3032910011914884</v>
      </c>
      <c r="DI35" s="62">
        <v>90</v>
      </c>
      <c r="DJ35" s="62">
        <v>54</v>
      </c>
      <c r="DK35" s="65" t="str">
        <f t="shared" si="40"/>
        <v>ME</v>
      </c>
      <c r="DL35" s="56">
        <v>28</v>
      </c>
      <c r="DM35" s="63">
        <v>7.74</v>
      </c>
      <c r="DN35" s="64">
        <v>2.8000000000000001E-2</v>
      </c>
      <c r="DO35" s="64">
        <v>2.8000000000000001E-2</v>
      </c>
      <c r="DP35" s="64">
        <v>6.6000000000000003E-2</v>
      </c>
      <c r="DQ35" s="63">
        <v>6.93</v>
      </c>
      <c r="DR35" s="61">
        <v>16.7</v>
      </c>
      <c r="DS35" s="64">
        <v>1.2569999999999999</v>
      </c>
      <c r="DT35" s="61">
        <v>84.3</v>
      </c>
      <c r="DU35" s="63">
        <v>4.21</v>
      </c>
      <c r="DV35" s="64">
        <v>0.71599999999999997</v>
      </c>
      <c r="DW35" s="64">
        <v>1.1499999999999999</v>
      </c>
      <c r="DX35" s="66" t="s">
        <v>242</v>
      </c>
      <c r="DY35" s="65" t="str">
        <f t="shared" si="41"/>
        <v>ME</v>
      </c>
      <c r="DZ35" s="128">
        <v>28</v>
      </c>
      <c r="EA35" s="173">
        <f t="shared" si="42"/>
        <v>0.15708556149732619</v>
      </c>
      <c r="EB35" s="173">
        <f t="shared" si="43"/>
        <v>0.12720588235294117</v>
      </c>
      <c r="EC35" s="173">
        <f t="shared" si="44"/>
        <v>0.68510638297872339</v>
      </c>
      <c r="ED35" s="63">
        <v>1.24</v>
      </c>
      <c r="EE35" s="63">
        <v>1.3</v>
      </c>
      <c r="EF35" s="63">
        <v>0.05</v>
      </c>
      <c r="EG35" s="63">
        <v>0.04</v>
      </c>
      <c r="EH35" s="127" t="str">
        <f t="shared" si="6"/>
        <v>ME</v>
      </c>
      <c r="EI35" s="56">
        <v>28</v>
      </c>
      <c r="EJ35" s="334"/>
      <c r="EK35" s="334"/>
      <c r="EL35" s="334"/>
      <c r="EM35" s="334"/>
      <c r="EN35" s="334"/>
      <c r="EO35" s="334"/>
      <c r="EP35" s="334"/>
      <c r="EQ35" s="65" t="str">
        <f t="shared" si="45"/>
        <v>ME</v>
      </c>
      <c r="ER35" s="20"/>
      <c r="ES35" s="20"/>
      <c r="ET35" s="20"/>
      <c r="EU35" s="20"/>
      <c r="EV35" s="20"/>
      <c r="EW35" s="20"/>
      <c r="EX35" s="20"/>
    </row>
    <row r="36" spans="1:154" s="3" customFormat="1" ht="17.149999999999999" customHeight="1" x14ac:dyDescent="0.35">
      <c r="A36" s="56">
        <v>29</v>
      </c>
      <c r="B36" s="57">
        <v>893379</v>
      </c>
      <c r="C36" s="58">
        <f t="shared" si="7"/>
        <v>152</v>
      </c>
      <c r="D36" s="167">
        <v>9.34</v>
      </c>
      <c r="E36" s="59">
        <v>797687</v>
      </c>
      <c r="F36" s="58">
        <f t="shared" si="8"/>
        <v>207</v>
      </c>
      <c r="G36" s="168">
        <v>2.1800000000000002</v>
      </c>
      <c r="H36" s="57">
        <v>754688</v>
      </c>
      <c r="I36" s="58">
        <f t="shared" si="0"/>
        <v>129</v>
      </c>
      <c r="J36" s="60" t="s">
        <v>237</v>
      </c>
      <c r="K36" s="56">
        <v>29</v>
      </c>
      <c r="L36" s="57">
        <v>69981</v>
      </c>
      <c r="M36" s="58" t="str">
        <f t="shared" si="1"/>
        <v/>
      </c>
      <c r="N36" s="59">
        <v>177745</v>
      </c>
      <c r="O36" s="58">
        <f t="shared" si="9"/>
        <v>63</v>
      </c>
      <c r="P36" s="57">
        <v>194749</v>
      </c>
      <c r="Q36" s="169" t="str">
        <f t="shared" si="2"/>
        <v/>
      </c>
      <c r="R36" s="57">
        <v>678</v>
      </c>
      <c r="S36" s="57">
        <v>686</v>
      </c>
      <c r="T36" s="57">
        <v>142</v>
      </c>
      <c r="U36" s="57">
        <v>139</v>
      </c>
      <c r="V36" s="58" t="str">
        <f t="shared" si="10"/>
        <v>SA/ME</v>
      </c>
      <c r="W36" s="56">
        <v>29</v>
      </c>
      <c r="X36" s="63">
        <v>11805.44</v>
      </c>
      <c r="Y36" s="130">
        <f t="shared" si="11"/>
        <v>2.1099999999987631</v>
      </c>
      <c r="Z36" s="63">
        <v>12570.53</v>
      </c>
      <c r="AA36" s="293">
        <f t="shared" si="12"/>
        <v>2.3599999999987631</v>
      </c>
      <c r="AB36" s="63">
        <v>9912.7000000000007</v>
      </c>
      <c r="AC36" s="130">
        <f t="shared" si="13"/>
        <v>1.6700000000000728</v>
      </c>
      <c r="AD36" s="63">
        <v>10009.59</v>
      </c>
      <c r="AE36" s="130">
        <f t="shared" si="3"/>
        <v>1.7700000000004366</v>
      </c>
      <c r="AF36" s="125" t="str">
        <f t="shared" si="14"/>
        <v>SA/ME</v>
      </c>
      <c r="AG36" s="56">
        <v>29</v>
      </c>
      <c r="AH36" s="63">
        <v>47187.94</v>
      </c>
      <c r="AI36" s="130">
        <f t="shared" si="15"/>
        <v>15.629999999997381</v>
      </c>
      <c r="AJ36" s="63">
        <v>49342.19</v>
      </c>
      <c r="AK36" s="130">
        <f t="shared" si="16"/>
        <v>11.44999999999709</v>
      </c>
      <c r="AL36" s="63">
        <v>587.1</v>
      </c>
      <c r="AM36" s="130" t="str">
        <f t="shared" si="17"/>
        <v/>
      </c>
      <c r="AN36" s="63">
        <v>548.57000000000005</v>
      </c>
      <c r="AO36" s="130" t="str">
        <f t="shared" si="4"/>
        <v/>
      </c>
      <c r="AP36" s="125" t="str">
        <f t="shared" si="18"/>
        <v>SA/ME</v>
      </c>
      <c r="AQ36" s="56">
        <v>29</v>
      </c>
      <c r="AR36" s="63">
        <v>6794.66</v>
      </c>
      <c r="AS36" s="130">
        <f t="shared" si="19"/>
        <v>1.9899999999997817</v>
      </c>
      <c r="AT36" s="63">
        <v>7559.69</v>
      </c>
      <c r="AU36" s="130">
        <f t="shared" si="20"/>
        <v>2.4600000000000364</v>
      </c>
      <c r="AV36" s="63">
        <v>256.56</v>
      </c>
      <c r="AW36" s="293" t="str">
        <f t="shared" si="21"/>
        <v/>
      </c>
      <c r="AX36" s="63">
        <v>244.24</v>
      </c>
      <c r="AY36" s="130" t="str">
        <f t="shared" si="5"/>
        <v/>
      </c>
      <c r="AZ36" s="125" t="str">
        <f t="shared" si="22"/>
        <v>SA/ME</v>
      </c>
      <c r="BA36" s="56">
        <v>29</v>
      </c>
      <c r="BB36" s="64"/>
      <c r="BC36" s="62"/>
      <c r="BD36" s="61"/>
      <c r="BE36" s="61"/>
      <c r="BF36" s="61"/>
      <c r="BG36" s="61"/>
      <c r="BH36" s="64"/>
      <c r="BI36" s="64"/>
      <c r="BJ36" s="64"/>
      <c r="BK36" s="64"/>
      <c r="BL36" s="64"/>
      <c r="BM36" s="64"/>
      <c r="BN36" s="65" t="str">
        <f t="shared" si="23"/>
        <v>SA/ME</v>
      </c>
      <c r="BO36" s="56">
        <v>29</v>
      </c>
      <c r="BP36" s="64">
        <v>9.1999999999999998E-2</v>
      </c>
      <c r="BQ36" s="62">
        <v>0</v>
      </c>
      <c r="BR36" s="61">
        <v>7.1</v>
      </c>
      <c r="BS36" s="61">
        <v>16.8</v>
      </c>
      <c r="BT36" s="61">
        <v>17.7</v>
      </c>
      <c r="BU36" s="64">
        <v>1.2999999999999999E-2</v>
      </c>
      <c r="BV36" s="63">
        <v>1.1599999999999999</v>
      </c>
      <c r="BW36" s="63">
        <v>0.98</v>
      </c>
      <c r="BX36" s="66" t="s">
        <v>379</v>
      </c>
      <c r="BY36" s="172" t="s">
        <v>239</v>
      </c>
      <c r="BZ36" s="67" t="str">
        <f t="shared" si="24"/>
        <v>SA/ME</v>
      </c>
      <c r="CA36" s="56">
        <v>29</v>
      </c>
      <c r="CB36" s="61">
        <v>93.9</v>
      </c>
      <c r="CC36" s="61"/>
      <c r="CD36" s="68">
        <f t="shared" si="25"/>
        <v>1.1000000000000085</v>
      </c>
      <c r="CE36" s="69">
        <f t="shared" si="26"/>
        <v>5.11969150000004</v>
      </c>
      <c r="CF36" s="69">
        <f t="shared" si="27"/>
        <v>4.7625037209302699</v>
      </c>
      <c r="CG36" s="62">
        <v>65</v>
      </c>
      <c r="CH36" s="62">
        <v>100</v>
      </c>
      <c r="CI36" s="65" t="str">
        <f t="shared" si="28"/>
        <v>SA/ME</v>
      </c>
      <c r="CJ36" s="56">
        <v>29</v>
      </c>
      <c r="CK36" s="61">
        <v>94.6</v>
      </c>
      <c r="CL36" s="61"/>
      <c r="CM36" s="68">
        <f t="shared" si="29"/>
        <v>2</v>
      </c>
      <c r="CN36" s="68">
        <f t="shared" si="30"/>
        <v>9.3085300000000011</v>
      </c>
      <c r="CO36" s="68">
        <f t="shared" si="31"/>
        <v>24.352216805921056</v>
      </c>
      <c r="CP36" s="62">
        <v>52</v>
      </c>
      <c r="CQ36" s="62">
        <v>83</v>
      </c>
      <c r="CR36" s="65" t="str">
        <f t="shared" si="32"/>
        <v>SA/ME</v>
      </c>
      <c r="CS36" s="56">
        <v>29</v>
      </c>
      <c r="CT36" s="61">
        <v>110.6</v>
      </c>
      <c r="CU36" s="61">
        <v>106.2</v>
      </c>
      <c r="CV36" s="68">
        <f t="shared" si="33"/>
        <v>1.5</v>
      </c>
      <c r="CW36" s="68">
        <f t="shared" si="34"/>
        <v>9.9663599999999999</v>
      </c>
      <c r="CX36" s="69">
        <f t="shared" si="35"/>
        <v>6.5568157894736842E-2</v>
      </c>
      <c r="CY36" s="66" t="s">
        <v>240</v>
      </c>
      <c r="CZ36" s="66" t="s">
        <v>241</v>
      </c>
      <c r="DA36" s="66" t="s">
        <v>242</v>
      </c>
      <c r="DB36" s="65" t="str">
        <f t="shared" si="36"/>
        <v>SA/ME</v>
      </c>
      <c r="DC36" s="56">
        <v>29</v>
      </c>
      <c r="DD36" s="61">
        <v>79.400000000000006</v>
      </c>
      <c r="DE36" s="61">
        <v>105.5</v>
      </c>
      <c r="DF36" s="68">
        <f t="shared" si="37"/>
        <v>14.799999999999997</v>
      </c>
      <c r="DG36" s="69">
        <f t="shared" si="38"/>
        <v>0.79847818623999989</v>
      </c>
      <c r="DH36" s="68">
        <f t="shared" si="39"/>
        <v>5.2531459621052621</v>
      </c>
      <c r="DI36" s="62">
        <v>90</v>
      </c>
      <c r="DJ36" s="62">
        <v>54</v>
      </c>
      <c r="DK36" s="65" t="str">
        <f t="shared" si="40"/>
        <v>SA/ME</v>
      </c>
      <c r="DL36" s="56">
        <v>29</v>
      </c>
      <c r="DM36" s="63">
        <v>7.86</v>
      </c>
      <c r="DN36" s="64">
        <v>2.9000000000000001E-2</v>
      </c>
      <c r="DO36" s="64">
        <v>3.1E-2</v>
      </c>
      <c r="DP36" s="64">
        <v>6.5000000000000002E-2</v>
      </c>
      <c r="DQ36" s="63">
        <v>6.93</v>
      </c>
      <c r="DR36" s="61">
        <v>16.8</v>
      </c>
      <c r="DS36" s="64">
        <v>1.23</v>
      </c>
      <c r="DT36" s="61">
        <v>84.2</v>
      </c>
      <c r="DU36" s="63">
        <v>4.3099999999999996</v>
      </c>
      <c r="DV36" s="64">
        <v>2.0049999999999999</v>
      </c>
      <c r="DW36" s="64">
        <v>1.46</v>
      </c>
      <c r="DX36" s="66" t="s">
        <v>242</v>
      </c>
      <c r="DY36" s="65" t="str">
        <f t="shared" si="41"/>
        <v>SA/ME</v>
      </c>
      <c r="DZ36" s="128">
        <v>29</v>
      </c>
      <c r="EA36" s="173">
        <f t="shared" si="42"/>
        <v>0.10160427807486631</v>
      </c>
      <c r="EB36" s="173">
        <f t="shared" si="43"/>
        <v>0.15220588235294116</v>
      </c>
      <c r="EC36" s="173">
        <f t="shared" si="44"/>
        <v>0.84868421052631582</v>
      </c>
      <c r="ED36" s="63">
        <v>1.18</v>
      </c>
      <c r="EE36" s="63">
        <v>1.25</v>
      </c>
      <c r="EF36" s="63">
        <v>0.04</v>
      </c>
      <c r="EG36" s="63">
        <v>0.05</v>
      </c>
      <c r="EH36" s="127" t="str">
        <f t="shared" si="6"/>
        <v>SA/ME</v>
      </c>
      <c r="EI36" s="56">
        <v>29</v>
      </c>
      <c r="EJ36" s="334" t="s">
        <v>380</v>
      </c>
      <c r="EK36" s="334"/>
      <c r="EL36" s="334"/>
      <c r="EM36" s="334"/>
      <c r="EN36" s="334"/>
      <c r="EO36" s="334"/>
      <c r="EP36" s="334"/>
      <c r="EQ36" s="65" t="str">
        <f t="shared" si="45"/>
        <v>SA/ME</v>
      </c>
      <c r="ER36" s="20"/>
      <c r="ES36" s="20"/>
      <c r="ET36" s="20"/>
      <c r="EU36" s="20"/>
      <c r="EV36" s="20"/>
      <c r="EW36" s="20"/>
      <c r="EX36" s="20"/>
    </row>
    <row r="37" spans="1:154" s="3" customFormat="1" ht="17.149999999999999" customHeight="1" x14ac:dyDescent="0.35">
      <c r="A37" s="56">
        <v>30</v>
      </c>
      <c r="B37" s="57">
        <v>893531</v>
      </c>
      <c r="C37" s="58">
        <f>IF(July!B8="","",IF(July!B8=B37,"",(July!B8-B37)))</f>
        <v>153</v>
      </c>
      <c r="D37" s="167">
        <v>9.17</v>
      </c>
      <c r="E37" s="59">
        <v>797894</v>
      </c>
      <c r="F37" s="58">
        <f>IF(July!E8="","",IF(July!E8=E37,"",(July!E8-E37)))</f>
        <v>162</v>
      </c>
      <c r="G37" s="168">
        <v>3.17</v>
      </c>
      <c r="H37" s="57">
        <v>754817</v>
      </c>
      <c r="I37" s="58">
        <f>IF(July!H8="","",IF(July!H8=H37,"",(July!H8-H37)))</f>
        <v>135</v>
      </c>
      <c r="J37" s="60" t="s">
        <v>194</v>
      </c>
      <c r="K37" s="56">
        <v>30</v>
      </c>
      <c r="L37" s="57">
        <v>69981</v>
      </c>
      <c r="M37" s="58" t="str">
        <f>IF(July!L8="","",IF(July!L8=L37,"",(July!L8-L37)))</f>
        <v/>
      </c>
      <c r="N37" s="59">
        <v>177808</v>
      </c>
      <c r="O37" s="58">
        <f>IF(July!N8="","",IF(July!N8=N37,"",(July!N8-N37)))</f>
        <v>38</v>
      </c>
      <c r="P37" s="57">
        <v>194749</v>
      </c>
      <c r="Q37" s="58" t="str">
        <f>IF(July!P8="","",IF(July!P8=P37,"",(July!P8-P37)))</f>
        <v/>
      </c>
      <c r="R37" s="57">
        <v>678</v>
      </c>
      <c r="S37" s="57">
        <v>686</v>
      </c>
      <c r="T37" s="57">
        <v>142</v>
      </c>
      <c r="U37" s="57">
        <v>139</v>
      </c>
      <c r="V37" s="58" t="str">
        <f t="shared" si="10"/>
        <v>ME</v>
      </c>
      <c r="W37" s="56">
        <v>30</v>
      </c>
      <c r="X37" s="63">
        <v>11807.55</v>
      </c>
      <c r="Y37" s="130">
        <f>IF(July!X8="","",IF(July!X8=X37,"",July!X8-X37))</f>
        <v>2.3700000000008004</v>
      </c>
      <c r="Z37" s="63">
        <v>12572.89</v>
      </c>
      <c r="AA37" s="130">
        <f>IF(July!Z8="","",IF(July!Z8=Z37,"",July!Z8-Z37))</f>
        <v>2.1900000000005093</v>
      </c>
      <c r="AB37" s="63">
        <v>9914.3700000000008</v>
      </c>
      <c r="AC37" s="130">
        <f>IF(July!AB8="","",IF(July!AB8=AB37,"",July!AB8-AB37))</f>
        <v>1.8999999999996362</v>
      </c>
      <c r="AD37" s="63">
        <v>10011.36</v>
      </c>
      <c r="AE37" s="130">
        <f>IF(July!AD8="","",IF(July!AD8=AD37,"",July!AD8-AD37))</f>
        <v>1.6899999999986903</v>
      </c>
      <c r="AF37" s="125" t="str">
        <f t="shared" si="14"/>
        <v>ME</v>
      </c>
      <c r="AG37" s="56">
        <v>30</v>
      </c>
      <c r="AH37" s="63">
        <v>47203.57</v>
      </c>
      <c r="AI37" s="130">
        <f>IF(July!AH8="","",IF(July!AH8=AH37,"",July!AH8-AH37))</f>
        <v>7.180000000000291</v>
      </c>
      <c r="AJ37" s="63">
        <v>49353.64</v>
      </c>
      <c r="AK37" s="130">
        <f>IF(July!AJ8="","",IF(July!AJ8=AJ37,"",July!AJ8-AJ37))</f>
        <v>12.559999999997672</v>
      </c>
      <c r="AL37" s="63">
        <v>587.1</v>
      </c>
      <c r="AM37" s="130" t="str">
        <f>IF(July!AL8="","",IF(July!AL8=AL37,"",July!AL8-AL37))</f>
        <v/>
      </c>
      <c r="AN37" s="63">
        <v>548.57000000000005</v>
      </c>
      <c r="AO37" s="130" t="str">
        <f>IF(July!AN8="","",IF(July!AN8=AN37,"",July!AN8-AN37))</f>
        <v/>
      </c>
      <c r="AP37" s="125" t="str">
        <f t="shared" si="18"/>
        <v>ME</v>
      </c>
      <c r="AQ37" s="56">
        <v>30</v>
      </c>
      <c r="AR37" s="63">
        <v>6796.65</v>
      </c>
      <c r="AS37" s="130">
        <f>IF(July!AR8="","",IF(July!AR8=AR37,"",July!AR8-AR37))</f>
        <v>1.4000000000005457</v>
      </c>
      <c r="AT37" s="63">
        <v>7562.15</v>
      </c>
      <c r="AU37" s="130">
        <f>IF(July!AT8="","",IF(July!AT8=AT37,"",July!AT8-AT37))</f>
        <v>2.3400000000001455</v>
      </c>
      <c r="AV37" s="63">
        <v>256.56</v>
      </c>
      <c r="AW37" s="130" t="str">
        <f>IF(July!AV8="","",IF(July!AV8=AV37,"",July!AV8-AV37))</f>
        <v/>
      </c>
      <c r="AX37" s="63">
        <v>244.24</v>
      </c>
      <c r="AY37" s="130" t="str">
        <f>IF(July!AX8="","",IF(July!AX8=AX37,"",July!AX8-AX37))</f>
        <v/>
      </c>
      <c r="AZ37" s="125" t="str">
        <f t="shared" si="22"/>
        <v>ME</v>
      </c>
      <c r="BA37" s="56">
        <v>30</v>
      </c>
      <c r="BB37" s="64">
        <v>1.41</v>
      </c>
      <c r="BC37" s="62">
        <v>44</v>
      </c>
      <c r="BD37" s="61">
        <v>7.1</v>
      </c>
      <c r="BE37" s="61">
        <v>17.600000000000001</v>
      </c>
      <c r="BF37" s="61">
        <v>16.899999999999999</v>
      </c>
      <c r="BG37" s="61">
        <v>7.1</v>
      </c>
      <c r="BH37" s="64">
        <v>0.17599999999999999</v>
      </c>
      <c r="BI37" s="64">
        <v>0.16</v>
      </c>
      <c r="BJ37" s="64">
        <v>6.4000000000000001E-2</v>
      </c>
      <c r="BK37" s="64">
        <v>6.2E-2</v>
      </c>
      <c r="BL37" s="64">
        <v>6.4000000000000001E-2</v>
      </c>
      <c r="BM37" s="64">
        <v>5.8999999999999997E-2</v>
      </c>
      <c r="BN37" s="65" t="str">
        <f t="shared" si="23"/>
        <v>ME</v>
      </c>
      <c r="BO37" s="56">
        <v>30</v>
      </c>
      <c r="BP37" s="64">
        <v>9.1999999999999998E-2</v>
      </c>
      <c r="BQ37" s="62">
        <v>0</v>
      </c>
      <c r="BR37" s="61">
        <v>7.3</v>
      </c>
      <c r="BS37" s="61">
        <v>17.100000000000001</v>
      </c>
      <c r="BT37" s="61">
        <v>18</v>
      </c>
      <c r="BU37" s="64">
        <v>1.2E-2</v>
      </c>
      <c r="BV37" s="63">
        <v>1.1599999999999999</v>
      </c>
      <c r="BW37" s="63">
        <v>0.93</v>
      </c>
      <c r="BX37" s="66" t="s">
        <v>245</v>
      </c>
      <c r="BY37" s="172" t="s">
        <v>361</v>
      </c>
      <c r="BZ37" s="67" t="str">
        <f t="shared" si="24"/>
        <v>ME</v>
      </c>
      <c r="CA37" s="56">
        <v>30</v>
      </c>
      <c r="CB37" s="61">
        <v>92.8</v>
      </c>
      <c r="CC37" s="61"/>
      <c r="CD37" s="68">
        <f>IF(July!CB8="","",IF(CC37="",IF(CB37=July!CB8,"",(CB37-July!CB8)),IF(CC37=July!CB8,"",(CC37-July!CB8))))</f>
        <v>1.2000000000000028</v>
      </c>
      <c r="CE37" s="69">
        <f t="shared" si="26"/>
        <v>5.5851180000000138</v>
      </c>
      <c r="CF37" s="69">
        <f t="shared" si="27"/>
        <v>4.9645493333333457</v>
      </c>
      <c r="CG37" s="62">
        <v>66</v>
      </c>
      <c r="CH37" s="62">
        <v>100</v>
      </c>
      <c r="CI37" s="65" t="str">
        <f t="shared" si="28"/>
        <v>ME</v>
      </c>
      <c r="CJ37" s="56">
        <v>30</v>
      </c>
      <c r="CK37" s="61">
        <v>92.6</v>
      </c>
      <c r="CL37" s="61"/>
      <c r="CM37" s="68">
        <f>IF(July!CK8="","",IF(CL37="",IF(CK37=July!CK8,"",(CK37-July!CK8)),IF(CL37=July!CK8,"",(CL37-July!CK8))))</f>
        <v>1.8999999999999915</v>
      </c>
      <c r="CN37" s="68">
        <f t="shared" si="30"/>
        <v>8.8431034999999607</v>
      </c>
      <c r="CO37" s="68">
        <f t="shared" si="31"/>
        <v>22.983399390686174</v>
      </c>
      <c r="CP37" s="62">
        <v>51</v>
      </c>
      <c r="CQ37" s="62">
        <v>83</v>
      </c>
      <c r="CR37" s="65" t="str">
        <f t="shared" si="32"/>
        <v>ME</v>
      </c>
      <c r="CS37" s="56">
        <v>30</v>
      </c>
      <c r="CT37" s="61">
        <v>104.7</v>
      </c>
      <c r="CU37" s="61"/>
      <c r="CV37" s="68">
        <f>IF(July!CT8="","",IF(CU37="",IF(CT37=July!CT8,"",(CT37-July!CT8)),IF(CU37=July!CT8,"",(CU37-July!CT8))))</f>
        <v>1.6000000000000085</v>
      </c>
      <c r="CW37" s="68">
        <f t="shared" si="34"/>
        <v>10.630784000000055</v>
      </c>
      <c r="CX37" s="69">
        <f t="shared" si="35"/>
        <v>6.9482248366013438E-2</v>
      </c>
      <c r="CY37" s="66" t="s">
        <v>240</v>
      </c>
      <c r="CZ37" s="66" t="s">
        <v>241</v>
      </c>
      <c r="DA37" s="66"/>
      <c r="DB37" s="65" t="str">
        <f t="shared" si="36"/>
        <v>ME</v>
      </c>
      <c r="DC37" s="56">
        <v>30</v>
      </c>
      <c r="DD37" s="61">
        <v>90.7</v>
      </c>
      <c r="DE37" s="61">
        <v>104.3</v>
      </c>
      <c r="DF37" s="68">
        <f>IF(July!DD8="","",IF(DE37="",IF(DD37=July!DD8,"",(DD37-July!DD8)),IF(DE37=July!DD8,"",(DE37-July!DD8))))</f>
        <v>15.700000000000003</v>
      </c>
      <c r="DG37" s="69">
        <f t="shared" si="38"/>
        <v>0.84703429216000015</v>
      </c>
      <c r="DH37" s="68">
        <f t="shared" si="39"/>
        <v>5.5361718441830075</v>
      </c>
      <c r="DI37" s="62">
        <v>90</v>
      </c>
      <c r="DJ37" s="62">
        <v>54</v>
      </c>
      <c r="DK37" s="65" t="str">
        <f t="shared" si="40"/>
        <v>ME</v>
      </c>
      <c r="DL37" s="56">
        <v>30</v>
      </c>
      <c r="DM37" s="63">
        <v>7.79</v>
      </c>
      <c r="DN37" s="64">
        <v>0.03</v>
      </c>
      <c r="DO37" s="64">
        <v>3.2000000000000001E-2</v>
      </c>
      <c r="DP37" s="64">
        <v>6.8000000000000005E-2</v>
      </c>
      <c r="DQ37" s="63">
        <v>6.94</v>
      </c>
      <c r="DR37" s="61">
        <v>17.100000000000001</v>
      </c>
      <c r="DS37" s="64">
        <v>1.1519999999999999</v>
      </c>
      <c r="DT37" s="61">
        <v>86.1</v>
      </c>
      <c r="DU37" s="63">
        <v>4.22</v>
      </c>
      <c r="DV37" s="64">
        <v>1.161</v>
      </c>
      <c r="DW37" s="64">
        <v>0.82699999999999996</v>
      </c>
      <c r="DX37" s="66" t="s">
        <v>242</v>
      </c>
      <c r="DY37" s="65" t="str">
        <f t="shared" si="41"/>
        <v>ME</v>
      </c>
      <c r="DZ37" s="128">
        <v>30</v>
      </c>
      <c r="EA37" s="173">
        <f t="shared" si="42"/>
        <v>0.10227272727272728</v>
      </c>
      <c r="EB37" s="173">
        <f t="shared" si="43"/>
        <v>0.11911764705882352</v>
      </c>
      <c r="EC37" s="173">
        <f t="shared" si="44"/>
        <v>0.88235294117647056</v>
      </c>
      <c r="ED37" s="63">
        <v>1.1299999999999999</v>
      </c>
      <c r="EE37" s="63">
        <v>1.23</v>
      </c>
      <c r="EF37" s="63">
        <v>0.04</v>
      </c>
      <c r="EG37" s="63">
        <v>0.06</v>
      </c>
      <c r="EH37" s="127" t="str">
        <f t="shared" si="6"/>
        <v>ME</v>
      </c>
      <c r="EI37" s="56">
        <v>30</v>
      </c>
      <c r="EJ37" s="334"/>
      <c r="EK37" s="334"/>
      <c r="EL37" s="334"/>
      <c r="EM37" s="334"/>
      <c r="EN37" s="334"/>
      <c r="EO37" s="334"/>
      <c r="EP37" s="334"/>
      <c r="EQ37" s="65" t="str">
        <f t="shared" si="45"/>
        <v>ME</v>
      </c>
      <c r="ER37" s="20"/>
      <c r="ES37" s="20"/>
      <c r="ET37" s="20"/>
      <c r="EU37" s="20"/>
      <c r="EV37" s="20"/>
      <c r="EW37" s="20"/>
      <c r="EX37" s="20"/>
    </row>
    <row r="38" spans="1:154" s="3" customFormat="1" ht="17.149999999999999" customHeight="1" thickBot="1" x14ac:dyDescent="0.4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124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  <c r="DR38" s="73"/>
      <c r="DS38" s="73"/>
      <c r="DT38" s="73"/>
      <c r="DU38" s="73"/>
      <c r="DV38" s="73"/>
      <c r="DW38" s="73"/>
      <c r="DX38" s="73"/>
      <c r="DY38" s="73"/>
      <c r="DZ38" s="73"/>
      <c r="EA38" s="73"/>
      <c r="EB38" s="73"/>
      <c r="EC38" s="73"/>
      <c r="ED38" s="73"/>
      <c r="EE38" s="73"/>
      <c r="EF38" s="73"/>
      <c r="EG38" s="73"/>
      <c r="EH38" s="73"/>
      <c r="EI38" s="73"/>
      <c r="EJ38" s="351"/>
      <c r="EK38" s="351"/>
      <c r="EL38" s="351"/>
      <c r="EM38" s="351"/>
      <c r="EN38" s="351"/>
      <c r="EO38" s="351"/>
      <c r="EP38" s="351"/>
      <c r="EQ38" s="73"/>
      <c r="ER38" s="20"/>
      <c r="ES38" s="20"/>
      <c r="ET38" s="20"/>
      <c r="EU38" s="20"/>
      <c r="EV38" s="20"/>
      <c r="EW38" s="20"/>
      <c r="EX38" s="20"/>
    </row>
    <row r="39" spans="1:154" s="3" customFormat="1" ht="18.649999999999999" customHeight="1" thickBot="1" x14ac:dyDescent="0.4">
      <c r="A39" s="73"/>
      <c r="B39" s="74"/>
      <c r="C39" s="74"/>
      <c r="D39" s="75"/>
      <c r="E39" s="74"/>
      <c r="F39" s="74"/>
      <c r="G39" s="75"/>
      <c r="H39" s="74"/>
      <c r="I39" s="74"/>
      <c r="J39" s="73"/>
      <c r="K39" s="73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3"/>
      <c r="W39" s="73"/>
      <c r="X39" s="75"/>
      <c r="Y39" s="75"/>
      <c r="Z39" s="75"/>
      <c r="AA39" s="75"/>
      <c r="AB39" s="75"/>
      <c r="AC39" s="75"/>
      <c r="AD39" s="75"/>
      <c r="AE39" s="75"/>
      <c r="AF39" s="73"/>
      <c r="AG39" s="73"/>
      <c r="AH39" s="75"/>
      <c r="AI39" s="75"/>
      <c r="AJ39" s="75"/>
      <c r="AK39" s="75"/>
      <c r="AL39" s="75"/>
      <c r="AM39" s="75"/>
      <c r="AN39" s="75"/>
      <c r="AO39" s="75"/>
      <c r="AP39" s="73"/>
      <c r="AQ39" s="73"/>
      <c r="AR39" s="75"/>
      <c r="AS39" s="75"/>
      <c r="AT39" s="75"/>
      <c r="AU39" s="75"/>
      <c r="AV39" s="75"/>
      <c r="AW39" s="75"/>
      <c r="AX39" s="75"/>
      <c r="AY39" s="75"/>
      <c r="AZ39" s="73"/>
      <c r="BA39" s="73"/>
      <c r="BB39" s="124"/>
      <c r="BC39" s="74"/>
      <c r="BD39" s="73"/>
      <c r="BE39" s="73"/>
      <c r="BF39" s="73"/>
      <c r="BG39" s="73"/>
      <c r="BH39" s="124"/>
      <c r="BI39" s="124"/>
      <c r="BJ39" s="124"/>
      <c r="BK39" s="124"/>
      <c r="BL39" s="124"/>
      <c r="BM39" s="124"/>
      <c r="BN39" s="73"/>
      <c r="BO39" s="73"/>
      <c r="BP39" s="124"/>
      <c r="BQ39" s="74"/>
      <c r="BR39" s="73"/>
      <c r="BS39" s="73"/>
      <c r="BT39" s="73"/>
      <c r="BU39" s="124"/>
      <c r="BV39" s="75"/>
      <c r="BW39" s="75"/>
      <c r="BX39" s="73"/>
      <c r="BY39" s="73"/>
      <c r="BZ39" s="73"/>
      <c r="CA39" s="73"/>
      <c r="CB39" s="73"/>
      <c r="CC39" s="73"/>
      <c r="CD39" s="73"/>
      <c r="CE39" s="75"/>
      <c r="CF39" s="75"/>
      <c r="CG39" s="74"/>
      <c r="CH39" s="74"/>
      <c r="CI39" s="73"/>
      <c r="CJ39" s="73"/>
      <c r="CK39" s="73"/>
      <c r="CL39" s="73"/>
      <c r="CM39" s="73"/>
      <c r="CN39" s="73"/>
      <c r="CO39" s="73"/>
      <c r="CP39" s="74"/>
      <c r="CQ39" s="74"/>
      <c r="CR39" s="73"/>
      <c r="CS39" s="73"/>
      <c r="CT39" s="73"/>
      <c r="CU39" s="73"/>
      <c r="CV39" s="73"/>
      <c r="CW39" s="73"/>
      <c r="CX39" s="75"/>
      <c r="CY39" s="74"/>
      <c r="CZ39" s="74"/>
      <c r="DA39" s="74"/>
      <c r="DB39" s="73"/>
      <c r="DC39" s="73"/>
      <c r="DD39" s="73"/>
      <c r="DE39" s="73"/>
      <c r="DF39" s="73"/>
      <c r="DG39" s="75"/>
      <c r="DH39" s="73"/>
      <c r="DI39" s="74"/>
      <c r="DJ39" s="74"/>
      <c r="DK39" s="73"/>
      <c r="DL39" s="73"/>
      <c r="DM39" s="75"/>
      <c r="DN39" s="124"/>
      <c r="DO39" s="124"/>
      <c r="DP39" s="124"/>
      <c r="DQ39" s="75"/>
      <c r="DR39" s="73"/>
      <c r="DS39" s="124"/>
      <c r="DT39" s="73"/>
      <c r="DU39" s="75"/>
      <c r="DV39" s="124"/>
      <c r="DW39" s="124"/>
      <c r="DX39" s="124"/>
      <c r="DY39" s="73"/>
      <c r="DZ39" s="195" t="s">
        <v>199</v>
      </c>
      <c r="EA39" s="198">
        <f>IF(COUNT(EA7:EA37)=0,"",AVERAGE(EA7:EA37))*100</f>
        <v>12.422014260249554</v>
      </c>
      <c r="EB39" s="199">
        <f>IF(COUNT(EB7:EB37)=0,"",AVERAGE(EB7:EB37))*100</f>
        <v>14.220588235294118</v>
      </c>
      <c r="EC39" s="200">
        <f>IF(COUNT(EC7:EC37)=0,"",AVERAGE(EC7:EC37))*100</f>
        <v>80.513908958563562</v>
      </c>
      <c r="ED39" s="75"/>
      <c r="EE39" s="75"/>
      <c r="EF39" s="75"/>
      <c r="EG39" s="75"/>
      <c r="EH39" s="73"/>
      <c r="EI39" s="73"/>
      <c r="EJ39" s="351"/>
      <c r="EK39" s="351"/>
      <c r="EL39" s="351"/>
      <c r="EM39" s="351"/>
      <c r="EN39" s="351"/>
      <c r="EO39" s="351"/>
      <c r="EP39" s="351"/>
      <c r="EQ39" s="73"/>
      <c r="ER39" s="20"/>
      <c r="ES39" s="20"/>
      <c r="ET39" s="20"/>
      <c r="EU39" s="20"/>
      <c r="EV39" s="20"/>
      <c r="EW39" s="20"/>
      <c r="EX39" s="20"/>
    </row>
    <row r="40" spans="1:154" s="3" customFormat="1" ht="18.649999999999999" customHeight="1" x14ac:dyDescent="0.35">
      <c r="A40" s="56" t="s">
        <v>2</v>
      </c>
      <c r="B40" s="77"/>
      <c r="C40" s="78">
        <f>IF(COUNT(C8:C38)=0,"",SUM(C8:C38))</f>
        <v>5575</v>
      </c>
      <c r="D40" s="75"/>
      <c r="E40" s="74"/>
      <c r="F40" s="78">
        <f>IF(COUNT(F8:F38)=0,"",SUM(F8:F38))</f>
        <v>5802</v>
      </c>
      <c r="G40" s="81"/>
      <c r="H40" s="74"/>
      <c r="I40" s="78">
        <f>IF(COUNT(I8:I38)=0,"",SUM(I8:I38))</f>
        <v>4451</v>
      </c>
      <c r="J40" s="79"/>
      <c r="K40" s="56" t="s">
        <v>2</v>
      </c>
      <c r="L40" s="77"/>
      <c r="M40" s="78">
        <f>IF(COUNT(M8:M38)=0,"",SUM(M8:M38))</f>
        <v>404</v>
      </c>
      <c r="N40" s="74"/>
      <c r="O40" s="78">
        <f>IF(COUNT(O8:O38)=0,"",SUM(O8:O38))</f>
        <v>1358</v>
      </c>
      <c r="P40" s="74"/>
      <c r="Q40" s="78" t="str">
        <f>IF(COUNT(Q8:Q38)=0,"",SUM(Q8:Q38))</f>
        <v/>
      </c>
      <c r="R40" s="77"/>
      <c r="S40" s="77"/>
      <c r="T40" s="77"/>
      <c r="U40" s="77"/>
      <c r="V40" s="79"/>
      <c r="W40" s="56" t="s">
        <v>2</v>
      </c>
      <c r="X40" s="81"/>
      <c r="Y40" s="82">
        <f>IF(COUNT(Y8:Y38)=0,"",SUM(Y8:Y38))</f>
        <v>88.299999999999272</v>
      </c>
      <c r="Z40" s="75"/>
      <c r="AA40" s="82">
        <f>IF(COUNT(AA8:AA38)=0,"",SUM(AA8:AA38))</f>
        <v>76.950000000000728</v>
      </c>
      <c r="AB40" s="75"/>
      <c r="AC40" s="82">
        <f>IF(COUNT(AC8:AC38)=0,"",SUM(AC8:AC38))</f>
        <v>56.739999999999782</v>
      </c>
      <c r="AD40" s="75"/>
      <c r="AE40" s="82">
        <f>IF(COUNT(AE8:AE38)=0,"",SUM(AE8:AE38))</f>
        <v>61.769999999998618</v>
      </c>
      <c r="AF40" s="79"/>
      <c r="AG40" s="56" t="s">
        <v>2</v>
      </c>
      <c r="AH40" s="81"/>
      <c r="AI40" s="82">
        <f>IF(COUNT(AI8:AI38)=0,"",SUM(AI8:AI38))</f>
        <v>347.62999999999738</v>
      </c>
      <c r="AJ40" s="75"/>
      <c r="AK40" s="82">
        <f>IF(COUNT(AK8:AK38)=0,"",SUM(AK8:AK38))</f>
        <v>367.71999999999389</v>
      </c>
      <c r="AL40" s="75"/>
      <c r="AM40" s="82">
        <f>IF(COUNT(AM8:AM38)=0,"",SUM(AM8:AM38))</f>
        <v>0.11000000000001364</v>
      </c>
      <c r="AN40" s="75"/>
      <c r="AO40" s="82">
        <f>IF(COUNT(AO8:AO38)=0,"",SUM(AO8:AO38))</f>
        <v>7.0000000000050022E-2</v>
      </c>
      <c r="AP40" s="79"/>
      <c r="AQ40" s="56" t="s">
        <v>2</v>
      </c>
      <c r="AR40" s="81"/>
      <c r="AS40" s="82">
        <f>IF(COUNT(AS8:AS38)=0,"",SUM(AS8:AS38))</f>
        <v>46.100000000000364</v>
      </c>
      <c r="AT40" s="75"/>
      <c r="AU40" s="82">
        <f>IF(COUNT(AU8:AU38)=0,"",SUM(AU8:AU38))</f>
        <v>72.929999999999382</v>
      </c>
      <c r="AV40" s="75"/>
      <c r="AW40" s="82">
        <f>IF(COUNT(AW8:AW38)=0,"",SUM(AW8:AW38))</f>
        <v>1.4399999999999977</v>
      </c>
      <c r="AX40" s="75"/>
      <c r="AY40" s="82">
        <f>IF(COUNT(AY8:AY38)=0,"",SUM(AY8:AY38))</f>
        <v>1.4399999999999977</v>
      </c>
      <c r="AZ40" s="79"/>
      <c r="BA40" s="264" t="s">
        <v>2</v>
      </c>
      <c r="BB40" s="265">
        <f>COUNTA(BB8:BB37)</f>
        <v>21</v>
      </c>
      <c r="BC40" s="265">
        <f t="shared" ref="BC40:BM40" si="46">COUNTA(BC8:BC37)</f>
        <v>21</v>
      </c>
      <c r="BD40" s="265">
        <f t="shared" si="46"/>
        <v>21</v>
      </c>
      <c r="BE40" s="265">
        <f t="shared" si="46"/>
        <v>21</v>
      </c>
      <c r="BF40" s="265">
        <f t="shared" si="46"/>
        <v>21</v>
      </c>
      <c r="BG40" s="265">
        <f t="shared" si="46"/>
        <v>21</v>
      </c>
      <c r="BH40" s="265">
        <f t="shared" si="46"/>
        <v>21</v>
      </c>
      <c r="BI40" s="265">
        <f t="shared" si="46"/>
        <v>21</v>
      </c>
      <c r="BJ40" s="265">
        <f t="shared" si="46"/>
        <v>21</v>
      </c>
      <c r="BK40" s="265">
        <f t="shared" si="46"/>
        <v>21</v>
      </c>
      <c r="BL40" s="265">
        <f t="shared" si="46"/>
        <v>21</v>
      </c>
      <c r="BM40" s="265">
        <f t="shared" si="46"/>
        <v>21</v>
      </c>
      <c r="BN40" s="266" t="s">
        <v>208</v>
      </c>
      <c r="BO40" s="264" t="s">
        <v>2</v>
      </c>
      <c r="BP40" s="265">
        <f t="shared" ref="BP40:BW40" si="47">COUNTA(BP8:BP37)</f>
        <v>30</v>
      </c>
      <c r="BQ40" s="265">
        <f t="shared" si="47"/>
        <v>26</v>
      </c>
      <c r="BR40" s="265">
        <f t="shared" si="47"/>
        <v>26</v>
      </c>
      <c r="BS40" s="265">
        <f t="shared" si="47"/>
        <v>26</v>
      </c>
      <c r="BT40" s="265">
        <f t="shared" si="47"/>
        <v>26</v>
      </c>
      <c r="BU40" s="265">
        <f t="shared" si="47"/>
        <v>26</v>
      </c>
      <c r="BV40" s="265">
        <f t="shared" si="47"/>
        <v>30</v>
      </c>
      <c r="BW40" s="265">
        <f t="shared" si="47"/>
        <v>30</v>
      </c>
      <c r="BX40" s="267" t="s">
        <v>208</v>
      </c>
      <c r="BY40" s="83"/>
      <c r="BZ40" s="73"/>
      <c r="CA40" s="56" t="s">
        <v>2</v>
      </c>
      <c r="CB40" s="73"/>
      <c r="CC40" s="73"/>
      <c r="CD40" s="80">
        <f>IF(COUNT(CD8:CD38)=0,"",SUM(CD8:CD38))</f>
        <v>43.7</v>
      </c>
      <c r="CE40" s="82">
        <f>IF(COUNT(CE8:CE38)=0,"",SUM(CE8:CE38))</f>
        <v>203.39138050000003</v>
      </c>
      <c r="CF40" s="75"/>
      <c r="CG40" s="74"/>
      <c r="CH40" s="74"/>
      <c r="CI40" s="73"/>
      <c r="CJ40" s="56" t="s">
        <v>2</v>
      </c>
      <c r="CK40" s="73"/>
      <c r="CL40" s="73"/>
      <c r="CM40" s="80">
        <f>IF(COUNT(CM8:CM38)=0,"",SUM(CM8:CM38))</f>
        <v>72.399999999999977</v>
      </c>
      <c r="CN40" s="80">
        <f>IF(COUNT(CN8:CN38)=0,"",SUM(CN8:CN38))</f>
        <v>336.96878600000002</v>
      </c>
      <c r="CO40" s="73"/>
      <c r="CP40" s="74"/>
      <c r="CQ40" s="74"/>
      <c r="CR40" s="73"/>
      <c r="CS40" s="56" t="s">
        <v>2</v>
      </c>
      <c r="CT40" s="73"/>
      <c r="CU40" s="73"/>
      <c r="CV40" s="80">
        <f>IF(COUNT(CV8:CV38)=0,"",SUM(CV8:CV38))</f>
        <v>59.200000000000031</v>
      </c>
      <c r="CW40" s="80">
        <f>IF(COUNT(CW8:CW38)=0,"",SUM(CW8:CW38))</f>
        <v>393.33900800000021</v>
      </c>
      <c r="CX40" s="75"/>
      <c r="CY40" s="74"/>
      <c r="CZ40" s="74"/>
      <c r="DA40" s="74"/>
      <c r="DB40" s="73"/>
      <c r="DC40" s="56" t="s">
        <v>2</v>
      </c>
      <c r="DD40" s="73"/>
      <c r="DE40" s="73"/>
      <c r="DF40" s="80">
        <f>IF(COUNT(DF8:DF38)=0,"",SUM(DF8:DF38))</f>
        <v>550.79999999999995</v>
      </c>
      <c r="DG40" s="82">
        <f>IF(COUNT(DG8:DG38)=0,"",SUM(DG8:DG38))</f>
        <v>29.716336823039999</v>
      </c>
      <c r="DH40" s="73"/>
      <c r="DI40" s="74"/>
      <c r="DJ40" s="74"/>
      <c r="DK40" s="73"/>
      <c r="DL40" s="56" t="s">
        <v>2</v>
      </c>
      <c r="DM40" s="75"/>
      <c r="DN40" s="124"/>
      <c r="DO40" s="124"/>
      <c r="DP40" s="124"/>
      <c r="DQ40" s="75"/>
      <c r="DR40" s="73"/>
      <c r="DS40" s="124"/>
      <c r="DT40" s="73"/>
      <c r="DU40" s="75"/>
      <c r="DV40" s="124"/>
      <c r="DW40" s="124"/>
      <c r="DX40" s="124"/>
      <c r="DY40" s="73"/>
      <c r="DZ40" s="84" t="s">
        <v>27</v>
      </c>
      <c r="EA40" s="82">
        <f>IF(COUNT(EA8:EA38)=0,"",MIN(EA8:EA38))*100</f>
        <v>8.0882352941176467</v>
      </c>
      <c r="EB40" s="82">
        <f>IF(COUNT(EB8:EB38)=0,"",MIN(EB8:EB38))*100</f>
        <v>8.9705882352941178</v>
      </c>
      <c r="EC40" s="82">
        <f>IF(COUNT(EC8:EC38)=0,"",MIN(EC8:EC38))*100</f>
        <v>61.711711711711715</v>
      </c>
      <c r="ED40" s="82">
        <f>IF(COUNT(ED8:ED38)=0,"",MIN(ED8:ED38))</f>
        <v>0</v>
      </c>
      <c r="EE40" s="75"/>
      <c r="EF40" s="75"/>
      <c r="EG40" s="75"/>
      <c r="EH40" s="73"/>
      <c r="EI40" s="73"/>
      <c r="EJ40" s="351"/>
      <c r="EK40" s="351"/>
      <c r="EL40" s="351"/>
      <c r="EM40" s="351"/>
      <c r="EN40" s="351"/>
      <c r="EO40" s="351"/>
      <c r="EP40" s="351"/>
      <c r="EQ40" s="73"/>
      <c r="ER40" s="20"/>
      <c r="ES40" s="20"/>
      <c r="ET40" s="20"/>
      <c r="EU40" s="20"/>
      <c r="EV40" s="20"/>
      <c r="EW40" s="20"/>
      <c r="EX40" s="20"/>
    </row>
    <row r="41" spans="1:154" s="3" customFormat="1" ht="18" customHeight="1" x14ac:dyDescent="0.35">
      <c r="A41" s="56" t="s">
        <v>7</v>
      </c>
      <c r="B41" s="77"/>
      <c r="C41" s="78">
        <f>IF(COUNT(C8:C38)=0,"",AVERAGE(C8:C38))</f>
        <v>185.83333333333334</v>
      </c>
      <c r="D41" s="75"/>
      <c r="E41" s="74"/>
      <c r="F41" s="78">
        <f>IF(COUNT(F8:F38)=0,"",AVERAGE(F8:F38))</f>
        <v>193.4</v>
      </c>
      <c r="G41" s="81"/>
      <c r="H41" s="74"/>
      <c r="I41" s="78">
        <f>IF(COUNT(I8:I38)=0,"",AVERAGE(I8:I38))</f>
        <v>148.36666666666667</v>
      </c>
      <c r="J41" s="79"/>
      <c r="K41" s="56" t="s">
        <v>7</v>
      </c>
      <c r="L41" s="77"/>
      <c r="M41" s="78">
        <f>IF(COUNT(M8:M38)=0,"",AVERAGE(M8:M38))</f>
        <v>50.5</v>
      </c>
      <c r="N41" s="74"/>
      <c r="O41" s="78">
        <f>IF(COUNT(O8:O38)=0,"",AVERAGE(O8:O38))</f>
        <v>45.266666666666666</v>
      </c>
      <c r="P41" s="74"/>
      <c r="Q41" s="78" t="str">
        <f>IF(COUNT(Q8:Q38)=0,"",AVERAGE(Q8:Q38))</f>
        <v/>
      </c>
      <c r="R41" s="77"/>
      <c r="S41" s="77"/>
      <c r="T41" s="77"/>
      <c r="U41" s="77"/>
      <c r="V41" s="79"/>
      <c r="W41" s="56" t="s">
        <v>7</v>
      </c>
      <c r="X41" s="75"/>
      <c r="Y41" s="75"/>
      <c r="Z41" s="75"/>
      <c r="AA41" s="75"/>
      <c r="AB41" s="75"/>
      <c r="AC41" s="75"/>
      <c r="AD41" s="75"/>
      <c r="AE41" s="75"/>
      <c r="AF41" s="79"/>
      <c r="AG41" s="56" t="s">
        <v>7</v>
      </c>
      <c r="AH41" s="75"/>
      <c r="AI41" s="75"/>
      <c r="AJ41" s="75"/>
      <c r="AK41" s="75"/>
      <c r="AL41" s="75"/>
      <c r="AM41" s="75"/>
      <c r="AN41" s="75"/>
      <c r="AO41" s="75"/>
      <c r="AP41" s="79"/>
      <c r="AQ41" s="56" t="s">
        <v>7</v>
      </c>
      <c r="AR41" s="75"/>
      <c r="AS41" s="75"/>
      <c r="AT41" s="75"/>
      <c r="AU41" s="75"/>
      <c r="AV41" s="75"/>
      <c r="AW41" s="75"/>
      <c r="AX41" s="75"/>
      <c r="AY41" s="75"/>
      <c r="AZ41" s="79"/>
      <c r="BA41" s="56" t="s">
        <v>7</v>
      </c>
      <c r="BB41" s="84">
        <f>IF(COUNT(BB8:BB38)=0,"",AVERAGE(BB8:BB38))</f>
        <v>1.2595238095238095</v>
      </c>
      <c r="BC41" s="78">
        <f t="shared" ref="BC41:BM41" si="48">IF(COUNT(BC8:BC38)=0,"",AVERAGE(BC8:BC38))</f>
        <v>31.571428571428573</v>
      </c>
      <c r="BD41" s="80">
        <f t="shared" si="48"/>
        <v>7.0142857142857133</v>
      </c>
      <c r="BE41" s="80">
        <f t="shared" si="48"/>
        <v>14.795238095238098</v>
      </c>
      <c r="BF41" s="80">
        <f t="shared" si="48"/>
        <v>15.619047619047617</v>
      </c>
      <c r="BG41" s="80">
        <f t="shared" si="48"/>
        <v>7.0142857142857133</v>
      </c>
      <c r="BH41" s="84">
        <f t="shared" si="48"/>
        <v>0.23638095238095236</v>
      </c>
      <c r="BI41" s="84">
        <f t="shared" si="48"/>
        <v>0.2189142857142857</v>
      </c>
      <c r="BJ41" s="84">
        <f t="shared" si="48"/>
        <v>5.9666666666666673E-2</v>
      </c>
      <c r="BK41" s="84">
        <f t="shared" si="48"/>
        <v>5.6428571428571439E-2</v>
      </c>
      <c r="BL41" s="84">
        <f t="shared" si="48"/>
        <v>5.7142857142857162E-2</v>
      </c>
      <c r="BM41" s="84">
        <f t="shared" si="48"/>
        <v>5.8000000000000017E-2</v>
      </c>
      <c r="BN41" s="73"/>
      <c r="BO41" s="56" t="s">
        <v>7</v>
      </c>
      <c r="BP41" s="84">
        <f>IF(COUNT(BP8:BP38)=0,"",AVERAGE(BP8:BP38))</f>
        <v>9.1233333333333333E-2</v>
      </c>
      <c r="BQ41" s="78">
        <f t="shared" ref="BQ41:BW41" si="49">IF(COUNT(BQ8:BQ38)=0,"",AVERAGE(BQ8:BQ38))</f>
        <v>0</v>
      </c>
      <c r="BR41" s="80">
        <f t="shared" si="49"/>
        <v>7.1076923076923073</v>
      </c>
      <c r="BS41" s="80">
        <f t="shared" si="49"/>
        <v>14.969230769230771</v>
      </c>
      <c r="BT41" s="80">
        <f t="shared" si="49"/>
        <v>17.869230769230764</v>
      </c>
      <c r="BU41" s="84">
        <f t="shared" si="49"/>
        <v>1.2923076923076928E-2</v>
      </c>
      <c r="BV41" s="82">
        <f t="shared" si="49"/>
        <v>1.153103448275862</v>
      </c>
      <c r="BW41" s="82">
        <f t="shared" si="49"/>
        <v>0.92200000000000015</v>
      </c>
      <c r="BX41" s="75"/>
      <c r="BY41" s="83"/>
      <c r="BZ41" s="73"/>
      <c r="CA41" s="56" t="s">
        <v>7</v>
      </c>
      <c r="CB41" s="73"/>
      <c r="CC41" s="73"/>
      <c r="CD41" s="80">
        <f>IF(COUNT(CD8:CD38)=0,"",AVERAGE(CD8:CD38))</f>
        <v>1.4566666666666668</v>
      </c>
      <c r="CE41" s="82">
        <f>IF(COUNT(CE8:CE38)=0,"",AVERAGE(CE8:CE38))</f>
        <v>6.7797126833333339</v>
      </c>
      <c r="CF41" s="82">
        <f>IF(COUNT(CF8:CF38)=0,"",AVERAGE(CF8:CF38))</f>
        <v>5.460632534105792</v>
      </c>
      <c r="CG41" s="74"/>
      <c r="CH41" s="74"/>
      <c r="CI41" s="73"/>
      <c r="CJ41" s="56" t="s">
        <v>7</v>
      </c>
      <c r="CK41" s="73"/>
      <c r="CL41" s="73"/>
      <c r="CM41" s="80">
        <f>IF(COUNT(CM8:CM38)=0,"",AVERAGE(CM8:CM38))</f>
        <v>2.4133333333333327</v>
      </c>
      <c r="CN41" s="80">
        <f>IF(COUNT(CN8:CN38)=0,"",AVERAGE(CN8:CN38))</f>
        <v>11.232292866666667</v>
      </c>
      <c r="CO41" s="80">
        <f>IF(COUNT(CO8:CO38)=0,"",AVERAGE(CO8:CO38))</f>
        <v>24.080838562804622</v>
      </c>
      <c r="CP41" s="74"/>
      <c r="CQ41" s="74"/>
      <c r="CR41" s="73"/>
      <c r="CS41" s="56" t="s">
        <v>7</v>
      </c>
      <c r="CT41" s="73"/>
      <c r="CU41" s="73"/>
      <c r="CV41" s="80">
        <f>IF(COUNT(CV8:CV38)=0,"",AVERAGE(CV8:CV38))</f>
        <v>1.9733333333333343</v>
      </c>
      <c r="CW41" s="80">
        <f>IF(COUNT(CW8:CW38)=0,"",AVERAGE(CW8:CW38))</f>
        <v>13.111300266666673</v>
      </c>
      <c r="CX41" s="82">
        <f>IF(COUNT(CX8:CX38)=0,"",AVERAGE(CX8:CX38))</f>
        <v>7.0514579698533003E-2</v>
      </c>
      <c r="CY41" s="74"/>
      <c r="CZ41" s="74"/>
      <c r="DA41" s="74"/>
      <c r="DB41" s="73"/>
      <c r="DC41" s="56" t="s">
        <v>7</v>
      </c>
      <c r="DD41" s="73"/>
      <c r="DE41" s="73"/>
      <c r="DF41" s="80">
        <f>IF(COUNT(DF8:DF38)=0,"",AVERAGE(DF8:DF38))</f>
        <v>18.36</v>
      </c>
      <c r="DG41" s="82">
        <f>IF(COUNT(DG8:DG38)=0,"",AVERAGE(DG8:DG38))</f>
        <v>0.99054456076800002</v>
      </c>
      <c r="DH41" s="80">
        <f>IF(COUNT(DH8:DH38)=0,"",AVERAGE(DH8:DH38))</f>
        <v>5.3632212003576338</v>
      </c>
      <c r="DI41" s="74"/>
      <c r="DJ41" s="74"/>
      <c r="DK41" s="73"/>
      <c r="DL41" s="56" t="s">
        <v>7</v>
      </c>
      <c r="DM41" s="82">
        <f t="shared" ref="DM41:DW41" si="50">IF(COUNT(DM8:DM38)=0,"",AVERAGE(DM8:DM38))</f>
        <v>7.9913333333333325</v>
      </c>
      <c r="DN41" s="84">
        <f t="shared" si="50"/>
        <v>2.7966666666666685E-2</v>
      </c>
      <c r="DO41" s="84">
        <f t="shared" si="50"/>
        <v>2.9666666666666685E-2</v>
      </c>
      <c r="DP41" s="84">
        <f t="shared" si="50"/>
        <v>6.7399999999999988E-2</v>
      </c>
      <c r="DQ41" s="82">
        <f t="shared" si="50"/>
        <v>6.8986666666666663</v>
      </c>
      <c r="DR41" s="80">
        <f t="shared" si="50"/>
        <v>14.870000000000001</v>
      </c>
      <c r="DS41" s="84">
        <f t="shared" si="50"/>
        <v>1.1729666666666667</v>
      </c>
      <c r="DT41" s="80">
        <f t="shared" si="50"/>
        <v>85.423333333333332</v>
      </c>
      <c r="DU41" s="82">
        <f t="shared" si="50"/>
        <v>4.2373333333333338</v>
      </c>
      <c r="DV41" s="84">
        <f t="shared" si="50"/>
        <v>1.1877333333333335</v>
      </c>
      <c r="DW41" s="84">
        <f t="shared" si="50"/>
        <v>1.3400333333333334</v>
      </c>
      <c r="DX41" s="124"/>
      <c r="DY41" s="73"/>
      <c r="DZ41" s="84" t="s">
        <v>28</v>
      </c>
      <c r="EA41" s="82">
        <f>IF(COUNT(EA8:EA38)=0,"",MAX(EA8:EA38))*100</f>
        <v>20.320855614973262</v>
      </c>
      <c r="EB41" s="82">
        <f>IF(COUNT(EB8:EB38)=0,"",MAX(EB8:EB38))*100</f>
        <v>20.661764705882351</v>
      </c>
      <c r="EC41" s="82">
        <f>IF(COUNT(EC8:EC38)=0,"",MAX(EC8:EC38))*100</f>
        <v>91.326530612244895</v>
      </c>
      <c r="ED41" s="75"/>
      <c r="EE41" s="82">
        <f>IF(COUNT(EE8:EE38)=0,"",MAX(EE8:EE38))</f>
        <v>5.63</v>
      </c>
      <c r="EF41" s="82">
        <f>IF(COUNT(EF8:EF38)=0,"",MAX(EF8:EF38))</f>
        <v>0.06</v>
      </c>
      <c r="EG41" s="82">
        <f>IF(COUNT(EG8:EG38)=0,"",MAX(EG8:EG38))</f>
        <v>0.08</v>
      </c>
      <c r="EH41" s="73"/>
      <c r="EI41" s="73"/>
      <c r="EJ41" s="351"/>
      <c r="EK41" s="351"/>
      <c r="EL41" s="351"/>
      <c r="EM41" s="351"/>
      <c r="EN41" s="351"/>
      <c r="EO41" s="351"/>
      <c r="EP41" s="351"/>
      <c r="EQ41" s="73"/>
      <c r="ER41" s="20"/>
      <c r="ES41" s="20"/>
      <c r="ET41" s="20"/>
      <c r="EU41" s="20"/>
      <c r="EV41" s="20"/>
      <c r="EW41" s="20"/>
      <c r="EX41" s="20"/>
    </row>
    <row r="42" spans="1:154" ht="25.5" customHeight="1" x14ac:dyDescent="0.5">
      <c r="A42" s="314" t="s">
        <v>450</v>
      </c>
      <c r="B42" s="314"/>
      <c r="C42" s="314"/>
      <c r="D42" s="314"/>
      <c r="E42" s="314"/>
      <c r="F42" s="315" t="s">
        <v>115</v>
      </c>
      <c r="G42" s="315"/>
      <c r="H42" s="315"/>
      <c r="I42" s="315"/>
      <c r="J42" s="315"/>
      <c r="K42" s="314" t="str">
        <f>IF(A42="","",A42)</f>
        <v xml:space="preserve"> Drinking Water System</v>
      </c>
      <c r="L42" s="314"/>
      <c r="M42" s="314"/>
      <c r="N42" s="314"/>
      <c r="O42" s="315" t="s">
        <v>125</v>
      </c>
      <c r="P42" s="315"/>
      <c r="Q42" s="315"/>
      <c r="R42" s="315"/>
      <c r="S42" s="315"/>
      <c r="T42" s="315"/>
      <c r="U42" s="315"/>
      <c r="V42" s="315"/>
      <c r="W42" s="314" t="str">
        <f>IF(A42="","",A42)</f>
        <v xml:space="preserve"> Drinking Water System</v>
      </c>
      <c r="X42" s="314"/>
      <c r="Y42" s="314"/>
      <c r="Z42" s="314"/>
      <c r="AA42" s="314"/>
      <c r="AB42" s="315" t="s">
        <v>129</v>
      </c>
      <c r="AC42" s="315"/>
      <c r="AD42" s="315"/>
      <c r="AE42" s="315"/>
      <c r="AF42" s="315"/>
      <c r="AG42" s="314" t="str">
        <f>IF(A42="","",A42)</f>
        <v xml:space="preserve"> Drinking Water System</v>
      </c>
      <c r="AH42" s="314"/>
      <c r="AI42" s="314"/>
      <c r="AJ42" s="314"/>
      <c r="AK42" s="314"/>
      <c r="AL42" s="315" t="s">
        <v>93</v>
      </c>
      <c r="AM42" s="315"/>
      <c r="AN42" s="315"/>
      <c r="AO42" s="315"/>
      <c r="AP42" s="315"/>
      <c r="AQ42" s="314" t="str">
        <f>IF(A42="","",A42)</f>
        <v xml:space="preserve"> Drinking Water System</v>
      </c>
      <c r="AR42" s="314"/>
      <c r="AS42" s="314"/>
      <c r="AT42" s="314"/>
      <c r="AU42" s="314"/>
      <c r="AV42" s="315" t="s">
        <v>135</v>
      </c>
      <c r="AW42" s="315"/>
      <c r="AX42" s="315"/>
      <c r="AY42" s="315"/>
      <c r="AZ42" s="315"/>
      <c r="BA42" s="314" t="str">
        <f>IF(A42="","",A42)</f>
        <v xml:space="preserve"> Drinking Water System</v>
      </c>
      <c r="BB42" s="314"/>
      <c r="BC42" s="314"/>
      <c r="BD42" s="314"/>
      <c r="BE42" s="314"/>
      <c r="BF42" s="352" t="s">
        <v>145</v>
      </c>
      <c r="BG42" s="352"/>
      <c r="BH42" s="352"/>
      <c r="BI42" s="352"/>
      <c r="BJ42" s="352"/>
      <c r="BK42" s="352"/>
      <c r="BL42" s="352"/>
      <c r="BM42" s="352"/>
      <c r="BN42" s="352"/>
      <c r="BO42" s="314" t="str">
        <f>IF(A42="","",A42)</f>
        <v xml:space="preserve"> Drinking Water System</v>
      </c>
      <c r="BP42" s="314"/>
      <c r="BQ42" s="314"/>
      <c r="BR42" s="314"/>
      <c r="BS42" s="314"/>
      <c r="BT42" s="315" t="s">
        <v>100</v>
      </c>
      <c r="BU42" s="315"/>
      <c r="BV42" s="315"/>
      <c r="BW42" s="315"/>
      <c r="BX42" s="315"/>
      <c r="BY42" s="315"/>
      <c r="BZ42" s="315"/>
      <c r="CA42" s="314" t="str">
        <f>IF(A42="","",A42)</f>
        <v xml:space="preserve"> Drinking Water System</v>
      </c>
      <c r="CB42" s="314"/>
      <c r="CC42" s="314"/>
      <c r="CD42" s="314"/>
      <c r="CE42" s="315" t="s">
        <v>154</v>
      </c>
      <c r="CF42" s="315"/>
      <c r="CG42" s="315"/>
      <c r="CH42" s="315"/>
      <c r="CI42" s="315"/>
      <c r="CJ42" s="314" t="str">
        <f>IF(A42="","",A42)</f>
        <v xml:space="preserve"> Drinking Water System</v>
      </c>
      <c r="CK42" s="314"/>
      <c r="CL42" s="314"/>
      <c r="CM42" s="314"/>
      <c r="CN42" s="315" t="s">
        <v>155</v>
      </c>
      <c r="CO42" s="315"/>
      <c r="CP42" s="315"/>
      <c r="CQ42" s="315"/>
      <c r="CR42" s="315"/>
      <c r="CS42" s="314" t="str">
        <f>IF(A42="","",A42)</f>
        <v xml:space="preserve"> Drinking Water System</v>
      </c>
      <c r="CT42" s="314"/>
      <c r="CU42" s="314"/>
      <c r="CV42" s="314"/>
      <c r="CW42" s="315" t="s">
        <v>101</v>
      </c>
      <c r="CX42" s="315"/>
      <c r="CY42" s="315"/>
      <c r="CZ42" s="315"/>
      <c r="DA42" s="315"/>
      <c r="DB42" s="315"/>
      <c r="DC42" s="314" t="str">
        <f>IF(A42="","",A42)</f>
        <v xml:space="preserve"> Drinking Water System</v>
      </c>
      <c r="DD42" s="314"/>
      <c r="DE42" s="314"/>
      <c r="DF42" s="314"/>
      <c r="DG42" s="315" t="s">
        <v>159</v>
      </c>
      <c r="DH42" s="315"/>
      <c r="DI42" s="315"/>
      <c r="DJ42" s="315"/>
      <c r="DK42" s="315"/>
      <c r="DL42" s="324" t="str">
        <f>IF(A42="","",A42)</f>
        <v xml:space="preserve"> Drinking Water System</v>
      </c>
      <c r="DM42" s="324"/>
      <c r="DN42" s="324"/>
      <c r="DO42" s="324"/>
      <c r="DP42" s="324"/>
      <c r="DQ42" s="325" t="s">
        <v>168</v>
      </c>
      <c r="DR42" s="325"/>
      <c r="DS42" s="325"/>
      <c r="DT42" s="325"/>
      <c r="DU42" s="325"/>
      <c r="DV42" s="325"/>
      <c r="DW42" s="325"/>
      <c r="DX42" s="325"/>
      <c r="DY42" s="325"/>
      <c r="DZ42" s="324" t="str">
        <f>IF(A42="","",A42)</f>
        <v xml:space="preserve"> Drinking Water System</v>
      </c>
      <c r="EA42" s="324"/>
      <c r="EB42" s="324"/>
      <c r="EC42" s="324"/>
      <c r="ED42" s="324"/>
      <c r="EE42" s="324"/>
      <c r="EF42" s="325" t="s">
        <v>91</v>
      </c>
      <c r="EG42" s="325"/>
      <c r="EH42" s="325"/>
      <c r="EI42" s="314" t="str">
        <f>IF(A42="","",A42)</f>
        <v xml:space="preserve"> Drinking Water System</v>
      </c>
      <c r="EJ42" s="314"/>
      <c r="EK42" s="314"/>
      <c r="EL42" s="314"/>
      <c r="EM42" s="315" t="s">
        <v>33</v>
      </c>
      <c r="EN42" s="315"/>
      <c r="EO42" s="315"/>
      <c r="EP42" s="315"/>
      <c r="EQ42" s="315"/>
    </row>
    <row r="43" spans="1:154" ht="14.15" customHeight="1" x14ac:dyDescent="0.35"/>
    <row r="44" spans="1:154" s="10" customFormat="1" ht="14.15" customHeight="1" x14ac:dyDescent="0.35">
      <c r="A44" s="20"/>
      <c r="B44" s="5"/>
      <c r="C44" s="5"/>
      <c r="D44" s="23"/>
      <c r="E44" s="5"/>
      <c r="F44" s="5"/>
      <c r="G44" s="23"/>
      <c r="H44" s="5"/>
      <c r="I44" s="5"/>
      <c r="J44" s="20"/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3"/>
      <c r="Y44" s="23"/>
      <c r="Z44" s="23"/>
      <c r="AA44" s="23"/>
      <c r="AB44" s="23"/>
      <c r="AC44" s="23"/>
      <c r="AD44" s="23"/>
      <c r="AE44" s="23"/>
      <c r="AF44" s="22"/>
      <c r="AG44" s="20"/>
      <c r="AH44" s="20"/>
      <c r="AI44" s="5"/>
      <c r="AJ44" s="5"/>
      <c r="AK44" s="5"/>
      <c r="AL44" s="5"/>
      <c r="AM44" s="5"/>
      <c r="AN44" s="5"/>
      <c r="AO44" s="22"/>
      <c r="AP44" s="5"/>
      <c r="AQ44" s="5"/>
      <c r="AR44" s="23"/>
      <c r="AS44" s="23"/>
      <c r="AT44" s="23"/>
      <c r="AU44" s="23"/>
      <c r="AV44" s="23"/>
      <c r="AW44" s="23"/>
      <c r="AX44" s="23"/>
      <c r="AY44" s="23"/>
      <c r="AZ44" s="5"/>
      <c r="BA44" s="38"/>
      <c r="BB44" s="38"/>
      <c r="BC44" s="11"/>
      <c r="BD44" s="12"/>
      <c r="BE44" s="12"/>
      <c r="BF44" s="12"/>
      <c r="BG44" s="12"/>
      <c r="BH44" s="38"/>
      <c r="BI44" s="38"/>
      <c r="BJ44" s="38"/>
      <c r="BK44" s="38"/>
      <c r="BL44" s="38"/>
      <c r="BM44" s="38"/>
      <c r="BN44" s="12"/>
      <c r="BO44" s="13"/>
      <c r="BP44" s="38"/>
      <c r="BQ44" s="11"/>
      <c r="BR44" s="12"/>
      <c r="BS44" s="12"/>
      <c r="BT44" s="12"/>
      <c r="BU44" s="38"/>
      <c r="BV44" s="13"/>
      <c r="BW44" s="13"/>
      <c r="BX44" s="12"/>
      <c r="BY44" s="11"/>
      <c r="BZ44" s="11"/>
      <c r="CB44" s="12"/>
      <c r="CC44" s="12"/>
      <c r="CD44" s="12"/>
      <c r="CE44" s="13"/>
      <c r="CF44" s="13"/>
      <c r="CG44" s="11"/>
      <c r="CH44" s="11"/>
      <c r="CI44" s="12"/>
      <c r="CJ44" s="13"/>
      <c r="CK44" s="12"/>
      <c r="CL44" s="12"/>
      <c r="CM44" s="12"/>
      <c r="CN44" s="12"/>
      <c r="CO44" s="12"/>
      <c r="CU44" s="13"/>
      <c r="CV44" s="11"/>
      <c r="CW44" s="12"/>
      <c r="CX44" s="13"/>
      <c r="CY44" s="12"/>
      <c r="CZ44" s="12"/>
      <c r="DA44" s="38"/>
      <c r="DB44" s="12"/>
      <c r="DC44" s="38"/>
      <c r="DD44" s="12"/>
      <c r="DE44" s="12"/>
      <c r="DF44" s="12"/>
      <c r="DG44" s="13"/>
      <c r="DH44" s="12"/>
      <c r="DI44" s="11"/>
      <c r="DJ44" s="11"/>
      <c r="DK44" s="38"/>
      <c r="DM44" s="13"/>
      <c r="DN44" s="38"/>
      <c r="DO44" s="38"/>
      <c r="DP44" s="38"/>
      <c r="DQ44" s="13"/>
      <c r="DR44" s="12"/>
      <c r="DS44" s="38"/>
      <c r="DT44" s="12"/>
      <c r="DU44" s="13"/>
      <c r="DV44" s="38"/>
      <c r="DW44" s="38"/>
      <c r="EB44" s="55"/>
      <c r="EC44" s="55"/>
      <c r="ED44" s="13"/>
      <c r="EE44" s="13"/>
      <c r="EF44" s="13"/>
      <c r="EG44" s="13"/>
    </row>
    <row r="45" spans="1:154" ht="22.5" customHeight="1" x14ac:dyDescent="0.35"/>
  </sheetData>
  <sheetProtection selectLockedCells="1"/>
  <mergeCells count="282">
    <mergeCell ref="A3:E3"/>
    <mergeCell ref="F3:J3"/>
    <mergeCell ref="K3:N3"/>
    <mergeCell ref="O3:V3"/>
    <mergeCell ref="W3:AA3"/>
    <mergeCell ref="AB3:AF3"/>
    <mergeCell ref="BO1:BZ2"/>
    <mergeCell ref="A1:J2"/>
    <mergeCell ref="K1:V2"/>
    <mergeCell ref="W1:AF2"/>
    <mergeCell ref="AG1:AP2"/>
    <mergeCell ref="AQ1:AZ2"/>
    <mergeCell ref="BA1:BN2"/>
    <mergeCell ref="BT3:BZ3"/>
    <mergeCell ref="AG3:AK3"/>
    <mergeCell ref="AL3:AP3"/>
    <mergeCell ref="EI1:EQ2"/>
    <mergeCell ref="CA1:CI2"/>
    <mergeCell ref="CJ1:CR2"/>
    <mergeCell ref="CS1:DB2"/>
    <mergeCell ref="DC1:DK2"/>
    <mergeCell ref="DL1:DP2"/>
    <mergeCell ref="DZ1:EA2"/>
    <mergeCell ref="EB1:EG2"/>
    <mergeCell ref="EI3:EL3"/>
    <mergeCell ref="EM3:EQ3"/>
    <mergeCell ref="DQ3:DY3"/>
    <mergeCell ref="DZ3:EE3"/>
    <mergeCell ref="EF3:EH3"/>
    <mergeCell ref="CA3:CD3"/>
    <mergeCell ref="CE3:CI3"/>
    <mergeCell ref="CJ3:CM3"/>
    <mergeCell ref="CN3:CR3"/>
    <mergeCell ref="CS3:CV3"/>
    <mergeCell ref="A4:A7"/>
    <mergeCell ref="B4:D4"/>
    <mergeCell ref="E4:G4"/>
    <mergeCell ref="H4:I4"/>
    <mergeCell ref="J4:J7"/>
    <mergeCell ref="CW3:DB3"/>
    <mergeCell ref="AQ3:AU3"/>
    <mergeCell ref="AV3:AZ3"/>
    <mergeCell ref="DL3:DP3"/>
    <mergeCell ref="AZ4:AZ7"/>
    <mergeCell ref="BA4:BA7"/>
    <mergeCell ref="BB4:BF4"/>
    <mergeCell ref="BG4:BG7"/>
    <mergeCell ref="S5:S7"/>
    <mergeCell ref="T5:T7"/>
    <mergeCell ref="U5:U7"/>
    <mergeCell ref="BA3:BE3"/>
    <mergeCell ref="BF3:BN3"/>
    <mergeCell ref="K4:K7"/>
    <mergeCell ref="L4:M4"/>
    <mergeCell ref="N4:O4"/>
    <mergeCell ref="DC3:DF3"/>
    <mergeCell ref="DG3:DK3"/>
    <mergeCell ref="BO3:BS3"/>
    <mergeCell ref="CC4:CC7"/>
    <mergeCell ref="CM4:CM7"/>
    <mergeCell ref="CN4:CN7"/>
    <mergeCell ref="CO4:CO7"/>
    <mergeCell ref="CP4:CP7"/>
    <mergeCell ref="AV6:AV7"/>
    <mergeCell ref="AW6:AW7"/>
    <mergeCell ref="AX6:AX7"/>
    <mergeCell ref="AY6:AY7"/>
    <mergeCell ref="BF5:BF7"/>
    <mergeCell ref="BH4:BI4"/>
    <mergeCell ref="BW4:BY4"/>
    <mergeCell ref="BK5:BK7"/>
    <mergeCell ref="BL5:BL7"/>
    <mergeCell ref="BM5:BM7"/>
    <mergeCell ref="AV5:AW5"/>
    <mergeCell ref="AX5:AY5"/>
    <mergeCell ref="BB5:BB7"/>
    <mergeCell ref="BC5:BC7"/>
    <mergeCell ref="BD5:BD7"/>
    <mergeCell ref="BT5:BT7"/>
    <mergeCell ref="BU5:BU7"/>
    <mergeCell ref="DP5:DP7"/>
    <mergeCell ref="BE5:BE7"/>
    <mergeCell ref="BI5:BI7"/>
    <mergeCell ref="BJ5:BJ7"/>
    <mergeCell ref="BQ5:BQ7"/>
    <mergeCell ref="BP5:BP7"/>
    <mergeCell ref="BR5:BR7"/>
    <mergeCell ref="BS5:BS7"/>
    <mergeCell ref="BW5:BW7"/>
    <mergeCell ref="BX5:BX7"/>
    <mergeCell ref="DJ4:DJ7"/>
    <mergeCell ref="DK4:DK7"/>
    <mergeCell ref="DL4:DL7"/>
    <mergeCell ref="BV5:BV7"/>
    <mergeCell ref="BJ4:BK4"/>
    <mergeCell ref="BL4:BM4"/>
    <mergeCell ref="BN4:BN7"/>
    <mergeCell ref="BO4:BO7"/>
    <mergeCell ref="BP4:BV4"/>
    <mergeCell ref="BH5:BH7"/>
    <mergeCell ref="CI4:CI7"/>
    <mergeCell ref="CJ4:CJ7"/>
    <mergeCell ref="CA4:CA7"/>
    <mergeCell ref="CB4:CB7"/>
    <mergeCell ref="EQ4:EQ7"/>
    <mergeCell ref="B5:B7"/>
    <mergeCell ref="C5:C7"/>
    <mergeCell ref="D5:D7"/>
    <mergeCell ref="E5:E7"/>
    <mergeCell ref="F5:F7"/>
    <mergeCell ref="G5:G7"/>
    <mergeCell ref="H5:H7"/>
    <mergeCell ref="DD4:DD7"/>
    <mergeCell ref="DE4:DE7"/>
    <mergeCell ref="ED4:EE4"/>
    <mergeCell ref="EH4:EH7"/>
    <mergeCell ref="X5:Y5"/>
    <mergeCell ref="Z5:AA5"/>
    <mergeCell ref="AB5:AC5"/>
    <mergeCell ref="AD5:AE5"/>
    <mergeCell ref="DO5:DO7"/>
    <mergeCell ref="DF4:DF7"/>
    <mergeCell ref="DG4:DG7"/>
    <mergeCell ref="DH4:DH7"/>
    <mergeCell ref="I5:I7"/>
    <mergeCell ref="DY4:DY7"/>
    <mergeCell ref="DZ4:DZ7"/>
    <mergeCell ref="EA4:EC4"/>
    <mergeCell ref="DB4:DB7"/>
    <mergeCell ref="DC4:DC7"/>
    <mergeCell ref="AV4:AY4"/>
    <mergeCell ref="DT5:DT7"/>
    <mergeCell ref="DU5:DU7"/>
    <mergeCell ref="CR4:CR7"/>
    <mergeCell ref="DN5:DN7"/>
    <mergeCell ref="DQ5:DQ7"/>
    <mergeCell ref="DR5:DR7"/>
    <mergeCell ref="CS4:CS7"/>
    <mergeCell ref="BY5:BY7"/>
    <mergeCell ref="BZ4:BZ7"/>
    <mergeCell ref="CD4:CD7"/>
    <mergeCell ref="CE4:CE7"/>
    <mergeCell ref="DS5:DS7"/>
    <mergeCell ref="CQ4:CQ7"/>
    <mergeCell ref="CF4:CF7"/>
    <mergeCell ref="CG4:CG7"/>
    <mergeCell ref="CH4:CH7"/>
    <mergeCell ref="CK4:CK7"/>
    <mergeCell ref="DN4:DO4"/>
    <mergeCell ref="DM5:DM7"/>
    <mergeCell ref="DI4:DI7"/>
    <mergeCell ref="DP4:DU4"/>
    <mergeCell ref="L5:L7"/>
    <mergeCell ref="M5:M7"/>
    <mergeCell ref="N5:N7"/>
    <mergeCell ref="O5:O7"/>
    <mergeCell ref="P5:P7"/>
    <mergeCell ref="Q5:Q7"/>
    <mergeCell ref="P4:Q4"/>
    <mergeCell ref="R4:U4"/>
    <mergeCell ref="V4:V7"/>
    <mergeCell ref="W4:W7"/>
    <mergeCell ref="X4:AA4"/>
    <mergeCell ref="AB4:AE4"/>
    <mergeCell ref="R5:R7"/>
    <mergeCell ref="X6:X7"/>
    <mergeCell ref="Y6:Y7"/>
    <mergeCell ref="Z6:Z7"/>
    <mergeCell ref="CZ4:CZ7"/>
    <mergeCell ref="DA4:DA7"/>
    <mergeCell ref="AH4:AO4"/>
    <mergeCell ref="AL5:AM5"/>
    <mergeCell ref="AN5:AO5"/>
    <mergeCell ref="AH5:AI5"/>
    <mergeCell ref="AJ5:AK5"/>
    <mergeCell ref="CL4:CL7"/>
    <mergeCell ref="CT4:CT7"/>
    <mergeCell ref="CU4:CU7"/>
    <mergeCell ref="CV4:CV7"/>
    <mergeCell ref="CW4:CW7"/>
    <mergeCell ref="CX4:CX7"/>
    <mergeCell ref="CY4:CY7"/>
    <mergeCell ref="AA6:AA7"/>
    <mergeCell ref="AB6:AB7"/>
    <mergeCell ref="AC6:AC7"/>
    <mergeCell ref="AD6:AD7"/>
    <mergeCell ref="AE6:AE7"/>
    <mergeCell ref="AH6:AH7"/>
    <mergeCell ref="AO6:AO7"/>
    <mergeCell ref="AR6:AR7"/>
    <mergeCell ref="AS6:AS7"/>
    <mergeCell ref="AQ4:AQ7"/>
    <mergeCell ref="AR4:AU4"/>
    <mergeCell ref="AR5:AS5"/>
    <mergeCell ref="AT5:AU5"/>
    <mergeCell ref="AT6:AT7"/>
    <mergeCell ref="AU6:AU7"/>
    <mergeCell ref="AP4:AP7"/>
    <mergeCell ref="AI6:AI7"/>
    <mergeCell ref="AJ6:AJ7"/>
    <mergeCell ref="AK6:AK7"/>
    <mergeCell ref="AL6:AL7"/>
    <mergeCell ref="AM6:AM7"/>
    <mergeCell ref="AN6:AN7"/>
    <mergeCell ref="AF4:AF7"/>
    <mergeCell ref="AG4:AG7"/>
    <mergeCell ref="EJ9:EP9"/>
    <mergeCell ref="EJ10:EP10"/>
    <mergeCell ref="EJ11:EP11"/>
    <mergeCell ref="EJ12:EP12"/>
    <mergeCell ref="EJ13:EP13"/>
    <mergeCell ref="DV5:DV7"/>
    <mergeCell ref="DW5:DW7"/>
    <mergeCell ref="DX5:DX7"/>
    <mergeCell ref="EA5:EA7"/>
    <mergeCell ref="EJ8:EP8"/>
    <mergeCell ref="EG5:EG7"/>
    <mergeCell ref="EJ4:EP7"/>
    <mergeCell ref="DV4:DX4"/>
    <mergeCell ref="EI4:EI7"/>
    <mergeCell ref="EB5:EB7"/>
    <mergeCell ref="EC5:EC7"/>
    <mergeCell ref="ED5:EE5"/>
    <mergeCell ref="EF5:EF7"/>
    <mergeCell ref="ED6:ED7"/>
    <mergeCell ref="EE6:EE7"/>
    <mergeCell ref="EJ21:EP21"/>
    <mergeCell ref="EJ22:EP22"/>
    <mergeCell ref="EJ23:EP23"/>
    <mergeCell ref="EJ24:EP24"/>
    <mergeCell ref="EJ25:EP25"/>
    <mergeCell ref="EJ14:EP14"/>
    <mergeCell ref="EJ36:EP36"/>
    <mergeCell ref="EJ37:EP37"/>
    <mergeCell ref="EJ38:EP38"/>
    <mergeCell ref="EJ26:EP26"/>
    <mergeCell ref="EJ15:EP15"/>
    <mergeCell ref="EJ16:EP16"/>
    <mergeCell ref="EJ17:EP17"/>
    <mergeCell ref="EJ18:EP18"/>
    <mergeCell ref="EJ19:EP19"/>
    <mergeCell ref="EJ20:EP20"/>
    <mergeCell ref="BF42:BN42"/>
    <mergeCell ref="BO42:BS42"/>
    <mergeCell ref="EJ27:EP27"/>
    <mergeCell ref="EJ28:EP28"/>
    <mergeCell ref="EJ29:EP29"/>
    <mergeCell ref="EJ30:EP30"/>
    <mergeCell ref="EJ31:EP31"/>
    <mergeCell ref="EJ32:EP32"/>
    <mergeCell ref="EJ33:EP33"/>
    <mergeCell ref="EJ34:EP34"/>
    <mergeCell ref="EJ35:EP35"/>
    <mergeCell ref="DC42:DF42"/>
    <mergeCell ref="DG42:DK42"/>
    <mergeCell ref="DL42:DP42"/>
    <mergeCell ref="DQ42:DY42"/>
    <mergeCell ref="DZ42:EE42"/>
    <mergeCell ref="A42:E42"/>
    <mergeCell ref="F42:J42"/>
    <mergeCell ref="K42:N42"/>
    <mergeCell ref="O42:V42"/>
    <mergeCell ref="W42:AA42"/>
    <mergeCell ref="EJ39:EP39"/>
    <mergeCell ref="EJ40:EP40"/>
    <mergeCell ref="EJ41:EP41"/>
    <mergeCell ref="EF42:EH42"/>
    <mergeCell ref="EI42:EL42"/>
    <mergeCell ref="AG42:AK42"/>
    <mergeCell ref="BT42:BZ42"/>
    <mergeCell ref="CA42:CD42"/>
    <mergeCell ref="EM42:EQ42"/>
    <mergeCell ref="CW42:DB42"/>
    <mergeCell ref="AB42:AF42"/>
    <mergeCell ref="CE42:CI42"/>
    <mergeCell ref="CJ42:CM42"/>
    <mergeCell ref="CN42:CR42"/>
    <mergeCell ref="CS42:CV42"/>
    <mergeCell ref="AL42:AP42"/>
    <mergeCell ref="AQ42:AU42"/>
    <mergeCell ref="AV42:AZ42"/>
    <mergeCell ref="BA42:BE42"/>
  </mergeCells>
  <pageMargins left="0.23622047244094491" right="0.23622047244094491" top="0.31496062992125984" bottom="0.74803149606299213" header="0.31496062992125984" footer="0.31496062992125984"/>
  <pageSetup pageOrder="overThenDown" orientation="portrait" horizontalDpi="4294967293" verticalDpi="4294967293" r:id="rId1"/>
  <headerFooter>
    <evenHeader>&amp;L&amp;28Red Lake WPCP&amp;R&amp;28New Plant</even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EX45"/>
  <sheetViews>
    <sheetView showGridLines="0" view="pageLayout" workbookViewId="0">
      <selection activeCell="H20" sqref="H20"/>
    </sheetView>
  </sheetViews>
  <sheetFormatPr defaultColWidth="9.1796875" defaultRowHeight="14.5" x14ac:dyDescent="0.35"/>
  <cols>
    <col min="1" max="1" width="6" style="20" customWidth="1"/>
    <col min="2" max="2" width="14" style="5" customWidth="1"/>
    <col min="3" max="3" width="8.54296875" style="5" customWidth="1"/>
    <col min="4" max="4" width="9.7265625" style="23" customWidth="1"/>
    <col min="5" max="5" width="14" style="5" customWidth="1"/>
    <col min="6" max="6" width="8.54296875" style="5" customWidth="1"/>
    <col min="7" max="7" width="9.7265625" style="23" customWidth="1"/>
    <col min="8" max="8" width="14" style="5" customWidth="1"/>
    <col min="9" max="9" width="8.54296875" style="5" customWidth="1"/>
    <col min="10" max="10" width="8.26953125" style="20" customWidth="1"/>
    <col min="11" max="11" width="5.54296875" style="20" customWidth="1"/>
    <col min="12" max="12" width="11.453125" style="5" customWidth="1"/>
    <col min="13" max="13" width="8" style="5" customWidth="1"/>
    <col min="14" max="14" width="11.453125" style="5" customWidth="1"/>
    <col min="15" max="15" width="8" style="5" customWidth="1"/>
    <col min="16" max="16" width="11.453125" style="5" customWidth="1"/>
    <col min="17" max="17" width="8" style="5" customWidth="1"/>
    <col min="18" max="21" width="7.453125" style="5" customWidth="1"/>
    <col min="22" max="22" width="7.7265625" style="5" customWidth="1"/>
    <col min="23" max="23" width="6" style="5" customWidth="1"/>
    <col min="24" max="24" width="12.7265625" style="23" customWidth="1"/>
    <col min="25" max="25" width="9" style="23" customWidth="1"/>
    <col min="26" max="26" width="12.7265625" style="23" customWidth="1"/>
    <col min="27" max="27" width="9" style="23" customWidth="1"/>
    <col min="28" max="28" width="12.7265625" style="23" customWidth="1"/>
    <col min="29" max="29" width="9" style="23" customWidth="1"/>
    <col min="30" max="30" width="12.7265625" style="23" customWidth="1"/>
    <col min="31" max="31" width="9" style="23" customWidth="1"/>
    <col min="32" max="32" width="8" style="22" customWidth="1"/>
    <col min="33" max="33" width="6" style="20" customWidth="1"/>
    <col min="34" max="34" width="12.7265625" style="20" customWidth="1"/>
    <col min="35" max="35" width="9" style="5" customWidth="1"/>
    <col min="36" max="36" width="12.7265625" style="5" customWidth="1"/>
    <col min="37" max="37" width="9" style="5" customWidth="1"/>
    <col min="38" max="38" width="12.7265625" style="5" customWidth="1"/>
    <col min="39" max="39" width="9" style="5" customWidth="1"/>
    <col min="40" max="40" width="12.7265625" style="5" customWidth="1"/>
    <col min="41" max="41" width="9" style="22" customWidth="1"/>
    <col min="42" max="42" width="8" style="5" customWidth="1"/>
    <col min="43" max="43" width="6" style="5" customWidth="1"/>
    <col min="44" max="44" width="12.7265625" style="23" customWidth="1"/>
    <col min="45" max="45" width="9" style="23" customWidth="1"/>
    <col min="46" max="46" width="12.7265625" style="23" customWidth="1"/>
    <col min="47" max="47" width="9" style="23" customWidth="1"/>
    <col min="48" max="48" width="12.7265625" style="23" customWidth="1"/>
    <col min="49" max="49" width="9" style="23" customWidth="1"/>
    <col min="50" max="50" width="12.7265625" style="23" customWidth="1"/>
    <col min="51" max="51" width="9" style="23" customWidth="1"/>
    <col min="52" max="52" width="8" style="5" customWidth="1"/>
    <col min="53" max="53" width="5.7265625" style="21" customWidth="1"/>
    <col min="54" max="54" width="7.1796875" style="23" customWidth="1"/>
    <col min="55" max="55" width="6.7265625" style="5" customWidth="1"/>
    <col min="56" max="57" width="6.7265625" style="22" customWidth="1"/>
    <col min="58" max="58" width="7.1796875" style="22" customWidth="1"/>
    <col min="59" max="59" width="6.7265625" style="22" customWidth="1"/>
    <col min="60" max="65" width="8" style="21" customWidth="1"/>
    <col min="66" max="66" width="6.81640625" style="22" customWidth="1"/>
    <col min="67" max="67" width="5.7265625" style="23" customWidth="1"/>
    <col min="68" max="68" width="8.54296875" style="21" customWidth="1"/>
    <col min="69" max="69" width="6.81640625" style="5" customWidth="1"/>
    <col min="70" max="70" width="6.7265625" style="22" customWidth="1"/>
    <col min="71" max="71" width="7.1796875" style="22" customWidth="1"/>
    <col min="72" max="72" width="8" style="22" customWidth="1"/>
    <col min="73" max="73" width="8.453125" style="21" customWidth="1"/>
    <col min="74" max="75" width="8.26953125" style="23" customWidth="1"/>
    <col min="76" max="76" width="8" style="22" customWidth="1"/>
    <col min="77" max="77" width="18.1796875" style="5" customWidth="1"/>
    <col min="78" max="78" width="7.453125" style="5" customWidth="1"/>
    <col min="79" max="79" width="7.1796875" style="20" customWidth="1"/>
    <col min="80" max="82" width="12" style="22" customWidth="1"/>
    <col min="83" max="84" width="12" style="23" customWidth="1"/>
    <col min="85" max="86" width="12" style="5" customWidth="1"/>
    <col min="87" max="87" width="9.1796875" style="22" customWidth="1"/>
    <col min="88" max="88" width="7.1796875" style="23" customWidth="1"/>
    <col min="89" max="93" width="12" style="22" customWidth="1"/>
    <col min="94" max="95" width="12" style="20" customWidth="1"/>
    <col min="96" max="96" width="9.1796875" style="20" customWidth="1"/>
    <col min="97" max="97" width="6.26953125" style="20" customWidth="1"/>
    <col min="98" max="98" width="9.453125" style="20" customWidth="1"/>
    <col min="99" max="99" width="13.81640625" style="23" customWidth="1"/>
    <col min="100" max="100" width="9.7265625" style="5" customWidth="1"/>
    <col min="101" max="101" width="9.7265625" style="22" customWidth="1"/>
    <col min="102" max="102" width="10" style="23" customWidth="1"/>
    <col min="103" max="104" width="12" style="22" customWidth="1"/>
    <col min="105" max="105" width="10.54296875" style="21" customWidth="1"/>
    <col min="106" max="106" width="8" style="22" customWidth="1"/>
    <col min="107" max="107" width="7.1796875" style="21" customWidth="1"/>
    <col min="108" max="110" width="12" style="22" customWidth="1"/>
    <col min="111" max="111" width="12" style="23" customWidth="1"/>
    <col min="112" max="112" width="12" style="22" customWidth="1"/>
    <col min="113" max="114" width="12" style="5" customWidth="1"/>
    <col min="115" max="115" width="9.1796875" style="21" customWidth="1"/>
    <col min="116" max="116" width="4.81640625" style="20" customWidth="1"/>
    <col min="117" max="117" width="6.453125" style="23" customWidth="1"/>
    <col min="118" max="120" width="7.7265625" style="21" customWidth="1"/>
    <col min="121" max="121" width="6.81640625" style="23" customWidth="1"/>
    <col min="122" max="122" width="6.81640625" style="22" customWidth="1"/>
    <col min="123" max="123" width="7.7265625" style="21" customWidth="1"/>
    <col min="124" max="124" width="7.1796875" style="22" customWidth="1"/>
    <col min="125" max="125" width="7.453125" style="23" customWidth="1"/>
    <col min="126" max="127" width="8.54296875" style="21" customWidth="1"/>
    <col min="128" max="128" width="7.1796875" style="20" customWidth="1"/>
    <col min="129" max="129" width="6.81640625" style="20" customWidth="1"/>
    <col min="130" max="130" width="6.54296875" style="20" customWidth="1"/>
    <col min="131" max="131" width="13" style="20" customWidth="1"/>
    <col min="132" max="133" width="13" style="54" customWidth="1"/>
    <col min="134" max="137" width="10" style="23" customWidth="1"/>
    <col min="138" max="138" width="11.453125" style="20" customWidth="1"/>
    <col min="139" max="139" width="7.26953125" style="20" customWidth="1"/>
    <col min="140" max="146" width="12" style="20" customWidth="1"/>
    <col min="147" max="16384" width="9.1796875" style="20"/>
  </cols>
  <sheetData>
    <row r="1" spans="1:154" ht="15" customHeight="1" x14ac:dyDescent="0.35">
      <c r="A1" s="373" t="s">
        <v>231</v>
      </c>
      <c r="B1" s="373"/>
      <c r="C1" s="373"/>
      <c r="D1" s="373"/>
      <c r="E1" s="373"/>
      <c r="F1" s="373"/>
      <c r="G1" s="373"/>
      <c r="H1" s="373"/>
      <c r="I1" s="373"/>
      <c r="J1" s="373"/>
      <c r="K1" s="345" t="str">
        <f>IF(A1="","",A1)</f>
        <v>July 2016</v>
      </c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 t="str">
        <f>IF(A1="","",A1)</f>
        <v>July 2016</v>
      </c>
      <c r="X1" s="345"/>
      <c r="Y1" s="345"/>
      <c r="Z1" s="345"/>
      <c r="AA1" s="345"/>
      <c r="AB1" s="345"/>
      <c r="AC1" s="345"/>
      <c r="AD1" s="345"/>
      <c r="AE1" s="345"/>
      <c r="AF1" s="345"/>
      <c r="AG1" s="345" t="str">
        <f>IF(A1="","",A1)</f>
        <v>July 2016</v>
      </c>
      <c r="AH1" s="345"/>
      <c r="AI1" s="345"/>
      <c r="AJ1" s="345"/>
      <c r="AK1" s="345"/>
      <c r="AL1" s="345"/>
      <c r="AM1" s="345"/>
      <c r="AN1" s="345"/>
      <c r="AO1" s="345"/>
      <c r="AP1" s="345"/>
      <c r="AQ1" s="345" t="str">
        <f>IF(A1="","",A1)</f>
        <v>July 2016</v>
      </c>
      <c r="AR1" s="345"/>
      <c r="AS1" s="345"/>
      <c r="AT1" s="345"/>
      <c r="AU1" s="345"/>
      <c r="AV1" s="345"/>
      <c r="AW1" s="345"/>
      <c r="AX1" s="345"/>
      <c r="AY1" s="345"/>
      <c r="AZ1" s="345"/>
      <c r="BA1" s="371" t="str">
        <f>IF(A1="","",A1)</f>
        <v>July 2016</v>
      </c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07" t="str">
        <f>IF(A1="","",A1)</f>
        <v>July 2016</v>
      </c>
      <c r="BP1" s="307"/>
      <c r="BQ1" s="307"/>
      <c r="BR1" s="307"/>
      <c r="BS1" s="307"/>
      <c r="BT1" s="307"/>
      <c r="BU1" s="307"/>
      <c r="BV1" s="307"/>
      <c r="BW1" s="307"/>
      <c r="BX1" s="307"/>
      <c r="BY1" s="307"/>
      <c r="BZ1" s="307"/>
      <c r="CA1" s="372" t="str">
        <f>IF(A1="","",A1)</f>
        <v>July 2016</v>
      </c>
      <c r="CB1" s="372"/>
      <c r="CC1" s="372"/>
      <c r="CD1" s="372"/>
      <c r="CE1" s="372"/>
      <c r="CF1" s="372"/>
      <c r="CG1" s="372"/>
      <c r="CH1" s="372"/>
      <c r="CI1" s="372"/>
      <c r="CJ1" s="372" t="str">
        <f>IF(A1="","",A1)</f>
        <v>July 2016</v>
      </c>
      <c r="CK1" s="372"/>
      <c r="CL1" s="372"/>
      <c r="CM1" s="372"/>
      <c r="CN1" s="372"/>
      <c r="CO1" s="372"/>
      <c r="CP1" s="372"/>
      <c r="CQ1" s="372"/>
      <c r="CR1" s="372"/>
      <c r="CS1" s="372" t="str">
        <f>IF(A1="","",A1)</f>
        <v>July 2016</v>
      </c>
      <c r="CT1" s="372"/>
      <c r="CU1" s="372"/>
      <c r="CV1" s="372"/>
      <c r="CW1" s="372"/>
      <c r="CX1" s="372"/>
      <c r="CY1" s="372"/>
      <c r="CZ1" s="372"/>
      <c r="DA1" s="372"/>
      <c r="DB1" s="372"/>
      <c r="DC1" s="372" t="str">
        <f>IF(A1="","",A1)</f>
        <v>July 2016</v>
      </c>
      <c r="DD1" s="372"/>
      <c r="DE1" s="372"/>
      <c r="DF1" s="372"/>
      <c r="DG1" s="372"/>
      <c r="DH1" s="372"/>
      <c r="DI1" s="372"/>
      <c r="DJ1" s="372"/>
      <c r="DK1" s="372"/>
      <c r="DL1" s="307" t="str">
        <f>IF(A1="","",A1)</f>
        <v>July 2016</v>
      </c>
      <c r="DM1" s="307"/>
      <c r="DN1" s="307"/>
      <c r="DO1" s="307"/>
      <c r="DP1" s="307"/>
      <c r="DQ1" s="53"/>
      <c r="DR1" s="85"/>
      <c r="DS1" s="39"/>
      <c r="DT1" s="85"/>
      <c r="DU1" s="53"/>
      <c r="DV1" s="39"/>
      <c r="DW1" s="39"/>
      <c r="DX1" s="39"/>
      <c r="DY1" s="126"/>
      <c r="DZ1" s="307" t="str">
        <f>IF(A1="","",A1)</f>
        <v>July 2016</v>
      </c>
      <c r="EA1" s="307"/>
      <c r="EB1" s="308" t="s">
        <v>196</v>
      </c>
      <c r="EC1" s="309"/>
      <c r="ED1" s="309"/>
      <c r="EE1" s="309"/>
      <c r="EF1" s="309"/>
      <c r="EG1" s="310"/>
      <c r="EH1" s="189"/>
      <c r="EI1" s="307" t="str">
        <f>IF(A1="","",A1)</f>
        <v>July 2016</v>
      </c>
      <c r="EJ1" s="307"/>
      <c r="EK1" s="307"/>
      <c r="EL1" s="307"/>
      <c r="EM1" s="307"/>
      <c r="EN1" s="307"/>
      <c r="EO1" s="307"/>
      <c r="EP1" s="307"/>
      <c r="EQ1" s="307"/>
    </row>
    <row r="2" spans="1:154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07"/>
      <c r="BP2" s="307"/>
      <c r="BQ2" s="307"/>
      <c r="BR2" s="307"/>
      <c r="BS2" s="307"/>
      <c r="BT2" s="307"/>
      <c r="BU2" s="307"/>
      <c r="BV2" s="307"/>
      <c r="BW2" s="307"/>
      <c r="BX2" s="307"/>
      <c r="BY2" s="307"/>
      <c r="BZ2" s="307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  <c r="CL2" s="372"/>
      <c r="CM2" s="372"/>
      <c r="CN2" s="372"/>
      <c r="CO2" s="372"/>
      <c r="CP2" s="372"/>
      <c r="CQ2" s="372"/>
      <c r="CR2" s="372"/>
      <c r="CS2" s="372"/>
      <c r="CT2" s="372"/>
      <c r="CU2" s="372"/>
      <c r="CV2" s="372"/>
      <c r="CW2" s="372"/>
      <c r="CX2" s="372"/>
      <c r="CY2" s="372"/>
      <c r="CZ2" s="372"/>
      <c r="DA2" s="372"/>
      <c r="DB2" s="372"/>
      <c r="DC2" s="372"/>
      <c r="DD2" s="372"/>
      <c r="DE2" s="372"/>
      <c r="DF2" s="372"/>
      <c r="DG2" s="372"/>
      <c r="DH2" s="372"/>
      <c r="DI2" s="372"/>
      <c r="DJ2" s="372"/>
      <c r="DK2" s="372"/>
      <c r="DL2" s="307"/>
      <c r="DM2" s="307"/>
      <c r="DN2" s="307"/>
      <c r="DO2" s="307"/>
      <c r="DP2" s="307"/>
      <c r="DQ2" s="53"/>
      <c r="DR2" s="85"/>
      <c r="DS2" s="39"/>
      <c r="DT2" s="85"/>
      <c r="DU2" s="53"/>
      <c r="DV2" s="39"/>
      <c r="DW2" s="39"/>
      <c r="DX2" s="39"/>
      <c r="DY2" s="126"/>
      <c r="DZ2" s="307"/>
      <c r="EA2" s="307"/>
      <c r="EB2" s="311"/>
      <c r="EC2" s="312"/>
      <c r="ED2" s="312"/>
      <c r="EE2" s="312"/>
      <c r="EF2" s="312"/>
      <c r="EG2" s="313"/>
      <c r="EH2" s="189"/>
      <c r="EI2" s="307"/>
      <c r="EJ2" s="307"/>
      <c r="EK2" s="307"/>
      <c r="EL2" s="307"/>
      <c r="EM2" s="307"/>
      <c r="EN2" s="307"/>
      <c r="EO2" s="307"/>
      <c r="EP2" s="307"/>
      <c r="EQ2" s="307"/>
    </row>
    <row r="3" spans="1:154" ht="25.5" customHeight="1" x14ac:dyDescent="0.25">
      <c r="A3" s="314" t="s">
        <v>450</v>
      </c>
      <c r="B3" s="314"/>
      <c r="C3" s="314"/>
      <c r="D3" s="314"/>
      <c r="E3" s="314"/>
      <c r="F3" s="315" t="s">
        <v>114</v>
      </c>
      <c r="G3" s="315"/>
      <c r="H3" s="315"/>
      <c r="I3" s="315"/>
      <c r="J3" s="315"/>
      <c r="K3" s="314" t="str">
        <f>IF(A3="","",A3)</f>
        <v xml:space="preserve"> Drinking Water System</v>
      </c>
      <c r="L3" s="314"/>
      <c r="M3" s="314"/>
      <c r="N3" s="314"/>
      <c r="O3" s="315" t="s">
        <v>125</v>
      </c>
      <c r="P3" s="315"/>
      <c r="Q3" s="315"/>
      <c r="R3" s="315"/>
      <c r="S3" s="315"/>
      <c r="T3" s="315"/>
      <c r="U3" s="315"/>
      <c r="V3" s="315"/>
      <c r="W3" s="314" t="str">
        <f>IF(A3="","",A3)</f>
        <v xml:space="preserve"> Drinking Water System</v>
      </c>
      <c r="X3" s="314"/>
      <c r="Y3" s="314"/>
      <c r="Z3" s="314"/>
      <c r="AA3" s="314"/>
      <c r="AB3" s="315" t="s">
        <v>129</v>
      </c>
      <c r="AC3" s="315"/>
      <c r="AD3" s="315"/>
      <c r="AE3" s="315"/>
      <c r="AF3" s="315"/>
      <c r="AG3" s="314" t="str">
        <f>IF(A3="","",A3)</f>
        <v xml:space="preserve"> Drinking Water System</v>
      </c>
      <c r="AH3" s="314"/>
      <c r="AI3" s="314"/>
      <c r="AJ3" s="314"/>
      <c r="AK3" s="314"/>
      <c r="AL3" s="315" t="s">
        <v>93</v>
      </c>
      <c r="AM3" s="315"/>
      <c r="AN3" s="315"/>
      <c r="AO3" s="315"/>
      <c r="AP3" s="315"/>
      <c r="AQ3" s="314" t="str">
        <f>IF(A3="","",A3)</f>
        <v xml:space="preserve"> Drinking Water System</v>
      </c>
      <c r="AR3" s="314"/>
      <c r="AS3" s="314"/>
      <c r="AT3" s="314"/>
      <c r="AU3" s="314"/>
      <c r="AV3" s="315" t="s">
        <v>135</v>
      </c>
      <c r="AW3" s="315"/>
      <c r="AX3" s="315"/>
      <c r="AY3" s="315"/>
      <c r="AZ3" s="315"/>
      <c r="BA3" s="314" t="str">
        <f>IF(A3="","",A3)</f>
        <v xml:space="preserve"> Drinking Water System</v>
      </c>
      <c r="BB3" s="314"/>
      <c r="BC3" s="314"/>
      <c r="BD3" s="314"/>
      <c r="BE3" s="314"/>
      <c r="BF3" s="369" t="s">
        <v>145</v>
      </c>
      <c r="BG3" s="369"/>
      <c r="BH3" s="369"/>
      <c r="BI3" s="369"/>
      <c r="BJ3" s="369"/>
      <c r="BK3" s="369"/>
      <c r="BL3" s="369"/>
      <c r="BM3" s="369"/>
      <c r="BN3" s="369"/>
      <c r="BO3" s="314" t="str">
        <f>IF(A3="","",A3)</f>
        <v xml:space="preserve"> Drinking Water System</v>
      </c>
      <c r="BP3" s="314"/>
      <c r="BQ3" s="314"/>
      <c r="BR3" s="314"/>
      <c r="BS3" s="314"/>
      <c r="BT3" s="315" t="s">
        <v>100</v>
      </c>
      <c r="BU3" s="315"/>
      <c r="BV3" s="315"/>
      <c r="BW3" s="315"/>
      <c r="BX3" s="315"/>
      <c r="BY3" s="315"/>
      <c r="BZ3" s="315"/>
      <c r="CA3" s="314" t="str">
        <f>IF(A3="","",A3)</f>
        <v xml:space="preserve"> Drinking Water System</v>
      </c>
      <c r="CB3" s="314"/>
      <c r="CC3" s="314"/>
      <c r="CD3" s="314"/>
      <c r="CE3" s="315" t="s">
        <v>154</v>
      </c>
      <c r="CF3" s="315"/>
      <c r="CG3" s="315"/>
      <c r="CH3" s="315"/>
      <c r="CI3" s="315"/>
      <c r="CJ3" s="314" t="str">
        <f>IF(A3="","",A3)</f>
        <v xml:space="preserve"> Drinking Water System</v>
      </c>
      <c r="CK3" s="314"/>
      <c r="CL3" s="314"/>
      <c r="CM3" s="314"/>
      <c r="CN3" s="315" t="s">
        <v>155</v>
      </c>
      <c r="CO3" s="315"/>
      <c r="CP3" s="315"/>
      <c r="CQ3" s="315"/>
      <c r="CR3" s="315"/>
      <c r="CS3" s="314" t="str">
        <f>IF(A3="","",A3)</f>
        <v xml:space="preserve"> Drinking Water System</v>
      </c>
      <c r="CT3" s="314"/>
      <c r="CU3" s="314"/>
      <c r="CV3" s="314"/>
      <c r="CW3" s="315" t="s">
        <v>101</v>
      </c>
      <c r="CX3" s="315"/>
      <c r="CY3" s="315"/>
      <c r="CZ3" s="315"/>
      <c r="DA3" s="315"/>
      <c r="DB3" s="315"/>
      <c r="DC3" s="314" t="str">
        <f>IF(A3="","",A3)</f>
        <v xml:space="preserve"> Drinking Water System</v>
      </c>
      <c r="DD3" s="314"/>
      <c r="DE3" s="314"/>
      <c r="DF3" s="314"/>
      <c r="DG3" s="315" t="s">
        <v>159</v>
      </c>
      <c r="DH3" s="315"/>
      <c r="DI3" s="315"/>
      <c r="DJ3" s="315"/>
      <c r="DK3" s="315"/>
      <c r="DL3" s="329" t="str">
        <f>IF(A3="","",A3)</f>
        <v xml:space="preserve"> Drinking Water System</v>
      </c>
      <c r="DM3" s="329"/>
      <c r="DN3" s="329"/>
      <c r="DO3" s="329"/>
      <c r="DP3" s="329"/>
      <c r="DQ3" s="370" t="s">
        <v>168</v>
      </c>
      <c r="DR3" s="370"/>
      <c r="DS3" s="370"/>
      <c r="DT3" s="370"/>
      <c r="DU3" s="370"/>
      <c r="DV3" s="370"/>
      <c r="DW3" s="370"/>
      <c r="DX3" s="370"/>
      <c r="DY3" s="370"/>
      <c r="DZ3" s="329" t="str">
        <f>IF(A3="","",A3)</f>
        <v xml:space="preserve"> Drinking Water System</v>
      </c>
      <c r="EA3" s="329"/>
      <c r="EB3" s="329"/>
      <c r="EC3" s="329"/>
      <c r="ED3" s="329"/>
      <c r="EE3" s="329"/>
      <c r="EF3" s="370" t="s">
        <v>91</v>
      </c>
      <c r="EG3" s="370"/>
      <c r="EH3" s="370"/>
      <c r="EI3" s="314" t="str">
        <f>IF(A3="","",A3)</f>
        <v xml:space="preserve"> Drinking Water System</v>
      </c>
      <c r="EJ3" s="314"/>
      <c r="EK3" s="314"/>
      <c r="EL3" s="314"/>
      <c r="EM3" s="315" t="s">
        <v>33</v>
      </c>
      <c r="EN3" s="315"/>
      <c r="EO3" s="315"/>
      <c r="EP3" s="315"/>
      <c r="EQ3" s="315"/>
    </row>
    <row r="4" spans="1:154" ht="17.149999999999999" customHeight="1" x14ac:dyDescent="0.35">
      <c r="A4" s="359" t="s">
        <v>1</v>
      </c>
      <c r="B4" s="359" t="s">
        <v>38</v>
      </c>
      <c r="C4" s="359"/>
      <c r="D4" s="359"/>
      <c r="E4" s="317" t="s">
        <v>24</v>
      </c>
      <c r="F4" s="317"/>
      <c r="G4" s="317"/>
      <c r="H4" s="358" t="s">
        <v>112</v>
      </c>
      <c r="I4" s="358"/>
      <c r="J4" s="360" t="s">
        <v>0</v>
      </c>
      <c r="K4" s="359" t="s">
        <v>1</v>
      </c>
      <c r="L4" s="358" t="s">
        <v>117</v>
      </c>
      <c r="M4" s="358"/>
      <c r="N4" s="358" t="s">
        <v>118</v>
      </c>
      <c r="O4" s="358"/>
      <c r="P4" s="358" t="s">
        <v>119</v>
      </c>
      <c r="Q4" s="358"/>
      <c r="R4" s="362" t="s">
        <v>120</v>
      </c>
      <c r="S4" s="363"/>
      <c r="T4" s="363"/>
      <c r="U4" s="364"/>
      <c r="V4" s="360" t="s">
        <v>0</v>
      </c>
      <c r="W4" s="346" t="s">
        <v>1</v>
      </c>
      <c r="X4" s="344" t="s">
        <v>63</v>
      </c>
      <c r="Y4" s="344"/>
      <c r="Z4" s="344"/>
      <c r="AA4" s="344"/>
      <c r="AB4" s="344" t="s">
        <v>126</v>
      </c>
      <c r="AC4" s="344"/>
      <c r="AD4" s="344"/>
      <c r="AE4" s="344"/>
      <c r="AF4" s="342" t="s">
        <v>0</v>
      </c>
      <c r="AG4" s="346" t="s">
        <v>1</v>
      </c>
      <c r="AH4" s="330" t="s">
        <v>93</v>
      </c>
      <c r="AI4" s="331"/>
      <c r="AJ4" s="331"/>
      <c r="AK4" s="331"/>
      <c r="AL4" s="331"/>
      <c r="AM4" s="331"/>
      <c r="AN4" s="331"/>
      <c r="AO4" s="332"/>
      <c r="AP4" s="342" t="s">
        <v>0</v>
      </c>
      <c r="AQ4" s="346" t="s">
        <v>1</v>
      </c>
      <c r="AR4" s="344" t="s">
        <v>132</v>
      </c>
      <c r="AS4" s="344"/>
      <c r="AT4" s="344"/>
      <c r="AU4" s="344"/>
      <c r="AV4" s="344" t="s">
        <v>94</v>
      </c>
      <c r="AW4" s="344"/>
      <c r="AX4" s="344"/>
      <c r="AY4" s="344"/>
      <c r="AZ4" s="342" t="s">
        <v>0</v>
      </c>
      <c r="BA4" s="317" t="s">
        <v>1</v>
      </c>
      <c r="BB4" s="317" t="s">
        <v>38</v>
      </c>
      <c r="BC4" s="317"/>
      <c r="BD4" s="317"/>
      <c r="BE4" s="317"/>
      <c r="BF4" s="317"/>
      <c r="BG4" s="326" t="s">
        <v>146</v>
      </c>
      <c r="BH4" s="316" t="s">
        <v>136</v>
      </c>
      <c r="BI4" s="316"/>
      <c r="BJ4" s="316" t="s">
        <v>139</v>
      </c>
      <c r="BK4" s="316"/>
      <c r="BL4" s="316" t="s">
        <v>142</v>
      </c>
      <c r="BM4" s="316"/>
      <c r="BN4" s="347" t="s">
        <v>0</v>
      </c>
      <c r="BO4" s="317" t="s">
        <v>1</v>
      </c>
      <c r="BP4" s="344" t="s">
        <v>147</v>
      </c>
      <c r="BQ4" s="344"/>
      <c r="BR4" s="344"/>
      <c r="BS4" s="344"/>
      <c r="BT4" s="344"/>
      <c r="BU4" s="344"/>
      <c r="BV4" s="344"/>
      <c r="BW4" s="344" t="s">
        <v>148</v>
      </c>
      <c r="BX4" s="344"/>
      <c r="BY4" s="344"/>
      <c r="BZ4" s="347" t="s">
        <v>0</v>
      </c>
      <c r="CA4" s="317" t="s">
        <v>1</v>
      </c>
      <c r="CB4" s="318" t="s">
        <v>150</v>
      </c>
      <c r="CC4" s="318" t="s">
        <v>151</v>
      </c>
      <c r="CD4" s="318" t="s">
        <v>78</v>
      </c>
      <c r="CE4" s="321" t="s">
        <v>79</v>
      </c>
      <c r="CF4" s="321" t="s">
        <v>77</v>
      </c>
      <c r="CG4" s="336" t="s">
        <v>152</v>
      </c>
      <c r="CH4" s="336" t="s">
        <v>153</v>
      </c>
      <c r="CI4" s="342" t="s">
        <v>0</v>
      </c>
      <c r="CJ4" s="317" t="s">
        <v>1</v>
      </c>
      <c r="CK4" s="318" t="s">
        <v>150</v>
      </c>
      <c r="CL4" s="318" t="s">
        <v>151</v>
      </c>
      <c r="CM4" s="318" t="s">
        <v>78</v>
      </c>
      <c r="CN4" s="318" t="s">
        <v>79</v>
      </c>
      <c r="CO4" s="318" t="s">
        <v>77</v>
      </c>
      <c r="CP4" s="336" t="s">
        <v>152</v>
      </c>
      <c r="CQ4" s="336" t="s">
        <v>153</v>
      </c>
      <c r="CR4" s="342" t="s">
        <v>0</v>
      </c>
      <c r="CS4" s="317" t="s">
        <v>1</v>
      </c>
      <c r="CT4" s="318" t="s">
        <v>150</v>
      </c>
      <c r="CU4" s="318" t="s">
        <v>157</v>
      </c>
      <c r="CV4" s="318" t="s">
        <v>78</v>
      </c>
      <c r="CW4" s="318" t="s">
        <v>158</v>
      </c>
      <c r="CX4" s="321" t="s">
        <v>77</v>
      </c>
      <c r="CY4" s="336" t="s">
        <v>152</v>
      </c>
      <c r="CZ4" s="336" t="s">
        <v>153</v>
      </c>
      <c r="DA4" s="339" t="s">
        <v>156</v>
      </c>
      <c r="DB4" s="342" t="s">
        <v>0</v>
      </c>
      <c r="DC4" s="317" t="s">
        <v>1</v>
      </c>
      <c r="DD4" s="318" t="s">
        <v>150</v>
      </c>
      <c r="DE4" s="318" t="s">
        <v>151</v>
      </c>
      <c r="DF4" s="318" t="s">
        <v>78</v>
      </c>
      <c r="DG4" s="321" t="s">
        <v>160</v>
      </c>
      <c r="DH4" s="318" t="s">
        <v>77</v>
      </c>
      <c r="DI4" s="336" t="s">
        <v>152</v>
      </c>
      <c r="DJ4" s="336" t="s">
        <v>153</v>
      </c>
      <c r="DK4" s="342" t="s">
        <v>0</v>
      </c>
      <c r="DL4" s="317" t="s">
        <v>1</v>
      </c>
      <c r="DM4" s="129" t="s">
        <v>37</v>
      </c>
      <c r="DN4" s="316" t="s">
        <v>76</v>
      </c>
      <c r="DO4" s="316"/>
      <c r="DP4" s="316" t="s">
        <v>92</v>
      </c>
      <c r="DQ4" s="316"/>
      <c r="DR4" s="316"/>
      <c r="DS4" s="316"/>
      <c r="DT4" s="316"/>
      <c r="DU4" s="316"/>
      <c r="DV4" s="316" t="s">
        <v>165</v>
      </c>
      <c r="DW4" s="316"/>
      <c r="DX4" s="316"/>
      <c r="DY4" s="347" t="s">
        <v>0</v>
      </c>
      <c r="DZ4" s="368" t="s">
        <v>1</v>
      </c>
      <c r="EA4" s="344" t="s">
        <v>170</v>
      </c>
      <c r="EB4" s="344"/>
      <c r="EC4" s="344"/>
      <c r="ED4" s="344" t="s">
        <v>104</v>
      </c>
      <c r="EE4" s="344"/>
      <c r="EF4" s="132" t="s">
        <v>121</v>
      </c>
      <c r="EG4" s="132" t="s">
        <v>122</v>
      </c>
      <c r="EH4" s="367" t="s">
        <v>0</v>
      </c>
      <c r="EI4" s="346" t="s">
        <v>1</v>
      </c>
      <c r="EJ4" s="361" t="s">
        <v>34</v>
      </c>
      <c r="EK4" s="361"/>
      <c r="EL4" s="361"/>
      <c r="EM4" s="361"/>
      <c r="EN4" s="361"/>
      <c r="EO4" s="361"/>
      <c r="EP4" s="361"/>
      <c r="EQ4" s="365" t="s">
        <v>0</v>
      </c>
    </row>
    <row r="5" spans="1:154" ht="17.149999999999999" customHeight="1" x14ac:dyDescent="0.35">
      <c r="A5" s="359"/>
      <c r="B5" s="357" t="s">
        <v>83</v>
      </c>
      <c r="C5" s="357" t="s">
        <v>111</v>
      </c>
      <c r="D5" s="356" t="s">
        <v>32</v>
      </c>
      <c r="E5" s="357" t="s">
        <v>83</v>
      </c>
      <c r="F5" s="357" t="s">
        <v>110</v>
      </c>
      <c r="G5" s="356" t="s">
        <v>32</v>
      </c>
      <c r="H5" s="357" t="s">
        <v>83</v>
      </c>
      <c r="I5" s="357" t="s">
        <v>109</v>
      </c>
      <c r="J5" s="360"/>
      <c r="K5" s="359"/>
      <c r="L5" s="357" t="s">
        <v>83</v>
      </c>
      <c r="M5" s="357" t="s">
        <v>116</v>
      </c>
      <c r="N5" s="357" t="s">
        <v>83</v>
      </c>
      <c r="O5" s="357" t="s">
        <v>66</v>
      </c>
      <c r="P5" s="357" t="s">
        <v>83</v>
      </c>
      <c r="Q5" s="357" t="s">
        <v>116</v>
      </c>
      <c r="R5" s="336" t="s">
        <v>121</v>
      </c>
      <c r="S5" s="336" t="s">
        <v>122</v>
      </c>
      <c r="T5" s="336" t="s">
        <v>123</v>
      </c>
      <c r="U5" s="336" t="s">
        <v>124</v>
      </c>
      <c r="V5" s="360"/>
      <c r="W5" s="346"/>
      <c r="X5" s="333" t="s">
        <v>20</v>
      </c>
      <c r="Y5" s="333"/>
      <c r="Z5" s="333" t="s">
        <v>21</v>
      </c>
      <c r="AA5" s="333"/>
      <c r="AB5" s="333" t="s">
        <v>127</v>
      </c>
      <c r="AC5" s="333"/>
      <c r="AD5" s="333" t="s">
        <v>128</v>
      </c>
      <c r="AE5" s="333"/>
      <c r="AF5" s="342"/>
      <c r="AG5" s="346"/>
      <c r="AH5" s="333" t="s">
        <v>130</v>
      </c>
      <c r="AI5" s="333"/>
      <c r="AJ5" s="333" t="s">
        <v>131</v>
      </c>
      <c r="AK5" s="333"/>
      <c r="AL5" s="333" t="s">
        <v>65</v>
      </c>
      <c r="AM5" s="333"/>
      <c r="AN5" s="333" t="s">
        <v>75</v>
      </c>
      <c r="AO5" s="333"/>
      <c r="AP5" s="342"/>
      <c r="AQ5" s="346"/>
      <c r="AR5" s="333" t="s">
        <v>133</v>
      </c>
      <c r="AS5" s="333"/>
      <c r="AT5" s="333" t="s">
        <v>134</v>
      </c>
      <c r="AU5" s="333"/>
      <c r="AV5" s="333" t="s">
        <v>95</v>
      </c>
      <c r="AW5" s="333"/>
      <c r="AX5" s="333" t="s">
        <v>96</v>
      </c>
      <c r="AY5" s="333"/>
      <c r="AZ5" s="342"/>
      <c r="BA5" s="317"/>
      <c r="BB5" s="353" t="s">
        <v>25</v>
      </c>
      <c r="BC5" s="366" t="s">
        <v>29</v>
      </c>
      <c r="BD5" s="335" t="s">
        <v>4</v>
      </c>
      <c r="BE5" s="335" t="s">
        <v>80</v>
      </c>
      <c r="BF5" s="335" t="s">
        <v>81</v>
      </c>
      <c r="BG5" s="326"/>
      <c r="BH5" s="343" t="s">
        <v>137</v>
      </c>
      <c r="BI5" s="343" t="s">
        <v>138</v>
      </c>
      <c r="BJ5" s="343" t="s">
        <v>140</v>
      </c>
      <c r="BK5" s="343" t="s">
        <v>141</v>
      </c>
      <c r="BL5" s="343" t="s">
        <v>143</v>
      </c>
      <c r="BM5" s="343" t="s">
        <v>144</v>
      </c>
      <c r="BN5" s="347"/>
      <c r="BO5" s="317"/>
      <c r="BP5" s="328" t="s">
        <v>31</v>
      </c>
      <c r="BQ5" s="354" t="s">
        <v>22</v>
      </c>
      <c r="BR5" s="326" t="s">
        <v>4</v>
      </c>
      <c r="BS5" s="326" t="s">
        <v>82</v>
      </c>
      <c r="BT5" s="326" t="s">
        <v>149</v>
      </c>
      <c r="BU5" s="328" t="s">
        <v>23</v>
      </c>
      <c r="BV5" s="327" t="s">
        <v>99</v>
      </c>
      <c r="BW5" s="327" t="s">
        <v>98</v>
      </c>
      <c r="BX5" s="355" t="s">
        <v>26</v>
      </c>
      <c r="BY5" s="355" t="s">
        <v>97</v>
      </c>
      <c r="BZ5" s="347"/>
      <c r="CA5" s="317"/>
      <c r="CB5" s="319"/>
      <c r="CC5" s="319"/>
      <c r="CD5" s="319"/>
      <c r="CE5" s="322"/>
      <c r="CF5" s="322"/>
      <c r="CG5" s="337"/>
      <c r="CH5" s="337"/>
      <c r="CI5" s="342"/>
      <c r="CJ5" s="317"/>
      <c r="CK5" s="319"/>
      <c r="CL5" s="319"/>
      <c r="CM5" s="319"/>
      <c r="CN5" s="319"/>
      <c r="CO5" s="319"/>
      <c r="CP5" s="337"/>
      <c r="CQ5" s="337"/>
      <c r="CR5" s="342"/>
      <c r="CS5" s="317"/>
      <c r="CT5" s="319"/>
      <c r="CU5" s="319"/>
      <c r="CV5" s="319"/>
      <c r="CW5" s="319"/>
      <c r="CX5" s="322"/>
      <c r="CY5" s="337"/>
      <c r="CZ5" s="337"/>
      <c r="DA5" s="340"/>
      <c r="DB5" s="342"/>
      <c r="DC5" s="317"/>
      <c r="DD5" s="319"/>
      <c r="DE5" s="319"/>
      <c r="DF5" s="319"/>
      <c r="DG5" s="322"/>
      <c r="DH5" s="319"/>
      <c r="DI5" s="337"/>
      <c r="DJ5" s="337"/>
      <c r="DK5" s="342"/>
      <c r="DL5" s="317"/>
      <c r="DM5" s="327" t="s">
        <v>4</v>
      </c>
      <c r="DN5" s="328" t="s">
        <v>161</v>
      </c>
      <c r="DO5" s="328" t="s">
        <v>162</v>
      </c>
      <c r="DP5" s="328" t="s">
        <v>85</v>
      </c>
      <c r="DQ5" s="327" t="s">
        <v>4</v>
      </c>
      <c r="DR5" s="326" t="s">
        <v>82</v>
      </c>
      <c r="DS5" s="328" t="s">
        <v>163</v>
      </c>
      <c r="DT5" s="326" t="s">
        <v>164</v>
      </c>
      <c r="DU5" s="327" t="s">
        <v>169</v>
      </c>
      <c r="DV5" s="328" t="s">
        <v>172</v>
      </c>
      <c r="DW5" s="328" t="s">
        <v>166</v>
      </c>
      <c r="DX5" s="328" t="s">
        <v>167</v>
      </c>
      <c r="DY5" s="347"/>
      <c r="DZ5" s="368"/>
      <c r="EA5" s="348" t="s">
        <v>173</v>
      </c>
      <c r="EB5" s="348" t="s">
        <v>174</v>
      </c>
      <c r="EC5" s="348" t="s">
        <v>171</v>
      </c>
      <c r="ED5" s="327" t="s">
        <v>86</v>
      </c>
      <c r="EE5" s="327"/>
      <c r="EF5" s="327" t="s">
        <v>84</v>
      </c>
      <c r="EG5" s="327" t="s">
        <v>84</v>
      </c>
      <c r="EH5" s="367"/>
      <c r="EI5" s="346"/>
      <c r="EJ5" s="361"/>
      <c r="EK5" s="361"/>
      <c r="EL5" s="361"/>
      <c r="EM5" s="361"/>
      <c r="EN5" s="361"/>
      <c r="EO5" s="361"/>
      <c r="EP5" s="361"/>
      <c r="EQ5" s="365"/>
    </row>
    <row r="6" spans="1:154" ht="17.149999999999999" customHeight="1" x14ac:dyDescent="0.35">
      <c r="A6" s="359"/>
      <c r="B6" s="357"/>
      <c r="C6" s="357"/>
      <c r="D6" s="356"/>
      <c r="E6" s="357"/>
      <c r="F6" s="357"/>
      <c r="G6" s="356"/>
      <c r="H6" s="357"/>
      <c r="I6" s="357"/>
      <c r="J6" s="360"/>
      <c r="K6" s="359"/>
      <c r="L6" s="357"/>
      <c r="M6" s="357"/>
      <c r="N6" s="357"/>
      <c r="O6" s="357"/>
      <c r="P6" s="357"/>
      <c r="Q6" s="357"/>
      <c r="R6" s="337"/>
      <c r="S6" s="337"/>
      <c r="T6" s="337"/>
      <c r="U6" s="337"/>
      <c r="V6" s="360"/>
      <c r="W6" s="346"/>
      <c r="X6" s="333" t="s">
        <v>5</v>
      </c>
      <c r="Y6" s="333" t="s">
        <v>6</v>
      </c>
      <c r="Z6" s="333" t="s">
        <v>5</v>
      </c>
      <c r="AA6" s="333" t="s">
        <v>6</v>
      </c>
      <c r="AB6" s="333" t="s">
        <v>5</v>
      </c>
      <c r="AC6" s="333" t="s">
        <v>6</v>
      </c>
      <c r="AD6" s="333" t="s">
        <v>5</v>
      </c>
      <c r="AE6" s="333" t="s">
        <v>6</v>
      </c>
      <c r="AF6" s="342"/>
      <c r="AG6" s="346"/>
      <c r="AH6" s="333" t="s">
        <v>5</v>
      </c>
      <c r="AI6" s="333" t="s">
        <v>6</v>
      </c>
      <c r="AJ6" s="333" t="s">
        <v>5</v>
      </c>
      <c r="AK6" s="333" t="s">
        <v>6</v>
      </c>
      <c r="AL6" s="333" t="s">
        <v>5</v>
      </c>
      <c r="AM6" s="333" t="s">
        <v>6</v>
      </c>
      <c r="AN6" s="333" t="s">
        <v>5</v>
      </c>
      <c r="AO6" s="333" t="s">
        <v>6</v>
      </c>
      <c r="AP6" s="342"/>
      <c r="AQ6" s="346"/>
      <c r="AR6" s="333" t="s">
        <v>5</v>
      </c>
      <c r="AS6" s="333" t="s">
        <v>6</v>
      </c>
      <c r="AT6" s="333" t="s">
        <v>5</v>
      </c>
      <c r="AU6" s="333" t="s">
        <v>6</v>
      </c>
      <c r="AV6" s="333" t="s">
        <v>5</v>
      </c>
      <c r="AW6" s="333" t="s">
        <v>6</v>
      </c>
      <c r="AX6" s="333" t="s">
        <v>5</v>
      </c>
      <c r="AY6" s="333" t="s">
        <v>6</v>
      </c>
      <c r="AZ6" s="342"/>
      <c r="BA6" s="317"/>
      <c r="BB6" s="353"/>
      <c r="BC6" s="366"/>
      <c r="BD6" s="335"/>
      <c r="BE6" s="335"/>
      <c r="BF6" s="335"/>
      <c r="BG6" s="326"/>
      <c r="BH6" s="343"/>
      <c r="BI6" s="343"/>
      <c r="BJ6" s="343"/>
      <c r="BK6" s="343"/>
      <c r="BL6" s="343"/>
      <c r="BM6" s="343"/>
      <c r="BN6" s="347"/>
      <c r="BO6" s="317"/>
      <c r="BP6" s="328"/>
      <c r="BQ6" s="354"/>
      <c r="BR6" s="326"/>
      <c r="BS6" s="326"/>
      <c r="BT6" s="326"/>
      <c r="BU6" s="328"/>
      <c r="BV6" s="327"/>
      <c r="BW6" s="327"/>
      <c r="BX6" s="355"/>
      <c r="BY6" s="355"/>
      <c r="BZ6" s="347"/>
      <c r="CA6" s="317"/>
      <c r="CB6" s="319"/>
      <c r="CC6" s="319"/>
      <c r="CD6" s="319"/>
      <c r="CE6" s="322"/>
      <c r="CF6" s="322"/>
      <c r="CG6" s="337"/>
      <c r="CH6" s="337"/>
      <c r="CI6" s="342"/>
      <c r="CJ6" s="317"/>
      <c r="CK6" s="319"/>
      <c r="CL6" s="319"/>
      <c r="CM6" s="319"/>
      <c r="CN6" s="319"/>
      <c r="CO6" s="319"/>
      <c r="CP6" s="337"/>
      <c r="CQ6" s="337"/>
      <c r="CR6" s="342"/>
      <c r="CS6" s="317"/>
      <c r="CT6" s="319"/>
      <c r="CU6" s="319"/>
      <c r="CV6" s="319"/>
      <c r="CW6" s="319"/>
      <c r="CX6" s="322"/>
      <c r="CY6" s="337"/>
      <c r="CZ6" s="337"/>
      <c r="DA6" s="340"/>
      <c r="DB6" s="342"/>
      <c r="DC6" s="317"/>
      <c r="DD6" s="319"/>
      <c r="DE6" s="319"/>
      <c r="DF6" s="319"/>
      <c r="DG6" s="322"/>
      <c r="DH6" s="319"/>
      <c r="DI6" s="337"/>
      <c r="DJ6" s="337"/>
      <c r="DK6" s="342"/>
      <c r="DL6" s="317"/>
      <c r="DM6" s="327"/>
      <c r="DN6" s="328"/>
      <c r="DO6" s="328"/>
      <c r="DP6" s="328"/>
      <c r="DQ6" s="327"/>
      <c r="DR6" s="326"/>
      <c r="DS6" s="328"/>
      <c r="DT6" s="326"/>
      <c r="DU6" s="327"/>
      <c r="DV6" s="328"/>
      <c r="DW6" s="328"/>
      <c r="DX6" s="328"/>
      <c r="DY6" s="347"/>
      <c r="DZ6" s="368"/>
      <c r="EA6" s="348"/>
      <c r="EB6" s="348"/>
      <c r="EC6" s="348"/>
      <c r="ED6" s="327" t="s">
        <v>102</v>
      </c>
      <c r="EE6" s="327" t="s">
        <v>103</v>
      </c>
      <c r="EF6" s="327"/>
      <c r="EG6" s="327"/>
      <c r="EH6" s="367"/>
      <c r="EI6" s="346"/>
      <c r="EJ6" s="361"/>
      <c r="EK6" s="361"/>
      <c r="EL6" s="361"/>
      <c r="EM6" s="361"/>
      <c r="EN6" s="361"/>
      <c r="EO6" s="361"/>
      <c r="EP6" s="361"/>
      <c r="EQ6" s="365"/>
    </row>
    <row r="7" spans="1:154" ht="17.149999999999999" customHeight="1" x14ac:dyDescent="0.35">
      <c r="A7" s="359"/>
      <c r="B7" s="357"/>
      <c r="C7" s="357"/>
      <c r="D7" s="356"/>
      <c r="E7" s="357"/>
      <c r="F7" s="357"/>
      <c r="G7" s="356"/>
      <c r="H7" s="357"/>
      <c r="I7" s="357"/>
      <c r="J7" s="360"/>
      <c r="K7" s="359"/>
      <c r="L7" s="357"/>
      <c r="M7" s="357"/>
      <c r="N7" s="357"/>
      <c r="O7" s="357"/>
      <c r="P7" s="357"/>
      <c r="Q7" s="357"/>
      <c r="R7" s="338"/>
      <c r="S7" s="338"/>
      <c r="T7" s="338"/>
      <c r="U7" s="338"/>
      <c r="V7" s="360"/>
      <c r="W7" s="346"/>
      <c r="X7" s="333"/>
      <c r="Y7" s="333"/>
      <c r="Z7" s="333"/>
      <c r="AA7" s="333"/>
      <c r="AB7" s="333"/>
      <c r="AC7" s="333"/>
      <c r="AD7" s="333"/>
      <c r="AE7" s="333"/>
      <c r="AF7" s="342"/>
      <c r="AG7" s="346"/>
      <c r="AH7" s="333"/>
      <c r="AI7" s="333"/>
      <c r="AJ7" s="333"/>
      <c r="AK7" s="333"/>
      <c r="AL7" s="333"/>
      <c r="AM7" s="333"/>
      <c r="AN7" s="333"/>
      <c r="AO7" s="333"/>
      <c r="AP7" s="342"/>
      <c r="AQ7" s="346"/>
      <c r="AR7" s="333"/>
      <c r="AS7" s="333"/>
      <c r="AT7" s="333"/>
      <c r="AU7" s="333"/>
      <c r="AV7" s="333"/>
      <c r="AW7" s="333"/>
      <c r="AX7" s="333"/>
      <c r="AY7" s="333"/>
      <c r="AZ7" s="342"/>
      <c r="BA7" s="317"/>
      <c r="BB7" s="353"/>
      <c r="BC7" s="366"/>
      <c r="BD7" s="335"/>
      <c r="BE7" s="335"/>
      <c r="BF7" s="335"/>
      <c r="BG7" s="326"/>
      <c r="BH7" s="343"/>
      <c r="BI7" s="343"/>
      <c r="BJ7" s="343"/>
      <c r="BK7" s="343"/>
      <c r="BL7" s="343"/>
      <c r="BM7" s="343"/>
      <c r="BN7" s="347"/>
      <c r="BO7" s="317"/>
      <c r="BP7" s="328"/>
      <c r="BQ7" s="354"/>
      <c r="BR7" s="326"/>
      <c r="BS7" s="326"/>
      <c r="BT7" s="326"/>
      <c r="BU7" s="328"/>
      <c r="BV7" s="327"/>
      <c r="BW7" s="327"/>
      <c r="BX7" s="355"/>
      <c r="BY7" s="355"/>
      <c r="BZ7" s="347"/>
      <c r="CA7" s="317"/>
      <c r="CB7" s="320"/>
      <c r="CC7" s="320"/>
      <c r="CD7" s="320"/>
      <c r="CE7" s="323"/>
      <c r="CF7" s="323"/>
      <c r="CG7" s="338"/>
      <c r="CH7" s="338"/>
      <c r="CI7" s="342"/>
      <c r="CJ7" s="317"/>
      <c r="CK7" s="320"/>
      <c r="CL7" s="320"/>
      <c r="CM7" s="320"/>
      <c r="CN7" s="320"/>
      <c r="CO7" s="320"/>
      <c r="CP7" s="338"/>
      <c r="CQ7" s="338"/>
      <c r="CR7" s="342"/>
      <c r="CS7" s="317"/>
      <c r="CT7" s="320"/>
      <c r="CU7" s="320"/>
      <c r="CV7" s="320"/>
      <c r="CW7" s="320"/>
      <c r="CX7" s="323"/>
      <c r="CY7" s="338"/>
      <c r="CZ7" s="338"/>
      <c r="DA7" s="341"/>
      <c r="DB7" s="342"/>
      <c r="DC7" s="317"/>
      <c r="DD7" s="320"/>
      <c r="DE7" s="320"/>
      <c r="DF7" s="320"/>
      <c r="DG7" s="323"/>
      <c r="DH7" s="320"/>
      <c r="DI7" s="338"/>
      <c r="DJ7" s="338"/>
      <c r="DK7" s="342"/>
      <c r="DL7" s="317"/>
      <c r="DM7" s="327"/>
      <c r="DN7" s="328"/>
      <c r="DO7" s="328"/>
      <c r="DP7" s="328"/>
      <c r="DQ7" s="327"/>
      <c r="DR7" s="326"/>
      <c r="DS7" s="328"/>
      <c r="DT7" s="326"/>
      <c r="DU7" s="327"/>
      <c r="DV7" s="328"/>
      <c r="DW7" s="328"/>
      <c r="DX7" s="328"/>
      <c r="DY7" s="347"/>
      <c r="DZ7" s="368"/>
      <c r="EA7" s="348"/>
      <c r="EB7" s="348"/>
      <c r="EC7" s="348"/>
      <c r="ED7" s="327"/>
      <c r="EE7" s="327"/>
      <c r="EF7" s="327"/>
      <c r="EG7" s="327"/>
      <c r="EH7" s="367"/>
      <c r="EI7" s="346"/>
      <c r="EJ7" s="361"/>
      <c r="EK7" s="361"/>
      <c r="EL7" s="361"/>
      <c r="EM7" s="361"/>
      <c r="EN7" s="361"/>
      <c r="EO7" s="361"/>
      <c r="EP7" s="361"/>
      <c r="EQ7" s="365"/>
    </row>
    <row r="8" spans="1:154" s="3" customFormat="1" ht="17.149999999999999" customHeight="1" x14ac:dyDescent="0.25">
      <c r="A8" s="56">
        <v>1</v>
      </c>
      <c r="B8" s="57">
        <v>893684</v>
      </c>
      <c r="C8" s="58">
        <f>IF(B9="","",IF(B9=B8,"",(B9-B8)))</f>
        <v>196</v>
      </c>
      <c r="D8" s="167">
        <v>9.41</v>
      </c>
      <c r="E8" s="59">
        <v>798056</v>
      </c>
      <c r="F8" s="58">
        <f>IF(E9="","",IF(E9=E8,"",(E9-E8)))</f>
        <v>217</v>
      </c>
      <c r="G8" s="168">
        <v>1.93</v>
      </c>
      <c r="H8" s="57">
        <v>754952</v>
      </c>
      <c r="I8" s="58">
        <f t="shared" ref="I8:I37" si="0">IF(H9="","",IF(H9=H8,"",(H9-H8)))</f>
        <v>179</v>
      </c>
      <c r="J8" s="60" t="s">
        <v>194</v>
      </c>
      <c r="K8" s="56">
        <v>1</v>
      </c>
      <c r="L8" s="57">
        <v>69981</v>
      </c>
      <c r="M8" s="58" t="str">
        <f>IF(L9="","",IF(L9=L8,"",(L9-L8)))</f>
        <v/>
      </c>
      <c r="N8" s="59">
        <v>177846</v>
      </c>
      <c r="O8" s="58">
        <f>IF(N9="","",IF(N9=N8,"",(N9-N8)))</f>
        <v>31</v>
      </c>
      <c r="P8" s="57">
        <v>194749</v>
      </c>
      <c r="Q8" s="58" t="str">
        <f t="shared" ref="Q8:Q37" si="1">IF(P9="","",IF(P9=P8,"",(P9-P8)))</f>
        <v/>
      </c>
      <c r="R8" s="57">
        <v>678</v>
      </c>
      <c r="S8" s="57">
        <v>686</v>
      </c>
      <c r="T8" s="170">
        <v>142</v>
      </c>
      <c r="U8" s="57">
        <v>139</v>
      </c>
      <c r="V8" s="58" t="str">
        <f>IF(J8="","",J8)</f>
        <v>ME</v>
      </c>
      <c r="W8" s="56">
        <v>1</v>
      </c>
      <c r="X8" s="63">
        <v>11809.92</v>
      </c>
      <c r="Y8" s="130">
        <f>IF(X9="","",IF(X9=X8,"",X9-X8))</f>
        <v>2.5399999999990541</v>
      </c>
      <c r="Z8" s="63">
        <v>12575.08</v>
      </c>
      <c r="AA8" s="130">
        <f>IF(Z9="","",IF(Z9=Z8,"",Z9-Z8))</f>
        <v>3.0300000000006548</v>
      </c>
      <c r="AB8" s="63">
        <v>9916.27</v>
      </c>
      <c r="AC8" s="130">
        <f>IF(AB9="","",IF(AB9=AB8,"",AB9-AB8))</f>
        <v>2.0299999999988358</v>
      </c>
      <c r="AD8" s="63">
        <v>10013.049999999999</v>
      </c>
      <c r="AE8" s="130">
        <f t="shared" ref="AE8:AE37" si="2">IF(AD9="","",IF(AD9=AD8,"",AD9-AD8))</f>
        <v>2.7900000000008731</v>
      </c>
      <c r="AF8" s="125" t="str">
        <f>IF(J8="","",J8)</f>
        <v>ME</v>
      </c>
      <c r="AG8" s="56">
        <v>1</v>
      </c>
      <c r="AH8" s="63">
        <v>47210.75</v>
      </c>
      <c r="AI8" s="130">
        <f>IF(AH9="","",IF(AH9=AH8,"",AH9-AH8))</f>
        <v>16.819999999999709</v>
      </c>
      <c r="AJ8" s="63">
        <v>49366.2</v>
      </c>
      <c r="AK8" s="130">
        <f>IF(AJ9="","",IF(AJ9=AJ8,"",AJ9-AJ8))</f>
        <v>7.1700000000055297</v>
      </c>
      <c r="AL8" s="63">
        <v>587.1</v>
      </c>
      <c r="AM8" s="130" t="str">
        <f>IF(AL9="","",IF(AL9=AL8,"",AL9-AL8))</f>
        <v/>
      </c>
      <c r="AN8" s="63">
        <v>548.57000000000005</v>
      </c>
      <c r="AO8" s="130" t="str">
        <f t="shared" ref="AO8:AO37" si="3">IF(AN9="","",IF(AN9=AN8,"",AN9-AN8))</f>
        <v/>
      </c>
      <c r="AP8" s="125" t="str">
        <f>IF(J8="","",J8)</f>
        <v>ME</v>
      </c>
      <c r="AQ8" s="56">
        <v>1</v>
      </c>
      <c r="AR8" s="63">
        <v>6798.05</v>
      </c>
      <c r="AS8" s="130">
        <f>IF(AR9="","",IF(AR9=AR8,"",AR9-AR8))</f>
        <v>1.2600000000002183</v>
      </c>
      <c r="AT8" s="63">
        <v>7564.49</v>
      </c>
      <c r="AU8" s="130">
        <f>IF(AT9="","",IF(AT9=AT8,"",AT9-AT8))</f>
        <v>1.6100000000005821</v>
      </c>
      <c r="AV8" s="63">
        <v>256.56</v>
      </c>
      <c r="AW8" s="130" t="str">
        <f>IF(AV9="","",IF(AV9=AV8,"",AV9-AV8))</f>
        <v/>
      </c>
      <c r="AX8" s="63">
        <v>244.24</v>
      </c>
      <c r="AY8" s="130" t="str">
        <f t="shared" ref="AY8:AY37" si="4">IF(AX9="","",IF(AX9=AX8,"",AX9-AX8))</f>
        <v/>
      </c>
      <c r="AZ8" s="125" t="str">
        <f>IF(J8="","",J8)</f>
        <v>ME</v>
      </c>
      <c r="BA8" s="56">
        <v>1</v>
      </c>
      <c r="BB8" s="63"/>
      <c r="BC8" s="62"/>
      <c r="BD8" s="61"/>
      <c r="BE8" s="61"/>
      <c r="BF8" s="61"/>
      <c r="BG8" s="61"/>
      <c r="BH8" s="64"/>
      <c r="BI8" s="64"/>
      <c r="BJ8" s="64"/>
      <c r="BK8" s="64"/>
      <c r="BL8" s="64"/>
      <c r="BM8" s="64"/>
      <c r="BN8" s="65" t="str">
        <f>IF(J8="","",J8)</f>
        <v>ME</v>
      </c>
      <c r="BO8" s="56">
        <v>1</v>
      </c>
      <c r="BP8" s="64">
        <v>8.8999999999999996E-2</v>
      </c>
      <c r="BQ8" s="62"/>
      <c r="BR8" s="61"/>
      <c r="BS8" s="61"/>
      <c r="BT8" s="61"/>
      <c r="BU8" s="64"/>
      <c r="BV8" s="63">
        <v>1.17</v>
      </c>
      <c r="BW8" s="63">
        <v>0.93</v>
      </c>
      <c r="BX8" s="66" t="s">
        <v>245</v>
      </c>
      <c r="BY8" s="172" t="s">
        <v>246</v>
      </c>
      <c r="BZ8" s="67" t="str">
        <f>IF(J8="","",J8)</f>
        <v>ME</v>
      </c>
      <c r="CA8" s="56">
        <v>1</v>
      </c>
      <c r="CB8" s="61">
        <v>91.6</v>
      </c>
      <c r="CC8" s="61"/>
      <c r="CD8" s="68">
        <f>IF(CB9="","",IF(CC8="",IF(CB8=CB9,"",(CB8-CB9)),IF(CC8=CB9,"",(CC8-CB9))))</f>
        <v>1.6999999999999886</v>
      </c>
      <c r="CE8" s="69">
        <f>IF(CD8="","",(CD8*(0.785*77*77)/1000))</f>
        <v>7.9122504999999475</v>
      </c>
      <c r="CF8" s="69">
        <f>IF(CE8="","",(CE8*0.12*1000)/I8)</f>
        <v>5.3043020111731485</v>
      </c>
      <c r="CG8" s="62">
        <v>66</v>
      </c>
      <c r="CH8" s="62">
        <v>100</v>
      </c>
      <c r="CI8" s="65" t="str">
        <f>IF(J8="","",J8)</f>
        <v>ME</v>
      </c>
      <c r="CJ8" s="56">
        <v>1</v>
      </c>
      <c r="CK8" s="61">
        <v>90.7</v>
      </c>
      <c r="CL8" s="61"/>
      <c r="CM8" s="68">
        <f>IF(CK9="","",IF(CL8="",IF(CK8=CK9,"",(CK8-CK9)),IF(CL8=CK9,"",(CL8-CK9))))</f>
        <v>2.5</v>
      </c>
      <c r="CN8" s="68">
        <f>IF(CM8="","",(CM8*(0.785*77*77)/1000))</f>
        <v>11.6356625</v>
      </c>
      <c r="CO8" s="68">
        <f>IF(CN8="","",(CN8*0.33*1.205*1000)/C8)</f>
        <v>23.606740781250007</v>
      </c>
      <c r="CP8" s="62">
        <v>52</v>
      </c>
      <c r="CQ8" s="62">
        <v>83</v>
      </c>
      <c r="CR8" s="65" t="str">
        <f>IF(J8="","",J8)</f>
        <v>ME</v>
      </c>
      <c r="CS8" s="56">
        <v>1</v>
      </c>
      <c r="CT8" s="61">
        <v>103.1</v>
      </c>
      <c r="CU8" s="61"/>
      <c r="CV8" s="68">
        <f>IF(CT9="","",IF(CU8="",IF(CT8=CT9,"",(CT8-CT9)),IF(CU8=CT9,"",(CU8-CT9))))</f>
        <v>2.0999999999999943</v>
      </c>
      <c r="CW8" s="68">
        <f>IF(CV8="","",(CV8*(0.785*92*92)/1000))</f>
        <v>13.952903999999963</v>
      </c>
      <c r="CX8" s="69">
        <f>IF(CW8="","",(CW8)/C8)</f>
        <v>7.1188285714285524E-2</v>
      </c>
      <c r="CY8" s="66" t="s">
        <v>240</v>
      </c>
      <c r="CZ8" s="66" t="s">
        <v>241</v>
      </c>
      <c r="DA8" s="66"/>
      <c r="DB8" s="65" t="str">
        <f>IF(J8="","",J8)</f>
        <v>ME</v>
      </c>
      <c r="DC8" s="56">
        <v>1</v>
      </c>
      <c r="DD8" s="61">
        <v>88.6</v>
      </c>
      <c r="DE8" s="61">
        <v>103.6</v>
      </c>
      <c r="DF8" s="68">
        <f>IF(DD9="","",IF(DE8="",IF(DD8=DD9,"",(DD8-DD9)),IF(DE8=DD9,"",(DE8-DD9))))</f>
        <v>19.199999999999989</v>
      </c>
      <c r="DG8" s="69">
        <f>IF(DF8="","",(DF8*(0.785*92*92)*0.00812/1000))</f>
        <v>1.0358635929599993</v>
      </c>
      <c r="DH8" s="68">
        <f>IF(DG8="","",(DG8*1000)/C8)</f>
        <v>5.2850183314285681</v>
      </c>
      <c r="DI8" s="62">
        <v>90</v>
      </c>
      <c r="DJ8" s="62">
        <v>54</v>
      </c>
      <c r="DK8" s="65" t="str">
        <f>IF(J8="","",J8)</f>
        <v>ME</v>
      </c>
      <c r="DL8" s="56">
        <v>1</v>
      </c>
      <c r="DM8" s="63">
        <v>7.9</v>
      </c>
      <c r="DN8" s="64">
        <v>2.7E-2</v>
      </c>
      <c r="DO8" s="64">
        <v>2.8000000000000001E-2</v>
      </c>
      <c r="DP8" s="64">
        <v>6.7000000000000004E-2</v>
      </c>
      <c r="DQ8" s="63">
        <v>6.93</v>
      </c>
      <c r="DR8" s="61">
        <v>17.2</v>
      </c>
      <c r="DS8" s="64">
        <v>1.135</v>
      </c>
      <c r="DT8" s="61">
        <v>84.5</v>
      </c>
      <c r="DU8" s="63">
        <v>4.26</v>
      </c>
      <c r="DV8" s="64">
        <v>0.71699999999999997</v>
      </c>
      <c r="DW8" s="64">
        <v>0.70799999999999996</v>
      </c>
      <c r="DX8" s="66" t="s">
        <v>247</v>
      </c>
      <c r="DY8" s="65" t="str">
        <f>IF(J8="","",J8)</f>
        <v>ME</v>
      </c>
      <c r="DZ8" s="128">
        <v>1</v>
      </c>
      <c r="EA8" s="173">
        <f>IF(C8="","",C8/1496)</f>
        <v>0.13101604278074866</v>
      </c>
      <c r="EB8" s="173">
        <f>IF(F8="","",IF(Q8="",F8/1360,(F8+Q8)/1360))</f>
        <v>0.15955882352941175</v>
      </c>
      <c r="EC8" s="173">
        <f>IF(I8="","",IF(C8="","",I8/C8))</f>
        <v>0.91326530612244894</v>
      </c>
      <c r="ED8" s="63">
        <v>1.07</v>
      </c>
      <c r="EE8" s="63">
        <v>1.1599999999999999</v>
      </c>
      <c r="EF8" s="63">
        <v>0.04</v>
      </c>
      <c r="EG8" s="63">
        <v>7.0000000000000007E-2</v>
      </c>
      <c r="EH8" s="127" t="str">
        <f t="shared" ref="EH8:EH38" si="5">IF(J8="","",J8)</f>
        <v>ME</v>
      </c>
      <c r="EI8" s="56">
        <v>1</v>
      </c>
      <c r="EJ8" s="334"/>
      <c r="EK8" s="334"/>
      <c r="EL8" s="334"/>
      <c r="EM8" s="334"/>
      <c r="EN8" s="334"/>
      <c r="EO8" s="334"/>
      <c r="EP8" s="334"/>
      <c r="EQ8" s="65" t="str">
        <f>IF(J8="","",J8)</f>
        <v>ME</v>
      </c>
      <c r="ER8" s="20"/>
      <c r="ES8" s="20"/>
      <c r="ET8" s="20"/>
      <c r="EU8" s="20"/>
      <c r="EV8" s="20"/>
      <c r="EW8" s="20"/>
      <c r="EX8" s="20"/>
    </row>
    <row r="9" spans="1:154" s="3" customFormat="1" ht="17.149999999999999" customHeight="1" x14ac:dyDescent="0.25">
      <c r="A9" s="56">
        <v>2</v>
      </c>
      <c r="B9" s="57">
        <v>893880</v>
      </c>
      <c r="C9" s="58">
        <f t="shared" ref="C9:C37" si="6">IF(B10="","",IF(B10=B9,"",(B10-B9)))</f>
        <v>287</v>
      </c>
      <c r="D9" s="167">
        <v>9.5</v>
      </c>
      <c r="E9" s="57">
        <v>798273</v>
      </c>
      <c r="F9" s="58">
        <f t="shared" ref="F9:F37" si="7">IF(E10="","",IF(E10=E9,"",(E10-E9)))</f>
        <v>231</v>
      </c>
      <c r="G9" s="168">
        <v>2.88</v>
      </c>
      <c r="H9" s="57">
        <v>755131</v>
      </c>
      <c r="I9" s="58">
        <f t="shared" si="0"/>
        <v>217</v>
      </c>
      <c r="J9" s="60" t="s">
        <v>194</v>
      </c>
      <c r="K9" s="56">
        <v>2</v>
      </c>
      <c r="L9" s="57">
        <v>69981</v>
      </c>
      <c r="M9" s="58">
        <f t="shared" ref="M9:M37" si="8">IF(L10="","",IF(L10=L9,"",(L10-L9)))</f>
        <v>48</v>
      </c>
      <c r="N9" s="57">
        <v>177877</v>
      </c>
      <c r="O9" s="58">
        <f t="shared" ref="O9:O37" si="9">IF(N10="","",IF(N10=N9,"",(N10-N9)))</f>
        <v>48</v>
      </c>
      <c r="P9" s="57">
        <v>194749</v>
      </c>
      <c r="Q9" s="58" t="str">
        <f t="shared" si="1"/>
        <v/>
      </c>
      <c r="R9" s="57">
        <v>678</v>
      </c>
      <c r="S9" s="57">
        <v>686</v>
      </c>
      <c r="T9" s="170">
        <v>142</v>
      </c>
      <c r="U9" s="57">
        <v>139</v>
      </c>
      <c r="V9" s="58" t="str">
        <f t="shared" ref="V9:V38" si="10">IF(J9="","",J9)</f>
        <v>ME</v>
      </c>
      <c r="W9" s="56">
        <v>2</v>
      </c>
      <c r="X9" s="63">
        <v>11812.46</v>
      </c>
      <c r="Y9" s="130">
        <f t="shared" ref="Y9:Y37" si="11">IF(X10="","",IF(X10=X9,"",X10-X9))</f>
        <v>4.2200000000011642</v>
      </c>
      <c r="Z9" s="63">
        <v>12578.11</v>
      </c>
      <c r="AA9" s="130">
        <f t="shared" ref="AA9:AA37" si="12">IF(Z10="","",IF(Z10=Z9,"",Z10-Z9))</f>
        <v>4.4200000000000728</v>
      </c>
      <c r="AB9" s="63">
        <v>9918.2999999999993</v>
      </c>
      <c r="AC9" s="130">
        <f t="shared" ref="AC9:AC37" si="13">IF(AB10="","",IF(AB10=AB9,"",AB10-AB9))</f>
        <v>2.7000000000007276</v>
      </c>
      <c r="AD9" s="63">
        <v>10015.84</v>
      </c>
      <c r="AE9" s="130">
        <f t="shared" si="2"/>
        <v>3.0900000000001455</v>
      </c>
      <c r="AF9" s="125" t="str">
        <f t="shared" ref="AF9:AF38" si="14">IF(J9="","",J9)</f>
        <v>ME</v>
      </c>
      <c r="AG9" s="56">
        <v>2</v>
      </c>
      <c r="AH9" s="63">
        <v>47227.57</v>
      </c>
      <c r="AI9" s="130">
        <f t="shared" ref="AI9:AI37" si="15">IF(AH10="","",IF(AH10=AH9,"",AH10-AH9))</f>
        <v>6.2399999999979627</v>
      </c>
      <c r="AJ9" s="63">
        <v>49373.37</v>
      </c>
      <c r="AK9" s="130">
        <f t="shared" ref="AK9:AK37" si="16">IF(AJ10="","",IF(AJ10=AJ9,"",AJ10-AJ9))</f>
        <v>16.82999999999447</v>
      </c>
      <c r="AL9" s="63">
        <v>587.1</v>
      </c>
      <c r="AM9" s="130" t="str">
        <f t="shared" ref="AM9:AM37" si="17">IF(AL10="","",IF(AL10=AL9,"",AL10-AL9))</f>
        <v/>
      </c>
      <c r="AN9" s="63">
        <v>548.57000000000005</v>
      </c>
      <c r="AO9" s="130">
        <f t="shared" si="3"/>
        <v>3.999999999996362E-2</v>
      </c>
      <c r="AP9" s="125" t="str">
        <f t="shared" ref="AP9:AP38" si="18">IF(J9="","",J9)</f>
        <v>ME</v>
      </c>
      <c r="AQ9" s="56">
        <v>2</v>
      </c>
      <c r="AR9" s="63">
        <v>6799.31</v>
      </c>
      <c r="AS9" s="130">
        <f t="shared" ref="AS9:AS37" si="19">IF(AR10="","",IF(AR10=AR9,"",AR10-AR9))</f>
        <v>1.3499999999994543</v>
      </c>
      <c r="AT9" s="63">
        <v>7566.1</v>
      </c>
      <c r="AU9" s="130">
        <f t="shared" ref="AU9:AU37" si="20">IF(AT10="","",IF(AT10=AT9,"",AT10-AT9))</f>
        <v>3.2399999999997817</v>
      </c>
      <c r="AV9" s="63">
        <v>256.56</v>
      </c>
      <c r="AW9" s="130">
        <f t="shared" ref="AW9:AW37" si="21">IF(AV10="","",IF(AV10=AV9,"",AV10-AV9))</f>
        <v>0.33999999999997499</v>
      </c>
      <c r="AX9" s="63">
        <v>244.24</v>
      </c>
      <c r="AY9" s="130" t="str">
        <f t="shared" si="4"/>
        <v/>
      </c>
      <c r="AZ9" s="125" t="str">
        <f t="shared" ref="AZ9:AZ38" si="22">IF(J9="","",J9)</f>
        <v>ME</v>
      </c>
      <c r="BA9" s="56">
        <v>2</v>
      </c>
      <c r="BB9" s="63"/>
      <c r="BC9" s="62"/>
      <c r="BD9" s="61"/>
      <c r="BE9" s="61"/>
      <c r="BF9" s="61"/>
      <c r="BG9" s="61"/>
      <c r="BH9" s="64"/>
      <c r="BI9" s="64"/>
      <c r="BJ9" s="64"/>
      <c r="BK9" s="64"/>
      <c r="BL9" s="64"/>
      <c r="BM9" s="64"/>
      <c r="BN9" s="65" t="str">
        <f t="shared" ref="BN9:BN38" si="23">IF(J9="","",J9)</f>
        <v>ME</v>
      </c>
      <c r="BO9" s="56">
        <v>2</v>
      </c>
      <c r="BP9" s="64">
        <v>0.09</v>
      </c>
      <c r="BQ9" s="62"/>
      <c r="BR9" s="61"/>
      <c r="BS9" s="61"/>
      <c r="BT9" s="61"/>
      <c r="BU9" s="64"/>
      <c r="BV9" s="63">
        <v>1.1200000000000001</v>
      </c>
      <c r="BW9" s="63">
        <v>0.83</v>
      </c>
      <c r="BX9" s="66" t="s">
        <v>285</v>
      </c>
      <c r="BY9" s="172" t="s">
        <v>246</v>
      </c>
      <c r="BZ9" s="67" t="str">
        <f t="shared" ref="BZ9:BZ38" si="24">IF(J9="","",J9)</f>
        <v>ME</v>
      </c>
      <c r="CA9" s="56">
        <v>2</v>
      </c>
      <c r="CB9" s="61">
        <v>89.9</v>
      </c>
      <c r="CC9" s="61"/>
      <c r="CD9" s="68">
        <f t="shared" ref="CD9:CD37" si="25">IF(CB10="","",IF(CC9="",IF(CB9=CB10,"",(CB9-CB10)),IF(CC9=CB10,"",(CC9-CB10))))</f>
        <v>2.1000000000000085</v>
      </c>
      <c r="CE9" s="69">
        <f t="shared" ref="CE9:CE38" si="26">IF(CD9="","",(CD9*(0.785*77*77)/1000))</f>
        <v>9.7739565000000397</v>
      </c>
      <c r="CF9" s="69">
        <f t="shared" ref="CF9:CF38" si="27">IF(CE9="","",(CE9*0.12*1000)/I9)</f>
        <v>5.404952903225829</v>
      </c>
      <c r="CG9" s="62">
        <v>66</v>
      </c>
      <c r="CH9" s="62">
        <v>100</v>
      </c>
      <c r="CI9" s="65" t="str">
        <f t="shared" ref="CI9:CI38" si="28">IF(J9="","",J9)</f>
        <v>ME</v>
      </c>
      <c r="CJ9" s="56">
        <v>2</v>
      </c>
      <c r="CK9" s="61">
        <v>88.2</v>
      </c>
      <c r="CL9" s="61"/>
      <c r="CM9" s="68">
        <f t="shared" ref="CM9:CM37" si="29">IF(CK10="","",IF(CL9="",IF(CK9=CK10,"",(CK9-CK10)),IF(CL9=CK10,"",(CL9-CK10))))</f>
        <v>3.6000000000000085</v>
      </c>
      <c r="CN9" s="68">
        <f t="shared" ref="CN9:CN38" si="30">IF(CM9="","",(CM9*(0.785*77*77)/1000))</f>
        <v>16.75535400000004</v>
      </c>
      <c r="CO9" s="68">
        <f t="shared" ref="CO9:CO38" si="31">IF(CN9="","",(CN9*0.33*1.205*1000)/C9)</f>
        <v>23.215214348780545</v>
      </c>
      <c r="CP9" s="62">
        <v>53</v>
      </c>
      <c r="CQ9" s="62">
        <v>83</v>
      </c>
      <c r="CR9" s="65" t="str">
        <f t="shared" ref="CR9:CR38" si="32">IF(J9="","",J9)</f>
        <v>ME</v>
      </c>
      <c r="CS9" s="56">
        <v>2</v>
      </c>
      <c r="CT9" s="61">
        <v>101</v>
      </c>
      <c r="CU9" s="61"/>
      <c r="CV9" s="68">
        <f t="shared" ref="CV9:CV37" si="33">IF(CT10="","",IF(CU9="",IF(CT9=CT10,"",(CT9-CT10)),IF(CU9=CT10,"",(CU9-CT10))))</f>
        <v>3.2999999999999972</v>
      </c>
      <c r="CW9" s="68">
        <f t="shared" ref="CW9:CW38" si="34">IF(CV9="","",(CV9*(0.785*92*92)/1000))</f>
        <v>21.925991999999979</v>
      </c>
      <c r="CX9" s="69">
        <f t="shared" ref="CX9:CX38" si="35">IF(CW9="","",(CW9)/C9)</f>
        <v>7.6397184668989482E-2</v>
      </c>
      <c r="CY9" s="66" t="s">
        <v>240</v>
      </c>
      <c r="CZ9" s="66" t="s">
        <v>241</v>
      </c>
      <c r="DA9" s="66"/>
      <c r="DB9" s="65" t="str">
        <f t="shared" ref="DB9:DB38" si="36">IF(J9="","",J9)</f>
        <v>ME</v>
      </c>
      <c r="DC9" s="56">
        <v>2</v>
      </c>
      <c r="DD9" s="61">
        <v>84.4</v>
      </c>
      <c r="DE9" s="61">
        <v>103.4</v>
      </c>
      <c r="DF9" s="68">
        <f t="shared" ref="DF9:DF37" si="37">IF(DD10="","",IF(DE9="",IF(DD9=DD10,"",(DD9-DD10)),IF(DE9=DD10,"",(DE9-DD10))))</f>
        <v>31.5</v>
      </c>
      <c r="DG9" s="69">
        <f t="shared" ref="DG9:DG38" si="38">IF(DF9="","",(DF9*(0.785*92*92)*0.00812/1000))</f>
        <v>1.6994637072000001</v>
      </c>
      <c r="DH9" s="68">
        <f t="shared" ref="DH9:DH38" si="39">IF(DG9="","",(DG9*1000)/C9)</f>
        <v>5.9214763317073169</v>
      </c>
      <c r="DI9" s="62">
        <v>90</v>
      </c>
      <c r="DJ9" s="62">
        <v>54</v>
      </c>
      <c r="DK9" s="65" t="str">
        <f t="shared" ref="DK9:DK38" si="40">IF(J9="","",J9)</f>
        <v>ME</v>
      </c>
      <c r="DL9" s="56">
        <v>2</v>
      </c>
      <c r="DM9" s="63">
        <v>7.6</v>
      </c>
      <c r="DN9" s="64">
        <v>2.5999999999999999E-2</v>
      </c>
      <c r="DO9" s="64">
        <v>2.8000000000000001E-2</v>
      </c>
      <c r="DP9" s="64">
        <v>6.4000000000000001E-2</v>
      </c>
      <c r="DQ9" s="63">
        <v>6.91</v>
      </c>
      <c r="DR9" s="61">
        <v>17.3</v>
      </c>
      <c r="DS9" s="64">
        <v>1.1399999999999999</v>
      </c>
      <c r="DT9" s="61">
        <v>83.5</v>
      </c>
      <c r="DU9" s="63">
        <v>4.28</v>
      </c>
      <c r="DV9" s="64">
        <v>0.69499999999999995</v>
      </c>
      <c r="DW9" s="64">
        <v>1.2</v>
      </c>
      <c r="DX9" s="66" t="s">
        <v>242</v>
      </c>
      <c r="DY9" s="65" t="str">
        <f t="shared" ref="DY9:DY38" si="41">IF(J9="","",J9)</f>
        <v>ME</v>
      </c>
      <c r="DZ9" s="128">
        <v>2</v>
      </c>
      <c r="EA9" s="173">
        <f t="shared" ref="EA9:EA38" si="42">IF(C9="","",C9/1496)</f>
        <v>0.19184491978609625</v>
      </c>
      <c r="EB9" s="173">
        <f t="shared" ref="EB9:EB38" si="43">IF(F9="","",IF(Q9="",F9/1360,(F9+Q9)/1360))</f>
        <v>0.1698529411764706</v>
      </c>
      <c r="EC9" s="173">
        <f t="shared" ref="EC9:EC38" si="44">IF(I9="","",IF(C9="","",I9/C9))</f>
        <v>0.75609756097560976</v>
      </c>
      <c r="ED9" s="284">
        <v>0.56999999999999995</v>
      </c>
      <c r="EE9" s="63">
        <v>1.1399999999999999</v>
      </c>
      <c r="EF9" s="63">
        <v>0.04</v>
      </c>
      <c r="EG9" s="63">
        <v>0.05</v>
      </c>
      <c r="EH9" s="127" t="str">
        <f t="shared" si="5"/>
        <v>ME</v>
      </c>
      <c r="EI9" s="56">
        <v>2</v>
      </c>
      <c r="EJ9" s="334" t="s">
        <v>382</v>
      </c>
      <c r="EK9" s="334"/>
      <c r="EL9" s="334"/>
      <c r="EM9" s="334"/>
      <c r="EN9" s="334"/>
      <c r="EO9" s="334"/>
      <c r="EP9" s="334"/>
      <c r="EQ9" s="65" t="str">
        <f t="shared" ref="EQ9:EQ38" si="45">IF(J9="","",J9)</f>
        <v>ME</v>
      </c>
      <c r="ER9" s="20"/>
      <c r="ES9" s="20"/>
      <c r="ET9" s="20"/>
      <c r="EU9" s="20"/>
      <c r="EV9" s="20"/>
      <c r="EW9" s="20"/>
      <c r="EX9" s="20"/>
    </row>
    <row r="10" spans="1:154" s="3" customFormat="1" ht="17.149999999999999" customHeight="1" x14ac:dyDescent="0.25">
      <c r="A10" s="56">
        <v>3</v>
      </c>
      <c r="B10" s="57">
        <v>894167</v>
      </c>
      <c r="C10" s="58">
        <f t="shared" si="6"/>
        <v>240</v>
      </c>
      <c r="D10" s="167">
        <v>9.56</v>
      </c>
      <c r="E10" s="57">
        <v>798504</v>
      </c>
      <c r="F10" s="58">
        <f t="shared" si="7"/>
        <v>273</v>
      </c>
      <c r="G10" s="168">
        <v>1.74</v>
      </c>
      <c r="H10" s="57">
        <v>755348</v>
      </c>
      <c r="I10" s="58">
        <f t="shared" si="0"/>
        <v>162</v>
      </c>
      <c r="J10" s="60" t="s">
        <v>194</v>
      </c>
      <c r="K10" s="56">
        <v>3</v>
      </c>
      <c r="L10" s="57">
        <v>70029</v>
      </c>
      <c r="M10" s="58" t="str">
        <f t="shared" si="8"/>
        <v/>
      </c>
      <c r="N10" s="57">
        <v>177925</v>
      </c>
      <c r="O10" s="58">
        <f t="shared" si="9"/>
        <v>62</v>
      </c>
      <c r="P10" s="57">
        <v>194749</v>
      </c>
      <c r="Q10" s="58" t="str">
        <f t="shared" si="1"/>
        <v/>
      </c>
      <c r="R10" s="57">
        <v>679</v>
      </c>
      <c r="S10" s="57">
        <v>686</v>
      </c>
      <c r="T10" s="170">
        <v>142</v>
      </c>
      <c r="U10" s="57">
        <v>139</v>
      </c>
      <c r="V10" s="58" t="str">
        <f t="shared" si="10"/>
        <v>ME</v>
      </c>
      <c r="W10" s="56">
        <v>3</v>
      </c>
      <c r="X10" s="63">
        <v>11816.68</v>
      </c>
      <c r="Y10" s="130">
        <f t="shared" si="11"/>
        <v>4.569999999999709</v>
      </c>
      <c r="Z10" s="63">
        <v>12582.53</v>
      </c>
      <c r="AA10" s="130">
        <f t="shared" si="12"/>
        <v>2.7099999999991269</v>
      </c>
      <c r="AB10" s="63">
        <v>9921</v>
      </c>
      <c r="AC10" s="130">
        <f t="shared" si="13"/>
        <v>2.069999999999709</v>
      </c>
      <c r="AD10" s="63">
        <v>10018.93</v>
      </c>
      <c r="AE10" s="130">
        <f t="shared" si="2"/>
        <v>2.1900000000005093</v>
      </c>
      <c r="AF10" s="125" t="str">
        <f t="shared" si="14"/>
        <v>ME</v>
      </c>
      <c r="AG10" s="56">
        <v>3</v>
      </c>
      <c r="AH10" s="63">
        <v>47233.81</v>
      </c>
      <c r="AI10" s="130">
        <f t="shared" si="15"/>
        <v>17.770000000004075</v>
      </c>
      <c r="AJ10" s="63">
        <v>49390.2</v>
      </c>
      <c r="AK10" s="130">
        <f t="shared" si="16"/>
        <v>11.569999999999709</v>
      </c>
      <c r="AL10" s="63">
        <v>587.1</v>
      </c>
      <c r="AM10" s="130" t="str">
        <f t="shared" si="17"/>
        <v/>
      </c>
      <c r="AN10" s="63">
        <v>548.61</v>
      </c>
      <c r="AO10" s="130" t="str">
        <f t="shared" si="3"/>
        <v/>
      </c>
      <c r="AP10" s="125" t="str">
        <f t="shared" si="18"/>
        <v>ME</v>
      </c>
      <c r="AQ10" s="56">
        <v>3</v>
      </c>
      <c r="AR10" s="63">
        <v>6800.66</v>
      </c>
      <c r="AS10" s="130">
        <f t="shared" si="19"/>
        <v>1.6400000000003274</v>
      </c>
      <c r="AT10" s="63">
        <v>7569.34</v>
      </c>
      <c r="AU10" s="130">
        <f t="shared" si="20"/>
        <v>1.930000000000291</v>
      </c>
      <c r="AV10" s="63">
        <v>256.89999999999998</v>
      </c>
      <c r="AW10" s="130" t="str">
        <f t="shared" si="21"/>
        <v/>
      </c>
      <c r="AX10" s="63">
        <v>244.24</v>
      </c>
      <c r="AY10" s="130" t="str">
        <f t="shared" si="4"/>
        <v/>
      </c>
      <c r="AZ10" s="125" t="str">
        <f t="shared" si="22"/>
        <v>ME</v>
      </c>
      <c r="BA10" s="56">
        <v>3</v>
      </c>
      <c r="BB10" s="63"/>
      <c r="BC10" s="62"/>
      <c r="BD10" s="61"/>
      <c r="BE10" s="61"/>
      <c r="BF10" s="61"/>
      <c r="BG10" s="61"/>
      <c r="BH10" s="64"/>
      <c r="BI10" s="64"/>
      <c r="BJ10" s="64"/>
      <c r="BK10" s="64"/>
      <c r="BL10" s="64"/>
      <c r="BM10" s="64"/>
      <c r="BN10" s="65" t="str">
        <f t="shared" si="23"/>
        <v>ME</v>
      </c>
      <c r="BO10" s="56">
        <v>3</v>
      </c>
      <c r="BP10" s="64">
        <v>0.111</v>
      </c>
      <c r="BQ10" s="62"/>
      <c r="BR10" s="61"/>
      <c r="BS10" s="61"/>
      <c r="BT10" s="61"/>
      <c r="BU10" s="64"/>
      <c r="BV10" s="63">
        <v>1.1299999999999999</v>
      </c>
      <c r="BW10" s="63">
        <v>0.8</v>
      </c>
      <c r="BX10" s="66" t="s">
        <v>365</v>
      </c>
      <c r="BY10" s="172" t="s">
        <v>246</v>
      </c>
      <c r="BZ10" s="67" t="str">
        <f t="shared" si="24"/>
        <v>ME</v>
      </c>
      <c r="CA10" s="56">
        <v>3</v>
      </c>
      <c r="CB10" s="61">
        <v>87.8</v>
      </c>
      <c r="CC10" s="61"/>
      <c r="CD10" s="68">
        <f t="shared" si="25"/>
        <v>1.5</v>
      </c>
      <c r="CE10" s="69">
        <f t="shared" si="26"/>
        <v>6.9813975000000008</v>
      </c>
      <c r="CF10" s="69">
        <f t="shared" si="27"/>
        <v>5.1714055555555563</v>
      </c>
      <c r="CG10" s="62">
        <v>68</v>
      </c>
      <c r="CH10" s="62">
        <v>100</v>
      </c>
      <c r="CI10" s="65" t="str">
        <f t="shared" si="28"/>
        <v>ME</v>
      </c>
      <c r="CJ10" s="56">
        <v>3</v>
      </c>
      <c r="CK10" s="61">
        <v>84.6</v>
      </c>
      <c r="CL10" s="61"/>
      <c r="CM10" s="68">
        <f t="shared" si="29"/>
        <v>2.7999999999999972</v>
      </c>
      <c r="CN10" s="68">
        <f t="shared" si="30"/>
        <v>13.031941999999988</v>
      </c>
      <c r="CO10" s="68">
        <f t="shared" si="31"/>
        <v>21.592298901249986</v>
      </c>
      <c r="CP10" s="62">
        <v>53</v>
      </c>
      <c r="CQ10" s="62">
        <v>83</v>
      </c>
      <c r="CR10" s="65" t="str">
        <f t="shared" si="32"/>
        <v>ME</v>
      </c>
      <c r="CS10" s="56">
        <v>3</v>
      </c>
      <c r="CT10" s="61">
        <v>97.7</v>
      </c>
      <c r="CU10" s="61"/>
      <c r="CV10" s="68">
        <f t="shared" si="33"/>
        <v>2.2000000000000028</v>
      </c>
      <c r="CW10" s="68">
        <f t="shared" si="34"/>
        <v>14.617328000000018</v>
      </c>
      <c r="CX10" s="69">
        <f t="shared" si="35"/>
        <v>6.0905533333333407E-2</v>
      </c>
      <c r="CY10" s="66" t="s">
        <v>240</v>
      </c>
      <c r="CZ10" s="66" t="s">
        <v>241</v>
      </c>
      <c r="DA10" s="66"/>
      <c r="DB10" s="65" t="str">
        <f t="shared" si="36"/>
        <v>ME</v>
      </c>
      <c r="DC10" s="56">
        <v>3</v>
      </c>
      <c r="DD10" s="61">
        <v>71.900000000000006</v>
      </c>
      <c r="DE10" s="61">
        <v>104.3</v>
      </c>
      <c r="DF10" s="68">
        <f t="shared" si="37"/>
        <v>25.399999999999991</v>
      </c>
      <c r="DG10" s="69">
        <f t="shared" si="38"/>
        <v>1.3703612115199997</v>
      </c>
      <c r="DH10" s="68">
        <f t="shared" si="39"/>
        <v>5.7098383813333315</v>
      </c>
      <c r="DI10" s="62">
        <v>90</v>
      </c>
      <c r="DJ10" s="62">
        <v>54</v>
      </c>
      <c r="DK10" s="65" t="str">
        <f t="shared" si="40"/>
        <v>ME</v>
      </c>
      <c r="DL10" s="56">
        <v>3</v>
      </c>
      <c r="DM10" s="63">
        <v>8.09</v>
      </c>
      <c r="DN10" s="64">
        <v>3.3000000000000002E-2</v>
      </c>
      <c r="DO10" s="64">
        <v>3.5000000000000003E-2</v>
      </c>
      <c r="DP10" s="64">
        <v>8.6999999999999994E-2</v>
      </c>
      <c r="DQ10" s="63">
        <v>6.87</v>
      </c>
      <c r="DR10" s="61">
        <v>17.600000000000001</v>
      </c>
      <c r="DS10" s="64">
        <v>1.1259999999999999</v>
      </c>
      <c r="DT10" s="61">
        <v>86.4</v>
      </c>
      <c r="DU10" s="63">
        <v>4.3499999999999996</v>
      </c>
      <c r="DV10" s="64">
        <v>3.0830000000000002</v>
      </c>
      <c r="DW10" s="64">
        <v>4.91</v>
      </c>
      <c r="DX10" s="66" t="s">
        <v>242</v>
      </c>
      <c r="DY10" s="65" t="str">
        <f t="shared" si="41"/>
        <v>ME</v>
      </c>
      <c r="DZ10" s="128">
        <v>3</v>
      </c>
      <c r="EA10" s="173">
        <f t="shared" si="42"/>
        <v>0.16042780748663102</v>
      </c>
      <c r="EB10" s="173">
        <f t="shared" si="43"/>
        <v>0.20073529411764707</v>
      </c>
      <c r="EC10" s="173">
        <f t="shared" si="44"/>
        <v>0.67500000000000004</v>
      </c>
      <c r="ED10" s="63">
        <v>1.05</v>
      </c>
      <c r="EE10" s="63">
        <v>1.1499999999999999</v>
      </c>
      <c r="EF10" s="63">
        <v>0.05</v>
      </c>
      <c r="EG10" s="63">
        <v>7.0000000000000007E-2</v>
      </c>
      <c r="EH10" s="127" t="str">
        <f t="shared" si="5"/>
        <v>ME</v>
      </c>
      <c r="EI10" s="56">
        <v>3</v>
      </c>
      <c r="EJ10" s="334"/>
      <c r="EK10" s="334"/>
      <c r="EL10" s="334"/>
      <c r="EM10" s="334"/>
      <c r="EN10" s="334"/>
      <c r="EO10" s="334"/>
      <c r="EP10" s="334"/>
      <c r="EQ10" s="65" t="str">
        <f t="shared" si="45"/>
        <v>ME</v>
      </c>
      <c r="ER10" s="20"/>
      <c r="ES10" s="20"/>
      <c r="ET10" s="20"/>
      <c r="EU10" s="20"/>
      <c r="EV10" s="20"/>
      <c r="EW10" s="20"/>
      <c r="EX10" s="20"/>
    </row>
    <row r="11" spans="1:154" s="3" customFormat="1" ht="17.149999999999999" customHeight="1" x14ac:dyDescent="0.25">
      <c r="A11" s="56">
        <v>4</v>
      </c>
      <c r="B11" s="57">
        <v>894407</v>
      </c>
      <c r="C11" s="58">
        <f t="shared" si="6"/>
        <v>121</v>
      </c>
      <c r="D11" s="167">
        <v>9.3699999999999992</v>
      </c>
      <c r="E11" s="57">
        <v>798777</v>
      </c>
      <c r="F11" s="58">
        <f t="shared" si="7"/>
        <v>153</v>
      </c>
      <c r="G11" s="168">
        <v>3.55</v>
      </c>
      <c r="H11" s="57">
        <v>755510</v>
      </c>
      <c r="I11" s="58">
        <f t="shared" si="0"/>
        <v>98</v>
      </c>
      <c r="J11" s="60" t="s">
        <v>194</v>
      </c>
      <c r="K11" s="56">
        <v>4</v>
      </c>
      <c r="L11" s="57">
        <v>70029</v>
      </c>
      <c r="M11" s="58" t="str">
        <f t="shared" si="8"/>
        <v/>
      </c>
      <c r="N11" s="57">
        <v>177987</v>
      </c>
      <c r="O11" s="58">
        <f t="shared" si="9"/>
        <v>35</v>
      </c>
      <c r="P11" s="57">
        <v>194749</v>
      </c>
      <c r="Q11" s="169" t="str">
        <f t="shared" si="1"/>
        <v/>
      </c>
      <c r="R11" s="57">
        <v>679</v>
      </c>
      <c r="S11" s="57">
        <v>686</v>
      </c>
      <c r="T11" s="57">
        <v>142</v>
      </c>
      <c r="U11" s="57">
        <v>139</v>
      </c>
      <c r="V11" s="58" t="str">
        <f t="shared" si="10"/>
        <v>ME</v>
      </c>
      <c r="W11" s="56">
        <v>4</v>
      </c>
      <c r="X11" s="63">
        <v>11821.25</v>
      </c>
      <c r="Y11" s="130">
        <f t="shared" si="11"/>
        <v>0.17000000000007276</v>
      </c>
      <c r="Z11" s="63">
        <v>12585.24</v>
      </c>
      <c r="AA11" s="130">
        <f t="shared" si="12"/>
        <v>3.3500000000003638</v>
      </c>
      <c r="AB11" s="63">
        <v>9923.07</v>
      </c>
      <c r="AC11" s="130">
        <f t="shared" si="13"/>
        <v>0.11000000000058208</v>
      </c>
      <c r="AD11" s="63">
        <v>10021.120000000001</v>
      </c>
      <c r="AE11" s="130">
        <f t="shared" si="2"/>
        <v>2.5099999999983993</v>
      </c>
      <c r="AF11" s="125" t="str">
        <f t="shared" si="14"/>
        <v>ME</v>
      </c>
      <c r="AG11" s="56">
        <v>4</v>
      </c>
      <c r="AH11" s="63">
        <v>47251.58</v>
      </c>
      <c r="AI11" s="130">
        <f t="shared" si="15"/>
        <v>6.4399999999950523</v>
      </c>
      <c r="AJ11" s="63">
        <v>49401.77</v>
      </c>
      <c r="AK11" s="130">
        <f t="shared" si="16"/>
        <v>10.930000000000291</v>
      </c>
      <c r="AL11" s="63">
        <v>587.1</v>
      </c>
      <c r="AM11" s="130">
        <f t="shared" si="17"/>
        <v>2.9999999999972715E-2</v>
      </c>
      <c r="AN11" s="63">
        <v>548.61</v>
      </c>
      <c r="AO11" s="130" t="str">
        <f t="shared" si="3"/>
        <v/>
      </c>
      <c r="AP11" s="125" t="str">
        <f t="shared" si="18"/>
        <v>ME</v>
      </c>
      <c r="AQ11" s="56">
        <v>4</v>
      </c>
      <c r="AR11" s="63">
        <v>6802.3</v>
      </c>
      <c r="AS11" s="130">
        <f t="shared" si="19"/>
        <v>1</v>
      </c>
      <c r="AT11" s="63">
        <v>7571.27</v>
      </c>
      <c r="AU11" s="130">
        <f t="shared" si="20"/>
        <v>1.1999999999998181</v>
      </c>
      <c r="AV11" s="63">
        <v>256.89999999999998</v>
      </c>
      <c r="AW11" s="130" t="str">
        <f t="shared" si="21"/>
        <v/>
      </c>
      <c r="AX11" s="63">
        <v>244.24</v>
      </c>
      <c r="AY11" s="130" t="str">
        <f t="shared" si="4"/>
        <v/>
      </c>
      <c r="AZ11" s="125" t="str">
        <f t="shared" si="22"/>
        <v>ME</v>
      </c>
      <c r="BA11" s="56">
        <v>4</v>
      </c>
      <c r="BB11" s="63">
        <v>1.35</v>
      </c>
      <c r="BC11" s="62">
        <v>31</v>
      </c>
      <c r="BD11" s="61">
        <v>6.9</v>
      </c>
      <c r="BE11" s="61">
        <v>17.7</v>
      </c>
      <c r="BF11" s="61">
        <v>16.7</v>
      </c>
      <c r="BG11" s="61">
        <v>6.9</v>
      </c>
      <c r="BH11" s="64">
        <v>0.18099999999999999</v>
      </c>
      <c r="BI11" s="64">
        <v>0.14699999999999999</v>
      </c>
      <c r="BJ11" s="64">
        <v>7.0999999999999994E-2</v>
      </c>
      <c r="BK11" s="64">
        <v>5.1999999999999998E-2</v>
      </c>
      <c r="BL11" s="64">
        <v>7.0999999999999994E-2</v>
      </c>
      <c r="BM11" s="64">
        <v>5.3999999999999999E-2</v>
      </c>
      <c r="BN11" s="65" t="str">
        <f t="shared" si="23"/>
        <v>ME</v>
      </c>
      <c r="BO11" s="56">
        <v>4</v>
      </c>
      <c r="BP11" s="64">
        <v>9.7000000000000003E-2</v>
      </c>
      <c r="BQ11" s="62">
        <v>0</v>
      </c>
      <c r="BR11" s="61">
        <v>7.1</v>
      </c>
      <c r="BS11" s="61">
        <v>17.8</v>
      </c>
      <c r="BT11" s="61">
        <v>17.5</v>
      </c>
      <c r="BU11" s="64">
        <v>1.4999999999999999E-2</v>
      </c>
      <c r="BV11" s="63">
        <v>1.1200000000000001</v>
      </c>
      <c r="BW11" s="63">
        <v>0.92</v>
      </c>
      <c r="BX11" s="66" t="s">
        <v>285</v>
      </c>
      <c r="BY11" s="172" t="s">
        <v>246</v>
      </c>
      <c r="BZ11" s="67" t="str">
        <f t="shared" si="24"/>
        <v>ME</v>
      </c>
      <c r="CA11" s="56">
        <v>4</v>
      </c>
      <c r="CB11" s="61">
        <v>86.3</v>
      </c>
      <c r="CC11" s="61">
        <v>97.3</v>
      </c>
      <c r="CD11" s="68">
        <f t="shared" si="25"/>
        <v>0.89999999999999147</v>
      </c>
      <c r="CE11" s="69">
        <f t="shared" si="26"/>
        <v>4.1888384999999611</v>
      </c>
      <c r="CF11" s="69">
        <f t="shared" si="27"/>
        <v>5.1291899999999524</v>
      </c>
      <c r="CG11" s="62">
        <v>68</v>
      </c>
      <c r="CH11" s="62">
        <v>100</v>
      </c>
      <c r="CI11" s="65" t="str">
        <f t="shared" si="28"/>
        <v>ME</v>
      </c>
      <c r="CJ11" s="56">
        <v>4</v>
      </c>
      <c r="CK11" s="61">
        <v>81.8</v>
      </c>
      <c r="CL11" s="61">
        <v>100</v>
      </c>
      <c r="CM11" s="68">
        <f t="shared" si="29"/>
        <v>0.90000000000000568</v>
      </c>
      <c r="CN11" s="68">
        <f t="shared" si="30"/>
        <v>4.1888385000000268</v>
      </c>
      <c r="CO11" s="68">
        <f t="shared" si="31"/>
        <v>13.766046525000089</v>
      </c>
      <c r="CP11" s="62">
        <v>53</v>
      </c>
      <c r="CQ11" s="62">
        <v>83</v>
      </c>
      <c r="CR11" s="65" t="str">
        <f t="shared" si="32"/>
        <v>ME</v>
      </c>
      <c r="CS11" s="56">
        <v>4</v>
      </c>
      <c r="CT11" s="61">
        <v>95.5</v>
      </c>
      <c r="CU11" s="61"/>
      <c r="CV11" s="68">
        <f t="shared" si="33"/>
        <v>1.2000000000000028</v>
      </c>
      <c r="CW11" s="68">
        <f t="shared" si="34"/>
        <v>7.9730880000000193</v>
      </c>
      <c r="CX11" s="69">
        <f t="shared" si="35"/>
        <v>6.5893289256198501E-2</v>
      </c>
      <c r="CY11" s="66" t="s">
        <v>240</v>
      </c>
      <c r="CZ11" s="66" t="s">
        <v>241</v>
      </c>
      <c r="DA11" s="66"/>
      <c r="DB11" s="65" t="str">
        <f t="shared" si="36"/>
        <v>ME</v>
      </c>
      <c r="DC11" s="56">
        <v>4</v>
      </c>
      <c r="DD11" s="61">
        <v>78.900000000000006</v>
      </c>
      <c r="DE11" s="61">
        <v>105.6</v>
      </c>
      <c r="DF11" s="68">
        <f t="shared" si="37"/>
        <v>13</v>
      </c>
      <c r="DG11" s="69">
        <f t="shared" si="38"/>
        <v>0.70136597440000004</v>
      </c>
      <c r="DH11" s="68">
        <f t="shared" si="39"/>
        <v>5.7964130115702481</v>
      </c>
      <c r="DI11" s="62">
        <v>90</v>
      </c>
      <c r="DJ11" s="62">
        <v>54</v>
      </c>
      <c r="DK11" s="65" t="str">
        <f t="shared" si="40"/>
        <v>ME</v>
      </c>
      <c r="DL11" s="56">
        <v>4</v>
      </c>
      <c r="DM11" s="63">
        <v>8.3699999999999992</v>
      </c>
      <c r="DN11" s="64">
        <v>3.3000000000000002E-2</v>
      </c>
      <c r="DO11" s="64">
        <v>3.1E-2</v>
      </c>
      <c r="DP11" s="64">
        <v>7.2999999999999995E-2</v>
      </c>
      <c r="DQ11" s="63">
        <v>6.86</v>
      </c>
      <c r="DR11" s="61">
        <v>17.8</v>
      </c>
      <c r="DS11" s="64">
        <v>1.111</v>
      </c>
      <c r="DT11" s="61">
        <v>85.5</v>
      </c>
      <c r="DU11" s="63">
        <v>4.1500000000000004</v>
      </c>
      <c r="DV11" s="64">
        <v>2.319</v>
      </c>
      <c r="DW11" s="64">
        <v>0.87</v>
      </c>
      <c r="DX11" s="66" t="s">
        <v>242</v>
      </c>
      <c r="DY11" s="65" t="str">
        <f t="shared" si="41"/>
        <v>ME</v>
      </c>
      <c r="DZ11" s="128">
        <v>4</v>
      </c>
      <c r="EA11" s="173">
        <f t="shared" si="42"/>
        <v>8.0882352941176475E-2</v>
      </c>
      <c r="EB11" s="173">
        <f t="shared" si="43"/>
        <v>0.1125</v>
      </c>
      <c r="EC11" s="173">
        <f t="shared" si="44"/>
        <v>0.80991735537190079</v>
      </c>
      <c r="ED11" s="284">
        <v>0</v>
      </c>
      <c r="EE11" s="284">
        <v>5.63</v>
      </c>
      <c r="EF11" s="63">
        <v>0.06</v>
      </c>
      <c r="EG11" s="63">
        <v>0.05</v>
      </c>
      <c r="EH11" s="127" t="str">
        <f t="shared" si="5"/>
        <v>ME</v>
      </c>
      <c r="EI11" s="56">
        <v>4</v>
      </c>
      <c r="EJ11" s="334" t="s">
        <v>384</v>
      </c>
      <c r="EK11" s="334"/>
      <c r="EL11" s="334"/>
      <c r="EM11" s="334"/>
      <c r="EN11" s="334"/>
      <c r="EO11" s="334"/>
      <c r="EP11" s="334"/>
      <c r="EQ11" s="65" t="str">
        <f t="shared" si="45"/>
        <v>ME</v>
      </c>
      <c r="ER11" s="20"/>
      <c r="ES11" s="20"/>
      <c r="ET11" s="20"/>
      <c r="EU11" s="20"/>
      <c r="EV11" s="20"/>
      <c r="EW11" s="20"/>
      <c r="EX11" s="20"/>
    </row>
    <row r="12" spans="1:154" s="3" customFormat="1" ht="17.149999999999999" customHeight="1" x14ac:dyDescent="0.25">
      <c r="A12" s="56">
        <v>5</v>
      </c>
      <c r="B12" s="57">
        <v>894528</v>
      </c>
      <c r="C12" s="58">
        <f t="shared" si="6"/>
        <v>390</v>
      </c>
      <c r="D12" s="167">
        <v>9.11</v>
      </c>
      <c r="E12" s="57">
        <v>798930</v>
      </c>
      <c r="F12" s="58">
        <f t="shared" si="7"/>
        <v>250</v>
      </c>
      <c r="G12" s="168">
        <v>1.75</v>
      </c>
      <c r="H12" s="57">
        <v>755608</v>
      </c>
      <c r="I12" s="58">
        <f t="shared" si="0"/>
        <v>231</v>
      </c>
      <c r="J12" s="60" t="s">
        <v>194</v>
      </c>
      <c r="K12" s="56">
        <v>5</v>
      </c>
      <c r="L12" s="57">
        <v>70029</v>
      </c>
      <c r="M12" s="58">
        <f t="shared" si="8"/>
        <v>48</v>
      </c>
      <c r="N12" s="57">
        <v>178022</v>
      </c>
      <c r="O12" s="58">
        <f t="shared" si="9"/>
        <v>64</v>
      </c>
      <c r="P12" s="57">
        <v>194749</v>
      </c>
      <c r="Q12" s="169" t="str">
        <f t="shared" si="1"/>
        <v/>
      </c>
      <c r="R12" s="57">
        <v>679</v>
      </c>
      <c r="S12" s="57">
        <v>686</v>
      </c>
      <c r="T12" s="57">
        <v>142</v>
      </c>
      <c r="U12" s="57">
        <v>139</v>
      </c>
      <c r="V12" s="58" t="str">
        <f t="shared" si="10"/>
        <v>ME</v>
      </c>
      <c r="W12" s="56">
        <v>5</v>
      </c>
      <c r="X12" s="63">
        <v>11821.42</v>
      </c>
      <c r="Y12" s="130">
        <f t="shared" si="11"/>
        <v>8.3899999999994179</v>
      </c>
      <c r="Z12" s="63">
        <v>12588.59</v>
      </c>
      <c r="AA12" s="130">
        <f t="shared" si="12"/>
        <v>3.2600000000002183</v>
      </c>
      <c r="AB12" s="63">
        <v>9923.18</v>
      </c>
      <c r="AC12" s="130">
        <f t="shared" si="13"/>
        <v>1.6000000000003638</v>
      </c>
      <c r="AD12" s="63">
        <v>10023.629999999999</v>
      </c>
      <c r="AE12" s="130">
        <f t="shared" si="2"/>
        <v>4.5600000000013097</v>
      </c>
      <c r="AF12" s="125" t="str">
        <f t="shared" si="14"/>
        <v>ME</v>
      </c>
      <c r="AG12" s="56">
        <v>5</v>
      </c>
      <c r="AH12" s="63">
        <v>47258.02</v>
      </c>
      <c r="AI12" s="130">
        <f t="shared" si="15"/>
        <v>22.290000000000873</v>
      </c>
      <c r="AJ12" s="63">
        <v>49412.7</v>
      </c>
      <c r="AK12" s="130">
        <f t="shared" si="16"/>
        <v>7.4600000000064028</v>
      </c>
      <c r="AL12" s="63">
        <v>587.13</v>
      </c>
      <c r="AM12" s="130">
        <f t="shared" si="17"/>
        <v>2.9999999999972715E-2</v>
      </c>
      <c r="AN12" s="63">
        <v>548.61</v>
      </c>
      <c r="AO12" s="130" t="str">
        <f t="shared" si="3"/>
        <v/>
      </c>
      <c r="AP12" s="125" t="str">
        <f t="shared" si="18"/>
        <v>ME</v>
      </c>
      <c r="AQ12" s="56">
        <v>5</v>
      </c>
      <c r="AR12" s="63">
        <v>6803.3</v>
      </c>
      <c r="AS12" s="130">
        <f t="shared" si="19"/>
        <v>1.7600000000002183</v>
      </c>
      <c r="AT12" s="63">
        <v>7572.47</v>
      </c>
      <c r="AU12" s="130">
        <f t="shared" si="20"/>
        <v>2.0299999999997453</v>
      </c>
      <c r="AV12" s="63">
        <v>256.89999999999998</v>
      </c>
      <c r="AW12" s="130">
        <f t="shared" si="21"/>
        <v>0.34000000000003183</v>
      </c>
      <c r="AX12" s="63">
        <v>244.24</v>
      </c>
      <c r="AY12" s="130" t="str">
        <f t="shared" si="4"/>
        <v/>
      </c>
      <c r="AZ12" s="125" t="str">
        <f t="shared" si="22"/>
        <v>ME</v>
      </c>
      <c r="BA12" s="56">
        <v>5</v>
      </c>
      <c r="BB12" s="63">
        <v>1.27</v>
      </c>
      <c r="BC12" s="62">
        <v>36</v>
      </c>
      <c r="BD12" s="61">
        <v>7.2</v>
      </c>
      <c r="BE12" s="61">
        <v>18.100000000000001</v>
      </c>
      <c r="BF12" s="61">
        <v>17.399999999999999</v>
      </c>
      <c r="BG12" s="61">
        <v>7.2</v>
      </c>
      <c r="BH12" s="64">
        <v>0.218</v>
      </c>
      <c r="BI12" s="64">
        <v>0.184</v>
      </c>
      <c r="BJ12" s="64">
        <v>6.6000000000000003E-2</v>
      </c>
      <c r="BK12" s="64">
        <v>6.4000000000000001E-2</v>
      </c>
      <c r="BL12" s="64">
        <v>7.8E-2</v>
      </c>
      <c r="BM12" s="64">
        <v>5.3999999999999999E-2</v>
      </c>
      <c r="BN12" s="65" t="str">
        <f t="shared" si="23"/>
        <v>ME</v>
      </c>
      <c r="BO12" s="56">
        <v>5</v>
      </c>
      <c r="BP12" s="64">
        <v>0.105</v>
      </c>
      <c r="BQ12" s="62">
        <v>0</v>
      </c>
      <c r="BR12" s="61">
        <v>7</v>
      </c>
      <c r="BS12" s="61">
        <v>17.899999999999999</v>
      </c>
      <c r="BT12" s="61">
        <v>18.100000000000001</v>
      </c>
      <c r="BU12" s="64">
        <v>1.2E-2</v>
      </c>
      <c r="BV12" s="63">
        <v>1.1200000000000001</v>
      </c>
      <c r="BW12" s="63">
        <v>0.9</v>
      </c>
      <c r="BX12" s="66" t="s">
        <v>383</v>
      </c>
      <c r="BY12" s="172" t="s">
        <v>246</v>
      </c>
      <c r="BZ12" s="67" t="str">
        <f t="shared" si="24"/>
        <v>ME</v>
      </c>
      <c r="CA12" s="56">
        <v>5</v>
      </c>
      <c r="CB12" s="61">
        <v>96.4</v>
      </c>
      <c r="CC12" s="61"/>
      <c r="CD12" s="68">
        <f t="shared" si="25"/>
        <v>2.4000000000000057</v>
      </c>
      <c r="CE12" s="69">
        <f t="shared" si="26"/>
        <v>11.170236000000028</v>
      </c>
      <c r="CF12" s="69">
        <f t="shared" si="27"/>
        <v>5.802720000000015</v>
      </c>
      <c r="CG12" s="62">
        <v>70</v>
      </c>
      <c r="CH12" s="62">
        <v>100</v>
      </c>
      <c r="CI12" s="65" t="str">
        <f t="shared" si="28"/>
        <v>ME</v>
      </c>
      <c r="CJ12" s="56">
        <v>5</v>
      </c>
      <c r="CK12" s="61">
        <v>99.1</v>
      </c>
      <c r="CL12" s="61"/>
      <c r="CM12" s="68">
        <f t="shared" si="29"/>
        <v>4.6999999999999886</v>
      </c>
      <c r="CN12" s="68">
        <f t="shared" si="30"/>
        <v>21.875045499999949</v>
      </c>
      <c r="CO12" s="68">
        <f t="shared" si="31"/>
        <v>22.304132930961487</v>
      </c>
      <c r="CP12" s="62">
        <v>51</v>
      </c>
      <c r="CQ12" s="62">
        <v>83</v>
      </c>
      <c r="CR12" s="65" t="str">
        <f t="shared" si="32"/>
        <v>ME</v>
      </c>
      <c r="CS12" s="56">
        <v>5</v>
      </c>
      <c r="CT12" s="61">
        <v>94.3</v>
      </c>
      <c r="CU12" s="61"/>
      <c r="CV12" s="68">
        <f t="shared" si="33"/>
        <v>4.2000000000000028</v>
      </c>
      <c r="CW12" s="68">
        <f t="shared" si="34"/>
        <v>27.905808000000018</v>
      </c>
      <c r="CX12" s="69">
        <f t="shared" si="35"/>
        <v>7.1553353846153897E-2</v>
      </c>
      <c r="CY12" s="66" t="s">
        <v>240</v>
      </c>
      <c r="CZ12" s="66" t="s">
        <v>241</v>
      </c>
      <c r="DA12" s="66"/>
      <c r="DB12" s="65" t="str">
        <f t="shared" si="36"/>
        <v>ME</v>
      </c>
      <c r="DC12" s="56">
        <v>5</v>
      </c>
      <c r="DD12" s="61">
        <v>92.6</v>
      </c>
      <c r="DE12" s="61">
        <v>103.8</v>
      </c>
      <c r="DF12" s="68">
        <f t="shared" si="37"/>
        <v>41.199999999999996</v>
      </c>
      <c r="DG12" s="69">
        <f t="shared" si="38"/>
        <v>2.2227906265600001</v>
      </c>
      <c r="DH12" s="68">
        <f t="shared" si="39"/>
        <v>5.699463145025641</v>
      </c>
      <c r="DI12" s="62">
        <v>90</v>
      </c>
      <c r="DJ12" s="62">
        <v>54</v>
      </c>
      <c r="DK12" s="65" t="str">
        <f t="shared" si="40"/>
        <v>ME</v>
      </c>
      <c r="DL12" s="56">
        <v>5</v>
      </c>
      <c r="DM12" s="63">
        <v>8.0299999999999994</v>
      </c>
      <c r="DN12" s="64">
        <v>4.2000000000000003E-2</v>
      </c>
      <c r="DO12" s="64">
        <v>0.04</v>
      </c>
      <c r="DP12" s="64">
        <v>8.4000000000000005E-2</v>
      </c>
      <c r="DQ12" s="63">
        <v>6.9</v>
      </c>
      <c r="DR12" s="61">
        <v>17.899999999999999</v>
      </c>
      <c r="DS12" s="64">
        <v>1.093</v>
      </c>
      <c r="DT12" s="61">
        <v>84</v>
      </c>
      <c r="DU12" s="63">
        <v>4.0999999999999996</v>
      </c>
      <c r="DV12" s="64">
        <v>2.222</v>
      </c>
      <c r="DW12" s="64">
        <v>2.85</v>
      </c>
      <c r="DX12" s="66" t="s">
        <v>242</v>
      </c>
      <c r="DY12" s="65" t="str">
        <f t="shared" si="41"/>
        <v>ME</v>
      </c>
      <c r="DZ12" s="128">
        <v>5</v>
      </c>
      <c r="EA12" s="173">
        <f t="shared" si="42"/>
        <v>0.26069518716577539</v>
      </c>
      <c r="EB12" s="173">
        <f t="shared" si="43"/>
        <v>0.18382352941176472</v>
      </c>
      <c r="EC12" s="173">
        <f t="shared" si="44"/>
        <v>0.59230769230769231</v>
      </c>
      <c r="ED12" s="284">
        <v>0</v>
      </c>
      <c r="EE12" s="284">
        <v>5.63</v>
      </c>
      <c r="EF12" s="63">
        <v>0.05</v>
      </c>
      <c r="EG12" s="63">
        <v>0.06</v>
      </c>
      <c r="EH12" s="127" t="str">
        <f t="shared" si="5"/>
        <v>ME</v>
      </c>
      <c r="EI12" s="56">
        <v>5</v>
      </c>
      <c r="EJ12" s="334" t="s">
        <v>385</v>
      </c>
      <c r="EK12" s="334"/>
      <c r="EL12" s="334"/>
      <c r="EM12" s="334"/>
      <c r="EN12" s="334"/>
      <c r="EO12" s="334"/>
      <c r="EP12" s="334"/>
      <c r="EQ12" s="65" t="str">
        <f t="shared" si="45"/>
        <v>ME</v>
      </c>
      <c r="ER12" s="20"/>
      <c r="ES12" s="20"/>
      <c r="ET12" s="20"/>
      <c r="EU12" s="20"/>
      <c r="EV12" s="20"/>
      <c r="EW12" s="20"/>
      <c r="EX12" s="20"/>
    </row>
    <row r="13" spans="1:154" s="3" customFormat="1" ht="17.149999999999999" customHeight="1" x14ac:dyDescent="0.25">
      <c r="A13" s="56">
        <v>6</v>
      </c>
      <c r="B13" s="57">
        <v>894918</v>
      </c>
      <c r="C13" s="58">
        <f t="shared" si="6"/>
        <v>156</v>
      </c>
      <c r="D13" s="167">
        <v>9.23</v>
      </c>
      <c r="E13" s="57">
        <v>799180</v>
      </c>
      <c r="F13" s="58">
        <f t="shared" si="7"/>
        <v>191</v>
      </c>
      <c r="G13" s="168">
        <v>3.25</v>
      </c>
      <c r="H13" s="57">
        <v>755839</v>
      </c>
      <c r="I13" s="58">
        <f t="shared" si="0"/>
        <v>134</v>
      </c>
      <c r="J13" s="60" t="s">
        <v>194</v>
      </c>
      <c r="K13" s="56">
        <v>6</v>
      </c>
      <c r="L13" s="57">
        <v>70077</v>
      </c>
      <c r="M13" s="58" t="str">
        <f t="shared" si="8"/>
        <v/>
      </c>
      <c r="N13" s="57">
        <v>178086</v>
      </c>
      <c r="O13" s="58">
        <f t="shared" si="9"/>
        <v>66</v>
      </c>
      <c r="P13" s="57">
        <v>194749</v>
      </c>
      <c r="Q13" s="169" t="str">
        <f t="shared" si="1"/>
        <v/>
      </c>
      <c r="R13" s="57">
        <v>679</v>
      </c>
      <c r="S13" s="57">
        <v>687</v>
      </c>
      <c r="T13" s="57">
        <v>142</v>
      </c>
      <c r="U13" s="57">
        <v>139</v>
      </c>
      <c r="V13" s="58" t="str">
        <f t="shared" si="10"/>
        <v>ME</v>
      </c>
      <c r="W13" s="56">
        <v>6</v>
      </c>
      <c r="X13" s="63">
        <v>11829.81</v>
      </c>
      <c r="Y13" s="130">
        <f t="shared" si="11"/>
        <v>2.0500000000010914</v>
      </c>
      <c r="Z13" s="63">
        <v>12591.85</v>
      </c>
      <c r="AA13" s="130">
        <f t="shared" si="12"/>
        <v>2.5</v>
      </c>
      <c r="AB13" s="63">
        <v>9924.7800000000007</v>
      </c>
      <c r="AC13" s="130">
        <f t="shared" si="13"/>
        <v>1.6199999999989814</v>
      </c>
      <c r="AD13" s="63">
        <v>10028.19</v>
      </c>
      <c r="AE13" s="130">
        <f t="shared" si="2"/>
        <v>1.9599999999991269</v>
      </c>
      <c r="AF13" s="125" t="str">
        <f t="shared" si="14"/>
        <v>ME</v>
      </c>
      <c r="AG13" s="56">
        <v>6</v>
      </c>
      <c r="AH13" s="63">
        <v>47280.31</v>
      </c>
      <c r="AI13" s="130">
        <f t="shared" si="15"/>
        <v>13.270000000004075</v>
      </c>
      <c r="AJ13" s="63">
        <v>49420.160000000003</v>
      </c>
      <c r="AK13" s="130">
        <f t="shared" si="16"/>
        <v>10.979999999995925</v>
      </c>
      <c r="AL13" s="63">
        <v>587.16</v>
      </c>
      <c r="AM13" s="130" t="str">
        <f t="shared" si="17"/>
        <v/>
      </c>
      <c r="AN13" s="63">
        <v>548.61</v>
      </c>
      <c r="AO13" s="130" t="str">
        <f t="shared" si="3"/>
        <v/>
      </c>
      <c r="AP13" s="125" t="str">
        <f t="shared" si="18"/>
        <v>ME</v>
      </c>
      <c r="AQ13" s="56">
        <v>6</v>
      </c>
      <c r="AR13" s="63">
        <v>6805.06</v>
      </c>
      <c r="AS13" s="130">
        <f t="shared" si="19"/>
        <v>1.819999999999709</v>
      </c>
      <c r="AT13" s="63">
        <v>7574.5</v>
      </c>
      <c r="AU13" s="130">
        <f t="shared" si="20"/>
        <v>2.1999999999998181</v>
      </c>
      <c r="AV13" s="63">
        <v>257.24</v>
      </c>
      <c r="AW13" s="130" t="str">
        <f t="shared" si="21"/>
        <v/>
      </c>
      <c r="AX13" s="63">
        <v>244.24</v>
      </c>
      <c r="AY13" s="130" t="str">
        <f t="shared" si="4"/>
        <v/>
      </c>
      <c r="AZ13" s="125" t="str">
        <f t="shared" si="22"/>
        <v>ME</v>
      </c>
      <c r="BA13" s="56">
        <v>6</v>
      </c>
      <c r="BB13" s="63">
        <v>1.5</v>
      </c>
      <c r="BC13" s="62">
        <v>62</v>
      </c>
      <c r="BD13" s="61">
        <v>6.9</v>
      </c>
      <c r="BE13" s="61">
        <v>17.899999999999999</v>
      </c>
      <c r="BF13" s="61">
        <v>16.2</v>
      </c>
      <c r="BG13" s="61">
        <v>6.9</v>
      </c>
      <c r="BH13" s="64">
        <v>0.185</v>
      </c>
      <c r="BI13" s="64">
        <v>0.186</v>
      </c>
      <c r="BJ13" s="64">
        <v>6.0999999999999999E-2</v>
      </c>
      <c r="BK13" s="64">
        <v>5.3999999999999999E-2</v>
      </c>
      <c r="BL13" s="64">
        <v>6.2E-2</v>
      </c>
      <c r="BM13" s="64">
        <v>6.5000000000000002E-2</v>
      </c>
      <c r="BN13" s="65" t="str">
        <f t="shared" si="23"/>
        <v>ME</v>
      </c>
      <c r="BO13" s="56">
        <v>6</v>
      </c>
      <c r="BP13" s="64">
        <v>9.7000000000000003E-2</v>
      </c>
      <c r="BQ13" s="62">
        <v>0</v>
      </c>
      <c r="BR13" s="61">
        <v>7</v>
      </c>
      <c r="BS13" s="61">
        <v>17.899999999999999</v>
      </c>
      <c r="BT13" s="61">
        <v>17.8</v>
      </c>
      <c r="BU13" s="64">
        <v>1.2999999999999999E-2</v>
      </c>
      <c r="BV13" s="63">
        <v>1.08</v>
      </c>
      <c r="BW13" s="63">
        <v>0.82</v>
      </c>
      <c r="BX13" s="66" t="s">
        <v>245</v>
      </c>
      <c r="BY13" s="172" t="s">
        <v>246</v>
      </c>
      <c r="BZ13" s="67" t="str">
        <f t="shared" si="24"/>
        <v>ME</v>
      </c>
      <c r="CA13" s="56">
        <v>6</v>
      </c>
      <c r="CB13" s="61">
        <v>94</v>
      </c>
      <c r="CC13" s="61"/>
      <c r="CD13" s="68">
        <f t="shared" si="25"/>
        <v>1.9000000000000057</v>
      </c>
      <c r="CE13" s="69">
        <f t="shared" si="26"/>
        <v>8.8431035000000264</v>
      </c>
      <c r="CF13" s="69">
        <f t="shared" si="27"/>
        <v>7.9191971641791286</v>
      </c>
      <c r="CG13" s="62">
        <v>71</v>
      </c>
      <c r="CH13" s="62">
        <v>100</v>
      </c>
      <c r="CI13" s="65" t="str">
        <f t="shared" si="28"/>
        <v>ME</v>
      </c>
      <c r="CJ13" s="56">
        <v>6</v>
      </c>
      <c r="CK13" s="61">
        <v>94.4</v>
      </c>
      <c r="CL13" s="61"/>
      <c r="CM13" s="68">
        <f t="shared" si="29"/>
        <v>1.9000000000000057</v>
      </c>
      <c r="CN13" s="68">
        <f t="shared" si="30"/>
        <v>8.8431035000000264</v>
      </c>
      <c r="CO13" s="68">
        <f t="shared" si="31"/>
        <v>22.541410940865454</v>
      </c>
      <c r="CP13" s="62">
        <v>52</v>
      </c>
      <c r="CQ13" s="62">
        <v>83</v>
      </c>
      <c r="CR13" s="65" t="str">
        <f t="shared" si="32"/>
        <v>ME</v>
      </c>
      <c r="CS13" s="56">
        <v>6</v>
      </c>
      <c r="CT13" s="61">
        <v>90.1</v>
      </c>
      <c r="CU13" s="61">
        <v>87.8</v>
      </c>
      <c r="CV13" s="68">
        <f t="shared" si="33"/>
        <v>1.5</v>
      </c>
      <c r="CW13" s="68">
        <f t="shared" si="34"/>
        <v>9.9663599999999999</v>
      </c>
      <c r="CX13" s="69">
        <f t="shared" si="35"/>
        <v>6.3886923076923077E-2</v>
      </c>
      <c r="CY13" s="66" t="s">
        <v>240</v>
      </c>
      <c r="CZ13" s="66" t="s">
        <v>241</v>
      </c>
      <c r="DA13" s="66" t="s">
        <v>242</v>
      </c>
      <c r="DB13" s="65" t="str">
        <f t="shared" si="36"/>
        <v>ME</v>
      </c>
      <c r="DC13" s="56">
        <v>6</v>
      </c>
      <c r="DD13" s="61">
        <v>62.6</v>
      </c>
      <c r="DE13" s="61">
        <v>104.3</v>
      </c>
      <c r="DF13" s="68">
        <f t="shared" si="37"/>
        <v>15.899999999999991</v>
      </c>
      <c r="DG13" s="69">
        <f t="shared" si="38"/>
        <v>0.85782453791999957</v>
      </c>
      <c r="DH13" s="68">
        <f t="shared" si="39"/>
        <v>5.4988752430769203</v>
      </c>
      <c r="DI13" s="62">
        <v>90</v>
      </c>
      <c r="DJ13" s="62">
        <v>54</v>
      </c>
      <c r="DK13" s="65" t="str">
        <f t="shared" si="40"/>
        <v>ME</v>
      </c>
      <c r="DL13" s="56">
        <v>6</v>
      </c>
      <c r="DM13" s="63">
        <v>7.86</v>
      </c>
      <c r="DN13" s="64">
        <v>3.2000000000000001E-2</v>
      </c>
      <c r="DO13" s="64">
        <v>3.2000000000000001E-2</v>
      </c>
      <c r="DP13" s="64">
        <v>7.0999999999999994E-2</v>
      </c>
      <c r="DQ13" s="63">
        <v>6.9</v>
      </c>
      <c r="DR13" s="61">
        <v>17.899999999999999</v>
      </c>
      <c r="DS13" s="64">
        <v>1.0569999999999999</v>
      </c>
      <c r="DT13" s="61">
        <v>86.5</v>
      </c>
      <c r="DU13" s="63">
        <v>4.22</v>
      </c>
      <c r="DV13" s="64">
        <v>2.9969999999999999</v>
      </c>
      <c r="DW13" s="64">
        <v>5.0000000000000001E-3</v>
      </c>
      <c r="DX13" s="66" t="s">
        <v>242</v>
      </c>
      <c r="DY13" s="65" t="str">
        <f t="shared" si="41"/>
        <v>ME</v>
      </c>
      <c r="DZ13" s="128">
        <v>6</v>
      </c>
      <c r="EA13" s="173">
        <f t="shared" si="42"/>
        <v>0.10427807486631016</v>
      </c>
      <c r="EB13" s="173">
        <f t="shared" si="43"/>
        <v>0.14044117647058824</v>
      </c>
      <c r="EC13" s="173">
        <f t="shared" si="44"/>
        <v>0.85897435897435892</v>
      </c>
      <c r="ED13" s="63">
        <v>1.03</v>
      </c>
      <c r="EE13" s="63">
        <v>1.0900000000000001</v>
      </c>
      <c r="EF13" s="63">
        <v>0.04</v>
      </c>
      <c r="EG13" s="63">
        <v>0.08</v>
      </c>
      <c r="EH13" s="127" t="str">
        <f t="shared" si="5"/>
        <v>ME</v>
      </c>
      <c r="EI13" s="56">
        <v>6</v>
      </c>
      <c r="EJ13" s="334" t="s">
        <v>386</v>
      </c>
      <c r="EK13" s="334"/>
      <c r="EL13" s="334"/>
      <c r="EM13" s="334"/>
      <c r="EN13" s="334"/>
      <c r="EO13" s="334"/>
      <c r="EP13" s="334"/>
      <c r="EQ13" s="65" t="str">
        <f t="shared" si="45"/>
        <v>ME</v>
      </c>
      <c r="ER13" s="20"/>
      <c r="ES13" s="20"/>
      <c r="ET13" s="20"/>
      <c r="EU13" s="20"/>
      <c r="EV13" s="20"/>
      <c r="EW13" s="20"/>
      <c r="EX13" s="20"/>
    </row>
    <row r="14" spans="1:154" s="3" customFormat="1" ht="17.149999999999999" customHeight="1" x14ac:dyDescent="0.25">
      <c r="A14" s="56">
        <v>7</v>
      </c>
      <c r="B14" s="57">
        <v>895074</v>
      </c>
      <c r="C14" s="58">
        <f t="shared" si="6"/>
        <v>158</v>
      </c>
      <c r="D14" s="167">
        <v>9.5500000000000007</v>
      </c>
      <c r="E14" s="57">
        <v>799371</v>
      </c>
      <c r="F14" s="58">
        <f t="shared" si="7"/>
        <v>174</v>
      </c>
      <c r="G14" s="168">
        <v>2.76</v>
      </c>
      <c r="H14" s="57">
        <v>755973</v>
      </c>
      <c r="I14" s="58">
        <f t="shared" si="0"/>
        <v>139</v>
      </c>
      <c r="J14" s="60" t="s">
        <v>194</v>
      </c>
      <c r="K14" s="56">
        <v>7</v>
      </c>
      <c r="L14" s="57">
        <v>70077</v>
      </c>
      <c r="M14" s="58" t="str">
        <f t="shared" si="8"/>
        <v/>
      </c>
      <c r="N14" s="57">
        <v>178152</v>
      </c>
      <c r="O14" s="58">
        <f t="shared" si="9"/>
        <v>57</v>
      </c>
      <c r="P14" s="57">
        <v>194749</v>
      </c>
      <c r="Q14" s="169" t="str">
        <f t="shared" si="1"/>
        <v/>
      </c>
      <c r="R14" s="57">
        <v>679</v>
      </c>
      <c r="S14" s="57">
        <v>687</v>
      </c>
      <c r="T14" s="57">
        <v>142</v>
      </c>
      <c r="U14" s="57">
        <v>139</v>
      </c>
      <c r="V14" s="58" t="str">
        <f t="shared" si="10"/>
        <v>ME</v>
      </c>
      <c r="W14" s="56">
        <v>7</v>
      </c>
      <c r="X14" s="63">
        <v>11831.86</v>
      </c>
      <c r="Y14" s="130">
        <f t="shared" si="11"/>
        <v>2.4099999999998545</v>
      </c>
      <c r="Z14" s="63">
        <v>12594.35</v>
      </c>
      <c r="AA14" s="130">
        <f t="shared" si="12"/>
        <v>2.2799999999988358</v>
      </c>
      <c r="AB14" s="63">
        <v>9926.4</v>
      </c>
      <c r="AC14" s="130">
        <f t="shared" si="13"/>
        <v>1.8999999999996362</v>
      </c>
      <c r="AD14" s="63">
        <v>10030.15</v>
      </c>
      <c r="AE14" s="130">
        <f t="shared" si="2"/>
        <v>1.8000000000010914</v>
      </c>
      <c r="AF14" s="125" t="str">
        <f t="shared" si="14"/>
        <v>ME</v>
      </c>
      <c r="AG14" s="56">
        <v>7</v>
      </c>
      <c r="AH14" s="63">
        <v>47293.58</v>
      </c>
      <c r="AI14" s="130">
        <f t="shared" si="15"/>
        <v>9.5199999999967986</v>
      </c>
      <c r="AJ14" s="63">
        <v>49431.14</v>
      </c>
      <c r="AK14" s="130">
        <f t="shared" si="16"/>
        <v>13.029999999998836</v>
      </c>
      <c r="AL14" s="63">
        <v>587.16</v>
      </c>
      <c r="AM14" s="130" t="str">
        <f t="shared" si="17"/>
        <v/>
      </c>
      <c r="AN14" s="63">
        <v>548.61</v>
      </c>
      <c r="AO14" s="130" t="str">
        <f t="shared" si="3"/>
        <v/>
      </c>
      <c r="AP14" s="125" t="str">
        <f t="shared" si="18"/>
        <v>ME</v>
      </c>
      <c r="AQ14" s="56">
        <v>7</v>
      </c>
      <c r="AR14" s="63">
        <v>6806.88</v>
      </c>
      <c r="AS14" s="130">
        <f t="shared" si="19"/>
        <v>1.9099999999998545</v>
      </c>
      <c r="AT14" s="63">
        <v>7576.7</v>
      </c>
      <c r="AU14" s="130">
        <f t="shared" si="20"/>
        <v>2.9200000000000728</v>
      </c>
      <c r="AV14" s="63">
        <v>257.24</v>
      </c>
      <c r="AW14" s="130" t="str">
        <f t="shared" si="21"/>
        <v/>
      </c>
      <c r="AX14" s="63">
        <v>244.24</v>
      </c>
      <c r="AY14" s="130" t="str">
        <f t="shared" si="4"/>
        <v/>
      </c>
      <c r="AZ14" s="125" t="str">
        <f t="shared" si="22"/>
        <v>ME</v>
      </c>
      <c r="BA14" s="56">
        <v>7</v>
      </c>
      <c r="BB14" s="63">
        <v>1.31</v>
      </c>
      <c r="BC14" s="62">
        <v>60</v>
      </c>
      <c r="BD14" s="61">
        <v>6.9</v>
      </c>
      <c r="BE14" s="61">
        <v>17.8</v>
      </c>
      <c r="BF14" s="61">
        <v>14.5</v>
      </c>
      <c r="BG14" s="61">
        <v>6.9</v>
      </c>
      <c r="BH14" s="64">
        <v>0.20599999999999999</v>
      </c>
      <c r="BI14" s="64">
        <v>0.19700000000000001</v>
      </c>
      <c r="BJ14" s="64">
        <v>6.8000000000000005E-2</v>
      </c>
      <c r="BK14" s="64">
        <v>0.06</v>
      </c>
      <c r="BL14" s="64">
        <v>6.5000000000000002E-2</v>
      </c>
      <c r="BM14" s="64">
        <v>0.06</v>
      </c>
      <c r="BN14" s="65" t="str">
        <f t="shared" si="23"/>
        <v>ME</v>
      </c>
      <c r="BO14" s="56">
        <v>7</v>
      </c>
      <c r="BP14" s="64">
        <v>9.6000000000000002E-2</v>
      </c>
      <c r="BQ14" s="62">
        <v>0</v>
      </c>
      <c r="BR14" s="61">
        <v>7.1</v>
      </c>
      <c r="BS14" s="61">
        <v>18</v>
      </c>
      <c r="BT14" s="61">
        <v>18.600000000000001</v>
      </c>
      <c r="BU14" s="64">
        <v>1.7000000000000001E-2</v>
      </c>
      <c r="BV14" s="63">
        <v>1.05</v>
      </c>
      <c r="BW14" s="63">
        <v>0.9</v>
      </c>
      <c r="BX14" s="66" t="s">
        <v>245</v>
      </c>
      <c r="BY14" s="172" t="s">
        <v>246</v>
      </c>
      <c r="BZ14" s="67" t="str">
        <f t="shared" si="24"/>
        <v>ME</v>
      </c>
      <c r="CA14" s="56">
        <v>7</v>
      </c>
      <c r="CB14" s="61">
        <v>92.1</v>
      </c>
      <c r="CC14" s="61"/>
      <c r="CD14" s="68">
        <f t="shared" si="25"/>
        <v>2.2999999999999972</v>
      </c>
      <c r="CE14" s="69">
        <f t="shared" si="26"/>
        <v>10.704809499999987</v>
      </c>
      <c r="CF14" s="69">
        <f t="shared" si="27"/>
        <v>9.2415621582733696</v>
      </c>
      <c r="CG14" s="62">
        <v>75</v>
      </c>
      <c r="CH14" s="62">
        <v>100</v>
      </c>
      <c r="CI14" s="65" t="str">
        <f t="shared" si="28"/>
        <v>ME</v>
      </c>
      <c r="CJ14" s="56">
        <v>7</v>
      </c>
      <c r="CK14" s="61">
        <v>92.5</v>
      </c>
      <c r="CL14" s="61"/>
      <c r="CM14" s="68">
        <f t="shared" si="29"/>
        <v>2.0999999999999943</v>
      </c>
      <c r="CN14" s="68">
        <f t="shared" si="30"/>
        <v>9.773956499999974</v>
      </c>
      <c r="CO14" s="68">
        <f t="shared" si="31"/>
        <v>24.598821533069557</v>
      </c>
      <c r="CP14" s="62">
        <v>54</v>
      </c>
      <c r="CQ14" s="62">
        <v>83</v>
      </c>
      <c r="CR14" s="65" t="str">
        <f t="shared" si="32"/>
        <v>ME</v>
      </c>
      <c r="CS14" s="56">
        <v>7</v>
      </c>
      <c r="CT14" s="61">
        <v>86.3</v>
      </c>
      <c r="CU14" s="61">
        <v>110.5</v>
      </c>
      <c r="CV14" s="68">
        <f t="shared" si="33"/>
        <v>1.7000000000000028</v>
      </c>
      <c r="CW14" s="68">
        <f t="shared" si="34"/>
        <v>11.295208000000018</v>
      </c>
      <c r="CX14" s="69">
        <f t="shared" si="35"/>
        <v>7.1488658227848223E-2</v>
      </c>
      <c r="CY14" s="66" t="s">
        <v>240</v>
      </c>
      <c r="CZ14" s="66" t="s">
        <v>241</v>
      </c>
      <c r="DA14" s="66"/>
      <c r="DB14" s="65" t="str">
        <f t="shared" si="36"/>
        <v>ME</v>
      </c>
      <c r="DC14" s="56">
        <v>7</v>
      </c>
      <c r="DD14" s="61">
        <v>88.4</v>
      </c>
      <c r="DE14" s="61">
        <v>103</v>
      </c>
      <c r="DF14" s="68">
        <f t="shared" si="37"/>
        <v>16</v>
      </c>
      <c r="DG14" s="69">
        <f t="shared" si="38"/>
        <v>0.86321966080000001</v>
      </c>
      <c r="DH14" s="68">
        <f t="shared" si="39"/>
        <v>5.4634155746835447</v>
      </c>
      <c r="DI14" s="62">
        <v>90</v>
      </c>
      <c r="DJ14" s="62">
        <v>54</v>
      </c>
      <c r="DK14" s="65" t="str">
        <f t="shared" si="40"/>
        <v>ME</v>
      </c>
      <c r="DL14" s="56">
        <v>7</v>
      </c>
      <c r="DM14" s="63">
        <v>7.99</v>
      </c>
      <c r="DN14" s="64">
        <v>3.1E-2</v>
      </c>
      <c r="DO14" s="64">
        <v>3.2000000000000001E-2</v>
      </c>
      <c r="DP14" s="64">
        <v>7.0999999999999994E-2</v>
      </c>
      <c r="DQ14" s="63">
        <v>6.93</v>
      </c>
      <c r="DR14" s="61">
        <v>18</v>
      </c>
      <c r="DS14" s="64">
        <v>1.046</v>
      </c>
      <c r="DT14" s="61">
        <v>84.2</v>
      </c>
      <c r="DU14" s="63">
        <v>4.2</v>
      </c>
      <c r="DV14" s="64">
        <v>1.766</v>
      </c>
      <c r="DW14" s="64">
        <v>1.91</v>
      </c>
      <c r="DX14" s="66" t="s">
        <v>242</v>
      </c>
      <c r="DY14" s="65" t="str">
        <f t="shared" si="41"/>
        <v>ME</v>
      </c>
      <c r="DZ14" s="128">
        <v>7</v>
      </c>
      <c r="EA14" s="173">
        <f t="shared" si="42"/>
        <v>0.10561497326203209</v>
      </c>
      <c r="EB14" s="173">
        <f t="shared" si="43"/>
        <v>0.12794117647058822</v>
      </c>
      <c r="EC14" s="173">
        <f t="shared" si="44"/>
        <v>0.879746835443038</v>
      </c>
      <c r="ED14" s="63">
        <v>1.02</v>
      </c>
      <c r="EE14" s="63">
        <v>1.1000000000000001</v>
      </c>
      <c r="EF14" s="63">
        <v>0.04</v>
      </c>
      <c r="EG14" s="63">
        <v>7.0000000000000007E-2</v>
      </c>
      <c r="EH14" s="127" t="str">
        <f t="shared" si="5"/>
        <v>ME</v>
      </c>
      <c r="EI14" s="56">
        <v>7</v>
      </c>
      <c r="EJ14" s="334"/>
      <c r="EK14" s="334"/>
      <c r="EL14" s="334"/>
      <c r="EM14" s="334"/>
      <c r="EN14" s="334"/>
      <c r="EO14" s="334"/>
      <c r="EP14" s="334"/>
      <c r="EQ14" s="65" t="str">
        <f t="shared" si="45"/>
        <v>ME</v>
      </c>
      <c r="ER14" s="20"/>
      <c r="ES14" s="20"/>
      <c r="ET14" s="20"/>
      <c r="EU14" s="20"/>
      <c r="EV14" s="20"/>
      <c r="EW14" s="20"/>
      <c r="EX14" s="20"/>
    </row>
    <row r="15" spans="1:154" s="3" customFormat="1" ht="17.149999999999999" customHeight="1" x14ac:dyDescent="0.25">
      <c r="A15" s="56">
        <v>8</v>
      </c>
      <c r="B15" s="57">
        <v>895232</v>
      </c>
      <c r="C15" s="58">
        <f t="shared" si="6"/>
        <v>277</v>
      </c>
      <c r="D15" s="167">
        <v>9.41</v>
      </c>
      <c r="E15" s="57">
        <v>799545</v>
      </c>
      <c r="F15" s="58">
        <f t="shared" si="7"/>
        <v>239</v>
      </c>
      <c r="G15" s="168">
        <v>2.09</v>
      </c>
      <c r="H15" s="57">
        <v>756112</v>
      </c>
      <c r="I15" s="58">
        <f t="shared" si="0"/>
        <v>202</v>
      </c>
      <c r="J15" s="60" t="s">
        <v>338</v>
      </c>
      <c r="K15" s="56">
        <v>8</v>
      </c>
      <c r="L15" s="57">
        <v>70077</v>
      </c>
      <c r="M15" s="58">
        <f t="shared" si="8"/>
        <v>48</v>
      </c>
      <c r="N15" s="57">
        <v>178209</v>
      </c>
      <c r="O15" s="58">
        <f t="shared" si="9"/>
        <v>61</v>
      </c>
      <c r="P15" s="57">
        <v>194749</v>
      </c>
      <c r="Q15" s="169" t="str">
        <f t="shared" si="1"/>
        <v/>
      </c>
      <c r="R15" s="57">
        <v>679</v>
      </c>
      <c r="S15" s="57">
        <v>687</v>
      </c>
      <c r="T15" s="57">
        <v>142</v>
      </c>
      <c r="U15" s="57">
        <v>139</v>
      </c>
      <c r="V15" s="58" t="str">
        <f t="shared" si="10"/>
        <v>SA</v>
      </c>
      <c r="W15" s="56">
        <v>8</v>
      </c>
      <c r="X15" s="63">
        <v>11834.27</v>
      </c>
      <c r="Y15" s="130">
        <f t="shared" si="11"/>
        <v>4.7899999999990541</v>
      </c>
      <c r="Z15" s="63">
        <v>12596.63</v>
      </c>
      <c r="AA15" s="130">
        <f t="shared" si="12"/>
        <v>3.5600000000013097</v>
      </c>
      <c r="AB15" s="63">
        <v>9928.2999999999993</v>
      </c>
      <c r="AC15" s="130">
        <f t="shared" si="13"/>
        <v>3.7800000000006548</v>
      </c>
      <c r="AD15" s="63">
        <v>10031.950000000001</v>
      </c>
      <c r="AE15" s="130">
        <f t="shared" si="2"/>
        <v>1.569999999999709</v>
      </c>
      <c r="AF15" s="125" t="str">
        <f t="shared" si="14"/>
        <v>SA</v>
      </c>
      <c r="AG15" s="56">
        <v>8</v>
      </c>
      <c r="AH15" s="63">
        <v>47303.1</v>
      </c>
      <c r="AI15" s="130">
        <f t="shared" si="15"/>
        <v>14.480000000003201</v>
      </c>
      <c r="AJ15" s="63">
        <v>49444.17</v>
      </c>
      <c r="AK15" s="130">
        <f t="shared" si="16"/>
        <v>14.150000000001455</v>
      </c>
      <c r="AL15" s="63">
        <v>587.16</v>
      </c>
      <c r="AM15" s="130"/>
      <c r="AN15" s="63">
        <v>548.61</v>
      </c>
      <c r="AO15" s="130" t="str">
        <f t="shared" si="3"/>
        <v/>
      </c>
      <c r="AP15" s="125" t="str">
        <f t="shared" si="18"/>
        <v>SA</v>
      </c>
      <c r="AQ15" s="56">
        <v>8</v>
      </c>
      <c r="AR15" s="63">
        <v>6808.79</v>
      </c>
      <c r="AS15" s="130">
        <f t="shared" si="19"/>
        <v>2.1899999999995998</v>
      </c>
      <c r="AT15" s="63">
        <v>7579.62</v>
      </c>
      <c r="AU15" s="130">
        <f t="shared" si="20"/>
        <v>2.6300000000001091</v>
      </c>
      <c r="AV15" s="63">
        <v>257.24</v>
      </c>
      <c r="AW15" s="130">
        <f t="shared" si="21"/>
        <v>0.33999999999997499</v>
      </c>
      <c r="AX15" s="63">
        <v>244.24</v>
      </c>
      <c r="AY15" s="130" t="str">
        <f t="shared" si="4"/>
        <v/>
      </c>
      <c r="AZ15" s="125" t="str">
        <f t="shared" si="22"/>
        <v>SA</v>
      </c>
      <c r="BA15" s="56">
        <v>8</v>
      </c>
      <c r="BB15" s="63"/>
      <c r="BC15" s="62"/>
      <c r="BD15" s="61"/>
      <c r="BE15" s="61"/>
      <c r="BF15" s="61"/>
      <c r="BG15" s="61"/>
      <c r="BH15" s="64"/>
      <c r="BI15" s="64"/>
      <c r="BJ15" s="64"/>
      <c r="BK15" s="64"/>
      <c r="BL15" s="64"/>
      <c r="BM15" s="64"/>
      <c r="BN15" s="65" t="str">
        <f t="shared" si="23"/>
        <v>SA</v>
      </c>
      <c r="BO15" s="56">
        <v>8</v>
      </c>
      <c r="BP15" s="64">
        <v>0.1</v>
      </c>
      <c r="BQ15" s="62">
        <v>0</v>
      </c>
      <c r="BR15" s="61">
        <v>7.2</v>
      </c>
      <c r="BS15" s="61">
        <v>18.100000000000001</v>
      </c>
      <c r="BT15" s="61">
        <v>17.3</v>
      </c>
      <c r="BU15" s="64">
        <v>1.4999999999999999E-2</v>
      </c>
      <c r="BV15" s="63">
        <v>1.1499999999999999</v>
      </c>
      <c r="BW15" s="63">
        <v>0.88</v>
      </c>
      <c r="BX15" s="66" t="s">
        <v>243</v>
      </c>
      <c r="BY15" s="172" t="s">
        <v>239</v>
      </c>
      <c r="BZ15" s="67" t="str">
        <f t="shared" si="24"/>
        <v>SA</v>
      </c>
      <c r="CA15" s="56">
        <v>8</v>
      </c>
      <c r="CB15" s="61">
        <v>89.8</v>
      </c>
      <c r="CC15" s="61"/>
      <c r="CD15" s="68">
        <f t="shared" si="25"/>
        <v>2.2000000000000028</v>
      </c>
      <c r="CE15" s="69">
        <f t="shared" si="26"/>
        <v>10.239383000000014</v>
      </c>
      <c r="CF15" s="69">
        <f t="shared" si="27"/>
        <v>6.082801782178227</v>
      </c>
      <c r="CG15" s="62">
        <v>75</v>
      </c>
      <c r="CH15" s="62">
        <v>100</v>
      </c>
      <c r="CI15" s="65" t="str">
        <f t="shared" si="28"/>
        <v>SA</v>
      </c>
      <c r="CJ15" s="56">
        <v>8</v>
      </c>
      <c r="CK15" s="61">
        <v>90.4</v>
      </c>
      <c r="CL15" s="61"/>
      <c r="CM15" s="68">
        <f t="shared" si="29"/>
        <v>3.4000000000000057</v>
      </c>
      <c r="CN15" s="68">
        <f t="shared" si="30"/>
        <v>15.824501000000028</v>
      </c>
      <c r="CO15" s="68">
        <f t="shared" si="31"/>
        <v>22.717013800180546</v>
      </c>
      <c r="CP15" s="62">
        <v>54</v>
      </c>
      <c r="CQ15" s="62">
        <v>83</v>
      </c>
      <c r="CR15" s="65" t="str">
        <f t="shared" si="32"/>
        <v>SA</v>
      </c>
      <c r="CS15" s="56">
        <v>8</v>
      </c>
      <c r="CT15" s="61">
        <v>108.8</v>
      </c>
      <c r="CU15" s="61"/>
      <c r="CV15" s="68">
        <f t="shared" si="33"/>
        <v>2.5999999999999943</v>
      </c>
      <c r="CW15" s="68">
        <f t="shared" si="34"/>
        <v>17.275023999999963</v>
      </c>
      <c r="CX15" s="69">
        <f t="shared" si="35"/>
        <v>6.2364707581227301E-2</v>
      </c>
      <c r="CY15" s="66" t="s">
        <v>240</v>
      </c>
      <c r="CZ15" s="66" t="s">
        <v>241</v>
      </c>
      <c r="DA15" s="66"/>
      <c r="DB15" s="65" t="str">
        <f t="shared" si="36"/>
        <v>SA</v>
      </c>
      <c r="DC15" s="56">
        <v>8</v>
      </c>
      <c r="DD15" s="61">
        <v>87</v>
      </c>
      <c r="DE15" s="61">
        <v>106.7</v>
      </c>
      <c r="DF15" s="68">
        <f t="shared" si="37"/>
        <v>28.200000000000003</v>
      </c>
      <c r="DG15" s="69">
        <f t="shared" si="38"/>
        <v>1.5214246521600001</v>
      </c>
      <c r="DH15" s="68">
        <f t="shared" si="39"/>
        <v>5.4925077695306861</v>
      </c>
      <c r="DI15" s="62">
        <v>90</v>
      </c>
      <c r="DJ15" s="62">
        <v>54</v>
      </c>
      <c r="DK15" s="65" t="str">
        <f t="shared" si="40"/>
        <v>SA</v>
      </c>
      <c r="DL15" s="56">
        <v>8</v>
      </c>
      <c r="DM15" s="63">
        <v>7.92</v>
      </c>
      <c r="DN15" s="64">
        <v>2.9000000000000001E-2</v>
      </c>
      <c r="DO15" s="64">
        <v>0.03</v>
      </c>
      <c r="DP15" s="64">
        <v>6.9000000000000006E-2</v>
      </c>
      <c r="DQ15" s="63">
        <v>6.94</v>
      </c>
      <c r="DR15" s="61">
        <v>18.100000000000001</v>
      </c>
      <c r="DS15" s="64">
        <v>1.0780000000000001</v>
      </c>
      <c r="DT15" s="61">
        <v>84.3</v>
      </c>
      <c r="DU15" s="63">
        <v>4.2300000000000004</v>
      </c>
      <c r="DV15" s="64">
        <v>0.70899999999999996</v>
      </c>
      <c r="DW15" s="64">
        <v>0.53600000000000003</v>
      </c>
      <c r="DX15" s="66" t="s">
        <v>247</v>
      </c>
      <c r="DY15" s="65" t="str">
        <f t="shared" si="41"/>
        <v>SA</v>
      </c>
      <c r="DZ15" s="128">
        <v>8</v>
      </c>
      <c r="EA15" s="173">
        <f t="shared" si="42"/>
        <v>0.18516042780748662</v>
      </c>
      <c r="EB15" s="173">
        <f t="shared" si="43"/>
        <v>0.17573529411764705</v>
      </c>
      <c r="EC15" s="173">
        <f t="shared" si="44"/>
        <v>0.72924187725631773</v>
      </c>
      <c r="ED15" s="63">
        <v>1.03</v>
      </c>
      <c r="EE15" s="63">
        <v>1.19</v>
      </c>
      <c r="EF15" s="63">
        <v>0.04</v>
      </c>
      <c r="EG15" s="63">
        <v>0.06</v>
      </c>
      <c r="EH15" s="127" t="str">
        <f t="shared" si="5"/>
        <v>SA</v>
      </c>
      <c r="EI15" s="56">
        <v>8</v>
      </c>
      <c r="EJ15" s="334"/>
      <c r="EK15" s="334"/>
      <c r="EL15" s="334"/>
      <c r="EM15" s="334"/>
      <c r="EN15" s="334"/>
      <c r="EO15" s="334"/>
      <c r="EP15" s="334"/>
      <c r="EQ15" s="65" t="str">
        <f t="shared" si="45"/>
        <v>SA</v>
      </c>
      <c r="ER15" s="20"/>
      <c r="ES15" s="20"/>
      <c r="ET15" s="20"/>
      <c r="EU15" s="20"/>
      <c r="EV15" s="20"/>
      <c r="EW15" s="20"/>
      <c r="EX15" s="20"/>
    </row>
    <row r="16" spans="1:154" s="3" customFormat="1" ht="17.149999999999999" customHeight="1" x14ac:dyDescent="0.25">
      <c r="A16" s="56">
        <v>9</v>
      </c>
      <c r="B16" s="57">
        <v>895509</v>
      </c>
      <c r="C16" s="58">
        <f t="shared" si="6"/>
        <v>158</v>
      </c>
      <c r="D16" s="167">
        <v>9.39</v>
      </c>
      <c r="E16" s="57">
        <v>799784</v>
      </c>
      <c r="F16" s="58">
        <f t="shared" si="7"/>
        <v>196</v>
      </c>
      <c r="G16" s="168">
        <v>3.32</v>
      </c>
      <c r="H16" s="57">
        <v>756314</v>
      </c>
      <c r="I16" s="58">
        <f t="shared" si="0"/>
        <v>138</v>
      </c>
      <c r="J16" s="60" t="s">
        <v>338</v>
      </c>
      <c r="K16" s="56">
        <v>9</v>
      </c>
      <c r="L16" s="57">
        <v>70125</v>
      </c>
      <c r="M16" s="58" t="str">
        <f t="shared" si="8"/>
        <v/>
      </c>
      <c r="N16" s="57">
        <v>178270</v>
      </c>
      <c r="O16" s="58">
        <f t="shared" si="9"/>
        <v>47</v>
      </c>
      <c r="P16" s="57">
        <v>194749</v>
      </c>
      <c r="Q16" s="169" t="str">
        <f t="shared" si="1"/>
        <v/>
      </c>
      <c r="R16" s="57">
        <v>680</v>
      </c>
      <c r="S16" s="57">
        <v>687</v>
      </c>
      <c r="T16" s="57">
        <v>142</v>
      </c>
      <c r="U16" s="57">
        <v>139</v>
      </c>
      <c r="V16" s="58" t="str">
        <f t="shared" si="10"/>
        <v>SA</v>
      </c>
      <c r="W16" s="56">
        <v>9</v>
      </c>
      <c r="X16" s="63">
        <v>11839.06</v>
      </c>
      <c r="Y16" s="130">
        <f t="shared" si="11"/>
        <v>2.2700000000004366</v>
      </c>
      <c r="Z16" s="63">
        <v>12600.19</v>
      </c>
      <c r="AA16" s="130">
        <f t="shared" si="12"/>
        <v>2.3500000000003638</v>
      </c>
      <c r="AB16" s="63">
        <v>9932.08</v>
      </c>
      <c r="AC16" s="130">
        <f t="shared" si="13"/>
        <v>1.8899999999994179</v>
      </c>
      <c r="AD16" s="63">
        <v>10033.52</v>
      </c>
      <c r="AE16" s="130">
        <f t="shared" si="2"/>
        <v>1.8999999999996362</v>
      </c>
      <c r="AF16" s="125" t="str">
        <f t="shared" si="14"/>
        <v>SA</v>
      </c>
      <c r="AG16" s="56">
        <v>9</v>
      </c>
      <c r="AH16" s="63">
        <v>47317.58</v>
      </c>
      <c r="AI16" s="130">
        <f t="shared" si="15"/>
        <v>13.040000000000873</v>
      </c>
      <c r="AJ16" s="63">
        <v>49458.32</v>
      </c>
      <c r="AK16" s="130">
        <f t="shared" si="16"/>
        <v>9.8499999999985448</v>
      </c>
      <c r="AL16" s="63">
        <v>587.16</v>
      </c>
      <c r="AM16" s="130">
        <f t="shared" si="17"/>
        <v>1.999999999998181E-2</v>
      </c>
      <c r="AN16" s="63">
        <v>548.61</v>
      </c>
      <c r="AO16" s="130" t="str">
        <f t="shared" si="3"/>
        <v/>
      </c>
      <c r="AP16" s="125" t="str">
        <f t="shared" si="18"/>
        <v>SA</v>
      </c>
      <c r="AQ16" s="56">
        <v>9</v>
      </c>
      <c r="AR16" s="63">
        <v>6810.98</v>
      </c>
      <c r="AS16" s="130">
        <f t="shared" si="19"/>
        <v>1.1000000000003638</v>
      </c>
      <c r="AT16" s="63">
        <v>7582.25</v>
      </c>
      <c r="AU16" s="130">
        <f t="shared" si="20"/>
        <v>2.4899999999997817</v>
      </c>
      <c r="AV16" s="63">
        <v>257.58</v>
      </c>
      <c r="AW16" s="130" t="str">
        <f t="shared" si="21"/>
        <v/>
      </c>
      <c r="AX16" s="63">
        <v>244.24</v>
      </c>
      <c r="AY16" s="130" t="str">
        <f t="shared" si="4"/>
        <v/>
      </c>
      <c r="AZ16" s="125" t="str">
        <f t="shared" si="22"/>
        <v>SA</v>
      </c>
      <c r="BA16" s="56">
        <v>9</v>
      </c>
      <c r="BB16" s="63"/>
      <c r="BC16" s="62"/>
      <c r="BD16" s="61"/>
      <c r="BE16" s="61"/>
      <c r="BF16" s="61"/>
      <c r="BG16" s="61"/>
      <c r="BH16" s="64"/>
      <c r="BI16" s="64"/>
      <c r="BJ16" s="64"/>
      <c r="BK16" s="64"/>
      <c r="BL16" s="64"/>
      <c r="BM16" s="64"/>
      <c r="BN16" s="65" t="str">
        <f t="shared" si="23"/>
        <v>SA</v>
      </c>
      <c r="BO16" s="56">
        <v>9</v>
      </c>
      <c r="BP16" s="64">
        <v>0.109</v>
      </c>
      <c r="BQ16" s="62">
        <v>0</v>
      </c>
      <c r="BR16" s="61">
        <v>7.2</v>
      </c>
      <c r="BS16" s="61">
        <v>18.2</v>
      </c>
      <c r="BT16" s="61">
        <v>18.899999999999999</v>
      </c>
      <c r="BU16" s="64">
        <v>1.6E-2</v>
      </c>
      <c r="BV16" s="63">
        <v>1.1200000000000001</v>
      </c>
      <c r="BW16" s="63">
        <v>0.91</v>
      </c>
      <c r="BX16" s="66" t="s">
        <v>387</v>
      </c>
      <c r="BY16" s="172" t="s">
        <v>239</v>
      </c>
      <c r="BZ16" s="67" t="str">
        <f t="shared" si="24"/>
        <v>SA</v>
      </c>
      <c r="CA16" s="56">
        <v>9</v>
      </c>
      <c r="CB16" s="61">
        <v>87.6</v>
      </c>
      <c r="CC16" s="61"/>
      <c r="CD16" s="68">
        <f t="shared" si="25"/>
        <v>1.5999999999999943</v>
      </c>
      <c r="CE16" s="69">
        <f t="shared" si="26"/>
        <v>7.4468239999999746</v>
      </c>
      <c r="CF16" s="69">
        <f t="shared" si="27"/>
        <v>6.47549913043476</v>
      </c>
      <c r="CG16" s="62">
        <v>75</v>
      </c>
      <c r="CH16" s="62">
        <v>100</v>
      </c>
      <c r="CI16" s="65" t="str">
        <f t="shared" si="28"/>
        <v>SA</v>
      </c>
      <c r="CJ16" s="56">
        <v>9</v>
      </c>
      <c r="CK16" s="61">
        <v>87</v>
      </c>
      <c r="CL16" s="61"/>
      <c r="CM16" s="68">
        <f t="shared" si="29"/>
        <v>2.0999999999999943</v>
      </c>
      <c r="CN16" s="68">
        <f t="shared" si="30"/>
        <v>9.773956499999974</v>
      </c>
      <c r="CO16" s="68">
        <f t="shared" si="31"/>
        <v>24.598821533069557</v>
      </c>
      <c r="CP16" s="62">
        <v>54</v>
      </c>
      <c r="CQ16" s="62">
        <v>83</v>
      </c>
      <c r="CR16" s="65" t="str">
        <f t="shared" si="32"/>
        <v>SA</v>
      </c>
      <c r="CS16" s="56">
        <v>9</v>
      </c>
      <c r="CT16" s="61">
        <v>106.2</v>
      </c>
      <c r="CU16" s="61"/>
      <c r="CV16" s="68">
        <f t="shared" si="33"/>
        <v>1.7999999999999972</v>
      </c>
      <c r="CW16" s="68">
        <f t="shared" si="34"/>
        <v>11.959631999999981</v>
      </c>
      <c r="CX16" s="69">
        <f t="shared" si="35"/>
        <v>7.5693873417721408E-2</v>
      </c>
      <c r="CY16" s="66" t="s">
        <v>240</v>
      </c>
      <c r="CZ16" s="66" t="s">
        <v>241</v>
      </c>
      <c r="DA16" s="66"/>
      <c r="DB16" s="65" t="str">
        <f t="shared" si="36"/>
        <v>SA</v>
      </c>
      <c r="DC16" s="56">
        <v>9</v>
      </c>
      <c r="DD16" s="61">
        <v>78.5</v>
      </c>
      <c r="DE16" s="61">
        <v>105.1</v>
      </c>
      <c r="DF16" s="68">
        <f t="shared" si="37"/>
        <v>15.099999999999994</v>
      </c>
      <c r="DG16" s="69">
        <f t="shared" si="38"/>
        <v>0.81466355487999975</v>
      </c>
      <c r="DH16" s="68">
        <f t="shared" si="39"/>
        <v>5.1560984486075938</v>
      </c>
      <c r="DI16" s="62">
        <v>90</v>
      </c>
      <c r="DJ16" s="62">
        <v>54</v>
      </c>
      <c r="DK16" s="65" t="str">
        <f t="shared" si="40"/>
        <v>SA</v>
      </c>
      <c r="DL16" s="56">
        <v>9</v>
      </c>
      <c r="DM16" s="63">
        <v>7.89</v>
      </c>
      <c r="DN16" s="64">
        <v>3.1E-2</v>
      </c>
      <c r="DO16" s="64">
        <v>0.03</v>
      </c>
      <c r="DP16" s="64">
        <v>6.5000000000000002E-2</v>
      </c>
      <c r="DQ16" s="63">
        <v>6.93</v>
      </c>
      <c r="DR16" s="61">
        <v>18.2</v>
      </c>
      <c r="DS16" s="64">
        <v>1.1779999999999999</v>
      </c>
      <c r="DT16" s="61">
        <v>86.9</v>
      </c>
      <c r="DU16" s="63">
        <v>4.29</v>
      </c>
      <c r="DV16" s="64">
        <v>1.2529999999999999</v>
      </c>
      <c r="DW16" s="64">
        <v>1.35</v>
      </c>
      <c r="DX16" s="66" t="s">
        <v>242</v>
      </c>
      <c r="DY16" s="65" t="str">
        <f t="shared" si="41"/>
        <v>SA</v>
      </c>
      <c r="DZ16" s="128">
        <v>9</v>
      </c>
      <c r="EA16" s="173">
        <f t="shared" si="42"/>
        <v>0.10561497326203209</v>
      </c>
      <c r="EB16" s="173">
        <f t="shared" si="43"/>
        <v>0.14411764705882352</v>
      </c>
      <c r="EC16" s="173">
        <f t="shared" si="44"/>
        <v>0.87341772151898733</v>
      </c>
      <c r="ED16" s="63">
        <v>1.08</v>
      </c>
      <c r="EE16" s="63">
        <v>1.24</v>
      </c>
      <c r="EF16" s="63">
        <v>0.05</v>
      </c>
      <c r="EG16" s="63">
        <v>0.04</v>
      </c>
      <c r="EH16" s="127" t="str">
        <f t="shared" si="5"/>
        <v>SA</v>
      </c>
      <c r="EI16" s="56">
        <v>9</v>
      </c>
      <c r="EJ16" s="334" t="s">
        <v>390</v>
      </c>
      <c r="EK16" s="334"/>
      <c r="EL16" s="334"/>
      <c r="EM16" s="334"/>
      <c r="EN16" s="334"/>
      <c r="EO16" s="334"/>
      <c r="EP16" s="334"/>
      <c r="EQ16" s="65" t="str">
        <f t="shared" si="45"/>
        <v>SA</v>
      </c>
      <c r="ER16" s="20"/>
      <c r="ES16" s="20"/>
      <c r="ET16" s="20"/>
      <c r="EU16" s="20"/>
      <c r="EV16" s="20"/>
      <c r="EW16" s="20"/>
      <c r="EX16" s="20"/>
    </row>
    <row r="17" spans="1:154" s="3" customFormat="1" ht="17.149999999999999" customHeight="1" x14ac:dyDescent="0.25">
      <c r="A17" s="56">
        <v>10</v>
      </c>
      <c r="B17" s="57">
        <v>895667</v>
      </c>
      <c r="C17" s="58">
        <f t="shared" si="6"/>
        <v>198</v>
      </c>
      <c r="D17" s="167">
        <v>9.3000000000000007</v>
      </c>
      <c r="E17" s="57">
        <v>799980</v>
      </c>
      <c r="F17" s="58">
        <f t="shared" si="7"/>
        <v>223</v>
      </c>
      <c r="G17" s="168">
        <v>3.19</v>
      </c>
      <c r="H17" s="57">
        <v>756452</v>
      </c>
      <c r="I17" s="58">
        <f t="shared" si="0"/>
        <v>161</v>
      </c>
      <c r="J17" s="60" t="s">
        <v>338</v>
      </c>
      <c r="K17" s="56">
        <v>10</v>
      </c>
      <c r="L17" s="57">
        <v>70125</v>
      </c>
      <c r="M17" s="58" t="str">
        <f t="shared" si="8"/>
        <v/>
      </c>
      <c r="N17" s="57">
        <v>178317</v>
      </c>
      <c r="O17" s="58">
        <f t="shared" si="9"/>
        <v>45</v>
      </c>
      <c r="P17" s="57">
        <v>194749</v>
      </c>
      <c r="Q17" s="169" t="str">
        <f t="shared" si="1"/>
        <v/>
      </c>
      <c r="R17" s="57">
        <v>680</v>
      </c>
      <c r="S17" s="57">
        <v>687</v>
      </c>
      <c r="T17" s="57">
        <v>142</v>
      </c>
      <c r="U17" s="57">
        <v>139</v>
      </c>
      <c r="V17" s="58" t="str">
        <f t="shared" si="10"/>
        <v>SA</v>
      </c>
      <c r="W17" s="56">
        <v>10</v>
      </c>
      <c r="X17" s="63">
        <v>11841.33</v>
      </c>
      <c r="Y17" s="130">
        <f t="shared" si="11"/>
        <v>3.0900000000001455</v>
      </c>
      <c r="Z17" s="63">
        <v>12602.54</v>
      </c>
      <c r="AA17" s="130">
        <f t="shared" si="12"/>
        <v>2.75</v>
      </c>
      <c r="AB17" s="63">
        <v>9933.9699999999993</v>
      </c>
      <c r="AC17" s="130">
        <f t="shared" si="13"/>
        <v>1.9500000000007276</v>
      </c>
      <c r="AD17" s="63">
        <v>10035.42</v>
      </c>
      <c r="AE17" s="130">
        <f t="shared" si="2"/>
        <v>2.25</v>
      </c>
      <c r="AF17" s="125" t="str">
        <f t="shared" si="14"/>
        <v>SA</v>
      </c>
      <c r="AG17" s="56">
        <v>10</v>
      </c>
      <c r="AH17" s="63">
        <v>47330.62</v>
      </c>
      <c r="AI17" s="130">
        <f t="shared" si="15"/>
        <v>11.989999999997963</v>
      </c>
      <c r="AJ17" s="63">
        <v>49468.17</v>
      </c>
      <c r="AK17" s="130">
        <f t="shared" si="16"/>
        <v>10.630000000004657</v>
      </c>
      <c r="AL17" s="63">
        <v>587.17999999999995</v>
      </c>
      <c r="AM17" s="130" t="str">
        <f t="shared" si="17"/>
        <v/>
      </c>
      <c r="AN17" s="63">
        <v>548.61</v>
      </c>
      <c r="AO17" s="130" t="str">
        <f t="shared" si="3"/>
        <v/>
      </c>
      <c r="AP17" s="125" t="str">
        <f t="shared" si="18"/>
        <v>SA</v>
      </c>
      <c r="AQ17" s="56">
        <v>10</v>
      </c>
      <c r="AR17" s="63">
        <v>6812.08</v>
      </c>
      <c r="AS17" s="130">
        <f t="shared" si="19"/>
        <v>2.2399999999997817</v>
      </c>
      <c r="AT17" s="63">
        <v>7584.74</v>
      </c>
      <c r="AU17" s="130">
        <f t="shared" si="20"/>
        <v>2.9700000000002547</v>
      </c>
      <c r="AV17" s="63">
        <v>257.58</v>
      </c>
      <c r="AW17" s="130" t="str">
        <f t="shared" si="21"/>
        <v/>
      </c>
      <c r="AX17" s="63">
        <v>244.24</v>
      </c>
      <c r="AY17" s="130" t="str">
        <f t="shared" si="4"/>
        <v/>
      </c>
      <c r="AZ17" s="125" t="str">
        <f t="shared" si="22"/>
        <v>SA</v>
      </c>
      <c r="BA17" s="56">
        <v>10</v>
      </c>
      <c r="BB17" s="63"/>
      <c r="BC17" s="62"/>
      <c r="BD17" s="61"/>
      <c r="BE17" s="61"/>
      <c r="BF17" s="61"/>
      <c r="BG17" s="61"/>
      <c r="BH17" s="64"/>
      <c r="BI17" s="64"/>
      <c r="BJ17" s="64"/>
      <c r="BK17" s="64"/>
      <c r="BL17" s="64"/>
      <c r="BM17" s="64"/>
      <c r="BN17" s="65" t="str">
        <f t="shared" si="23"/>
        <v>SA</v>
      </c>
      <c r="BO17" s="56">
        <v>10</v>
      </c>
      <c r="BP17" s="64">
        <v>9.8000000000000004E-2</v>
      </c>
      <c r="BQ17" s="62">
        <v>0</v>
      </c>
      <c r="BR17" s="61">
        <v>7.2</v>
      </c>
      <c r="BS17" s="61">
        <v>18.3</v>
      </c>
      <c r="BT17" s="61">
        <v>16.3</v>
      </c>
      <c r="BU17" s="64">
        <v>1.6E-2</v>
      </c>
      <c r="BV17" s="63">
        <v>1.25</v>
      </c>
      <c r="BW17" s="63">
        <v>0.88</v>
      </c>
      <c r="BX17" s="66" t="s">
        <v>388</v>
      </c>
      <c r="BY17" s="172" t="s">
        <v>239</v>
      </c>
      <c r="BZ17" s="67" t="str">
        <f t="shared" si="24"/>
        <v>SA</v>
      </c>
      <c r="CA17" s="56">
        <v>10</v>
      </c>
      <c r="CB17" s="61">
        <v>86</v>
      </c>
      <c r="CC17" s="61"/>
      <c r="CD17" s="68">
        <f t="shared" si="25"/>
        <v>1.4000000000000057</v>
      </c>
      <c r="CE17" s="69">
        <f t="shared" si="26"/>
        <v>6.515971000000027</v>
      </c>
      <c r="CF17" s="69">
        <f t="shared" si="27"/>
        <v>4.8566243478261066</v>
      </c>
      <c r="CG17" s="62">
        <v>75</v>
      </c>
      <c r="CH17" s="62">
        <v>100</v>
      </c>
      <c r="CI17" s="65" t="str">
        <f t="shared" si="28"/>
        <v>SA</v>
      </c>
      <c r="CJ17" s="56">
        <v>10</v>
      </c>
      <c r="CK17" s="61">
        <v>84.9</v>
      </c>
      <c r="CL17" s="61"/>
      <c r="CM17" s="68">
        <f t="shared" si="29"/>
        <v>2.1000000000000085</v>
      </c>
      <c r="CN17" s="68">
        <f t="shared" si="30"/>
        <v>9.7739565000000397</v>
      </c>
      <c r="CO17" s="68">
        <f t="shared" si="31"/>
        <v>19.62936263750008</v>
      </c>
      <c r="CP17" s="62">
        <v>54</v>
      </c>
      <c r="CQ17" s="62">
        <v>83</v>
      </c>
      <c r="CR17" s="65" t="str">
        <f t="shared" si="32"/>
        <v>SA</v>
      </c>
      <c r="CS17" s="56">
        <v>10</v>
      </c>
      <c r="CT17" s="61">
        <v>104.4</v>
      </c>
      <c r="CU17" s="61">
        <v>100.2</v>
      </c>
      <c r="CV17" s="68">
        <f t="shared" si="33"/>
        <v>1.9000000000000057</v>
      </c>
      <c r="CW17" s="68">
        <f t="shared" si="34"/>
        <v>12.624056000000037</v>
      </c>
      <c r="CX17" s="69">
        <f t="shared" si="35"/>
        <v>6.3757858585858765E-2</v>
      </c>
      <c r="CY17" s="66" t="s">
        <v>240</v>
      </c>
      <c r="CZ17" s="66" t="s">
        <v>241</v>
      </c>
      <c r="DA17" s="66" t="s">
        <v>242</v>
      </c>
      <c r="DB17" s="65" t="s">
        <v>338</v>
      </c>
      <c r="DC17" s="56">
        <v>10</v>
      </c>
      <c r="DD17" s="61">
        <v>90</v>
      </c>
      <c r="DE17" s="61">
        <v>105.5</v>
      </c>
      <c r="DF17" s="68">
        <f t="shared" si="37"/>
        <v>16.900000000000006</v>
      </c>
      <c r="DG17" s="69">
        <f t="shared" si="38"/>
        <v>0.91177576672000027</v>
      </c>
      <c r="DH17" s="68">
        <f t="shared" si="39"/>
        <v>4.6049281147474765</v>
      </c>
      <c r="DI17" s="62">
        <v>90</v>
      </c>
      <c r="DJ17" s="62">
        <v>54</v>
      </c>
      <c r="DK17" s="65" t="str">
        <f t="shared" si="40"/>
        <v>SA</v>
      </c>
      <c r="DL17" s="56">
        <v>10</v>
      </c>
      <c r="DM17" s="63">
        <v>7.98</v>
      </c>
      <c r="DN17" s="64">
        <v>3.1E-2</v>
      </c>
      <c r="DO17" s="64">
        <v>0.03</v>
      </c>
      <c r="DP17" s="64">
        <v>0.16800000000000001</v>
      </c>
      <c r="DQ17" s="63">
        <v>6.93</v>
      </c>
      <c r="DR17" s="61">
        <v>18.3</v>
      </c>
      <c r="DS17" s="64">
        <v>1.244</v>
      </c>
      <c r="DT17" s="61">
        <v>83.7</v>
      </c>
      <c r="DU17" s="63">
        <v>4.25</v>
      </c>
      <c r="DV17" s="64">
        <v>0.76400000000000001</v>
      </c>
      <c r="DW17" s="64">
        <v>1.75</v>
      </c>
      <c r="DX17" s="66" t="s">
        <v>242</v>
      </c>
      <c r="DY17" s="65" t="str">
        <f t="shared" si="41"/>
        <v>SA</v>
      </c>
      <c r="DZ17" s="128">
        <v>10</v>
      </c>
      <c r="EA17" s="173">
        <f t="shared" si="42"/>
        <v>0.13235294117647059</v>
      </c>
      <c r="EB17" s="173">
        <f t="shared" si="43"/>
        <v>0.16397058823529412</v>
      </c>
      <c r="EC17" s="173">
        <f t="shared" si="44"/>
        <v>0.81313131313131315</v>
      </c>
      <c r="ED17" s="284">
        <v>0</v>
      </c>
      <c r="EE17" s="284">
        <v>5.63</v>
      </c>
      <c r="EF17" s="63">
        <v>0.05</v>
      </c>
      <c r="EG17" s="63">
        <v>0.06</v>
      </c>
      <c r="EH17" s="127" t="str">
        <f t="shared" si="5"/>
        <v>SA</v>
      </c>
      <c r="EI17" s="56">
        <v>10</v>
      </c>
      <c r="EJ17" s="334" t="s">
        <v>391</v>
      </c>
      <c r="EK17" s="334"/>
      <c r="EL17" s="334"/>
      <c r="EM17" s="334"/>
      <c r="EN17" s="334"/>
      <c r="EO17" s="334"/>
      <c r="EP17" s="334"/>
      <c r="EQ17" s="65" t="str">
        <f t="shared" si="45"/>
        <v>SA</v>
      </c>
      <c r="ER17" s="20"/>
      <c r="ES17" s="20"/>
      <c r="ET17" s="20"/>
      <c r="EU17" s="20"/>
      <c r="EV17" s="20"/>
      <c r="EW17" s="20"/>
      <c r="EX17" s="20"/>
    </row>
    <row r="18" spans="1:154" s="3" customFormat="1" ht="17.149999999999999" customHeight="1" x14ac:dyDescent="0.25">
      <c r="A18" s="56">
        <v>11</v>
      </c>
      <c r="B18" s="57">
        <v>895865</v>
      </c>
      <c r="C18" s="58">
        <f t="shared" si="6"/>
        <v>207</v>
      </c>
      <c r="D18" s="167">
        <v>9.91</v>
      </c>
      <c r="E18" s="57">
        <v>800203</v>
      </c>
      <c r="F18" s="58">
        <f t="shared" si="7"/>
        <v>178</v>
      </c>
      <c r="G18" s="168">
        <v>2.4700000000000002</v>
      </c>
      <c r="H18" s="57">
        <v>756613</v>
      </c>
      <c r="I18" s="58">
        <f t="shared" si="0"/>
        <v>143</v>
      </c>
      <c r="J18" s="60" t="s">
        <v>194</v>
      </c>
      <c r="K18" s="56">
        <v>11</v>
      </c>
      <c r="L18" s="57">
        <v>70125</v>
      </c>
      <c r="M18" s="58">
        <f t="shared" si="8"/>
        <v>48</v>
      </c>
      <c r="N18" s="57">
        <v>178362</v>
      </c>
      <c r="O18" s="58">
        <f t="shared" si="9"/>
        <v>47</v>
      </c>
      <c r="P18" s="57">
        <v>194749</v>
      </c>
      <c r="Q18" s="169" t="str">
        <f t="shared" si="1"/>
        <v/>
      </c>
      <c r="R18" s="57">
        <v>680</v>
      </c>
      <c r="S18" s="57">
        <v>687</v>
      </c>
      <c r="T18" s="57">
        <v>142</v>
      </c>
      <c r="U18" s="57">
        <v>139</v>
      </c>
      <c r="V18" s="58" t="str">
        <f t="shared" si="10"/>
        <v>ME</v>
      </c>
      <c r="W18" s="56">
        <v>11</v>
      </c>
      <c r="X18" s="63">
        <v>11844.42</v>
      </c>
      <c r="Y18" s="130">
        <f t="shared" si="11"/>
        <v>2.75</v>
      </c>
      <c r="Z18" s="63">
        <v>12605.29</v>
      </c>
      <c r="AA18" s="130">
        <f t="shared" si="12"/>
        <v>3.5099999999983993</v>
      </c>
      <c r="AB18" s="63">
        <v>9935.92</v>
      </c>
      <c r="AC18" s="130">
        <f t="shared" si="13"/>
        <v>1.5900000000001455</v>
      </c>
      <c r="AD18" s="63">
        <v>10037.67</v>
      </c>
      <c r="AE18" s="130">
        <f t="shared" si="2"/>
        <v>2.2000000000007276</v>
      </c>
      <c r="AF18" s="125" t="str">
        <f t="shared" si="14"/>
        <v>ME</v>
      </c>
      <c r="AG18" s="56">
        <v>11</v>
      </c>
      <c r="AH18" s="63">
        <v>47342.61</v>
      </c>
      <c r="AI18" s="130">
        <f t="shared" si="15"/>
        <v>12.339999999996508</v>
      </c>
      <c r="AJ18" s="63">
        <v>49478.8</v>
      </c>
      <c r="AK18" s="130">
        <f t="shared" si="16"/>
        <v>10.469999999993888</v>
      </c>
      <c r="AL18" s="63">
        <v>587.17999999999995</v>
      </c>
      <c r="AM18" s="130" t="str">
        <f t="shared" si="17"/>
        <v/>
      </c>
      <c r="AN18" s="63">
        <v>548.61</v>
      </c>
      <c r="AO18" s="130" t="str">
        <f t="shared" si="3"/>
        <v/>
      </c>
      <c r="AP18" s="125" t="str">
        <f t="shared" si="18"/>
        <v>ME</v>
      </c>
      <c r="AQ18" s="56">
        <v>11</v>
      </c>
      <c r="AR18" s="63">
        <v>6814.32</v>
      </c>
      <c r="AS18" s="130">
        <f t="shared" si="19"/>
        <v>1.5200000000004366</v>
      </c>
      <c r="AT18" s="63">
        <v>7587.71</v>
      </c>
      <c r="AU18" s="130">
        <f t="shared" si="20"/>
        <v>2.2100000000000364</v>
      </c>
      <c r="AV18" s="63">
        <v>257.58</v>
      </c>
      <c r="AW18" s="130">
        <f t="shared" si="21"/>
        <v>0.33000000000004093</v>
      </c>
      <c r="AX18" s="63">
        <v>244.24</v>
      </c>
      <c r="AY18" s="130" t="str">
        <f t="shared" si="4"/>
        <v/>
      </c>
      <c r="AZ18" s="125" t="str">
        <f t="shared" si="22"/>
        <v>ME</v>
      </c>
      <c r="BA18" s="56">
        <v>11</v>
      </c>
      <c r="BB18" s="63">
        <v>1.33</v>
      </c>
      <c r="BC18" s="62">
        <v>33</v>
      </c>
      <c r="BD18" s="61">
        <v>7.2</v>
      </c>
      <c r="BE18" s="61">
        <v>20</v>
      </c>
      <c r="BF18" s="61">
        <v>16.8</v>
      </c>
      <c r="BG18" s="61">
        <v>7.2</v>
      </c>
      <c r="BH18" s="64">
        <v>0.14799999999999999</v>
      </c>
      <c r="BI18" s="64">
        <v>0.14699999999999999</v>
      </c>
      <c r="BJ18" s="64">
        <v>6.8000000000000005E-2</v>
      </c>
      <c r="BK18" s="64">
        <v>5.8999999999999997E-2</v>
      </c>
      <c r="BL18" s="64">
        <v>6.4000000000000001E-2</v>
      </c>
      <c r="BM18" s="64">
        <v>5.8000000000000003E-2</v>
      </c>
      <c r="BN18" s="65" t="str">
        <f t="shared" si="23"/>
        <v>ME</v>
      </c>
      <c r="BO18" s="56">
        <v>11</v>
      </c>
      <c r="BP18" s="64">
        <v>0.10199999999999999</v>
      </c>
      <c r="BQ18" s="62">
        <v>0</v>
      </c>
      <c r="BR18" s="61">
        <v>7.1</v>
      </c>
      <c r="BS18" s="61">
        <v>18.5</v>
      </c>
      <c r="BT18" s="61">
        <v>18.399999999999999</v>
      </c>
      <c r="BU18" s="64">
        <v>1.0999999999999999E-2</v>
      </c>
      <c r="BV18" s="63">
        <v>1.19</v>
      </c>
      <c r="BW18" s="63">
        <v>1.08</v>
      </c>
      <c r="BX18" s="66" t="s">
        <v>245</v>
      </c>
      <c r="BY18" s="172" t="s">
        <v>246</v>
      </c>
      <c r="BZ18" s="67" t="str">
        <f t="shared" si="24"/>
        <v>ME</v>
      </c>
      <c r="CA18" s="56">
        <v>11</v>
      </c>
      <c r="CB18" s="61">
        <v>84.6</v>
      </c>
      <c r="CC18" s="61">
        <v>97.8</v>
      </c>
      <c r="CD18" s="68">
        <f t="shared" si="25"/>
        <v>1.2999999999999972</v>
      </c>
      <c r="CE18" s="69">
        <f t="shared" si="26"/>
        <v>6.0505444999999876</v>
      </c>
      <c r="CF18" s="69">
        <f t="shared" si="27"/>
        <v>5.0773799999999891</v>
      </c>
      <c r="CG18" s="62">
        <v>68</v>
      </c>
      <c r="CH18" s="62">
        <v>100</v>
      </c>
      <c r="CI18" s="65" t="str">
        <f t="shared" si="28"/>
        <v>ME</v>
      </c>
      <c r="CJ18" s="56">
        <v>11</v>
      </c>
      <c r="CK18" s="61">
        <v>82.8</v>
      </c>
      <c r="CL18" s="61">
        <v>99.8</v>
      </c>
      <c r="CM18" s="68">
        <f t="shared" si="29"/>
        <v>2.7000000000000028</v>
      </c>
      <c r="CN18" s="68">
        <f t="shared" si="30"/>
        <v>12.566515500000014</v>
      </c>
      <c r="CO18" s="68">
        <f t="shared" si="31"/>
        <v>24.140458398913076</v>
      </c>
      <c r="CP18" s="62">
        <v>51</v>
      </c>
      <c r="CQ18" s="62">
        <v>83</v>
      </c>
      <c r="CR18" s="65" t="str">
        <f t="shared" si="32"/>
        <v>ME</v>
      </c>
      <c r="CS18" s="56">
        <v>11</v>
      </c>
      <c r="CT18" s="61">
        <v>98.3</v>
      </c>
      <c r="CU18" s="61"/>
      <c r="CV18" s="68">
        <f t="shared" si="33"/>
        <v>2.2000000000000028</v>
      </c>
      <c r="CW18" s="68">
        <f t="shared" si="34"/>
        <v>14.617328000000018</v>
      </c>
      <c r="CX18" s="69">
        <f t="shared" si="35"/>
        <v>7.0615111111111198E-2</v>
      </c>
      <c r="CY18" s="66" t="s">
        <v>240</v>
      </c>
      <c r="CZ18" s="66" t="s">
        <v>241</v>
      </c>
      <c r="DA18" s="66"/>
      <c r="DB18" s="65" t="str">
        <f t="shared" si="36"/>
        <v>ME</v>
      </c>
      <c r="DC18" s="56">
        <v>11</v>
      </c>
      <c r="DD18" s="61">
        <v>88.6</v>
      </c>
      <c r="DE18" s="61">
        <v>104.2</v>
      </c>
      <c r="DF18" s="68">
        <f t="shared" si="37"/>
        <v>19.700000000000003</v>
      </c>
      <c r="DG18" s="69">
        <f t="shared" si="38"/>
        <v>1.0628392073600004</v>
      </c>
      <c r="DH18" s="68">
        <f t="shared" si="39"/>
        <v>5.1344889244444456</v>
      </c>
      <c r="DI18" s="62">
        <v>85</v>
      </c>
      <c r="DJ18" s="62">
        <v>54</v>
      </c>
      <c r="DK18" s="65" t="str">
        <f t="shared" si="40"/>
        <v>ME</v>
      </c>
      <c r="DL18" s="56">
        <v>11</v>
      </c>
      <c r="DM18" s="63">
        <v>8.6</v>
      </c>
      <c r="DN18" s="64">
        <v>3.6999999999999998E-2</v>
      </c>
      <c r="DO18" s="64">
        <v>3.3000000000000002E-2</v>
      </c>
      <c r="DP18" s="64">
        <v>6.9000000000000006E-2</v>
      </c>
      <c r="DQ18" s="63">
        <v>6.91</v>
      </c>
      <c r="DR18" s="61">
        <v>18.5</v>
      </c>
      <c r="DS18" s="64">
        <v>1.26</v>
      </c>
      <c r="DT18" s="61">
        <v>84.1</v>
      </c>
      <c r="DU18" s="63">
        <v>4.17</v>
      </c>
      <c r="DV18" s="64">
        <v>0.69499999999999995</v>
      </c>
      <c r="DW18" s="64">
        <v>0.90500000000000003</v>
      </c>
      <c r="DX18" s="66" t="s">
        <v>247</v>
      </c>
      <c r="DY18" s="65" t="str">
        <f t="shared" si="41"/>
        <v>ME</v>
      </c>
      <c r="DZ18" s="128">
        <v>11</v>
      </c>
      <c r="EA18" s="173">
        <f t="shared" si="42"/>
        <v>0.13836898395721925</v>
      </c>
      <c r="EB18" s="173">
        <f t="shared" si="43"/>
        <v>0.13088235294117648</v>
      </c>
      <c r="EC18" s="173">
        <f t="shared" si="44"/>
        <v>0.6908212560386473</v>
      </c>
      <c r="ED18" s="63">
        <v>1.22</v>
      </c>
      <c r="EE18" s="63">
        <v>1.3</v>
      </c>
      <c r="EF18" s="63">
        <v>0.06</v>
      </c>
      <c r="EG18" s="63">
        <v>0.06</v>
      </c>
      <c r="EH18" s="127" t="str">
        <f t="shared" si="5"/>
        <v>ME</v>
      </c>
      <c r="EI18" s="56">
        <v>11</v>
      </c>
      <c r="EJ18" s="334"/>
      <c r="EK18" s="334"/>
      <c r="EL18" s="334"/>
      <c r="EM18" s="334"/>
      <c r="EN18" s="334"/>
      <c r="EO18" s="334"/>
      <c r="EP18" s="334"/>
      <c r="EQ18" s="65" t="str">
        <f t="shared" si="45"/>
        <v>ME</v>
      </c>
      <c r="ER18" s="20"/>
      <c r="ES18" s="20"/>
      <c r="ET18" s="20"/>
      <c r="EU18" s="20"/>
      <c r="EV18" s="20"/>
      <c r="EW18" s="20"/>
      <c r="EX18" s="20"/>
    </row>
    <row r="19" spans="1:154" s="3" customFormat="1" ht="17.149999999999999" customHeight="1" x14ac:dyDescent="0.25">
      <c r="A19" s="56">
        <v>12</v>
      </c>
      <c r="B19" s="57">
        <v>896072</v>
      </c>
      <c r="C19" s="58">
        <f t="shared" si="6"/>
        <v>162</v>
      </c>
      <c r="D19" s="167">
        <v>9.33</v>
      </c>
      <c r="E19" s="57">
        <v>800381</v>
      </c>
      <c r="F19" s="58">
        <f t="shared" si="7"/>
        <v>196</v>
      </c>
      <c r="G19" s="168">
        <v>1.5</v>
      </c>
      <c r="H19" s="57">
        <v>756756</v>
      </c>
      <c r="I19" s="58">
        <f t="shared" si="0"/>
        <v>142</v>
      </c>
      <c r="J19" s="60" t="s">
        <v>194</v>
      </c>
      <c r="K19" s="56">
        <v>12</v>
      </c>
      <c r="L19" s="57">
        <v>70173</v>
      </c>
      <c r="M19" s="58" t="str">
        <f t="shared" si="8"/>
        <v/>
      </c>
      <c r="N19" s="57">
        <v>178409</v>
      </c>
      <c r="O19" s="58">
        <f t="shared" si="9"/>
        <v>51</v>
      </c>
      <c r="P19" s="57">
        <v>194749</v>
      </c>
      <c r="Q19" s="169" t="str">
        <f t="shared" si="1"/>
        <v/>
      </c>
      <c r="R19" s="57">
        <v>680</v>
      </c>
      <c r="S19" s="57">
        <v>687</v>
      </c>
      <c r="T19" s="57">
        <v>142</v>
      </c>
      <c r="U19" s="57">
        <v>139</v>
      </c>
      <c r="V19" s="58" t="str">
        <f t="shared" si="10"/>
        <v>ME</v>
      </c>
      <c r="W19" s="56">
        <v>12</v>
      </c>
      <c r="X19" s="63">
        <v>11847.17</v>
      </c>
      <c r="Y19" s="130">
        <f t="shared" si="11"/>
        <v>2.4400000000005093</v>
      </c>
      <c r="Z19" s="63">
        <v>12608.8</v>
      </c>
      <c r="AA19" s="130">
        <f t="shared" si="12"/>
        <v>2.3400000000001455</v>
      </c>
      <c r="AB19" s="63">
        <v>9937.51</v>
      </c>
      <c r="AC19" s="130">
        <f t="shared" si="13"/>
        <v>1.8699999999989814</v>
      </c>
      <c r="AD19" s="63">
        <v>10039.870000000001</v>
      </c>
      <c r="AE19" s="130">
        <f t="shared" si="2"/>
        <v>1.929999999998472</v>
      </c>
      <c r="AF19" s="125" t="str">
        <f t="shared" si="14"/>
        <v>ME</v>
      </c>
      <c r="AG19" s="56">
        <v>12</v>
      </c>
      <c r="AH19" s="63">
        <v>47354.95</v>
      </c>
      <c r="AI19" s="130">
        <f t="shared" si="15"/>
        <v>10.590000000003783</v>
      </c>
      <c r="AJ19" s="63">
        <v>49489.27</v>
      </c>
      <c r="AK19" s="130">
        <f t="shared" si="16"/>
        <v>13.540000000000873</v>
      </c>
      <c r="AL19" s="63">
        <v>587.17999999999995</v>
      </c>
      <c r="AM19" s="130" t="str">
        <f t="shared" si="17"/>
        <v/>
      </c>
      <c r="AN19" s="63">
        <v>548.61</v>
      </c>
      <c r="AO19" s="130" t="str">
        <f t="shared" si="3"/>
        <v/>
      </c>
      <c r="AP19" s="125" t="str">
        <f t="shared" si="18"/>
        <v>ME</v>
      </c>
      <c r="AQ19" s="56">
        <v>12</v>
      </c>
      <c r="AR19" s="63">
        <v>6815.84</v>
      </c>
      <c r="AS19" s="130">
        <f t="shared" si="19"/>
        <v>1.7699999999995271</v>
      </c>
      <c r="AT19" s="63">
        <v>7589.92</v>
      </c>
      <c r="AU19" s="130">
        <f t="shared" si="20"/>
        <v>2.75</v>
      </c>
      <c r="AV19" s="63">
        <v>257.91000000000003</v>
      </c>
      <c r="AW19" s="130" t="str">
        <f t="shared" si="21"/>
        <v/>
      </c>
      <c r="AX19" s="63">
        <v>244.24</v>
      </c>
      <c r="AY19" s="130" t="str">
        <f t="shared" si="4"/>
        <v/>
      </c>
      <c r="AZ19" s="125" t="str">
        <f t="shared" si="22"/>
        <v>ME</v>
      </c>
      <c r="BA19" s="56">
        <v>12</v>
      </c>
      <c r="BB19" s="63">
        <v>1.28</v>
      </c>
      <c r="BC19" s="62">
        <v>17</v>
      </c>
      <c r="BD19" s="61">
        <v>7.1</v>
      </c>
      <c r="BE19" s="61">
        <v>20.2</v>
      </c>
      <c r="BF19" s="61">
        <v>15.4</v>
      </c>
      <c r="BG19" s="61">
        <v>7.1</v>
      </c>
      <c r="BH19" s="64">
        <v>0.13500000000000001</v>
      </c>
      <c r="BI19" s="64">
        <v>0.153</v>
      </c>
      <c r="BJ19" s="64">
        <v>7.2999999999999995E-2</v>
      </c>
      <c r="BK19" s="64">
        <v>6.7000000000000004E-2</v>
      </c>
      <c r="BL19" s="64">
        <v>6.5000000000000002E-2</v>
      </c>
      <c r="BM19" s="64">
        <v>6.2E-2</v>
      </c>
      <c r="BN19" s="65" t="str">
        <f t="shared" si="23"/>
        <v>ME</v>
      </c>
      <c r="BO19" s="56">
        <v>12</v>
      </c>
      <c r="BP19" s="64">
        <v>0.115</v>
      </c>
      <c r="BQ19" s="62">
        <v>0</v>
      </c>
      <c r="BR19" s="61">
        <v>7.3</v>
      </c>
      <c r="BS19" s="61">
        <v>18.600000000000001</v>
      </c>
      <c r="BT19" s="61">
        <v>17.100000000000001</v>
      </c>
      <c r="BU19" s="64">
        <v>1.4E-2</v>
      </c>
      <c r="BV19" s="63">
        <v>1.18</v>
      </c>
      <c r="BW19" s="63">
        <v>1.05</v>
      </c>
      <c r="BX19" s="66" t="s">
        <v>253</v>
      </c>
      <c r="BY19" s="172" t="s">
        <v>246</v>
      </c>
      <c r="BZ19" s="67" t="str">
        <f t="shared" si="24"/>
        <v>ME</v>
      </c>
      <c r="CA19" s="56">
        <v>12</v>
      </c>
      <c r="CB19" s="61">
        <v>96.5</v>
      </c>
      <c r="CC19" s="61"/>
      <c r="CD19" s="68">
        <f t="shared" si="25"/>
        <v>1.4000000000000057</v>
      </c>
      <c r="CE19" s="69">
        <f t="shared" si="26"/>
        <v>6.515971000000027</v>
      </c>
      <c r="CF19" s="69">
        <f t="shared" si="27"/>
        <v>5.5064543661972056</v>
      </c>
      <c r="CG19" s="62">
        <v>69</v>
      </c>
      <c r="CH19" s="62">
        <v>100</v>
      </c>
      <c r="CI19" s="65" t="str">
        <f t="shared" si="28"/>
        <v>ME</v>
      </c>
      <c r="CJ19" s="56">
        <v>12</v>
      </c>
      <c r="CK19" s="61">
        <v>97.1</v>
      </c>
      <c r="CL19" s="61"/>
      <c r="CM19" s="68">
        <f t="shared" si="29"/>
        <v>2</v>
      </c>
      <c r="CN19" s="68">
        <f t="shared" si="30"/>
        <v>9.3085300000000011</v>
      </c>
      <c r="CO19" s="68">
        <f t="shared" si="31"/>
        <v>22.848993546296303</v>
      </c>
      <c r="CP19" s="62">
        <v>57</v>
      </c>
      <c r="CQ19" s="62">
        <v>83</v>
      </c>
      <c r="CR19" s="65" t="str">
        <f t="shared" si="32"/>
        <v>ME</v>
      </c>
      <c r="CS19" s="56">
        <v>12</v>
      </c>
      <c r="CT19" s="61">
        <v>96.1</v>
      </c>
      <c r="CU19" s="61"/>
      <c r="CV19" s="68">
        <f t="shared" si="33"/>
        <v>1.5999999999999943</v>
      </c>
      <c r="CW19" s="68">
        <f t="shared" si="34"/>
        <v>10.630783999999961</v>
      </c>
      <c r="CX19" s="69">
        <f t="shared" si="35"/>
        <v>6.5622123456789888E-2</v>
      </c>
      <c r="CY19" s="66" t="s">
        <v>240</v>
      </c>
      <c r="CZ19" s="66" t="s">
        <v>241</v>
      </c>
      <c r="DA19" s="66"/>
      <c r="DB19" s="65" t="str">
        <f t="shared" si="36"/>
        <v>ME</v>
      </c>
      <c r="DC19" s="56">
        <v>12</v>
      </c>
      <c r="DD19" s="61">
        <v>84.5</v>
      </c>
      <c r="DE19" s="61">
        <v>104</v>
      </c>
      <c r="DF19" s="68">
        <f t="shared" si="37"/>
        <v>16</v>
      </c>
      <c r="DG19" s="69">
        <f t="shared" si="38"/>
        <v>0.86321966080000001</v>
      </c>
      <c r="DH19" s="68">
        <f t="shared" si="39"/>
        <v>5.3285164246913581</v>
      </c>
      <c r="DI19" s="62">
        <v>87</v>
      </c>
      <c r="DJ19" s="62">
        <v>54</v>
      </c>
      <c r="DK19" s="65" t="str">
        <f t="shared" si="40"/>
        <v>ME</v>
      </c>
      <c r="DL19" s="56">
        <v>12</v>
      </c>
      <c r="DM19" s="63">
        <v>8.59</v>
      </c>
      <c r="DN19" s="64">
        <v>3.3000000000000002E-2</v>
      </c>
      <c r="DO19" s="64">
        <v>3.4000000000000002E-2</v>
      </c>
      <c r="DP19" s="64">
        <v>6.7000000000000004E-2</v>
      </c>
      <c r="DQ19" s="63">
        <v>6.94</v>
      </c>
      <c r="DR19" s="61">
        <v>18.600000000000001</v>
      </c>
      <c r="DS19" s="64">
        <v>1.242</v>
      </c>
      <c r="DT19" s="61">
        <v>86.2</v>
      </c>
      <c r="DU19" s="63">
        <v>4.2</v>
      </c>
      <c r="DV19" s="64">
        <v>1.496</v>
      </c>
      <c r="DW19" s="64">
        <v>1.46</v>
      </c>
      <c r="DX19" s="66" t="s">
        <v>242</v>
      </c>
      <c r="DY19" s="65" t="str">
        <f t="shared" si="41"/>
        <v>ME</v>
      </c>
      <c r="DZ19" s="128">
        <v>12</v>
      </c>
      <c r="EA19" s="173">
        <f t="shared" si="42"/>
        <v>0.10828877005347594</v>
      </c>
      <c r="EB19" s="173">
        <f t="shared" si="43"/>
        <v>0.14411764705882352</v>
      </c>
      <c r="EC19" s="173">
        <f t="shared" si="44"/>
        <v>0.87654320987654322</v>
      </c>
      <c r="ED19" s="63">
        <v>1.22</v>
      </c>
      <c r="EE19" s="63">
        <v>1.29</v>
      </c>
      <c r="EF19" s="63">
        <v>0.04</v>
      </c>
      <c r="EG19" s="63">
        <v>0.06</v>
      </c>
      <c r="EH19" s="127" t="str">
        <f t="shared" si="5"/>
        <v>ME</v>
      </c>
      <c r="EI19" s="56">
        <v>12</v>
      </c>
      <c r="EJ19" s="334"/>
      <c r="EK19" s="334"/>
      <c r="EL19" s="334"/>
      <c r="EM19" s="334"/>
      <c r="EN19" s="334"/>
      <c r="EO19" s="334"/>
      <c r="EP19" s="334"/>
      <c r="EQ19" s="65" t="str">
        <f t="shared" si="45"/>
        <v>ME</v>
      </c>
      <c r="ER19" s="20"/>
      <c r="ES19" s="20"/>
      <c r="ET19" s="20"/>
      <c r="EU19" s="20"/>
      <c r="EV19" s="20"/>
      <c r="EW19" s="20"/>
      <c r="EX19" s="20"/>
    </row>
    <row r="20" spans="1:154" s="3" customFormat="1" ht="17.149999999999999" customHeight="1" x14ac:dyDescent="0.25">
      <c r="A20" s="56">
        <v>13</v>
      </c>
      <c r="B20" s="57">
        <v>896234</v>
      </c>
      <c r="C20" s="58">
        <f t="shared" si="6"/>
        <v>175</v>
      </c>
      <c r="D20" s="167">
        <v>9.5</v>
      </c>
      <c r="E20" s="59">
        <v>800577</v>
      </c>
      <c r="F20" s="58">
        <f t="shared" si="7"/>
        <v>202</v>
      </c>
      <c r="G20" s="168">
        <v>2.4900000000000002</v>
      </c>
      <c r="H20" s="57">
        <v>756898</v>
      </c>
      <c r="I20" s="58">
        <f t="shared" si="0"/>
        <v>155</v>
      </c>
      <c r="J20" s="60" t="s">
        <v>194</v>
      </c>
      <c r="K20" s="56">
        <v>13</v>
      </c>
      <c r="L20" s="57">
        <v>70173</v>
      </c>
      <c r="M20" s="58" t="str">
        <f t="shared" si="8"/>
        <v/>
      </c>
      <c r="N20" s="59">
        <v>178460</v>
      </c>
      <c r="O20" s="58">
        <f t="shared" si="9"/>
        <v>26</v>
      </c>
      <c r="P20" s="57">
        <v>194749</v>
      </c>
      <c r="Q20" s="169" t="str">
        <f t="shared" si="1"/>
        <v/>
      </c>
      <c r="R20" s="57">
        <v>680</v>
      </c>
      <c r="S20" s="57">
        <v>688</v>
      </c>
      <c r="T20" s="57">
        <v>142</v>
      </c>
      <c r="U20" s="57">
        <v>139</v>
      </c>
      <c r="V20" s="58" t="str">
        <f t="shared" si="10"/>
        <v>ME</v>
      </c>
      <c r="W20" s="56">
        <v>13</v>
      </c>
      <c r="X20" s="63">
        <v>11849.61</v>
      </c>
      <c r="Y20" s="130">
        <f t="shared" si="11"/>
        <v>2.7199999999993452</v>
      </c>
      <c r="Z20" s="63">
        <v>12611.14</v>
      </c>
      <c r="AA20" s="130">
        <f t="shared" si="12"/>
        <v>2.4200000000000728</v>
      </c>
      <c r="AB20" s="63">
        <v>9939.3799999999992</v>
      </c>
      <c r="AC20" s="130">
        <f t="shared" si="13"/>
        <v>1.9200000000000728</v>
      </c>
      <c r="AD20" s="63">
        <v>10041.799999999999</v>
      </c>
      <c r="AE20" s="130">
        <f t="shared" si="2"/>
        <v>2.180000000000291</v>
      </c>
      <c r="AF20" s="125" t="str">
        <f t="shared" si="14"/>
        <v>ME</v>
      </c>
      <c r="AG20" s="56">
        <v>13</v>
      </c>
      <c r="AH20" s="63">
        <v>47365.54</v>
      </c>
      <c r="AI20" s="130">
        <f t="shared" si="15"/>
        <v>13.419999999998254</v>
      </c>
      <c r="AJ20" s="63">
        <v>49502.81</v>
      </c>
      <c r="AK20" s="130">
        <f t="shared" si="16"/>
        <v>10.870000000002619</v>
      </c>
      <c r="AL20" s="63">
        <v>587.17999999999995</v>
      </c>
      <c r="AM20" s="130" t="str">
        <f t="shared" si="17"/>
        <v/>
      </c>
      <c r="AN20" s="63">
        <v>548.61</v>
      </c>
      <c r="AO20" s="130" t="str">
        <f t="shared" si="3"/>
        <v/>
      </c>
      <c r="AP20" s="125" t="str">
        <f t="shared" si="18"/>
        <v>ME</v>
      </c>
      <c r="AQ20" s="56">
        <v>13</v>
      </c>
      <c r="AR20" s="63">
        <v>6817.61</v>
      </c>
      <c r="AS20" s="130">
        <f t="shared" si="19"/>
        <v>0.9500000000007276</v>
      </c>
      <c r="AT20" s="63">
        <v>7592.67</v>
      </c>
      <c r="AU20" s="130">
        <f t="shared" si="20"/>
        <v>1.4799999999995634</v>
      </c>
      <c r="AV20" s="63">
        <v>257.91000000000003</v>
      </c>
      <c r="AW20" s="130" t="str">
        <f t="shared" si="21"/>
        <v/>
      </c>
      <c r="AX20" s="63">
        <v>244.24</v>
      </c>
      <c r="AY20" s="130" t="str">
        <f t="shared" si="4"/>
        <v/>
      </c>
      <c r="AZ20" s="125" t="str">
        <f t="shared" si="22"/>
        <v>ME</v>
      </c>
      <c r="BA20" s="56">
        <v>13</v>
      </c>
      <c r="BB20" s="63">
        <v>1.32</v>
      </c>
      <c r="BC20" s="62">
        <v>16</v>
      </c>
      <c r="BD20" s="61">
        <v>7.1</v>
      </c>
      <c r="BE20" s="61">
        <v>20.2</v>
      </c>
      <c r="BF20" s="61">
        <v>14.3</v>
      </c>
      <c r="BG20" s="61">
        <v>7.1</v>
      </c>
      <c r="BH20" s="64">
        <v>0.16</v>
      </c>
      <c r="BI20" s="64">
        <v>0.185</v>
      </c>
      <c r="BJ20" s="64">
        <v>9.4E-2</v>
      </c>
      <c r="BK20" s="64">
        <v>8.6999999999999994E-2</v>
      </c>
      <c r="BL20" s="64">
        <v>7.2999999999999995E-2</v>
      </c>
      <c r="BM20" s="64">
        <v>6.2E-2</v>
      </c>
      <c r="BN20" s="65" t="str">
        <f t="shared" si="23"/>
        <v>ME</v>
      </c>
      <c r="BO20" s="56">
        <v>13</v>
      </c>
      <c r="BP20" s="64">
        <v>0.111</v>
      </c>
      <c r="BQ20" s="62">
        <v>0</v>
      </c>
      <c r="BR20" s="61">
        <v>7.1</v>
      </c>
      <c r="BS20" s="61">
        <v>18.600000000000001</v>
      </c>
      <c r="BT20" s="61">
        <v>17.2</v>
      </c>
      <c r="BU20" s="64">
        <v>1.2E-2</v>
      </c>
      <c r="BV20" s="63">
        <v>1.1499999999999999</v>
      </c>
      <c r="BW20" s="63">
        <v>0.95</v>
      </c>
      <c r="BX20" s="66" t="s">
        <v>245</v>
      </c>
      <c r="BY20" s="172" t="s">
        <v>246</v>
      </c>
      <c r="BZ20" s="67" t="str">
        <f t="shared" si="24"/>
        <v>ME</v>
      </c>
      <c r="CA20" s="56">
        <v>13</v>
      </c>
      <c r="CB20" s="61">
        <v>95.1</v>
      </c>
      <c r="CC20" s="61"/>
      <c r="CD20" s="68">
        <f t="shared" si="25"/>
        <v>1.3999999999999915</v>
      </c>
      <c r="CE20" s="69">
        <f t="shared" si="26"/>
        <v>6.5159709999999604</v>
      </c>
      <c r="CF20" s="69">
        <f t="shared" si="27"/>
        <v>5.0446227096773884</v>
      </c>
      <c r="CG20" s="62">
        <v>69</v>
      </c>
      <c r="CH20" s="62">
        <v>100</v>
      </c>
      <c r="CI20" s="65" t="str">
        <f t="shared" si="28"/>
        <v>ME</v>
      </c>
      <c r="CJ20" s="56">
        <v>13</v>
      </c>
      <c r="CK20" s="61">
        <v>95.1</v>
      </c>
      <c r="CL20" s="61"/>
      <c r="CM20" s="68">
        <f t="shared" si="29"/>
        <v>2.0999999999999943</v>
      </c>
      <c r="CN20" s="68">
        <f t="shared" si="30"/>
        <v>9.773956499999974</v>
      </c>
      <c r="CO20" s="68">
        <f t="shared" si="31"/>
        <v>22.209221726999942</v>
      </c>
      <c r="CP20" s="62">
        <v>53</v>
      </c>
      <c r="CQ20" s="62">
        <v>83</v>
      </c>
      <c r="CR20" s="65" t="str">
        <f t="shared" si="32"/>
        <v>ME</v>
      </c>
      <c r="CS20" s="56">
        <v>13</v>
      </c>
      <c r="CT20" s="61">
        <v>94.5</v>
      </c>
      <c r="CU20" s="61"/>
      <c r="CV20" s="68">
        <f t="shared" si="33"/>
        <v>2</v>
      </c>
      <c r="CW20" s="68">
        <f t="shared" si="34"/>
        <v>13.28848</v>
      </c>
      <c r="CX20" s="69">
        <f t="shared" si="35"/>
        <v>7.5934171428571423E-2</v>
      </c>
      <c r="CY20" s="66" t="s">
        <v>240</v>
      </c>
      <c r="CZ20" s="66" t="s">
        <v>241</v>
      </c>
      <c r="DA20" s="66"/>
      <c r="DB20" s="65" t="str">
        <f t="shared" si="36"/>
        <v>ME</v>
      </c>
      <c r="DC20" s="56">
        <v>13</v>
      </c>
      <c r="DD20" s="61">
        <v>88</v>
      </c>
      <c r="DE20" s="61">
        <v>103.6</v>
      </c>
      <c r="DF20" s="68">
        <f t="shared" si="37"/>
        <v>16.699999999999989</v>
      </c>
      <c r="DG20" s="69">
        <f t="shared" si="38"/>
        <v>0.9009855209599994</v>
      </c>
      <c r="DH20" s="68">
        <f t="shared" si="39"/>
        <v>5.1484886911999963</v>
      </c>
      <c r="DI20" s="62">
        <v>89</v>
      </c>
      <c r="DJ20" s="62">
        <v>54</v>
      </c>
      <c r="DK20" s="65" t="str">
        <f t="shared" si="40"/>
        <v>ME</v>
      </c>
      <c r="DL20" s="56">
        <v>13</v>
      </c>
      <c r="DM20" s="63">
        <v>8.4499999999999993</v>
      </c>
      <c r="DN20" s="64">
        <v>3.5000000000000003E-2</v>
      </c>
      <c r="DO20" s="64">
        <v>3.5999999999999997E-2</v>
      </c>
      <c r="DP20" s="64">
        <v>7.9000000000000001E-2</v>
      </c>
      <c r="DQ20" s="63">
        <v>6.94</v>
      </c>
      <c r="DR20" s="61">
        <v>18.600000000000001</v>
      </c>
      <c r="DS20" s="64">
        <v>1.1879999999999999</v>
      </c>
      <c r="DT20" s="61">
        <v>85.7</v>
      </c>
      <c r="DU20" s="63">
        <v>4.18</v>
      </c>
      <c r="DV20" s="64">
        <v>0.69699999999999995</v>
      </c>
      <c r="DW20" s="64">
        <v>0.80200000000000005</v>
      </c>
      <c r="DX20" s="66" t="s">
        <v>247</v>
      </c>
      <c r="DY20" s="65" t="str">
        <f t="shared" si="41"/>
        <v>ME</v>
      </c>
      <c r="DZ20" s="128">
        <v>13</v>
      </c>
      <c r="EA20" s="173">
        <f t="shared" si="42"/>
        <v>0.11697860962566844</v>
      </c>
      <c r="EB20" s="173">
        <f t="shared" si="43"/>
        <v>0.14852941176470588</v>
      </c>
      <c r="EC20" s="173">
        <f t="shared" si="44"/>
        <v>0.88571428571428568</v>
      </c>
      <c r="ED20" s="63">
        <v>1.1499999999999999</v>
      </c>
      <c r="EE20" s="63">
        <v>1.24</v>
      </c>
      <c r="EF20" s="63">
        <v>0.05</v>
      </c>
      <c r="EG20" s="63">
        <v>7.0000000000000007E-2</v>
      </c>
      <c r="EH20" s="127" t="str">
        <f t="shared" si="5"/>
        <v>ME</v>
      </c>
      <c r="EI20" s="56">
        <v>13</v>
      </c>
      <c r="EJ20" s="334" t="s">
        <v>392</v>
      </c>
      <c r="EK20" s="334"/>
      <c r="EL20" s="334"/>
      <c r="EM20" s="334"/>
      <c r="EN20" s="334"/>
      <c r="EO20" s="334"/>
      <c r="EP20" s="334"/>
      <c r="EQ20" s="65" t="str">
        <f t="shared" si="45"/>
        <v>ME</v>
      </c>
      <c r="ER20" s="20"/>
      <c r="ES20" s="20"/>
      <c r="ET20" s="20"/>
      <c r="EU20" s="20"/>
      <c r="EV20" s="20"/>
      <c r="EW20" s="20"/>
      <c r="EX20" s="20"/>
    </row>
    <row r="21" spans="1:154" s="3" customFormat="1" ht="17.149999999999999" customHeight="1" x14ac:dyDescent="0.25">
      <c r="A21" s="56">
        <v>14</v>
      </c>
      <c r="B21" s="57">
        <v>896409</v>
      </c>
      <c r="C21" s="58">
        <f t="shared" si="6"/>
        <v>173</v>
      </c>
      <c r="D21" s="167">
        <v>9.64</v>
      </c>
      <c r="E21" s="59">
        <v>800779</v>
      </c>
      <c r="F21" s="58">
        <f t="shared" si="7"/>
        <v>211</v>
      </c>
      <c r="G21" s="168">
        <v>2.36</v>
      </c>
      <c r="H21" s="57">
        <v>757053</v>
      </c>
      <c r="I21" s="58">
        <f t="shared" si="0"/>
        <v>153</v>
      </c>
      <c r="J21" s="60" t="s">
        <v>194</v>
      </c>
      <c r="K21" s="56">
        <v>14</v>
      </c>
      <c r="L21" s="57">
        <v>70173</v>
      </c>
      <c r="M21" s="58" t="str">
        <f t="shared" si="8"/>
        <v/>
      </c>
      <c r="N21" s="59">
        <v>178486</v>
      </c>
      <c r="O21" s="58">
        <f t="shared" si="9"/>
        <v>29</v>
      </c>
      <c r="P21" s="57">
        <v>194749</v>
      </c>
      <c r="Q21" s="169" t="str">
        <f t="shared" si="1"/>
        <v/>
      </c>
      <c r="R21" s="57">
        <v>680</v>
      </c>
      <c r="S21" s="57">
        <v>688</v>
      </c>
      <c r="T21" s="57">
        <v>142</v>
      </c>
      <c r="U21" s="57">
        <v>139</v>
      </c>
      <c r="V21" s="58" t="str">
        <f t="shared" si="10"/>
        <v>ME</v>
      </c>
      <c r="W21" s="56">
        <v>14</v>
      </c>
      <c r="X21" s="63">
        <v>11852.33</v>
      </c>
      <c r="Y21" s="130">
        <f t="shared" si="11"/>
        <v>2.7199999999993452</v>
      </c>
      <c r="Z21" s="63">
        <v>12613.56</v>
      </c>
      <c r="AA21" s="130">
        <f t="shared" si="12"/>
        <v>2.3400000000001455</v>
      </c>
      <c r="AB21" s="63">
        <v>9941.2999999999993</v>
      </c>
      <c r="AC21" s="130">
        <f t="shared" si="13"/>
        <v>1.8700000000008004</v>
      </c>
      <c r="AD21" s="63">
        <v>10043.98</v>
      </c>
      <c r="AE21" s="130">
        <f t="shared" si="2"/>
        <v>2.1900000000005093</v>
      </c>
      <c r="AF21" s="125" t="str">
        <f t="shared" si="14"/>
        <v>ME</v>
      </c>
      <c r="AG21" s="56">
        <v>14</v>
      </c>
      <c r="AH21" s="63">
        <v>47378.96</v>
      </c>
      <c r="AI21" s="130">
        <f t="shared" si="15"/>
        <v>11.730000000003201</v>
      </c>
      <c r="AJ21" s="63">
        <v>49513.68</v>
      </c>
      <c r="AK21" s="130">
        <f t="shared" si="16"/>
        <v>13.139999999999418</v>
      </c>
      <c r="AL21" s="63">
        <v>587.17999999999995</v>
      </c>
      <c r="AM21" s="130" t="str">
        <f t="shared" si="17"/>
        <v/>
      </c>
      <c r="AN21" s="63">
        <v>548.61</v>
      </c>
      <c r="AO21" s="130" t="str">
        <f t="shared" si="3"/>
        <v/>
      </c>
      <c r="AP21" s="125" t="str">
        <f t="shared" si="18"/>
        <v>ME</v>
      </c>
      <c r="AQ21" s="56">
        <v>14</v>
      </c>
      <c r="AR21" s="63">
        <v>6818.56</v>
      </c>
      <c r="AS21" s="130">
        <f t="shared" si="19"/>
        <v>1.0299999999997453</v>
      </c>
      <c r="AT21" s="63">
        <v>7594.15</v>
      </c>
      <c r="AU21" s="130">
        <f t="shared" si="20"/>
        <v>1.5300000000006548</v>
      </c>
      <c r="AV21" s="63">
        <v>257.91000000000003</v>
      </c>
      <c r="AW21" s="130" t="str">
        <f t="shared" si="21"/>
        <v/>
      </c>
      <c r="AX21" s="63">
        <v>244.24</v>
      </c>
      <c r="AY21" s="130" t="str">
        <f t="shared" si="4"/>
        <v/>
      </c>
      <c r="AZ21" s="125" t="str">
        <f t="shared" si="22"/>
        <v>ME</v>
      </c>
      <c r="BA21" s="56">
        <v>14</v>
      </c>
      <c r="BB21" s="63">
        <v>1.35</v>
      </c>
      <c r="BC21" s="62">
        <v>42</v>
      </c>
      <c r="BD21" s="61">
        <v>7</v>
      </c>
      <c r="BE21" s="61">
        <v>19.600000000000001</v>
      </c>
      <c r="BF21" s="61">
        <v>18</v>
      </c>
      <c r="BG21" s="61">
        <v>7</v>
      </c>
      <c r="BH21" s="64">
        <v>0.161</v>
      </c>
      <c r="BI21" s="64">
        <v>0.14699999999999999</v>
      </c>
      <c r="BJ21" s="64">
        <v>9.1999999999999998E-2</v>
      </c>
      <c r="BK21" s="64">
        <v>6.0999999999999999E-2</v>
      </c>
      <c r="BL21" s="64">
        <v>6.6000000000000003E-2</v>
      </c>
      <c r="BM21" s="64">
        <v>6.0999999999999999E-2</v>
      </c>
      <c r="BN21" s="65" t="str">
        <f t="shared" si="23"/>
        <v>ME</v>
      </c>
      <c r="BO21" s="56">
        <v>14</v>
      </c>
      <c r="BP21" s="64">
        <v>9.4E-2</v>
      </c>
      <c r="BQ21" s="62">
        <v>0</v>
      </c>
      <c r="BR21" s="61">
        <v>7.1</v>
      </c>
      <c r="BS21" s="61">
        <v>18.7</v>
      </c>
      <c r="BT21" s="61">
        <v>19.2</v>
      </c>
      <c r="BU21" s="64">
        <v>1.9E-2</v>
      </c>
      <c r="BV21" s="63">
        <v>1.1299999999999999</v>
      </c>
      <c r="BW21" s="63">
        <v>0.92</v>
      </c>
      <c r="BX21" s="66" t="s">
        <v>245</v>
      </c>
      <c r="BY21" s="172" t="s">
        <v>246</v>
      </c>
      <c r="BZ21" s="67" t="str">
        <f t="shared" si="24"/>
        <v>ME</v>
      </c>
      <c r="CA21" s="56">
        <v>14</v>
      </c>
      <c r="CB21" s="61">
        <v>93.7</v>
      </c>
      <c r="CC21" s="61"/>
      <c r="CD21" s="68">
        <f t="shared" si="25"/>
        <v>1.7000000000000028</v>
      </c>
      <c r="CE21" s="69">
        <f t="shared" si="26"/>
        <v>7.9122505000000141</v>
      </c>
      <c r="CF21" s="69">
        <f t="shared" si="27"/>
        <v>6.2056866666666775</v>
      </c>
      <c r="CG21" s="62">
        <v>71</v>
      </c>
      <c r="CH21" s="62">
        <v>100</v>
      </c>
      <c r="CI21" s="65" t="str">
        <f t="shared" si="28"/>
        <v>ME</v>
      </c>
      <c r="CJ21" s="56">
        <v>14</v>
      </c>
      <c r="CK21" s="61">
        <v>93</v>
      </c>
      <c r="CL21" s="61"/>
      <c r="CM21" s="68">
        <f t="shared" si="29"/>
        <v>2.0999999999999943</v>
      </c>
      <c r="CN21" s="68">
        <f t="shared" si="30"/>
        <v>9.773956499999974</v>
      </c>
      <c r="CO21" s="68">
        <f t="shared" si="31"/>
        <v>22.465975735404566</v>
      </c>
      <c r="CP21" s="62">
        <v>54</v>
      </c>
      <c r="CQ21" s="62">
        <v>83</v>
      </c>
      <c r="CR21" s="65" t="str">
        <f t="shared" si="32"/>
        <v>ME</v>
      </c>
      <c r="CS21" s="56">
        <v>14</v>
      </c>
      <c r="CT21" s="61">
        <v>92.5</v>
      </c>
      <c r="CU21" s="61"/>
      <c r="CV21" s="68">
        <f t="shared" si="33"/>
        <v>1.7999999999999972</v>
      </c>
      <c r="CW21" s="68">
        <f t="shared" si="34"/>
        <v>11.959631999999981</v>
      </c>
      <c r="CX21" s="69">
        <f t="shared" si="35"/>
        <v>6.9130820809248442E-2</v>
      </c>
      <c r="CY21" s="66" t="s">
        <v>240</v>
      </c>
      <c r="CZ21" s="66" t="s">
        <v>241</v>
      </c>
      <c r="DA21" s="66"/>
      <c r="DB21" s="65" t="str">
        <f t="shared" si="36"/>
        <v>ME</v>
      </c>
      <c r="DC21" s="56">
        <v>14</v>
      </c>
      <c r="DD21" s="61">
        <v>86.9</v>
      </c>
      <c r="DE21" s="61">
        <v>104.9</v>
      </c>
      <c r="DF21" s="68">
        <f t="shared" si="37"/>
        <v>16.200000000000003</v>
      </c>
      <c r="DG21" s="69">
        <f t="shared" si="38"/>
        <v>0.8740099065600001</v>
      </c>
      <c r="DH21" s="68">
        <f t="shared" si="39"/>
        <v>5.0520803847398854</v>
      </c>
      <c r="DI21" s="62">
        <v>90</v>
      </c>
      <c r="DJ21" s="62">
        <v>54</v>
      </c>
      <c r="DK21" s="65" t="str">
        <f t="shared" si="40"/>
        <v>ME</v>
      </c>
      <c r="DL21" s="56">
        <v>14</v>
      </c>
      <c r="DM21" s="63">
        <v>8.15</v>
      </c>
      <c r="DN21" s="64">
        <v>3.4000000000000002E-2</v>
      </c>
      <c r="DO21" s="64">
        <v>3.5000000000000003E-2</v>
      </c>
      <c r="DP21" s="64">
        <v>7.0000000000000007E-2</v>
      </c>
      <c r="DQ21" s="63">
        <v>6.97</v>
      </c>
      <c r="DR21" s="61">
        <v>18.7</v>
      </c>
      <c r="DS21" s="64">
        <v>1.1439999999999999</v>
      </c>
      <c r="DT21" s="61">
        <v>84.5</v>
      </c>
      <c r="DU21" s="63">
        <v>4.18</v>
      </c>
      <c r="DV21" s="64">
        <v>0.69599999999999995</v>
      </c>
      <c r="DW21" s="64">
        <v>1.26</v>
      </c>
      <c r="DX21" s="66" t="s">
        <v>247</v>
      </c>
      <c r="DY21" s="65" t="str">
        <f t="shared" si="41"/>
        <v>ME</v>
      </c>
      <c r="DZ21" s="128">
        <v>14</v>
      </c>
      <c r="EA21" s="173">
        <f t="shared" si="42"/>
        <v>0.11564171122994653</v>
      </c>
      <c r="EB21" s="173">
        <f t="shared" si="43"/>
        <v>0.15514705882352942</v>
      </c>
      <c r="EC21" s="173">
        <f t="shared" si="44"/>
        <v>0.88439306358381498</v>
      </c>
      <c r="ED21" s="63">
        <v>1.1200000000000001</v>
      </c>
      <c r="EE21" s="63">
        <v>1.18</v>
      </c>
      <c r="EF21" s="63">
        <v>0.05</v>
      </c>
      <c r="EG21" s="63">
        <v>7.0000000000000007E-2</v>
      </c>
      <c r="EH21" s="127" t="str">
        <f t="shared" si="5"/>
        <v>ME</v>
      </c>
      <c r="EI21" s="56">
        <v>14</v>
      </c>
      <c r="EJ21" s="334"/>
      <c r="EK21" s="334"/>
      <c r="EL21" s="334"/>
      <c r="EM21" s="334"/>
      <c r="EN21" s="334"/>
      <c r="EO21" s="334"/>
      <c r="EP21" s="334"/>
      <c r="EQ21" s="65" t="str">
        <f t="shared" si="45"/>
        <v>ME</v>
      </c>
      <c r="ER21" s="20"/>
      <c r="ES21" s="20"/>
      <c r="ET21" s="20"/>
      <c r="EU21" s="20"/>
      <c r="EV21" s="20"/>
      <c r="EW21" s="20"/>
      <c r="EX21" s="20"/>
    </row>
    <row r="22" spans="1:154" s="3" customFormat="1" ht="17.149999999999999" customHeight="1" x14ac:dyDescent="0.35">
      <c r="A22" s="56">
        <v>15</v>
      </c>
      <c r="B22" s="57">
        <v>896582</v>
      </c>
      <c r="C22" s="58">
        <f t="shared" si="6"/>
        <v>228</v>
      </c>
      <c r="D22" s="167">
        <v>8.9700000000000006</v>
      </c>
      <c r="E22" s="59">
        <v>800990</v>
      </c>
      <c r="F22" s="58">
        <f t="shared" si="7"/>
        <v>157</v>
      </c>
      <c r="G22" s="168">
        <v>2.66</v>
      </c>
      <c r="H22" s="57">
        <v>757206</v>
      </c>
      <c r="I22" s="58">
        <f t="shared" si="0"/>
        <v>157</v>
      </c>
      <c r="J22" s="60" t="s">
        <v>194</v>
      </c>
      <c r="K22" s="56">
        <v>15</v>
      </c>
      <c r="L22" s="57">
        <v>70173</v>
      </c>
      <c r="M22" s="58">
        <f t="shared" si="8"/>
        <v>49</v>
      </c>
      <c r="N22" s="59">
        <v>178515</v>
      </c>
      <c r="O22" s="58">
        <f t="shared" si="9"/>
        <v>36</v>
      </c>
      <c r="P22" s="57">
        <v>194749</v>
      </c>
      <c r="Q22" s="169" t="str">
        <f t="shared" si="1"/>
        <v/>
      </c>
      <c r="R22" s="57">
        <v>680</v>
      </c>
      <c r="S22" s="57">
        <v>688</v>
      </c>
      <c r="T22" s="57">
        <v>142</v>
      </c>
      <c r="U22" s="57">
        <v>139</v>
      </c>
      <c r="V22" s="58" t="str">
        <f t="shared" si="10"/>
        <v>ME</v>
      </c>
      <c r="W22" s="56">
        <v>15</v>
      </c>
      <c r="X22" s="63">
        <v>11855.05</v>
      </c>
      <c r="Y22" s="130" t="str">
        <f t="shared" si="11"/>
        <v/>
      </c>
      <c r="Z22" s="63">
        <v>12615.9</v>
      </c>
      <c r="AA22" s="130">
        <f t="shared" si="12"/>
        <v>6.9099999999998545</v>
      </c>
      <c r="AB22" s="63">
        <v>9943.17</v>
      </c>
      <c r="AC22" s="130">
        <f t="shared" si="13"/>
        <v>1.6000000000003638</v>
      </c>
      <c r="AD22" s="63">
        <v>10046.17</v>
      </c>
      <c r="AE22" s="130">
        <f t="shared" si="2"/>
        <v>2.5900000000001455</v>
      </c>
      <c r="AF22" s="125" t="str">
        <f t="shared" si="14"/>
        <v>ME</v>
      </c>
      <c r="AG22" s="56">
        <v>15</v>
      </c>
      <c r="AH22" s="63">
        <v>47390.69</v>
      </c>
      <c r="AI22" s="130">
        <f t="shared" si="15"/>
        <v>12.279999999998836</v>
      </c>
      <c r="AJ22" s="63">
        <v>49526.82</v>
      </c>
      <c r="AK22" s="130">
        <f t="shared" si="16"/>
        <v>6.680000000000291</v>
      </c>
      <c r="AL22" s="63">
        <v>587.17999999999995</v>
      </c>
      <c r="AM22" s="130" t="str">
        <f t="shared" si="17"/>
        <v/>
      </c>
      <c r="AN22" s="63">
        <v>548.61</v>
      </c>
      <c r="AO22" s="130" t="str">
        <f t="shared" si="3"/>
        <v/>
      </c>
      <c r="AP22" s="125" t="str">
        <f t="shared" si="18"/>
        <v>ME</v>
      </c>
      <c r="AQ22" s="56">
        <v>15</v>
      </c>
      <c r="AR22" s="63">
        <v>6819.59</v>
      </c>
      <c r="AS22" s="130">
        <f t="shared" si="19"/>
        <v>1.2899999999999636</v>
      </c>
      <c r="AT22" s="63">
        <v>7595.68</v>
      </c>
      <c r="AU22" s="130">
        <f t="shared" si="20"/>
        <v>1.3099999999994907</v>
      </c>
      <c r="AV22" s="63">
        <v>257.91000000000003</v>
      </c>
      <c r="AW22" s="130" t="str">
        <f t="shared" si="21"/>
        <v/>
      </c>
      <c r="AX22" s="63">
        <v>244.24</v>
      </c>
      <c r="AY22" s="130">
        <f t="shared" si="4"/>
        <v>0.34000000000000341</v>
      </c>
      <c r="AZ22" s="125" t="str">
        <f t="shared" si="22"/>
        <v>ME</v>
      </c>
      <c r="BA22" s="56">
        <v>15</v>
      </c>
      <c r="BB22" s="63">
        <v>1.67</v>
      </c>
      <c r="BC22" s="70">
        <v>15</v>
      </c>
      <c r="BD22" s="71">
        <v>6.8</v>
      </c>
      <c r="BE22" s="71">
        <v>18.5</v>
      </c>
      <c r="BF22" s="71">
        <v>17.3</v>
      </c>
      <c r="BG22" s="71">
        <v>6.8</v>
      </c>
      <c r="BH22" s="72">
        <v>0.185</v>
      </c>
      <c r="BI22" s="72">
        <v>0.184</v>
      </c>
      <c r="BJ22" s="72">
        <v>7.0000000000000007E-2</v>
      </c>
      <c r="BK22" s="72">
        <v>6.6000000000000003E-2</v>
      </c>
      <c r="BL22" s="64">
        <v>6.0999999999999999E-2</v>
      </c>
      <c r="BM22" s="64">
        <v>5.8999999999999997E-2</v>
      </c>
      <c r="BN22" s="65" t="str">
        <f t="shared" si="23"/>
        <v>ME</v>
      </c>
      <c r="BO22" s="56">
        <v>15</v>
      </c>
      <c r="BP22" s="64">
        <v>0.112</v>
      </c>
      <c r="BQ22" s="62">
        <v>0</v>
      </c>
      <c r="BR22" s="61">
        <v>7.2</v>
      </c>
      <c r="BS22" s="61">
        <v>18.600000000000001</v>
      </c>
      <c r="BT22" s="61">
        <v>18</v>
      </c>
      <c r="BU22" s="64">
        <v>1.4E-2</v>
      </c>
      <c r="BV22" s="63">
        <v>1.1000000000000001</v>
      </c>
      <c r="BW22" s="63">
        <v>0.9</v>
      </c>
      <c r="BX22" s="66" t="s">
        <v>245</v>
      </c>
      <c r="BY22" s="172" t="s">
        <v>246</v>
      </c>
      <c r="BZ22" s="67" t="str">
        <f t="shared" si="24"/>
        <v>ME</v>
      </c>
      <c r="CA22" s="56">
        <v>15</v>
      </c>
      <c r="CB22" s="61">
        <v>92</v>
      </c>
      <c r="CC22" s="61"/>
      <c r="CD22" s="68">
        <f t="shared" si="25"/>
        <v>1.7000000000000028</v>
      </c>
      <c r="CE22" s="69">
        <f t="shared" si="26"/>
        <v>7.9122505000000141</v>
      </c>
      <c r="CF22" s="69">
        <f t="shared" si="27"/>
        <v>6.0475800000000106</v>
      </c>
      <c r="CG22" s="62">
        <v>74</v>
      </c>
      <c r="CH22" s="62">
        <v>100</v>
      </c>
      <c r="CI22" s="65" t="str">
        <f t="shared" si="28"/>
        <v>ME</v>
      </c>
      <c r="CJ22" s="56">
        <v>15</v>
      </c>
      <c r="CK22" s="61">
        <v>90.9</v>
      </c>
      <c r="CL22" s="61"/>
      <c r="CM22" s="68">
        <f t="shared" si="29"/>
        <v>2.9000000000000057</v>
      </c>
      <c r="CN22" s="68">
        <f t="shared" si="30"/>
        <v>13.497368500000027</v>
      </c>
      <c r="CO22" s="68">
        <f t="shared" si="31"/>
        <v>23.540476245723735</v>
      </c>
      <c r="CP22" s="62">
        <v>51</v>
      </c>
      <c r="CQ22" s="62">
        <v>83</v>
      </c>
      <c r="CR22" s="65" t="str">
        <f t="shared" si="32"/>
        <v>ME</v>
      </c>
      <c r="CS22" s="56">
        <v>15</v>
      </c>
      <c r="CT22" s="61">
        <v>90.7</v>
      </c>
      <c r="CU22" s="61"/>
      <c r="CV22" s="68">
        <f t="shared" si="33"/>
        <v>2.2999999999999972</v>
      </c>
      <c r="CW22" s="68">
        <f t="shared" si="34"/>
        <v>15.28175199999998</v>
      </c>
      <c r="CX22" s="69">
        <f t="shared" si="35"/>
        <v>6.7025228070175344E-2</v>
      </c>
      <c r="CY22" s="66" t="s">
        <v>256</v>
      </c>
      <c r="CZ22" s="66" t="s">
        <v>241</v>
      </c>
      <c r="DA22" s="66"/>
      <c r="DB22" s="65" t="str">
        <f t="shared" si="36"/>
        <v>ME</v>
      </c>
      <c r="DC22" s="56">
        <v>15</v>
      </c>
      <c r="DD22" s="61">
        <v>88.7</v>
      </c>
      <c r="DE22" s="61">
        <v>103.3</v>
      </c>
      <c r="DF22" s="68">
        <f t="shared" si="37"/>
        <v>22.200000000000003</v>
      </c>
      <c r="DG22" s="69">
        <f t="shared" si="38"/>
        <v>1.1977172793600002</v>
      </c>
      <c r="DH22" s="68">
        <f t="shared" si="39"/>
        <v>5.2531459621052639</v>
      </c>
      <c r="DI22" s="62">
        <v>85</v>
      </c>
      <c r="DJ22" s="62">
        <v>54</v>
      </c>
      <c r="DK22" s="65" t="str">
        <f t="shared" si="40"/>
        <v>ME</v>
      </c>
      <c r="DL22" s="56">
        <v>15</v>
      </c>
      <c r="DM22" s="63">
        <v>7.81</v>
      </c>
      <c r="DN22" s="64">
        <v>0.03</v>
      </c>
      <c r="DO22" s="64">
        <v>3.1E-2</v>
      </c>
      <c r="DP22" s="64">
        <v>6.8000000000000005E-2</v>
      </c>
      <c r="DQ22" s="63">
        <v>6.97</v>
      </c>
      <c r="DR22" s="61">
        <v>18.600000000000001</v>
      </c>
      <c r="DS22" s="64">
        <v>1.097</v>
      </c>
      <c r="DT22" s="61">
        <v>85.6</v>
      </c>
      <c r="DU22" s="63">
        <v>4.1399999999999997</v>
      </c>
      <c r="DV22" s="64">
        <v>0.67400000000000004</v>
      </c>
      <c r="DW22" s="64">
        <v>0.95299999999999996</v>
      </c>
      <c r="DX22" s="66" t="s">
        <v>242</v>
      </c>
      <c r="DY22" s="65" t="str">
        <f t="shared" si="41"/>
        <v>ME</v>
      </c>
      <c r="DZ22" s="128">
        <v>15</v>
      </c>
      <c r="EA22" s="173">
        <f t="shared" si="42"/>
        <v>0.15240641711229946</v>
      </c>
      <c r="EB22" s="173">
        <f t="shared" si="43"/>
        <v>0.11544117647058824</v>
      </c>
      <c r="EC22" s="173">
        <f t="shared" si="44"/>
        <v>0.68859649122807021</v>
      </c>
      <c r="ED22" s="63">
        <v>1.07</v>
      </c>
      <c r="EE22" s="63">
        <v>1.1299999999999999</v>
      </c>
      <c r="EF22" s="63">
        <v>0.05</v>
      </c>
      <c r="EG22" s="63">
        <v>0.08</v>
      </c>
      <c r="EH22" s="127" t="str">
        <f t="shared" si="5"/>
        <v>ME</v>
      </c>
      <c r="EI22" s="56">
        <v>15</v>
      </c>
      <c r="EJ22" s="334"/>
      <c r="EK22" s="334"/>
      <c r="EL22" s="334"/>
      <c r="EM22" s="334"/>
      <c r="EN22" s="334"/>
      <c r="EO22" s="334"/>
      <c r="EP22" s="334"/>
      <c r="EQ22" s="65" t="str">
        <f t="shared" si="45"/>
        <v>ME</v>
      </c>
      <c r="ER22" s="20"/>
      <c r="ES22" s="20"/>
      <c r="ET22" s="20"/>
      <c r="EU22" s="20"/>
      <c r="EV22" s="20"/>
      <c r="EW22" s="20"/>
      <c r="EX22" s="20"/>
    </row>
    <row r="23" spans="1:154" s="3" customFormat="1" ht="17.149999999999999" customHeight="1" x14ac:dyDescent="0.35">
      <c r="A23" s="56">
        <v>16</v>
      </c>
      <c r="B23" s="57">
        <v>896810</v>
      </c>
      <c r="C23" s="58">
        <f t="shared" si="6"/>
        <v>224</v>
      </c>
      <c r="D23" s="167">
        <v>9.5500000000000007</v>
      </c>
      <c r="E23" s="59">
        <v>801147</v>
      </c>
      <c r="F23" s="58">
        <f t="shared" si="7"/>
        <v>221</v>
      </c>
      <c r="G23" s="168">
        <v>1.32</v>
      </c>
      <c r="H23" s="57">
        <v>757363</v>
      </c>
      <c r="I23" s="58">
        <f t="shared" si="0"/>
        <v>183</v>
      </c>
      <c r="J23" s="60" t="s">
        <v>194</v>
      </c>
      <c r="K23" s="56">
        <v>16</v>
      </c>
      <c r="L23" s="57">
        <v>70222</v>
      </c>
      <c r="M23" s="58">
        <f t="shared" si="8"/>
        <v>8</v>
      </c>
      <c r="N23" s="59">
        <v>178551</v>
      </c>
      <c r="O23" s="58">
        <f t="shared" si="9"/>
        <v>66</v>
      </c>
      <c r="P23" s="57">
        <v>194749</v>
      </c>
      <c r="Q23" s="169" t="str">
        <f t="shared" si="1"/>
        <v/>
      </c>
      <c r="R23" s="57">
        <v>681</v>
      </c>
      <c r="S23" s="57">
        <v>688</v>
      </c>
      <c r="T23" s="57">
        <v>142</v>
      </c>
      <c r="U23" s="57">
        <v>139</v>
      </c>
      <c r="V23" s="58" t="str">
        <f t="shared" si="10"/>
        <v>ME</v>
      </c>
      <c r="W23" s="56">
        <v>16</v>
      </c>
      <c r="X23" s="63">
        <v>11855.05</v>
      </c>
      <c r="Y23" s="130">
        <f t="shared" si="11"/>
        <v>2.4099999999998545</v>
      </c>
      <c r="Z23" s="63">
        <v>12622.81</v>
      </c>
      <c r="AA23" s="130">
        <f t="shared" si="12"/>
        <v>4.1499999999996362</v>
      </c>
      <c r="AB23" s="63">
        <v>9944.77</v>
      </c>
      <c r="AC23" s="130">
        <f t="shared" si="13"/>
        <v>1.6700000000000728</v>
      </c>
      <c r="AD23" s="63">
        <v>10048.76</v>
      </c>
      <c r="AE23" s="130">
        <f t="shared" si="2"/>
        <v>3.1900000000005093</v>
      </c>
      <c r="AF23" s="125" t="str">
        <f t="shared" si="14"/>
        <v>ME</v>
      </c>
      <c r="AG23" s="56">
        <v>16</v>
      </c>
      <c r="AH23" s="63">
        <v>47402.97</v>
      </c>
      <c r="AI23" s="130">
        <f t="shared" si="15"/>
        <v>7.7299999999959255</v>
      </c>
      <c r="AJ23" s="63">
        <v>49533.5</v>
      </c>
      <c r="AK23" s="130">
        <f t="shared" si="16"/>
        <v>17.319999999999709</v>
      </c>
      <c r="AL23" s="63">
        <v>587.17999999999995</v>
      </c>
      <c r="AM23" s="130" t="str">
        <f t="shared" si="17"/>
        <v/>
      </c>
      <c r="AN23" s="63">
        <v>548.61</v>
      </c>
      <c r="AO23" s="130" t="str">
        <f t="shared" si="3"/>
        <v/>
      </c>
      <c r="AP23" s="125" t="str">
        <f t="shared" si="18"/>
        <v>ME</v>
      </c>
      <c r="AQ23" s="56">
        <v>16</v>
      </c>
      <c r="AR23" s="63">
        <v>6820.88</v>
      </c>
      <c r="AS23" s="130">
        <f t="shared" si="19"/>
        <v>2.0999999999994543</v>
      </c>
      <c r="AT23" s="63">
        <v>7596.99</v>
      </c>
      <c r="AU23" s="130">
        <f t="shared" si="20"/>
        <v>2.7700000000004366</v>
      </c>
      <c r="AV23" s="63">
        <v>257.91000000000003</v>
      </c>
      <c r="AW23" s="130">
        <f t="shared" si="21"/>
        <v>8.9999999999974989E-2</v>
      </c>
      <c r="AX23" s="63">
        <v>244.58</v>
      </c>
      <c r="AY23" s="130" t="str">
        <f t="shared" si="4"/>
        <v/>
      </c>
      <c r="AZ23" s="125" t="str">
        <f t="shared" si="22"/>
        <v>ME</v>
      </c>
      <c r="BA23" s="56">
        <v>16</v>
      </c>
      <c r="BB23" s="63"/>
      <c r="BC23" s="62"/>
      <c r="BD23" s="61"/>
      <c r="BE23" s="61"/>
      <c r="BF23" s="61"/>
      <c r="BG23" s="61"/>
      <c r="BH23" s="64"/>
      <c r="BI23" s="64"/>
      <c r="BJ23" s="64"/>
      <c r="BK23" s="64"/>
      <c r="BL23" s="64"/>
      <c r="BM23" s="64"/>
      <c r="BN23" s="65" t="str">
        <f t="shared" si="23"/>
        <v>ME</v>
      </c>
      <c r="BO23" s="56">
        <v>16</v>
      </c>
      <c r="BP23" s="64">
        <v>9.5000000000000001E-2</v>
      </c>
      <c r="BQ23" s="62"/>
      <c r="BR23" s="61"/>
      <c r="BS23" s="61"/>
      <c r="BT23" s="61"/>
      <c r="BU23" s="64"/>
      <c r="BV23" s="63">
        <v>1.07</v>
      </c>
      <c r="BW23" s="63">
        <v>0.87</v>
      </c>
      <c r="BX23" s="66" t="s">
        <v>255</v>
      </c>
      <c r="BY23" s="172" t="s">
        <v>246</v>
      </c>
      <c r="BZ23" s="67" t="str">
        <f t="shared" si="24"/>
        <v>ME</v>
      </c>
      <c r="CA23" s="56">
        <v>16</v>
      </c>
      <c r="CB23" s="61">
        <v>90.3</v>
      </c>
      <c r="CC23" s="61"/>
      <c r="CD23" s="68">
        <f t="shared" si="25"/>
        <v>1.8999999999999915</v>
      </c>
      <c r="CE23" s="69">
        <f t="shared" si="26"/>
        <v>8.8431034999999607</v>
      </c>
      <c r="CF23" s="69">
        <f t="shared" si="27"/>
        <v>5.7987563934425976</v>
      </c>
      <c r="CG23" s="62">
        <v>74</v>
      </c>
      <c r="CH23" s="62">
        <v>100</v>
      </c>
      <c r="CI23" s="65" t="str">
        <f t="shared" si="28"/>
        <v>ME</v>
      </c>
      <c r="CJ23" s="56">
        <v>16</v>
      </c>
      <c r="CK23" s="61">
        <v>88</v>
      </c>
      <c r="CL23" s="61"/>
      <c r="CM23" s="68">
        <f t="shared" si="29"/>
        <v>2.7999999999999972</v>
      </c>
      <c r="CN23" s="68">
        <f t="shared" si="30"/>
        <v>13.031941999999988</v>
      </c>
      <c r="CO23" s="68">
        <f t="shared" si="31"/>
        <v>23.134605965624985</v>
      </c>
      <c r="CP23" s="62">
        <v>52</v>
      </c>
      <c r="CQ23" s="62">
        <v>83</v>
      </c>
      <c r="CR23" s="65" t="str">
        <f t="shared" si="32"/>
        <v>ME</v>
      </c>
      <c r="CS23" s="56">
        <v>16</v>
      </c>
      <c r="CT23" s="61">
        <v>88.4</v>
      </c>
      <c r="CU23" s="61"/>
      <c r="CV23" s="68">
        <f t="shared" si="33"/>
        <v>2.3000000000000114</v>
      </c>
      <c r="CW23" s="68">
        <f t="shared" si="34"/>
        <v>15.281752000000075</v>
      </c>
      <c r="CX23" s="69">
        <f t="shared" si="35"/>
        <v>6.822210714285748E-2</v>
      </c>
      <c r="CY23" s="66" t="s">
        <v>240</v>
      </c>
      <c r="CZ23" s="66" t="s">
        <v>241</v>
      </c>
      <c r="DA23" s="66"/>
      <c r="DB23" s="65" t="str">
        <f t="shared" si="36"/>
        <v>ME</v>
      </c>
      <c r="DC23" s="56">
        <v>16</v>
      </c>
      <c r="DD23" s="61">
        <v>81.099999999999994</v>
      </c>
      <c r="DE23" s="61">
        <v>104.2</v>
      </c>
      <c r="DF23" s="68">
        <f t="shared" si="37"/>
        <v>22</v>
      </c>
      <c r="DG23" s="69">
        <f t="shared" si="38"/>
        <v>1.1869270336</v>
      </c>
      <c r="DH23" s="68">
        <f t="shared" si="39"/>
        <v>5.2987814000000002</v>
      </c>
      <c r="DI23" s="62">
        <v>90</v>
      </c>
      <c r="DJ23" s="62">
        <v>54</v>
      </c>
      <c r="DK23" s="65" t="str">
        <f t="shared" si="40"/>
        <v>ME</v>
      </c>
      <c r="DL23" s="56">
        <v>16</v>
      </c>
      <c r="DM23" s="63">
        <v>8.1</v>
      </c>
      <c r="DN23" s="64">
        <v>3.7999999999999999E-2</v>
      </c>
      <c r="DO23" s="64">
        <v>3.4000000000000002E-2</v>
      </c>
      <c r="DP23" s="64">
        <v>6.7000000000000004E-2</v>
      </c>
      <c r="DQ23" s="63">
        <v>6.98</v>
      </c>
      <c r="DR23" s="61">
        <v>18.899999999999999</v>
      </c>
      <c r="DS23" s="64">
        <v>1.089</v>
      </c>
      <c r="DT23" s="61">
        <v>86.9</v>
      </c>
      <c r="DU23" s="63">
        <v>4.25</v>
      </c>
      <c r="DV23" s="64">
        <v>1.9359999999999999</v>
      </c>
      <c r="DW23" s="64">
        <v>1.29</v>
      </c>
      <c r="DX23" s="66" t="s">
        <v>242</v>
      </c>
      <c r="DY23" s="65" t="str">
        <f t="shared" si="41"/>
        <v>ME</v>
      </c>
      <c r="DZ23" s="128">
        <v>16</v>
      </c>
      <c r="EA23" s="173">
        <f t="shared" si="42"/>
        <v>0.1497326203208556</v>
      </c>
      <c r="EB23" s="173">
        <f t="shared" si="43"/>
        <v>0.16250000000000001</v>
      </c>
      <c r="EC23" s="173">
        <f t="shared" si="44"/>
        <v>0.8169642857142857</v>
      </c>
      <c r="ED23" s="63">
        <v>1.06</v>
      </c>
      <c r="EE23" s="63">
        <v>1.1000000000000001</v>
      </c>
      <c r="EF23" s="63">
        <v>0.05</v>
      </c>
      <c r="EG23" s="63">
        <v>0.06</v>
      </c>
      <c r="EH23" s="127" t="str">
        <f t="shared" si="5"/>
        <v>ME</v>
      </c>
      <c r="EI23" s="56">
        <v>16</v>
      </c>
      <c r="EJ23" s="334" t="s">
        <v>393</v>
      </c>
      <c r="EK23" s="334"/>
      <c r="EL23" s="334"/>
      <c r="EM23" s="334"/>
      <c r="EN23" s="334"/>
      <c r="EO23" s="334"/>
      <c r="EP23" s="334"/>
      <c r="EQ23" s="65" t="str">
        <f t="shared" si="45"/>
        <v>ME</v>
      </c>
      <c r="ER23" s="20"/>
      <c r="ES23" s="20"/>
      <c r="ET23" s="20"/>
      <c r="EU23" s="20"/>
      <c r="EV23" s="20"/>
      <c r="EW23" s="20"/>
      <c r="EX23" s="20"/>
    </row>
    <row r="24" spans="1:154" s="3" customFormat="1" ht="17.149999999999999" customHeight="1" x14ac:dyDescent="0.35">
      <c r="A24" s="56">
        <v>17</v>
      </c>
      <c r="B24" s="57">
        <v>897034</v>
      </c>
      <c r="C24" s="58">
        <f t="shared" si="6"/>
        <v>175</v>
      </c>
      <c r="D24" s="167">
        <v>9.41</v>
      </c>
      <c r="E24" s="59">
        <v>801368</v>
      </c>
      <c r="F24" s="58">
        <f t="shared" si="7"/>
        <v>243</v>
      </c>
      <c r="G24" s="168">
        <v>2.4</v>
      </c>
      <c r="H24" s="57">
        <v>757546</v>
      </c>
      <c r="I24" s="58">
        <f t="shared" si="0"/>
        <v>150</v>
      </c>
      <c r="J24" s="60" t="s">
        <v>194</v>
      </c>
      <c r="K24" s="56">
        <v>17</v>
      </c>
      <c r="L24" s="57">
        <v>70230</v>
      </c>
      <c r="M24" s="58" t="str">
        <f t="shared" si="8"/>
        <v/>
      </c>
      <c r="N24" s="59">
        <v>178617</v>
      </c>
      <c r="O24" s="58">
        <f t="shared" si="9"/>
        <v>52</v>
      </c>
      <c r="P24" s="57">
        <v>194749</v>
      </c>
      <c r="Q24" s="169" t="str">
        <f t="shared" si="1"/>
        <v/>
      </c>
      <c r="R24" s="57">
        <v>681</v>
      </c>
      <c r="S24" s="57">
        <v>688</v>
      </c>
      <c r="T24" s="57">
        <v>142</v>
      </c>
      <c r="U24" s="57">
        <v>140</v>
      </c>
      <c r="V24" s="58" t="str">
        <f t="shared" si="10"/>
        <v>ME</v>
      </c>
      <c r="W24" s="56">
        <v>17</v>
      </c>
      <c r="X24" s="63">
        <v>11857.46</v>
      </c>
      <c r="Y24" s="130">
        <f t="shared" si="11"/>
        <v>2.6000000000003638</v>
      </c>
      <c r="Z24" s="63">
        <v>12626.96</v>
      </c>
      <c r="AA24" s="130">
        <f t="shared" si="12"/>
        <v>2.5200000000004366</v>
      </c>
      <c r="AB24" s="63">
        <v>9946.44</v>
      </c>
      <c r="AC24" s="130">
        <f t="shared" si="13"/>
        <v>2.0100000000002183</v>
      </c>
      <c r="AD24" s="63">
        <v>10051.950000000001</v>
      </c>
      <c r="AE24" s="130">
        <f t="shared" si="2"/>
        <v>1.9699999999993452</v>
      </c>
      <c r="AF24" s="125" t="str">
        <f t="shared" si="14"/>
        <v>ME</v>
      </c>
      <c r="AG24" s="56">
        <v>17</v>
      </c>
      <c r="AH24" s="63">
        <v>47410.7</v>
      </c>
      <c r="AI24" s="130">
        <f t="shared" si="15"/>
        <v>16.270000000004075</v>
      </c>
      <c r="AJ24" s="63">
        <v>49550.82</v>
      </c>
      <c r="AK24" s="130">
        <f t="shared" si="16"/>
        <v>11.580000000001746</v>
      </c>
      <c r="AL24" s="63">
        <v>587.17999999999995</v>
      </c>
      <c r="AM24" s="130" t="str">
        <f t="shared" si="17"/>
        <v/>
      </c>
      <c r="AN24" s="63">
        <v>548.61</v>
      </c>
      <c r="AO24" s="130" t="str">
        <f t="shared" si="3"/>
        <v/>
      </c>
      <c r="AP24" s="125" t="str">
        <f t="shared" si="18"/>
        <v>ME</v>
      </c>
      <c r="AQ24" s="56">
        <v>17</v>
      </c>
      <c r="AR24" s="63">
        <v>6822.98</v>
      </c>
      <c r="AS24" s="130">
        <f t="shared" si="19"/>
        <v>2.7200000000002547</v>
      </c>
      <c r="AT24" s="63">
        <v>7599.76</v>
      </c>
      <c r="AU24" s="130">
        <f t="shared" si="20"/>
        <v>2.8999999999996362</v>
      </c>
      <c r="AV24" s="63">
        <v>258</v>
      </c>
      <c r="AW24" s="130" t="str">
        <f t="shared" si="21"/>
        <v/>
      </c>
      <c r="AX24" s="63">
        <v>244.58</v>
      </c>
      <c r="AY24" s="130" t="str">
        <f t="shared" si="4"/>
        <v/>
      </c>
      <c r="AZ24" s="125" t="str">
        <f t="shared" si="22"/>
        <v>ME</v>
      </c>
      <c r="BA24" s="56">
        <v>17</v>
      </c>
      <c r="BB24" s="63"/>
      <c r="BC24" s="62"/>
      <c r="BD24" s="61"/>
      <c r="BE24" s="61"/>
      <c r="BF24" s="61"/>
      <c r="BG24" s="61"/>
      <c r="BH24" s="64"/>
      <c r="BI24" s="64"/>
      <c r="BJ24" s="64"/>
      <c r="BK24" s="64"/>
      <c r="BL24" s="64"/>
      <c r="BM24" s="64"/>
      <c r="BN24" s="65" t="str">
        <f t="shared" si="23"/>
        <v>ME</v>
      </c>
      <c r="BO24" s="56">
        <v>17</v>
      </c>
      <c r="BP24" s="64">
        <v>8.5000000000000006E-2</v>
      </c>
      <c r="BQ24" s="62"/>
      <c r="BR24" s="61"/>
      <c r="BS24" s="61"/>
      <c r="BT24" s="61"/>
      <c r="BU24" s="64"/>
      <c r="BV24" s="63">
        <v>1.07</v>
      </c>
      <c r="BW24" s="63">
        <v>0.9</v>
      </c>
      <c r="BX24" s="66" t="s">
        <v>253</v>
      </c>
      <c r="BY24" s="172" t="s">
        <v>246</v>
      </c>
      <c r="BZ24" s="67" t="str">
        <f t="shared" si="24"/>
        <v>ME</v>
      </c>
      <c r="CA24" s="56">
        <v>17</v>
      </c>
      <c r="CB24" s="61">
        <v>88.4</v>
      </c>
      <c r="CC24" s="61"/>
      <c r="CD24" s="68">
        <f t="shared" si="25"/>
        <v>1.5</v>
      </c>
      <c r="CE24" s="69">
        <f t="shared" si="26"/>
        <v>6.9813975000000008</v>
      </c>
      <c r="CF24" s="69">
        <f t="shared" si="27"/>
        <v>5.5851180000000005</v>
      </c>
      <c r="CG24" s="62">
        <v>77</v>
      </c>
      <c r="CH24" s="62">
        <v>100</v>
      </c>
      <c r="CI24" s="65" t="str">
        <f t="shared" si="28"/>
        <v>ME</v>
      </c>
      <c r="CJ24" s="56">
        <v>17</v>
      </c>
      <c r="CK24" s="61">
        <v>85.2</v>
      </c>
      <c r="CL24" s="61"/>
      <c r="CM24" s="68">
        <f t="shared" si="29"/>
        <v>2</v>
      </c>
      <c r="CN24" s="68">
        <f t="shared" si="30"/>
        <v>9.3085300000000011</v>
      </c>
      <c r="CO24" s="68">
        <f t="shared" si="31"/>
        <v>21.151639740000004</v>
      </c>
      <c r="CP24" s="62">
        <v>53</v>
      </c>
      <c r="CQ24" s="62">
        <v>83</v>
      </c>
      <c r="CR24" s="65" t="str">
        <f t="shared" si="32"/>
        <v>ME</v>
      </c>
      <c r="CS24" s="56">
        <v>17</v>
      </c>
      <c r="CT24" s="61">
        <v>86.1</v>
      </c>
      <c r="CU24" s="61"/>
      <c r="CV24" s="68">
        <f t="shared" si="33"/>
        <v>1.6999999999999886</v>
      </c>
      <c r="CW24" s="68">
        <f t="shared" si="34"/>
        <v>11.295207999999924</v>
      </c>
      <c r="CX24" s="69">
        <f t="shared" si="35"/>
        <v>6.4544045714285278E-2</v>
      </c>
      <c r="CY24" s="66" t="s">
        <v>240</v>
      </c>
      <c r="CZ24" s="66" t="s">
        <v>241</v>
      </c>
      <c r="DA24" s="66"/>
      <c r="DB24" s="65" t="str">
        <f t="shared" si="36"/>
        <v>ME</v>
      </c>
      <c r="DC24" s="56">
        <v>17</v>
      </c>
      <c r="DD24" s="61">
        <v>82.2</v>
      </c>
      <c r="DE24" s="61">
        <v>103.6</v>
      </c>
      <c r="DF24" s="68">
        <f t="shared" si="37"/>
        <v>17.399999999999991</v>
      </c>
      <c r="DG24" s="69">
        <f t="shared" si="38"/>
        <v>0.93875138111999956</v>
      </c>
      <c r="DH24" s="68">
        <f t="shared" si="39"/>
        <v>5.3642936063999977</v>
      </c>
      <c r="DI24" s="62">
        <v>90</v>
      </c>
      <c r="DJ24" s="62">
        <v>54</v>
      </c>
      <c r="DK24" s="65" t="str">
        <f t="shared" si="40"/>
        <v>ME</v>
      </c>
      <c r="DL24" s="56">
        <v>17</v>
      </c>
      <c r="DM24" s="63">
        <v>8.14</v>
      </c>
      <c r="DN24" s="64">
        <v>0.04</v>
      </c>
      <c r="DO24" s="64">
        <v>3.5999999999999997E-2</v>
      </c>
      <c r="DP24" s="64">
        <v>6.5000000000000002E-2</v>
      </c>
      <c r="DQ24" s="63">
        <v>6.95</v>
      </c>
      <c r="DR24" s="61">
        <v>19.2</v>
      </c>
      <c r="DS24" s="64">
        <v>1.075</v>
      </c>
      <c r="DT24" s="61">
        <v>86.8</v>
      </c>
      <c r="DU24" s="63">
        <v>4.2699999999999996</v>
      </c>
      <c r="DV24" s="64">
        <v>1.3029999999999999</v>
      </c>
      <c r="DW24" s="64">
        <v>1.57</v>
      </c>
      <c r="DX24" s="66" t="s">
        <v>242</v>
      </c>
      <c r="DY24" s="65" t="str">
        <f t="shared" si="41"/>
        <v>ME</v>
      </c>
      <c r="DZ24" s="128">
        <v>17</v>
      </c>
      <c r="EA24" s="173">
        <f t="shared" si="42"/>
        <v>0.11697860962566844</v>
      </c>
      <c r="EB24" s="173">
        <f t="shared" si="43"/>
        <v>0.1786764705882353</v>
      </c>
      <c r="EC24" s="173">
        <f t="shared" si="44"/>
        <v>0.8571428571428571</v>
      </c>
      <c r="ED24" s="63">
        <v>1.04</v>
      </c>
      <c r="EE24" s="63">
        <v>1.1000000000000001</v>
      </c>
      <c r="EF24" s="63">
        <v>0.06</v>
      </c>
      <c r="EG24" s="63">
        <v>0.06</v>
      </c>
      <c r="EH24" s="127" t="str">
        <f t="shared" si="5"/>
        <v>ME</v>
      </c>
      <c r="EI24" s="56">
        <v>17</v>
      </c>
      <c r="EJ24" s="334"/>
      <c r="EK24" s="334"/>
      <c r="EL24" s="334"/>
      <c r="EM24" s="334"/>
      <c r="EN24" s="334"/>
      <c r="EO24" s="334"/>
      <c r="EP24" s="334"/>
      <c r="EQ24" s="65" t="str">
        <f t="shared" si="45"/>
        <v>ME</v>
      </c>
      <c r="ER24" s="20"/>
      <c r="ES24" s="20"/>
      <c r="ET24" s="20"/>
      <c r="EU24" s="20"/>
      <c r="EV24" s="20"/>
      <c r="EW24" s="20"/>
      <c r="EX24" s="20"/>
    </row>
    <row r="25" spans="1:154" s="3" customFormat="1" ht="17.149999999999999" customHeight="1" x14ac:dyDescent="0.35">
      <c r="A25" s="56">
        <v>18</v>
      </c>
      <c r="B25" s="57">
        <v>897209</v>
      </c>
      <c r="C25" s="58">
        <f t="shared" si="6"/>
        <v>235</v>
      </c>
      <c r="D25" s="167">
        <v>9.3699999999999992</v>
      </c>
      <c r="E25" s="59">
        <v>801611</v>
      </c>
      <c r="F25" s="58">
        <f t="shared" si="7"/>
        <v>201</v>
      </c>
      <c r="G25" s="168">
        <v>2.36</v>
      </c>
      <c r="H25" s="57">
        <v>757696</v>
      </c>
      <c r="I25" s="58">
        <f t="shared" si="0"/>
        <v>169</v>
      </c>
      <c r="J25" s="60" t="s">
        <v>194</v>
      </c>
      <c r="K25" s="56">
        <v>18</v>
      </c>
      <c r="L25" s="57">
        <v>70230</v>
      </c>
      <c r="M25" s="58">
        <f t="shared" si="8"/>
        <v>49</v>
      </c>
      <c r="N25" s="59">
        <v>178669</v>
      </c>
      <c r="O25" s="58">
        <f t="shared" si="9"/>
        <v>48</v>
      </c>
      <c r="P25" s="57">
        <v>194749</v>
      </c>
      <c r="Q25" s="169" t="str">
        <f t="shared" si="1"/>
        <v/>
      </c>
      <c r="R25" s="57">
        <v>681</v>
      </c>
      <c r="S25" s="57">
        <v>688</v>
      </c>
      <c r="T25" s="57">
        <v>142</v>
      </c>
      <c r="U25" s="57">
        <v>140</v>
      </c>
      <c r="V25" s="58" t="str">
        <f t="shared" si="10"/>
        <v>ME</v>
      </c>
      <c r="W25" s="56">
        <v>18</v>
      </c>
      <c r="X25" s="63">
        <v>11860.06</v>
      </c>
      <c r="Y25" s="130">
        <f t="shared" si="11"/>
        <v>3.3100000000013097</v>
      </c>
      <c r="Z25" s="63">
        <v>12629.48</v>
      </c>
      <c r="AA25" s="130">
        <f t="shared" si="12"/>
        <v>3.7700000000004366</v>
      </c>
      <c r="AB25" s="63">
        <v>9948.4500000000007</v>
      </c>
      <c r="AC25" s="130">
        <f t="shared" si="13"/>
        <v>2.679999999998472</v>
      </c>
      <c r="AD25" s="63">
        <v>10053.92</v>
      </c>
      <c r="AE25" s="130">
        <f t="shared" si="2"/>
        <v>1.8299999999999272</v>
      </c>
      <c r="AF25" s="125" t="str">
        <f t="shared" si="14"/>
        <v>ME</v>
      </c>
      <c r="AG25" s="56">
        <v>18</v>
      </c>
      <c r="AH25" s="63">
        <v>47426.97</v>
      </c>
      <c r="AI25" s="130">
        <f t="shared" si="15"/>
        <v>10.909999999996217</v>
      </c>
      <c r="AJ25" s="63">
        <v>49562.400000000001</v>
      </c>
      <c r="AK25" s="130">
        <f t="shared" si="16"/>
        <v>12.430000000000291</v>
      </c>
      <c r="AL25" s="63">
        <v>587.17999999999995</v>
      </c>
      <c r="AM25" s="219" t="str">
        <f t="shared" si="17"/>
        <v/>
      </c>
      <c r="AN25" s="63">
        <v>548.61</v>
      </c>
      <c r="AO25" s="130" t="str">
        <f t="shared" si="3"/>
        <v/>
      </c>
      <c r="AP25" s="125" t="str">
        <f t="shared" si="18"/>
        <v>ME</v>
      </c>
      <c r="AQ25" s="56">
        <v>18</v>
      </c>
      <c r="AR25" s="63">
        <v>6825.7</v>
      </c>
      <c r="AS25" s="130">
        <f t="shared" si="19"/>
        <v>2.1599999999998545</v>
      </c>
      <c r="AT25" s="63">
        <v>7602.66</v>
      </c>
      <c r="AU25" s="130">
        <f t="shared" si="20"/>
        <v>2.1100000000005821</v>
      </c>
      <c r="AV25" s="63">
        <v>258</v>
      </c>
      <c r="AW25" s="130" t="str">
        <f t="shared" si="21"/>
        <v/>
      </c>
      <c r="AX25" s="63">
        <v>244.58</v>
      </c>
      <c r="AY25" s="130">
        <f t="shared" si="4"/>
        <v>0.33999999999997499</v>
      </c>
      <c r="AZ25" s="125" t="str">
        <f t="shared" si="22"/>
        <v>ME</v>
      </c>
      <c r="BA25" s="56">
        <v>18</v>
      </c>
      <c r="BB25" s="220">
        <v>2.15</v>
      </c>
      <c r="BC25" s="62">
        <v>55</v>
      </c>
      <c r="BD25" s="61">
        <v>6.8</v>
      </c>
      <c r="BE25" s="61">
        <v>18.5</v>
      </c>
      <c r="BF25" s="61">
        <v>18.399999999999999</v>
      </c>
      <c r="BG25" s="61">
        <v>6.8</v>
      </c>
      <c r="BH25" s="64">
        <v>0.16700000000000001</v>
      </c>
      <c r="BI25" s="64">
        <v>0.17</v>
      </c>
      <c r="BJ25" s="64">
        <v>9.2999999999999999E-2</v>
      </c>
      <c r="BK25" s="64">
        <v>6.5000000000000002E-2</v>
      </c>
      <c r="BL25" s="64">
        <v>0.06</v>
      </c>
      <c r="BM25" s="64">
        <v>6.2E-2</v>
      </c>
      <c r="BN25" s="65" t="str">
        <f t="shared" si="23"/>
        <v>ME</v>
      </c>
      <c r="BO25" s="56">
        <v>18</v>
      </c>
      <c r="BP25" s="64">
        <v>9.5000000000000001E-2</v>
      </c>
      <c r="BQ25" s="62">
        <v>0</v>
      </c>
      <c r="BR25" s="61">
        <v>7.3</v>
      </c>
      <c r="BS25" s="61">
        <v>19.2</v>
      </c>
      <c r="BT25" s="61">
        <v>21.2</v>
      </c>
      <c r="BU25" s="64">
        <v>1.6E-2</v>
      </c>
      <c r="BV25" s="63">
        <v>1.05</v>
      </c>
      <c r="BW25" s="63">
        <v>0.83</v>
      </c>
      <c r="BX25" s="66" t="s">
        <v>245</v>
      </c>
      <c r="BY25" s="172" t="s">
        <v>246</v>
      </c>
      <c r="BZ25" s="67" t="str">
        <f t="shared" si="24"/>
        <v>ME</v>
      </c>
      <c r="CA25" s="56">
        <v>18</v>
      </c>
      <c r="CB25" s="61">
        <v>86.9</v>
      </c>
      <c r="CC25" s="61">
        <v>95.7</v>
      </c>
      <c r="CD25" s="68">
        <f t="shared" si="25"/>
        <v>2.9000000000000057</v>
      </c>
      <c r="CE25" s="69">
        <f t="shared" si="26"/>
        <v>13.497368500000027</v>
      </c>
      <c r="CF25" s="69">
        <f t="shared" si="27"/>
        <v>9.583930295858007</v>
      </c>
      <c r="CG25" s="62">
        <v>77</v>
      </c>
      <c r="CH25" s="62">
        <v>100</v>
      </c>
      <c r="CI25" s="65" t="str">
        <f t="shared" si="28"/>
        <v>ME</v>
      </c>
      <c r="CJ25" s="56">
        <v>18</v>
      </c>
      <c r="CK25" s="61">
        <v>83.2</v>
      </c>
      <c r="CL25" s="61">
        <v>100</v>
      </c>
      <c r="CM25" s="68">
        <f t="shared" si="29"/>
        <v>2.4000000000000057</v>
      </c>
      <c r="CN25" s="68">
        <f t="shared" si="30"/>
        <v>11.170236000000028</v>
      </c>
      <c r="CO25" s="68">
        <f t="shared" si="31"/>
        <v>18.901465299574518</v>
      </c>
      <c r="CP25" s="62">
        <v>53</v>
      </c>
      <c r="CQ25" s="62">
        <v>83</v>
      </c>
      <c r="CR25" s="65" t="str">
        <f t="shared" si="32"/>
        <v>ME</v>
      </c>
      <c r="CS25" s="56">
        <v>18</v>
      </c>
      <c r="CT25" s="61">
        <v>84.4</v>
      </c>
      <c r="CU25" s="61">
        <v>109.3</v>
      </c>
      <c r="CV25" s="68">
        <f t="shared" si="33"/>
        <v>2.5</v>
      </c>
      <c r="CW25" s="68">
        <f t="shared" si="34"/>
        <v>16.610599999999998</v>
      </c>
      <c r="CX25" s="69">
        <f t="shared" si="35"/>
        <v>7.0683404255319146E-2</v>
      </c>
      <c r="CY25" s="66" t="s">
        <v>240</v>
      </c>
      <c r="CZ25" s="66" t="s">
        <v>241</v>
      </c>
      <c r="DA25" s="66"/>
      <c r="DB25" s="65" t="str">
        <f t="shared" si="36"/>
        <v>ME</v>
      </c>
      <c r="DC25" s="56">
        <v>18</v>
      </c>
      <c r="DD25" s="61">
        <v>86.2</v>
      </c>
      <c r="DE25" s="61">
        <v>104</v>
      </c>
      <c r="DF25" s="68">
        <f t="shared" si="37"/>
        <v>20</v>
      </c>
      <c r="DG25" s="69">
        <f t="shared" si="38"/>
        <v>1.0790245760000001</v>
      </c>
      <c r="DH25" s="68">
        <f t="shared" si="39"/>
        <v>4.5915939404255317</v>
      </c>
      <c r="DI25" s="62">
        <v>85</v>
      </c>
      <c r="DJ25" s="62">
        <v>54</v>
      </c>
      <c r="DK25" s="65" t="str">
        <f t="shared" si="40"/>
        <v>ME</v>
      </c>
      <c r="DL25" s="56">
        <v>18</v>
      </c>
      <c r="DM25" s="63">
        <v>7.67</v>
      </c>
      <c r="DN25" s="64">
        <v>3.5000000000000003E-2</v>
      </c>
      <c r="DO25" s="64">
        <v>3.3000000000000002E-2</v>
      </c>
      <c r="DP25" s="64">
        <v>6.7000000000000004E-2</v>
      </c>
      <c r="DQ25" s="63">
        <v>6.94</v>
      </c>
      <c r="DR25" s="61">
        <v>19.2</v>
      </c>
      <c r="DS25" s="64">
        <v>1.091</v>
      </c>
      <c r="DT25" s="61">
        <v>85.1</v>
      </c>
      <c r="DU25" s="63">
        <v>4.13</v>
      </c>
      <c r="DV25" s="64">
        <v>0.68899999999999995</v>
      </c>
      <c r="DW25" s="64">
        <v>0.93300000000000005</v>
      </c>
      <c r="DX25" s="66" t="s">
        <v>247</v>
      </c>
      <c r="DY25" s="65" t="str">
        <f t="shared" si="41"/>
        <v>ME</v>
      </c>
      <c r="DZ25" s="128">
        <v>18</v>
      </c>
      <c r="EA25" s="173">
        <f t="shared" si="42"/>
        <v>0.15708556149732619</v>
      </c>
      <c r="EB25" s="173">
        <f t="shared" si="43"/>
        <v>0.14779411764705883</v>
      </c>
      <c r="EC25" s="173">
        <f t="shared" si="44"/>
        <v>0.7191489361702128</v>
      </c>
      <c r="ED25" s="63">
        <v>1.06</v>
      </c>
      <c r="EE25" s="63">
        <v>1.17</v>
      </c>
      <c r="EF25" s="63">
        <v>0.06</v>
      </c>
      <c r="EG25" s="63">
        <v>7.0000000000000007E-2</v>
      </c>
      <c r="EH25" s="127" t="str">
        <f t="shared" si="5"/>
        <v>ME</v>
      </c>
      <c r="EI25" s="56">
        <v>18</v>
      </c>
      <c r="EJ25" s="334"/>
      <c r="EK25" s="334"/>
      <c r="EL25" s="334"/>
      <c r="EM25" s="334"/>
      <c r="EN25" s="334"/>
      <c r="EO25" s="334"/>
      <c r="EP25" s="334"/>
      <c r="EQ25" s="65" t="str">
        <f t="shared" si="45"/>
        <v>ME</v>
      </c>
      <c r="ER25" s="20"/>
      <c r="ES25" s="20"/>
      <c r="ET25" s="20"/>
      <c r="EU25" s="20"/>
      <c r="EV25" s="20"/>
      <c r="EW25" s="20"/>
      <c r="EX25" s="20"/>
    </row>
    <row r="26" spans="1:154" s="3" customFormat="1" ht="17.149999999999999" customHeight="1" x14ac:dyDescent="0.35">
      <c r="A26" s="56">
        <v>19</v>
      </c>
      <c r="B26" s="57">
        <v>897444</v>
      </c>
      <c r="C26" s="58">
        <f t="shared" si="6"/>
        <v>200</v>
      </c>
      <c r="D26" s="167">
        <v>10.84</v>
      </c>
      <c r="E26" s="59">
        <v>801812</v>
      </c>
      <c r="F26" s="58">
        <f t="shared" si="7"/>
        <v>214</v>
      </c>
      <c r="G26" s="168">
        <v>1.33</v>
      </c>
      <c r="H26" s="57">
        <v>757865</v>
      </c>
      <c r="I26" s="58">
        <f t="shared" si="0"/>
        <v>171</v>
      </c>
      <c r="J26" s="60" t="s">
        <v>194</v>
      </c>
      <c r="K26" s="56">
        <v>19</v>
      </c>
      <c r="L26" s="57">
        <v>70279</v>
      </c>
      <c r="M26" s="58" t="str">
        <f t="shared" si="8"/>
        <v/>
      </c>
      <c r="N26" s="59">
        <v>178717</v>
      </c>
      <c r="O26" s="58">
        <f t="shared" si="9"/>
        <v>58</v>
      </c>
      <c r="P26" s="57">
        <v>194749</v>
      </c>
      <c r="Q26" s="169" t="str">
        <f t="shared" si="1"/>
        <v/>
      </c>
      <c r="R26" s="57">
        <v>681</v>
      </c>
      <c r="S26" s="57">
        <v>689</v>
      </c>
      <c r="T26" s="57">
        <v>142</v>
      </c>
      <c r="U26" s="57">
        <v>140</v>
      </c>
      <c r="V26" s="58" t="str">
        <f t="shared" si="10"/>
        <v>ME</v>
      </c>
      <c r="W26" s="56">
        <v>19</v>
      </c>
      <c r="X26" s="63">
        <v>11863.37</v>
      </c>
      <c r="Y26" s="130">
        <f t="shared" si="11"/>
        <v>3</v>
      </c>
      <c r="Z26" s="63">
        <v>12633.25</v>
      </c>
      <c r="AA26" s="130">
        <f t="shared" si="12"/>
        <v>2.819999999999709</v>
      </c>
      <c r="AB26" s="63">
        <v>9951.1299999999992</v>
      </c>
      <c r="AC26" s="130">
        <f t="shared" si="13"/>
        <v>2.7300000000013824</v>
      </c>
      <c r="AD26" s="63">
        <v>10055.75</v>
      </c>
      <c r="AE26" s="130">
        <f t="shared" si="2"/>
        <v>1.819999999999709</v>
      </c>
      <c r="AF26" s="125" t="str">
        <f t="shared" si="14"/>
        <v>ME</v>
      </c>
      <c r="AG26" s="56">
        <v>19</v>
      </c>
      <c r="AH26" s="63">
        <v>47437.88</v>
      </c>
      <c r="AI26" s="130">
        <f t="shared" si="15"/>
        <v>13.100000000005821</v>
      </c>
      <c r="AJ26" s="63">
        <v>49574.83</v>
      </c>
      <c r="AK26" s="130">
        <f t="shared" si="16"/>
        <v>11.430000000000291</v>
      </c>
      <c r="AL26" s="63">
        <v>587.17999999999995</v>
      </c>
      <c r="AM26" s="219">
        <f t="shared" si="17"/>
        <v>0.19000000000005457</v>
      </c>
      <c r="AN26" s="63">
        <v>548.61</v>
      </c>
      <c r="AO26" s="130" t="str">
        <f t="shared" si="3"/>
        <v/>
      </c>
      <c r="AP26" s="125" t="str">
        <f t="shared" si="18"/>
        <v>ME</v>
      </c>
      <c r="AQ26" s="56">
        <v>19</v>
      </c>
      <c r="AR26" s="63">
        <v>6827.86</v>
      </c>
      <c r="AS26" s="130">
        <f t="shared" si="19"/>
        <v>2.8699999999998909</v>
      </c>
      <c r="AT26" s="63">
        <v>7604.77</v>
      </c>
      <c r="AU26" s="130">
        <f t="shared" si="20"/>
        <v>1.9199999999991633</v>
      </c>
      <c r="AV26" s="63">
        <v>258</v>
      </c>
      <c r="AW26" s="130" t="str">
        <f t="shared" si="21"/>
        <v/>
      </c>
      <c r="AX26" s="63">
        <v>244.92</v>
      </c>
      <c r="AY26" s="130" t="str">
        <f t="shared" si="4"/>
        <v/>
      </c>
      <c r="AZ26" s="125" t="str">
        <f t="shared" si="22"/>
        <v>ME</v>
      </c>
      <c r="BA26" s="56">
        <v>19</v>
      </c>
      <c r="BB26" s="63">
        <v>1.61</v>
      </c>
      <c r="BC26" s="62">
        <v>31</v>
      </c>
      <c r="BD26" s="61">
        <v>6.9</v>
      </c>
      <c r="BE26" s="61">
        <v>19</v>
      </c>
      <c r="BF26" s="61">
        <v>17.399999999999999</v>
      </c>
      <c r="BG26" s="61">
        <v>6.9</v>
      </c>
      <c r="BH26" s="64">
        <v>0.14299999999999999</v>
      </c>
      <c r="BI26" s="64">
        <v>0.159</v>
      </c>
      <c r="BJ26" s="64">
        <v>7.3999999999999996E-2</v>
      </c>
      <c r="BK26" s="64">
        <v>6.6000000000000003E-2</v>
      </c>
      <c r="BL26" s="64">
        <v>6.6000000000000003E-2</v>
      </c>
      <c r="BM26" s="64">
        <v>5.8000000000000003E-2</v>
      </c>
      <c r="BN26" s="65" t="str">
        <f t="shared" si="23"/>
        <v>ME</v>
      </c>
      <c r="BO26" s="56">
        <v>19</v>
      </c>
      <c r="BP26" s="64">
        <v>0.104</v>
      </c>
      <c r="BQ26" s="62">
        <v>0</v>
      </c>
      <c r="BR26" s="61">
        <v>7.3</v>
      </c>
      <c r="BS26" s="61">
        <v>19.5</v>
      </c>
      <c r="BT26" s="61">
        <v>19.8</v>
      </c>
      <c r="BU26" s="64">
        <v>1.4999999999999999E-2</v>
      </c>
      <c r="BV26" s="63">
        <v>1.1299999999999999</v>
      </c>
      <c r="BW26" s="63">
        <v>0.87</v>
      </c>
      <c r="BX26" s="66" t="s">
        <v>245</v>
      </c>
      <c r="BY26" s="172" t="s">
        <v>246</v>
      </c>
      <c r="BZ26" s="67" t="str">
        <f t="shared" si="24"/>
        <v>ME</v>
      </c>
      <c r="CA26" s="56">
        <v>19</v>
      </c>
      <c r="CB26" s="61">
        <v>92.8</v>
      </c>
      <c r="CC26" s="61"/>
      <c r="CD26" s="68">
        <f t="shared" si="25"/>
        <v>2.0999999999999943</v>
      </c>
      <c r="CE26" s="69">
        <f t="shared" si="26"/>
        <v>9.773956499999974</v>
      </c>
      <c r="CF26" s="69">
        <f t="shared" si="27"/>
        <v>6.858916842105244</v>
      </c>
      <c r="CG26" s="62">
        <v>75</v>
      </c>
      <c r="CH26" s="62">
        <v>100</v>
      </c>
      <c r="CI26" s="65" t="str">
        <f t="shared" si="28"/>
        <v>ME</v>
      </c>
      <c r="CJ26" s="56">
        <v>19</v>
      </c>
      <c r="CK26" s="61">
        <v>97.6</v>
      </c>
      <c r="CL26" s="61"/>
      <c r="CM26" s="68">
        <f t="shared" si="29"/>
        <v>2.3999999999999915</v>
      </c>
      <c r="CN26" s="68">
        <f t="shared" si="30"/>
        <v>11.17023599999996</v>
      </c>
      <c r="CO26" s="68">
        <f t="shared" si="31"/>
        <v>22.209221726999921</v>
      </c>
      <c r="CP26" s="62">
        <v>53</v>
      </c>
      <c r="CQ26" s="62">
        <v>83</v>
      </c>
      <c r="CR26" s="65" t="str">
        <f t="shared" si="32"/>
        <v>ME</v>
      </c>
      <c r="CS26" s="56">
        <v>19</v>
      </c>
      <c r="CT26" s="61">
        <v>106.8</v>
      </c>
      <c r="CU26" s="61"/>
      <c r="CV26" s="68">
        <f t="shared" si="33"/>
        <v>2</v>
      </c>
      <c r="CW26" s="68">
        <f t="shared" si="34"/>
        <v>13.28848</v>
      </c>
      <c r="CX26" s="69">
        <f t="shared" si="35"/>
        <v>6.6442399999999999E-2</v>
      </c>
      <c r="CY26" s="66" t="s">
        <v>240</v>
      </c>
      <c r="CZ26" s="66" t="s">
        <v>241</v>
      </c>
      <c r="DA26" s="66"/>
      <c r="DB26" s="65" t="str">
        <f t="shared" si="36"/>
        <v>ME</v>
      </c>
      <c r="DC26" s="56">
        <v>19</v>
      </c>
      <c r="DD26" s="61">
        <v>84</v>
      </c>
      <c r="DE26" s="61">
        <v>103.7</v>
      </c>
      <c r="DF26" s="68">
        <f t="shared" si="37"/>
        <v>17.5</v>
      </c>
      <c r="DG26" s="69">
        <f t="shared" si="38"/>
        <v>0.944146504</v>
      </c>
      <c r="DH26" s="68">
        <f t="shared" si="39"/>
        <v>4.7207325200000003</v>
      </c>
      <c r="DI26" s="62">
        <v>90</v>
      </c>
      <c r="DJ26" s="62">
        <v>54</v>
      </c>
      <c r="DK26" s="65" t="str">
        <f t="shared" si="40"/>
        <v>ME</v>
      </c>
      <c r="DL26" s="56">
        <v>19</v>
      </c>
      <c r="DM26" s="63">
        <v>8.0299999999999994</v>
      </c>
      <c r="DN26" s="64">
        <v>3.2000000000000001E-2</v>
      </c>
      <c r="DO26" s="64">
        <v>3.3000000000000002E-2</v>
      </c>
      <c r="DP26" s="64">
        <v>6.6000000000000003E-2</v>
      </c>
      <c r="DQ26" s="63">
        <v>6.95</v>
      </c>
      <c r="DR26" s="61">
        <v>19.5</v>
      </c>
      <c r="DS26" s="64">
        <v>1.159</v>
      </c>
      <c r="DT26" s="61">
        <v>84.2</v>
      </c>
      <c r="DU26" s="63">
        <v>4.18</v>
      </c>
      <c r="DV26" s="64">
        <v>1.4690000000000001</v>
      </c>
      <c r="DW26" s="64">
        <v>1.21</v>
      </c>
      <c r="DX26" s="66" t="s">
        <v>242</v>
      </c>
      <c r="DY26" s="65" t="str">
        <f t="shared" si="41"/>
        <v>ME</v>
      </c>
      <c r="DZ26" s="128">
        <v>19</v>
      </c>
      <c r="EA26" s="173">
        <f t="shared" si="42"/>
        <v>0.13368983957219252</v>
      </c>
      <c r="EB26" s="173">
        <f t="shared" si="43"/>
        <v>0.15735294117647058</v>
      </c>
      <c r="EC26" s="173">
        <f t="shared" si="44"/>
        <v>0.85499999999999998</v>
      </c>
      <c r="ED26" s="63">
        <v>0.98</v>
      </c>
      <c r="EE26" s="63">
        <v>1.33</v>
      </c>
      <c r="EF26" s="63">
        <v>0.04</v>
      </c>
      <c r="EG26" s="63">
        <v>0.06</v>
      </c>
      <c r="EH26" s="127" t="str">
        <f t="shared" si="5"/>
        <v>ME</v>
      </c>
      <c r="EI26" s="56">
        <v>19</v>
      </c>
      <c r="EJ26" s="334" t="s">
        <v>396</v>
      </c>
      <c r="EK26" s="334"/>
      <c r="EL26" s="334"/>
      <c r="EM26" s="334"/>
      <c r="EN26" s="334"/>
      <c r="EO26" s="334"/>
      <c r="EP26" s="334"/>
      <c r="EQ26" s="65" t="str">
        <f t="shared" si="45"/>
        <v>ME</v>
      </c>
      <c r="ER26" s="20"/>
      <c r="ES26" s="20"/>
      <c r="ET26" s="20"/>
      <c r="EU26" s="20"/>
      <c r="EV26" s="20"/>
      <c r="EW26" s="20"/>
      <c r="EX26" s="20"/>
    </row>
    <row r="27" spans="1:154" s="3" customFormat="1" ht="17.149999999999999" customHeight="1" x14ac:dyDescent="0.35">
      <c r="A27" s="56">
        <v>20</v>
      </c>
      <c r="B27" s="57">
        <v>897644</v>
      </c>
      <c r="C27" s="58">
        <f t="shared" si="6"/>
        <v>247</v>
      </c>
      <c r="D27" s="167">
        <v>9.11</v>
      </c>
      <c r="E27" s="59">
        <v>802026</v>
      </c>
      <c r="F27" s="58">
        <f t="shared" si="7"/>
        <v>236</v>
      </c>
      <c r="G27" s="168">
        <v>4.1100000000000003</v>
      </c>
      <c r="H27" s="57">
        <v>758036</v>
      </c>
      <c r="I27" s="58">
        <f t="shared" si="0"/>
        <v>196</v>
      </c>
      <c r="J27" s="60" t="s">
        <v>194</v>
      </c>
      <c r="K27" s="56">
        <v>20</v>
      </c>
      <c r="L27" s="57">
        <v>70279</v>
      </c>
      <c r="M27" s="58" t="str">
        <f t="shared" si="8"/>
        <v/>
      </c>
      <c r="N27" s="59">
        <v>178775</v>
      </c>
      <c r="O27" s="58">
        <f t="shared" si="9"/>
        <v>57</v>
      </c>
      <c r="P27" s="57">
        <v>194749</v>
      </c>
      <c r="Q27" s="169" t="str">
        <f t="shared" si="1"/>
        <v/>
      </c>
      <c r="R27" s="57">
        <v>681</v>
      </c>
      <c r="S27" s="57">
        <v>689</v>
      </c>
      <c r="T27" s="57">
        <v>142</v>
      </c>
      <c r="U27" s="57">
        <v>140</v>
      </c>
      <c r="V27" s="58" t="str">
        <f t="shared" si="10"/>
        <v>ME</v>
      </c>
      <c r="W27" s="56">
        <v>20</v>
      </c>
      <c r="X27" s="63">
        <v>11866.37</v>
      </c>
      <c r="Y27" s="130">
        <f t="shared" si="11"/>
        <v>2.0199999999986176</v>
      </c>
      <c r="Z27" s="63">
        <v>12636.07</v>
      </c>
      <c r="AA27" s="130">
        <f t="shared" si="12"/>
        <v>5.180000000000291</v>
      </c>
      <c r="AB27" s="63">
        <v>9953.86</v>
      </c>
      <c r="AC27" s="130">
        <f t="shared" si="13"/>
        <v>1.5299999999988358</v>
      </c>
      <c r="AD27" s="63">
        <v>10057.57</v>
      </c>
      <c r="AE27" s="130">
        <f t="shared" si="2"/>
        <v>3.7299999999995634</v>
      </c>
      <c r="AF27" s="125" t="str">
        <f t="shared" si="14"/>
        <v>ME</v>
      </c>
      <c r="AG27" s="56">
        <v>20</v>
      </c>
      <c r="AH27" s="63">
        <v>47450.98</v>
      </c>
      <c r="AI27" s="130">
        <f t="shared" si="15"/>
        <v>1.4099999999962165</v>
      </c>
      <c r="AJ27" s="63">
        <v>49586.26</v>
      </c>
      <c r="AK27" s="130">
        <f t="shared" si="16"/>
        <v>21.860000000000582</v>
      </c>
      <c r="AL27" s="63">
        <v>587.37</v>
      </c>
      <c r="AM27" s="219">
        <f t="shared" si="17"/>
        <v>0.13999999999998636</v>
      </c>
      <c r="AN27" s="63">
        <v>548.61</v>
      </c>
      <c r="AO27" s="130">
        <f t="shared" si="3"/>
        <v>9.0000000000031832E-2</v>
      </c>
      <c r="AP27" s="125" t="str">
        <f t="shared" si="18"/>
        <v>ME</v>
      </c>
      <c r="AQ27" s="56">
        <v>20</v>
      </c>
      <c r="AR27" s="63">
        <v>6830.73</v>
      </c>
      <c r="AS27" s="130">
        <f t="shared" si="19"/>
        <v>2.9200000000000728</v>
      </c>
      <c r="AT27" s="63">
        <v>7606.69</v>
      </c>
      <c r="AU27" s="130">
        <f t="shared" si="20"/>
        <v>3.5700000000006185</v>
      </c>
      <c r="AV27" s="63">
        <v>258</v>
      </c>
      <c r="AW27" s="130" t="str">
        <f t="shared" si="21"/>
        <v/>
      </c>
      <c r="AX27" s="63">
        <v>244.92</v>
      </c>
      <c r="AY27" s="130" t="str">
        <f t="shared" si="4"/>
        <v/>
      </c>
      <c r="AZ27" s="125" t="str">
        <f t="shared" si="22"/>
        <v>ME</v>
      </c>
      <c r="BA27" s="56">
        <v>20</v>
      </c>
      <c r="BB27" s="63">
        <v>1.37</v>
      </c>
      <c r="BC27" s="62">
        <v>49</v>
      </c>
      <c r="BD27" s="61">
        <v>7</v>
      </c>
      <c r="BE27" s="61">
        <v>19.600000000000001</v>
      </c>
      <c r="BF27" s="61">
        <v>17.3</v>
      </c>
      <c r="BG27" s="61">
        <v>7</v>
      </c>
      <c r="BH27" s="64">
        <v>0.185</v>
      </c>
      <c r="BI27" s="64">
        <v>0.22700000000000001</v>
      </c>
      <c r="BJ27" s="64">
        <v>6.6000000000000003E-2</v>
      </c>
      <c r="BK27" s="64">
        <v>6.2E-2</v>
      </c>
      <c r="BL27" s="64">
        <v>0.06</v>
      </c>
      <c r="BM27" s="64">
        <v>6.2E-2</v>
      </c>
      <c r="BN27" s="65" t="str">
        <f t="shared" si="23"/>
        <v>ME</v>
      </c>
      <c r="BO27" s="56">
        <v>20</v>
      </c>
      <c r="BP27" s="64">
        <v>0.11899999999999999</v>
      </c>
      <c r="BQ27" s="62">
        <v>0</v>
      </c>
      <c r="BR27" s="61">
        <v>7</v>
      </c>
      <c r="BS27" s="61">
        <v>19.7</v>
      </c>
      <c r="BT27" s="61">
        <v>20.3</v>
      </c>
      <c r="BU27" s="64">
        <v>1.6E-2</v>
      </c>
      <c r="BV27" s="63">
        <v>1.18</v>
      </c>
      <c r="BW27" s="63">
        <v>0.98</v>
      </c>
      <c r="BX27" s="66" t="s">
        <v>245</v>
      </c>
      <c r="BY27" s="172" t="s">
        <v>246</v>
      </c>
      <c r="BZ27" s="67" t="str">
        <f t="shared" si="24"/>
        <v>ME</v>
      </c>
      <c r="CA27" s="56">
        <v>20</v>
      </c>
      <c r="CB27" s="61">
        <v>90.7</v>
      </c>
      <c r="CC27" s="61"/>
      <c r="CD27" s="68">
        <f t="shared" si="25"/>
        <v>1.6000000000000085</v>
      </c>
      <c r="CE27" s="69">
        <f t="shared" si="26"/>
        <v>7.4468240000000403</v>
      </c>
      <c r="CF27" s="69">
        <f t="shared" si="27"/>
        <v>4.5592800000000242</v>
      </c>
      <c r="CG27" s="62">
        <v>71</v>
      </c>
      <c r="CH27" s="62">
        <v>100</v>
      </c>
      <c r="CI27" s="65" t="str">
        <f t="shared" si="28"/>
        <v>ME</v>
      </c>
      <c r="CJ27" s="56">
        <v>20</v>
      </c>
      <c r="CK27" s="61">
        <v>95.2</v>
      </c>
      <c r="CL27" s="61"/>
      <c r="CM27" s="68">
        <f t="shared" si="29"/>
        <v>3.2999999999999972</v>
      </c>
      <c r="CN27" s="68">
        <f t="shared" si="30"/>
        <v>15.359074499999988</v>
      </c>
      <c r="CO27" s="68">
        <f t="shared" si="31"/>
        <v>24.7268662952429</v>
      </c>
      <c r="CP27" s="62">
        <v>51</v>
      </c>
      <c r="CQ27" s="62">
        <v>83</v>
      </c>
      <c r="CR27" s="65" t="str">
        <f t="shared" si="32"/>
        <v>ME</v>
      </c>
      <c r="CS27" s="56">
        <v>20</v>
      </c>
      <c r="CT27" s="61">
        <v>104.8</v>
      </c>
      <c r="CU27" s="61">
        <v>100.2</v>
      </c>
      <c r="CV27" s="68">
        <f t="shared" si="33"/>
        <v>2.7999999999999972</v>
      </c>
      <c r="CW27" s="68">
        <f t="shared" si="34"/>
        <v>18.603871999999981</v>
      </c>
      <c r="CX27" s="69">
        <f t="shared" si="35"/>
        <v>7.5319319838056606E-2</v>
      </c>
      <c r="CY27" s="66" t="s">
        <v>240</v>
      </c>
      <c r="CZ27" s="66" t="s">
        <v>241</v>
      </c>
      <c r="DA27" s="66" t="s">
        <v>242</v>
      </c>
      <c r="DB27" s="65" t="str">
        <f t="shared" si="36"/>
        <v>ME</v>
      </c>
      <c r="DC27" s="56">
        <v>20</v>
      </c>
      <c r="DD27" s="61">
        <v>86.2</v>
      </c>
      <c r="DE27" s="61">
        <v>103.4</v>
      </c>
      <c r="DF27" s="68">
        <f t="shared" si="37"/>
        <v>15.600000000000009</v>
      </c>
      <c r="DG27" s="69">
        <f t="shared" si="38"/>
        <v>0.84163916928000049</v>
      </c>
      <c r="DH27" s="68">
        <f t="shared" si="39"/>
        <v>3.4074460294736864</v>
      </c>
      <c r="DI27" s="62">
        <v>85</v>
      </c>
      <c r="DJ27" s="62">
        <v>54</v>
      </c>
      <c r="DK27" s="65" t="str">
        <f t="shared" si="40"/>
        <v>ME</v>
      </c>
      <c r="DL27" s="56">
        <v>20</v>
      </c>
      <c r="DM27" s="63">
        <v>8.16</v>
      </c>
      <c r="DN27" s="64">
        <v>3.2000000000000001E-2</v>
      </c>
      <c r="DO27" s="64">
        <v>3.3000000000000002E-2</v>
      </c>
      <c r="DP27" s="64">
        <v>7.0000000000000007E-2</v>
      </c>
      <c r="DQ27" s="63">
        <v>6.94</v>
      </c>
      <c r="DR27" s="61">
        <v>19.7</v>
      </c>
      <c r="DS27" s="64">
        <v>1.294</v>
      </c>
      <c r="DT27" s="61">
        <v>85.6</v>
      </c>
      <c r="DU27" s="63">
        <v>4.1399999999999997</v>
      </c>
      <c r="DV27" s="64">
        <v>0.70799999999999996</v>
      </c>
      <c r="DW27" s="64">
        <v>0.76500000000000001</v>
      </c>
      <c r="DX27" s="66" t="s">
        <v>247</v>
      </c>
      <c r="DY27" s="65" t="str">
        <f t="shared" si="41"/>
        <v>ME</v>
      </c>
      <c r="DZ27" s="128">
        <v>20</v>
      </c>
      <c r="EA27" s="173">
        <f t="shared" si="42"/>
        <v>0.16510695187165775</v>
      </c>
      <c r="EB27" s="173">
        <f t="shared" si="43"/>
        <v>0.17352941176470588</v>
      </c>
      <c r="EC27" s="173">
        <f t="shared" si="44"/>
        <v>0.79352226720647778</v>
      </c>
      <c r="ED27" s="284">
        <v>0</v>
      </c>
      <c r="EE27" s="284">
        <v>5.63</v>
      </c>
      <c r="EF27" s="63">
        <v>0.05</v>
      </c>
      <c r="EG27" s="63">
        <v>0.06</v>
      </c>
      <c r="EH27" s="127" t="str">
        <f t="shared" si="5"/>
        <v>ME</v>
      </c>
      <c r="EI27" s="56">
        <v>20</v>
      </c>
      <c r="EJ27" s="334" t="s">
        <v>397</v>
      </c>
      <c r="EK27" s="334"/>
      <c r="EL27" s="334"/>
      <c r="EM27" s="334"/>
      <c r="EN27" s="334"/>
      <c r="EO27" s="334"/>
      <c r="EP27" s="334"/>
      <c r="EQ27" s="65" t="str">
        <f t="shared" si="45"/>
        <v>ME</v>
      </c>
      <c r="ER27" s="20"/>
      <c r="ES27" s="20"/>
      <c r="ET27" s="20"/>
      <c r="EU27" s="20"/>
      <c r="EV27" s="20"/>
      <c r="EW27" s="20"/>
      <c r="EX27" s="20"/>
    </row>
    <row r="28" spans="1:154" s="3" customFormat="1" ht="17.149999999999999" customHeight="1" x14ac:dyDescent="0.35">
      <c r="A28" s="56">
        <v>21</v>
      </c>
      <c r="B28" s="57">
        <v>897891</v>
      </c>
      <c r="C28" s="58">
        <f t="shared" si="6"/>
        <v>184</v>
      </c>
      <c r="D28" s="167">
        <v>9.51</v>
      </c>
      <c r="E28" s="59">
        <v>802262</v>
      </c>
      <c r="F28" s="58">
        <f t="shared" si="7"/>
        <v>184</v>
      </c>
      <c r="G28" s="168">
        <v>1.59</v>
      </c>
      <c r="H28" s="57">
        <v>758232</v>
      </c>
      <c r="I28" s="58">
        <f t="shared" si="0"/>
        <v>165</v>
      </c>
      <c r="J28" s="60" t="s">
        <v>194</v>
      </c>
      <c r="K28" s="56">
        <v>21</v>
      </c>
      <c r="L28" s="57">
        <v>70279</v>
      </c>
      <c r="M28" s="58" t="str">
        <f t="shared" si="8"/>
        <v/>
      </c>
      <c r="N28" s="59">
        <v>178832</v>
      </c>
      <c r="O28" s="58">
        <f t="shared" si="9"/>
        <v>22</v>
      </c>
      <c r="P28" s="57">
        <v>194749</v>
      </c>
      <c r="Q28" s="169" t="str">
        <f t="shared" si="1"/>
        <v/>
      </c>
      <c r="R28" s="57">
        <v>681</v>
      </c>
      <c r="S28" s="57">
        <v>689</v>
      </c>
      <c r="T28" s="57">
        <v>142</v>
      </c>
      <c r="U28" s="57">
        <v>140</v>
      </c>
      <c r="V28" s="58" t="str">
        <f t="shared" si="10"/>
        <v>ME</v>
      </c>
      <c r="W28" s="56">
        <v>21</v>
      </c>
      <c r="X28" s="63">
        <v>11868.39</v>
      </c>
      <c r="Y28" s="130">
        <f t="shared" si="11"/>
        <v>3.0500000000010914</v>
      </c>
      <c r="Z28" s="63">
        <v>12641.25</v>
      </c>
      <c r="AA28" s="130">
        <f t="shared" si="12"/>
        <v>2.319999999999709</v>
      </c>
      <c r="AB28" s="63">
        <v>9955.39</v>
      </c>
      <c r="AC28" s="130">
        <f t="shared" si="13"/>
        <v>1.9600000000009459</v>
      </c>
      <c r="AD28" s="63">
        <v>10061.299999999999</v>
      </c>
      <c r="AE28" s="130">
        <f t="shared" si="2"/>
        <v>2.430000000000291</v>
      </c>
      <c r="AF28" s="125" t="str">
        <f t="shared" si="14"/>
        <v>ME</v>
      </c>
      <c r="AG28" s="56">
        <v>21</v>
      </c>
      <c r="AH28" s="63">
        <v>47452.39</v>
      </c>
      <c r="AI28" s="130">
        <f t="shared" si="15"/>
        <v>8.4499999999970896</v>
      </c>
      <c r="AJ28" s="63">
        <v>49608.12</v>
      </c>
      <c r="AK28" s="130">
        <f t="shared" si="16"/>
        <v>13.259999999994761</v>
      </c>
      <c r="AL28" s="63">
        <v>587.51</v>
      </c>
      <c r="AM28" s="130" t="str">
        <f t="shared" si="17"/>
        <v/>
      </c>
      <c r="AN28" s="63">
        <v>548.70000000000005</v>
      </c>
      <c r="AO28" s="130" t="str">
        <f t="shared" si="3"/>
        <v/>
      </c>
      <c r="AP28" s="125" t="str">
        <f t="shared" si="18"/>
        <v>ME</v>
      </c>
      <c r="AQ28" s="56">
        <v>21</v>
      </c>
      <c r="AR28" s="63">
        <v>6833.65</v>
      </c>
      <c r="AS28" s="130">
        <f t="shared" si="19"/>
        <v>1.3000000000001819</v>
      </c>
      <c r="AT28" s="63">
        <v>7610.26</v>
      </c>
      <c r="AU28" s="130">
        <f t="shared" si="20"/>
        <v>1.0900000000001455</v>
      </c>
      <c r="AV28" s="63">
        <v>258</v>
      </c>
      <c r="AW28" s="130" t="str">
        <f t="shared" si="21"/>
        <v/>
      </c>
      <c r="AX28" s="63">
        <v>244.92</v>
      </c>
      <c r="AY28" s="130" t="str">
        <f t="shared" si="4"/>
        <v/>
      </c>
      <c r="AZ28" s="125" t="str">
        <f t="shared" si="22"/>
        <v>ME</v>
      </c>
      <c r="BA28" s="56">
        <v>21</v>
      </c>
      <c r="BB28" s="63">
        <v>1.21</v>
      </c>
      <c r="BC28" s="62">
        <v>35</v>
      </c>
      <c r="BD28" s="61">
        <v>6.9</v>
      </c>
      <c r="BE28" s="61">
        <v>20.100000000000001</v>
      </c>
      <c r="BF28" s="61">
        <v>17.399999999999999</v>
      </c>
      <c r="BG28" s="61">
        <v>6.9</v>
      </c>
      <c r="BH28" s="64">
        <v>0.16</v>
      </c>
      <c r="BI28" s="64">
        <v>0.14699999999999999</v>
      </c>
      <c r="BJ28" s="64">
        <v>5.8999999999999997E-2</v>
      </c>
      <c r="BK28" s="64">
        <v>5.6000000000000001E-2</v>
      </c>
      <c r="BL28" s="64">
        <v>5.3999999999999999E-2</v>
      </c>
      <c r="BM28" s="64">
        <v>5.8999999999999997E-2</v>
      </c>
      <c r="BN28" s="65" t="str">
        <f t="shared" si="23"/>
        <v>ME</v>
      </c>
      <c r="BO28" s="56">
        <v>21</v>
      </c>
      <c r="BP28" s="64">
        <v>0.14099999999999999</v>
      </c>
      <c r="BQ28" s="62">
        <v>0</v>
      </c>
      <c r="BR28" s="61">
        <v>7.1</v>
      </c>
      <c r="BS28" s="61">
        <v>19.899999999999999</v>
      </c>
      <c r="BT28" s="61">
        <v>18.7</v>
      </c>
      <c r="BU28" s="64">
        <v>1.0999999999999999E-2</v>
      </c>
      <c r="BV28" s="63">
        <v>1.22</v>
      </c>
      <c r="BW28" s="63">
        <v>0.92</v>
      </c>
      <c r="BX28" s="66" t="s">
        <v>253</v>
      </c>
      <c r="BY28" s="172" t="s">
        <v>246</v>
      </c>
      <c r="BZ28" s="67" t="str">
        <f t="shared" si="24"/>
        <v>ME</v>
      </c>
      <c r="CA28" s="56">
        <v>21</v>
      </c>
      <c r="CB28" s="61">
        <v>89.1</v>
      </c>
      <c r="CC28" s="61"/>
      <c r="CD28" s="68">
        <f t="shared" si="25"/>
        <v>1.3999999999999915</v>
      </c>
      <c r="CE28" s="69">
        <f t="shared" si="26"/>
        <v>6.5159709999999604</v>
      </c>
      <c r="CF28" s="69">
        <f t="shared" si="27"/>
        <v>4.7388879999999709</v>
      </c>
      <c r="CG28" s="62">
        <v>61</v>
      </c>
      <c r="CH28" s="62">
        <v>100</v>
      </c>
      <c r="CI28" s="65" t="str">
        <f t="shared" si="28"/>
        <v>ME</v>
      </c>
      <c r="CJ28" s="56">
        <v>21</v>
      </c>
      <c r="CK28" s="61">
        <v>91.9</v>
      </c>
      <c r="CL28" s="61"/>
      <c r="CM28" s="68">
        <f t="shared" si="29"/>
        <v>2.4000000000000057</v>
      </c>
      <c r="CN28" s="68">
        <f t="shared" si="30"/>
        <v>11.170236000000028</v>
      </c>
      <c r="CO28" s="68">
        <f t="shared" si="31"/>
        <v>24.140458398913108</v>
      </c>
      <c r="CP28" s="62">
        <v>53</v>
      </c>
      <c r="CQ28" s="62">
        <v>83</v>
      </c>
      <c r="CR28" s="65" t="str">
        <f t="shared" si="32"/>
        <v>ME</v>
      </c>
      <c r="CS28" s="56">
        <v>21</v>
      </c>
      <c r="CT28" s="61">
        <v>97.4</v>
      </c>
      <c r="CU28" s="61"/>
      <c r="CV28" s="68">
        <f t="shared" si="33"/>
        <v>1.7000000000000028</v>
      </c>
      <c r="CW28" s="68">
        <f t="shared" si="34"/>
        <v>11.295208000000018</v>
      </c>
      <c r="CX28" s="69">
        <f t="shared" si="35"/>
        <v>6.1387000000000101E-2</v>
      </c>
      <c r="CY28" s="66" t="s">
        <v>240</v>
      </c>
      <c r="CZ28" s="66" t="s">
        <v>241</v>
      </c>
      <c r="DA28" s="66"/>
      <c r="DB28" s="65" t="str">
        <f t="shared" si="36"/>
        <v>ME</v>
      </c>
      <c r="DC28" s="56">
        <v>21</v>
      </c>
      <c r="DD28" s="61">
        <v>87.8</v>
      </c>
      <c r="DE28" s="61">
        <v>104.2</v>
      </c>
      <c r="DF28" s="68">
        <f t="shared" si="37"/>
        <v>14.600000000000009</v>
      </c>
      <c r="DG28" s="69">
        <f t="shared" si="38"/>
        <v>0.78768794048000057</v>
      </c>
      <c r="DH28" s="68">
        <f t="shared" si="39"/>
        <v>4.2809127200000026</v>
      </c>
      <c r="DI28" s="62">
        <v>89</v>
      </c>
      <c r="DJ28" s="62">
        <v>54</v>
      </c>
      <c r="DK28" s="65" t="str">
        <f t="shared" si="40"/>
        <v>ME</v>
      </c>
      <c r="DL28" s="56">
        <v>21</v>
      </c>
      <c r="DM28" s="63">
        <v>8.2200000000000006</v>
      </c>
      <c r="DN28" s="64">
        <v>3.4000000000000002E-2</v>
      </c>
      <c r="DO28" s="64">
        <v>3.5000000000000003E-2</v>
      </c>
      <c r="DP28" s="64">
        <v>0.11700000000000001</v>
      </c>
      <c r="DQ28" s="63">
        <v>6.94</v>
      </c>
      <c r="DR28" s="61">
        <v>19.899999999999999</v>
      </c>
      <c r="DS28" s="64">
        <v>1.2450000000000001</v>
      </c>
      <c r="DT28" s="61">
        <v>87.4</v>
      </c>
      <c r="DU28" s="63">
        <v>4.16</v>
      </c>
      <c r="DV28" s="64">
        <v>0.78500000000000003</v>
      </c>
      <c r="DW28" s="64">
        <v>0.94499999999999995</v>
      </c>
      <c r="DX28" s="66" t="s">
        <v>242</v>
      </c>
      <c r="DY28" s="65" t="str">
        <f t="shared" si="41"/>
        <v>ME</v>
      </c>
      <c r="DZ28" s="128">
        <v>21</v>
      </c>
      <c r="EA28" s="173">
        <f t="shared" si="42"/>
        <v>0.12299465240641712</v>
      </c>
      <c r="EB28" s="173">
        <f t="shared" si="43"/>
        <v>0.13529411764705881</v>
      </c>
      <c r="EC28" s="173">
        <f t="shared" si="44"/>
        <v>0.89673913043478259</v>
      </c>
      <c r="ED28" s="63">
        <v>1.2</v>
      </c>
      <c r="EE28" s="63">
        <v>1.32</v>
      </c>
      <c r="EF28" s="63">
        <v>0.05</v>
      </c>
      <c r="EG28" s="63">
        <v>7.0000000000000007E-2</v>
      </c>
      <c r="EH28" s="127" t="str">
        <f t="shared" si="5"/>
        <v>ME</v>
      </c>
      <c r="EI28" s="56">
        <v>21</v>
      </c>
      <c r="EJ28" s="334"/>
      <c r="EK28" s="334"/>
      <c r="EL28" s="334"/>
      <c r="EM28" s="334"/>
      <c r="EN28" s="334"/>
      <c r="EO28" s="334"/>
      <c r="EP28" s="334"/>
      <c r="EQ28" s="65" t="str">
        <f t="shared" si="45"/>
        <v>ME</v>
      </c>
      <c r="ER28" s="20"/>
      <c r="ES28" s="20"/>
      <c r="ET28" s="20"/>
      <c r="EU28" s="20"/>
      <c r="EV28" s="20"/>
      <c r="EW28" s="20"/>
      <c r="EX28" s="20"/>
    </row>
    <row r="29" spans="1:154" s="3" customFormat="1" ht="17.149999999999999" customHeight="1" x14ac:dyDescent="0.35">
      <c r="A29" s="56">
        <v>22</v>
      </c>
      <c r="B29" s="57">
        <v>898075</v>
      </c>
      <c r="C29" s="58">
        <f t="shared" si="6"/>
        <v>291</v>
      </c>
      <c r="D29" s="167">
        <v>9.4</v>
      </c>
      <c r="E29" s="59">
        <v>802446</v>
      </c>
      <c r="F29" s="58">
        <f t="shared" si="7"/>
        <v>267</v>
      </c>
      <c r="G29" s="168">
        <v>3.32</v>
      </c>
      <c r="H29" s="57">
        <v>758397</v>
      </c>
      <c r="I29" s="58">
        <f t="shared" si="0"/>
        <v>233</v>
      </c>
      <c r="J29" s="60" t="s">
        <v>338</v>
      </c>
      <c r="K29" s="56">
        <v>22</v>
      </c>
      <c r="L29" s="57">
        <v>70279</v>
      </c>
      <c r="M29" s="58">
        <f t="shared" si="8"/>
        <v>48</v>
      </c>
      <c r="N29" s="59">
        <v>178854</v>
      </c>
      <c r="O29" s="58">
        <f t="shared" si="9"/>
        <v>65</v>
      </c>
      <c r="P29" s="57">
        <v>194749</v>
      </c>
      <c r="Q29" s="169" t="str">
        <f t="shared" si="1"/>
        <v/>
      </c>
      <c r="R29" s="57">
        <v>681</v>
      </c>
      <c r="S29" s="57">
        <v>689</v>
      </c>
      <c r="T29" s="57">
        <v>142</v>
      </c>
      <c r="U29" s="57">
        <v>140</v>
      </c>
      <c r="V29" s="58" t="str">
        <f t="shared" si="10"/>
        <v>SA</v>
      </c>
      <c r="W29" s="56">
        <v>22</v>
      </c>
      <c r="X29" s="63">
        <v>11871.44</v>
      </c>
      <c r="Y29" s="130">
        <f t="shared" si="11"/>
        <v>5.8099999999994907</v>
      </c>
      <c r="Z29" s="63">
        <v>12643.57</v>
      </c>
      <c r="AA29" s="130">
        <f t="shared" si="12"/>
        <v>2.6300000000010186</v>
      </c>
      <c r="AB29" s="63">
        <v>9957.35</v>
      </c>
      <c r="AC29" s="130">
        <f t="shared" si="13"/>
        <v>2.5799999999999272</v>
      </c>
      <c r="AD29" s="63">
        <v>10063.73</v>
      </c>
      <c r="AE29" s="130">
        <f t="shared" si="2"/>
        <v>3.6700000000000728</v>
      </c>
      <c r="AF29" s="125" t="str">
        <f t="shared" si="14"/>
        <v>SA</v>
      </c>
      <c r="AG29" s="56">
        <v>22</v>
      </c>
      <c r="AH29" s="63">
        <v>47460.84</v>
      </c>
      <c r="AI29" s="130">
        <f t="shared" si="15"/>
        <v>15.560000000004948</v>
      </c>
      <c r="AJ29" s="63">
        <v>49621.38</v>
      </c>
      <c r="AK29" s="130">
        <f t="shared" si="16"/>
        <v>9.1900000000023283</v>
      </c>
      <c r="AL29" s="63">
        <v>587.51</v>
      </c>
      <c r="AM29" s="130">
        <f t="shared" si="17"/>
        <v>0.15999999999996817</v>
      </c>
      <c r="AN29" s="63">
        <v>548.70000000000005</v>
      </c>
      <c r="AO29" s="130">
        <f t="shared" si="3"/>
        <v>0.19999999999993179</v>
      </c>
      <c r="AP29" s="125" t="str">
        <f t="shared" si="18"/>
        <v>SA</v>
      </c>
      <c r="AQ29" s="56">
        <v>22</v>
      </c>
      <c r="AR29" s="63">
        <v>6834.95</v>
      </c>
      <c r="AS29" s="130">
        <f t="shared" si="19"/>
        <v>2.6999999999998181</v>
      </c>
      <c r="AT29" s="63">
        <v>7611.35</v>
      </c>
      <c r="AU29" s="130">
        <f t="shared" si="20"/>
        <v>3.2199999999993452</v>
      </c>
      <c r="AV29" s="63">
        <v>258</v>
      </c>
      <c r="AW29" s="130">
        <f t="shared" si="21"/>
        <v>0.33999999999997499</v>
      </c>
      <c r="AX29" s="63">
        <v>244.92</v>
      </c>
      <c r="AY29" s="130" t="str">
        <f t="shared" si="4"/>
        <v/>
      </c>
      <c r="AZ29" s="125" t="str">
        <f t="shared" si="22"/>
        <v>SA</v>
      </c>
      <c r="BA29" s="56">
        <v>22</v>
      </c>
      <c r="BB29" s="63">
        <v>1.31</v>
      </c>
      <c r="BC29" s="62">
        <v>42</v>
      </c>
      <c r="BD29" s="61">
        <v>7.3</v>
      </c>
      <c r="BE29" s="61">
        <v>20.3</v>
      </c>
      <c r="BF29" s="61">
        <v>16.5</v>
      </c>
      <c r="BG29" s="61">
        <v>7.3</v>
      </c>
      <c r="BH29" s="64">
        <v>0.28399999999999997</v>
      </c>
      <c r="BI29" s="64">
        <v>0.23899999999999999</v>
      </c>
      <c r="BJ29" s="64">
        <v>5.1999999999999998E-2</v>
      </c>
      <c r="BK29" s="64">
        <v>6.2E-2</v>
      </c>
      <c r="BL29" s="64">
        <v>5.8999999999999997E-2</v>
      </c>
      <c r="BM29" s="64">
        <v>5.8999999999999997E-2</v>
      </c>
      <c r="BN29" s="65" t="str">
        <f t="shared" si="23"/>
        <v>SA</v>
      </c>
      <c r="BO29" s="56">
        <v>22</v>
      </c>
      <c r="BP29" s="64">
        <v>0.99</v>
      </c>
      <c r="BQ29" s="62">
        <v>0</v>
      </c>
      <c r="BR29" s="61">
        <v>7.3</v>
      </c>
      <c r="BS29" s="61">
        <v>19.899999999999999</v>
      </c>
      <c r="BT29" s="61" t="s">
        <v>398</v>
      </c>
      <c r="BU29" s="64">
        <v>1.4999999999999999E-2</v>
      </c>
      <c r="BV29" s="63">
        <v>1.1599999999999999</v>
      </c>
      <c r="BW29" s="63">
        <v>0.86</v>
      </c>
      <c r="BX29" s="66" t="s">
        <v>375</v>
      </c>
      <c r="BY29" s="172" t="s">
        <v>239</v>
      </c>
      <c r="BZ29" s="67" t="str">
        <f t="shared" si="24"/>
        <v>SA</v>
      </c>
      <c r="CA29" s="56">
        <v>22</v>
      </c>
      <c r="CB29" s="61">
        <v>87.7</v>
      </c>
      <c r="CC29" s="61"/>
      <c r="CD29" s="68">
        <f t="shared" si="25"/>
        <v>2</v>
      </c>
      <c r="CE29" s="69">
        <f t="shared" si="26"/>
        <v>9.3085300000000011</v>
      </c>
      <c r="CF29" s="69">
        <f t="shared" si="27"/>
        <v>4.7940927038626606</v>
      </c>
      <c r="CG29" s="62">
        <v>61</v>
      </c>
      <c r="CH29" s="62">
        <v>100</v>
      </c>
      <c r="CI29" s="65" t="str">
        <f t="shared" si="28"/>
        <v>SA</v>
      </c>
      <c r="CJ29" s="56">
        <v>22</v>
      </c>
      <c r="CK29" s="61">
        <v>89.5</v>
      </c>
      <c r="CL29" s="61"/>
      <c r="CM29" s="68">
        <f t="shared" si="29"/>
        <v>3.4000000000000057</v>
      </c>
      <c r="CN29" s="68">
        <f t="shared" si="30"/>
        <v>15.824501000000028</v>
      </c>
      <c r="CO29" s="68">
        <f t="shared" si="31"/>
        <v>21.624099046907254</v>
      </c>
      <c r="CP29" s="62">
        <v>53</v>
      </c>
      <c r="CQ29" s="62">
        <v>83</v>
      </c>
      <c r="CR29" s="65" t="str">
        <f t="shared" si="32"/>
        <v>SA</v>
      </c>
      <c r="CS29" s="56">
        <v>22</v>
      </c>
      <c r="CT29" s="61">
        <v>95.7</v>
      </c>
      <c r="CU29" s="61"/>
      <c r="CV29" s="68">
        <f t="shared" si="33"/>
        <v>3.1000000000000085</v>
      </c>
      <c r="CW29" s="68">
        <f t="shared" si="34"/>
        <v>20.597144000000053</v>
      </c>
      <c r="CX29" s="69">
        <f t="shared" si="35"/>
        <v>7.0780563573883348E-2</v>
      </c>
      <c r="CY29" s="66" t="s">
        <v>240</v>
      </c>
      <c r="CZ29" s="66" t="s">
        <v>241</v>
      </c>
      <c r="DA29" s="66"/>
      <c r="DB29" s="65" t="str">
        <f t="shared" si="36"/>
        <v>SA</v>
      </c>
      <c r="DC29" s="56">
        <v>22</v>
      </c>
      <c r="DD29" s="61">
        <v>89.6</v>
      </c>
      <c r="DE29" s="61">
        <v>106.6</v>
      </c>
      <c r="DF29" s="68">
        <f t="shared" si="37"/>
        <v>4.2999999999999972</v>
      </c>
      <c r="DG29" s="69">
        <f t="shared" si="38"/>
        <v>0.23199028383999987</v>
      </c>
      <c r="DH29" s="68">
        <f t="shared" si="39"/>
        <v>0.79721747024054945</v>
      </c>
      <c r="DI29" s="62">
        <v>89</v>
      </c>
      <c r="DJ29" s="62">
        <v>54</v>
      </c>
      <c r="DK29" s="65" t="str">
        <f t="shared" si="40"/>
        <v>SA</v>
      </c>
      <c r="DL29" s="56">
        <v>22</v>
      </c>
      <c r="DM29" s="63">
        <v>7.8</v>
      </c>
      <c r="DN29" s="64">
        <v>3.2000000000000001E-2</v>
      </c>
      <c r="DO29" s="64">
        <v>3.2000000000000001E-2</v>
      </c>
      <c r="DP29" s="64">
        <v>9.4E-2</v>
      </c>
      <c r="DQ29" s="63">
        <v>6.96</v>
      </c>
      <c r="DR29" s="61">
        <v>19.899999999999999</v>
      </c>
      <c r="DS29" s="64">
        <v>1.2070000000000001</v>
      </c>
      <c r="DT29" s="61">
        <v>84.2</v>
      </c>
      <c r="DU29" s="63">
        <v>4.24</v>
      </c>
      <c r="DV29" s="64">
        <v>0.69499999999999995</v>
      </c>
      <c r="DW29" s="64">
        <v>0.51900000000000002</v>
      </c>
      <c r="DX29" s="66" t="s">
        <v>247</v>
      </c>
      <c r="DY29" s="65" t="str">
        <f t="shared" si="41"/>
        <v>SA</v>
      </c>
      <c r="DZ29" s="128">
        <v>22</v>
      </c>
      <c r="EA29" s="173">
        <f t="shared" si="42"/>
        <v>0.19451871657754011</v>
      </c>
      <c r="EB29" s="173">
        <f t="shared" si="43"/>
        <v>0.1963235294117647</v>
      </c>
      <c r="EC29" s="173">
        <f t="shared" si="44"/>
        <v>0.80068728522336774</v>
      </c>
      <c r="ED29" s="63">
        <v>0.96</v>
      </c>
      <c r="EE29" s="63">
        <v>1.25</v>
      </c>
      <c r="EF29" s="63">
        <v>0.05</v>
      </c>
      <c r="EG29" s="63">
        <v>0.06</v>
      </c>
      <c r="EH29" s="127" t="str">
        <f t="shared" si="5"/>
        <v>SA</v>
      </c>
      <c r="EI29" s="56">
        <v>22</v>
      </c>
      <c r="EJ29" s="334"/>
      <c r="EK29" s="334"/>
      <c r="EL29" s="334"/>
      <c r="EM29" s="334"/>
      <c r="EN29" s="334"/>
      <c r="EO29" s="334"/>
      <c r="EP29" s="334"/>
      <c r="EQ29" s="65" t="str">
        <f t="shared" si="45"/>
        <v>SA</v>
      </c>
      <c r="ER29" s="20"/>
      <c r="ES29" s="20"/>
      <c r="ET29" s="20"/>
      <c r="EU29" s="20"/>
      <c r="EV29" s="20"/>
      <c r="EW29" s="20"/>
      <c r="EX29" s="20"/>
    </row>
    <row r="30" spans="1:154" s="3" customFormat="1" ht="17.149999999999999" customHeight="1" x14ac:dyDescent="0.35">
      <c r="A30" s="56">
        <v>23</v>
      </c>
      <c r="B30" s="57">
        <v>898366</v>
      </c>
      <c r="C30" s="58">
        <f t="shared" si="6"/>
        <v>276</v>
      </c>
      <c r="D30" s="167">
        <v>10</v>
      </c>
      <c r="E30" s="59">
        <v>802713</v>
      </c>
      <c r="F30" s="58">
        <f t="shared" si="7"/>
        <v>259</v>
      </c>
      <c r="G30" s="168">
        <v>3.82</v>
      </c>
      <c r="H30" s="57">
        <v>758630</v>
      </c>
      <c r="I30" s="58">
        <f t="shared" si="0"/>
        <v>244</v>
      </c>
      <c r="J30" s="60" t="s">
        <v>338</v>
      </c>
      <c r="K30" s="56">
        <v>23</v>
      </c>
      <c r="L30" s="57">
        <v>70327</v>
      </c>
      <c r="M30" s="58">
        <f t="shared" si="8"/>
        <v>7</v>
      </c>
      <c r="N30" s="59">
        <v>178919</v>
      </c>
      <c r="O30" s="58">
        <f t="shared" si="9"/>
        <v>40</v>
      </c>
      <c r="P30" s="57">
        <v>194749</v>
      </c>
      <c r="Q30" s="169" t="str">
        <f t="shared" si="1"/>
        <v/>
      </c>
      <c r="R30" s="57">
        <v>682</v>
      </c>
      <c r="S30" s="57">
        <v>689</v>
      </c>
      <c r="T30" s="57">
        <v>142</v>
      </c>
      <c r="U30" s="57">
        <v>140</v>
      </c>
      <c r="V30" s="58" t="str">
        <f t="shared" si="10"/>
        <v>SA</v>
      </c>
      <c r="W30" s="56">
        <v>23</v>
      </c>
      <c r="X30" s="63">
        <v>11877.25</v>
      </c>
      <c r="Y30" s="130">
        <f t="shared" si="11"/>
        <v>4.5599999999994907</v>
      </c>
      <c r="Z30" s="63">
        <v>12646.2</v>
      </c>
      <c r="AA30" s="130">
        <v>3.68</v>
      </c>
      <c r="AB30" s="63">
        <v>9959.93</v>
      </c>
      <c r="AC30" s="130">
        <f t="shared" si="13"/>
        <v>2.5599999999994907</v>
      </c>
      <c r="AD30" s="63">
        <v>10067.4</v>
      </c>
      <c r="AE30" s="130">
        <f t="shared" si="2"/>
        <v>3.8600000000005821</v>
      </c>
      <c r="AF30" s="125" t="str">
        <f t="shared" si="14"/>
        <v>SA</v>
      </c>
      <c r="AG30" s="56">
        <v>23</v>
      </c>
      <c r="AH30" s="63">
        <v>47476.4</v>
      </c>
      <c r="AI30" s="130">
        <f t="shared" si="15"/>
        <v>15.389999999999418</v>
      </c>
      <c r="AJ30" s="63">
        <v>49630.57</v>
      </c>
      <c r="AK30" s="130">
        <f t="shared" si="16"/>
        <v>14.809999999997672</v>
      </c>
      <c r="AL30" s="63">
        <v>587.66999999999996</v>
      </c>
      <c r="AM30" s="130" t="str">
        <f t="shared" si="17"/>
        <v/>
      </c>
      <c r="AN30" s="63">
        <v>548.9</v>
      </c>
      <c r="AO30" s="130" t="str">
        <f t="shared" si="3"/>
        <v/>
      </c>
      <c r="AP30" s="125" t="str">
        <f t="shared" si="18"/>
        <v>SA</v>
      </c>
      <c r="AQ30" s="56">
        <v>23</v>
      </c>
      <c r="AR30" s="63">
        <v>6837.65</v>
      </c>
      <c r="AS30" s="130">
        <f t="shared" si="19"/>
        <v>2.1200000000008004</v>
      </c>
      <c r="AT30" s="63">
        <v>7614.57</v>
      </c>
      <c r="AU30" s="130">
        <f t="shared" si="20"/>
        <v>2.3100000000004002</v>
      </c>
      <c r="AV30" s="63">
        <v>258.33999999999997</v>
      </c>
      <c r="AW30" s="130" t="str">
        <f t="shared" si="21"/>
        <v/>
      </c>
      <c r="AX30" s="63">
        <v>244.92</v>
      </c>
      <c r="AY30" s="130">
        <f t="shared" si="4"/>
        <v>9.0000000000003411E-2</v>
      </c>
      <c r="AZ30" s="125" t="str">
        <f t="shared" si="22"/>
        <v>SA</v>
      </c>
      <c r="BA30" s="56">
        <v>23</v>
      </c>
      <c r="BB30" s="63"/>
      <c r="BC30" s="62"/>
      <c r="BD30" s="61"/>
      <c r="BE30" s="61"/>
      <c r="BF30" s="61"/>
      <c r="BG30" s="61"/>
      <c r="BH30" s="64"/>
      <c r="BI30" s="64"/>
      <c r="BJ30" s="64"/>
      <c r="BK30" s="64"/>
      <c r="BL30" s="64"/>
      <c r="BM30" s="64"/>
      <c r="BN30" s="65" t="str">
        <f t="shared" si="23"/>
        <v>SA</v>
      </c>
      <c r="BO30" s="56">
        <v>23</v>
      </c>
      <c r="BP30" s="64">
        <v>9.6000000000000002E-2</v>
      </c>
      <c r="BQ30" s="62">
        <v>0</v>
      </c>
      <c r="BR30" s="61">
        <v>7.2</v>
      </c>
      <c r="BS30" s="61">
        <v>19.899999999999999</v>
      </c>
      <c r="BT30" s="61">
        <v>19.8</v>
      </c>
      <c r="BU30" s="64">
        <v>1.2999999999999999E-2</v>
      </c>
      <c r="BV30" s="63">
        <v>1.1399999999999999</v>
      </c>
      <c r="BW30" s="63">
        <v>0.88</v>
      </c>
      <c r="BX30" s="66" t="s">
        <v>263</v>
      </c>
      <c r="BY30" s="172" t="s">
        <v>239</v>
      </c>
      <c r="BZ30" s="67" t="str">
        <f t="shared" si="24"/>
        <v>SA</v>
      </c>
      <c r="CA30" s="56">
        <v>23</v>
      </c>
      <c r="CB30" s="61">
        <v>85.7</v>
      </c>
      <c r="CC30" s="61"/>
      <c r="CD30" s="68">
        <f t="shared" si="25"/>
        <v>1.9000000000000057</v>
      </c>
      <c r="CE30" s="69">
        <f t="shared" si="26"/>
        <v>8.8431035000000264</v>
      </c>
      <c r="CF30" s="69">
        <f t="shared" si="27"/>
        <v>4.3490672950819809</v>
      </c>
      <c r="CG30" s="62">
        <v>61</v>
      </c>
      <c r="CH30" s="62">
        <v>100</v>
      </c>
      <c r="CI30" s="65" t="str">
        <f t="shared" si="28"/>
        <v>SA</v>
      </c>
      <c r="CJ30" s="56">
        <v>23</v>
      </c>
      <c r="CK30" s="61">
        <v>86.1</v>
      </c>
      <c r="CL30" s="61"/>
      <c r="CM30" s="68">
        <f t="shared" si="29"/>
        <v>3.1999999999999886</v>
      </c>
      <c r="CN30" s="68">
        <f t="shared" si="30"/>
        <v>14.893647999999949</v>
      </c>
      <c r="CO30" s="68">
        <f t="shared" si="31"/>
        <v>21.458185243478191</v>
      </c>
      <c r="CP30" s="62">
        <v>53</v>
      </c>
      <c r="CQ30" s="62">
        <v>83</v>
      </c>
      <c r="CR30" s="65" t="str">
        <f t="shared" si="32"/>
        <v>SA</v>
      </c>
      <c r="CS30" s="56">
        <v>23</v>
      </c>
      <c r="CT30" s="61">
        <v>92.6</v>
      </c>
      <c r="CU30" s="61"/>
      <c r="CV30" s="68">
        <f t="shared" si="33"/>
        <v>3</v>
      </c>
      <c r="CW30" s="68">
        <f t="shared" si="34"/>
        <v>19.93272</v>
      </c>
      <c r="CX30" s="69">
        <f t="shared" si="35"/>
        <v>7.2219999999999993E-2</v>
      </c>
      <c r="CY30" s="66" t="s">
        <v>240</v>
      </c>
      <c r="CZ30" s="66" t="s">
        <v>241</v>
      </c>
      <c r="DA30" s="66"/>
      <c r="DB30" s="65" t="str">
        <f t="shared" si="36"/>
        <v>SA</v>
      </c>
      <c r="DC30" s="56">
        <v>23</v>
      </c>
      <c r="DD30" s="61">
        <v>102.3</v>
      </c>
      <c r="DE30" s="61">
        <v>104.6</v>
      </c>
      <c r="DF30" s="68">
        <f t="shared" si="37"/>
        <v>15.599999999999994</v>
      </c>
      <c r="DG30" s="69">
        <f t="shared" si="38"/>
        <v>0.84163916927999971</v>
      </c>
      <c r="DH30" s="68">
        <f t="shared" si="39"/>
        <v>3.0494172799999988</v>
      </c>
      <c r="DI30" s="62">
        <v>89</v>
      </c>
      <c r="DJ30" s="62">
        <v>54</v>
      </c>
      <c r="DK30" s="65" t="str">
        <f t="shared" si="40"/>
        <v>SA</v>
      </c>
      <c r="DL30" s="56">
        <v>23</v>
      </c>
      <c r="DM30" s="63">
        <v>7.9</v>
      </c>
      <c r="DN30" s="64">
        <v>3.9E-2</v>
      </c>
      <c r="DO30" s="64">
        <v>3.5999999999999997E-2</v>
      </c>
      <c r="DP30" s="64">
        <v>0.08</v>
      </c>
      <c r="DQ30" s="63">
        <v>6.94</v>
      </c>
      <c r="DR30" s="61">
        <v>19.899999999999999</v>
      </c>
      <c r="DS30" s="64">
        <v>1.139</v>
      </c>
      <c r="DT30" s="61">
        <v>86.3</v>
      </c>
      <c r="DU30" s="63">
        <v>4.21</v>
      </c>
      <c r="DV30" s="64">
        <v>0.878</v>
      </c>
      <c r="DW30" s="64">
        <v>0.90100000000000002</v>
      </c>
      <c r="DX30" s="66" t="s">
        <v>242</v>
      </c>
      <c r="DY30" s="65" t="str">
        <f t="shared" si="41"/>
        <v>SA</v>
      </c>
      <c r="DZ30" s="128">
        <v>23</v>
      </c>
      <c r="EA30" s="173">
        <f t="shared" si="42"/>
        <v>0.18449197860962566</v>
      </c>
      <c r="EB30" s="173">
        <f t="shared" si="43"/>
        <v>0.19044117647058822</v>
      </c>
      <c r="EC30" s="173">
        <f t="shared" si="44"/>
        <v>0.88405797101449279</v>
      </c>
      <c r="ED30" s="63">
        <v>1.07</v>
      </c>
      <c r="EE30" s="63">
        <v>1.17</v>
      </c>
      <c r="EF30" s="63">
        <v>0.05</v>
      </c>
      <c r="EG30" s="63">
        <v>7.0000000000000007E-2</v>
      </c>
      <c r="EH30" s="127" t="str">
        <f t="shared" si="5"/>
        <v>SA</v>
      </c>
      <c r="EI30" s="56">
        <v>23</v>
      </c>
      <c r="EJ30" s="334"/>
      <c r="EK30" s="334"/>
      <c r="EL30" s="334"/>
      <c r="EM30" s="334"/>
      <c r="EN30" s="334"/>
      <c r="EO30" s="334"/>
      <c r="EP30" s="334"/>
      <c r="EQ30" s="65" t="str">
        <f t="shared" si="45"/>
        <v>SA</v>
      </c>
      <c r="ER30" s="20"/>
      <c r="ES30" s="20"/>
      <c r="ET30" s="20"/>
      <c r="EU30" s="20"/>
      <c r="EV30" s="20"/>
      <c r="EW30" s="20"/>
      <c r="EX30" s="20"/>
    </row>
    <row r="31" spans="1:154" s="3" customFormat="1" ht="17.149999999999999" customHeight="1" x14ac:dyDescent="0.35">
      <c r="A31" s="56">
        <v>24</v>
      </c>
      <c r="B31" s="57">
        <v>898642</v>
      </c>
      <c r="C31" s="58">
        <f t="shared" si="6"/>
        <v>76</v>
      </c>
      <c r="D31" s="167">
        <v>9.59</v>
      </c>
      <c r="E31" s="59">
        <v>802972</v>
      </c>
      <c r="F31" s="58">
        <f t="shared" si="7"/>
        <v>159</v>
      </c>
      <c r="G31" s="168">
        <v>1.48</v>
      </c>
      <c r="H31" s="57">
        <v>758874</v>
      </c>
      <c r="I31" s="58">
        <f t="shared" si="0"/>
        <v>67</v>
      </c>
      <c r="J31" s="60" t="s">
        <v>338</v>
      </c>
      <c r="K31" s="56">
        <v>24</v>
      </c>
      <c r="L31" s="57">
        <v>70334</v>
      </c>
      <c r="M31" s="58" t="str">
        <f t="shared" si="8"/>
        <v/>
      </c>
      <c r="N31" s="59">
        <v>178959</v>
      </c>
      <c r="O31" s="58">
        <f t="shared" si="9"/>
        <v>15</v>
      </c>
      <c r="P31" s="57">
        <v>194749</v>
      </c>
      <c r="Q31" s="169" t="str">
        <f t="shared" si="1"/>
        <v/>
      </c>
      <c r="R31" s="57">
        <v>682</v>
      </c>
      <c r="S31" s="57">
        <v>689</v>
      </c>
      <c r="T31" s="57">
        <v>143</v>
      </c>
      <c r="U31" s="57">
        <v>140</v>
      </c>
      <c r="V31" s="58" t="str">
        <f t="shared" si="10"/>
        <v>SA</v>
      </c>
      <c r="W31" s="56">
        <v>24</v>
      </c>
      <c r="X31" s="63">
        <v>11881.81</v>
      </c>
      <c r="Y31" s="130" t="str">
        <f t="shared" si="11"/>
        <v/>
      </c>
      <c r="Z31" s="63">
        <v>12649.88</v>
      </c>
      <c r="AA31" s="130">
        <f t="shared" si="12"/>
        <v>2.2100000000009459</v>
      </c>
      <c r="AB31" s="63">
        <v>9962.49</v>
      </c>
      <c r="AC31" s="130">
        <f t="shared" si="13"/>
        <v>0.3999999999996362</v>
      </c>
      <c r="AD31" s="63">
        <v>10071.26</v>
      </c>
      <c r="AE31" s="130">
        <f t="shared" si="2"/>
        <v>1.4099999999998545</v>
      </c>
      <c r="AF31" s="125" t="str">
        <f t="shared" si="14"/>
        <v>SA</v>
      </c>
      <c r="AG31" s="56">
        <v>24</v>
      </c>
      <c r="AH31" s="63">
        <v>47491.79</v>
      </c>
      <c r="AI31" s="130">
        <f t="shared" si="15"/>
        <v>8.6200000000026193</v>
      </c>
      <c r="AJ31" s="63">
        <v>49645.38</v>
      </c>
      <c r="AK31" s="130">
        <f t="shared" si="16"/>
        <v>11.380000000004657</v>
      </c>
      <c r="AL31" s="63">
        <v>587.66999999999996</v>
      </c>
      <c r="AM31" s="130"/>
      <c r="AN31" s="63">
        <v>548.9</v>
      </c>
      <c r="AO31" s="130" t="str">
        <f t="shared" si="3"/>
        <v/>
      </c>
      <c r="AP31" s="125" t="str">
        <f t="shared" si="18"/>
        <v>SA</v>
      </c>
      <c r="AQ31" s="56">
        <v>24</v>
      </c>
      <c r="AR31" s="63">
        <v>6839.77</v>
      </c>
      <c r="AS31" s="130">
        <f t="shared" si="19"/>
        <v>1.0399999999999636</v>
      </c>
      <c r="AT31" s="63">
        <v>7616.88</v>
      </c>
      <c r="AU31" s="130">
        <f t="shared" si="20"/>
        <v>0.51000000000021828</v>
      </c>
      <c r="AV31" s="63">
        <v>258.33999999999997</v>
      </c>
      <c r="AW31" s="130" t="str">
        <f t="shared" si="21"/>
        <v/>
      </c>
      <c r="AX31" s="63">
        <v>245.01</v>
      </c>
      <c r="AY31" s="130" t="str">
        <f t="shared" si="4"/>
        <v/>
      </c>
      <c r="AZ31" s="125" t="str">
        <f t="shared" si="22"/>
        <v>SA</v>
      </c>
      <c r="BA31" s="56">
        <v>24</v>
      </c>
      <c r="BB31" s="63"/>
      <c r="BC31" s="62"/>
      <c r="BD31" s="61"/>
      <c r="BE31" s="61"/>
      <c r="BF31" s="61"/>
      <c r="BG31" s="61"/>
      <c r="BH31" s="64"/>
      <c r="BI31" s="64"/>
      <c r="BJ31" s="64"/>
      <c r="BK31" s="64"/>
      <c r="BL31" s="64"/>
      <c r="BM31" s="64"/>
      <c r="BN31" s="65" t="str">
        <f t="shared" si="23"/>
        <v>SA</v>
      </c>
      <c r="BO31" s="56">
        <v>24</v>
      </c>
      <c r="BP31" s="64">
        <v>9.6000000000000002E-2</v>
      </c>
      <c r="BQ31" s="62">
        <v>0</v>
      </c>
      <c r="BR31" s="61">
        <v>7.21</v>
      </c>
      <c r="BS31" s="61">
        <v>20.100000000000001</v>
      </c>
      <c r="BT31" s="61">
        <v>17.7</v>
      </c>
      <c r="BU31" s="64">
        <v>1.4999999999999999E-2</v>
      </c>
      <c r="BV31" s="63">
        <v>1.08</v>
      </c>
      <c r="BW31" s="63">
        <v>0.84</v>
      </c>
      <c r="BX31" s="66" t="s">
        <v>279</v>
      </c>
      <c r="BY31" s="172" t="s">
        <v>239</v>
      </c>
      <c r="BZ31" s="67" t="str">
        <f t="shared" si="24"/>
        <v>SA</v>
      </c>
      <c r="CA31" s="56">
        <v>24</v>
      </c>
      <c r="CB31" s="61">
        <v>83.8</v>
      </c>
      <c r="CC31" s="61"/>
      <c r="CD31" s="68">
        <f t="shared" si="25"/>
        <v>0.59999999999999432</v>
      </c>
      <c r="CE31" s="69">
        <f t="shared" si="26"/>
        <v>2.792558999999974</v>
      </c>
      <c r="CF31" s="69">
        <f t="shared" si="27"/>
        <v>5.0015982089551771</v>
      </c>
      <c r="CG31" s="62">
        <v>61</v>
      </c>
      <c r="CH31" s="62">
        <v>100</v>
      </c>
      <c r="CI31" s="65" t="str">
        <f t="shared" si="28"/>
        <v>SA</v>
      </c>
      <c r="CJ31" s="56">
        <v>24</v>
      </c>
      <c r="CK31" s="61">
        <v>82.9</v>
      </c>
      <c r="CL31" s="61"/>
      <c r="CM31" s="68">
        <f t="shared" si="29"/>
        <v>1</v>
      </c>
      <c r="CN31" s="68">
        <f t="shared" si="30"/>
        <v>4.6542650000000005</v>
      </c>
      <c r="CO31" s="68">
        <f t="shared" si="31"/>
        <v>24.352216805921056</v>
      </c>
      <c r="CP31" s="62">
        <v>53</v>
      </c>
      <c r="CQ31" s="62">
        <v>83</v>
      </c>
      <c r="CR31" s="65" t="str">
        <f t="shared" si="32"/>
        <v>SA</v>
      </c>
      <c r="CS31" s="56">
        <v>24</v>
      </c>
      <c r="CT31" s="61">
        <v>89.6</v>
      </c>
      <c r="CU31" s="61"/>
      <c r="CV31" s="68">
        <f t="shared" si="33"/>
        <v>0.89999999999999147</v>
      </c>
      <c r="CW31" s="68">
        <f t="shared" si="34"/>
        <v>5.9798159999999436</v>
      </c>
      <c r="CX31" s="69">
        <f t="shared" si="35"/>
        <v>7.8681789473683469E-2</v>
      </c>
      <c r="CY31" s="66" t="s">
        <v>240</v>
      </c>
      <c r="CZ31" s="66" t="s">
        <v>241</v>
      </c>
      <c r="DA31" s="66"/>
      <c r="DB31" s="65" t="str">
        <f t="shared" si="36"/>
        <v>SA</v>
      </c>
      <c r="DC31" s="56">
        <v>24</v>
      </c>
      <c r="DD31" s="61">
        <v>89</v>
      </c>
      <c r="DE31" s="61">
        <v>107.4</v>
      </c>
      <c r="DF31" s="68">
        <f t="shared" si="37"/>
        <v>4</v>
      </c>
      <c r="DG31" s="69">
        <f t="shared" si="38"/>
        <v>0.2158049152</v>
      </c>
      <c r="DH31" s="68">
        <f t="shared" si="39"/>
        <v>2.8395383578947371</v>
      </c>
      <c r="DI31" s="62">
        <v>89</v>
      </c>
      <c r="DJ31" s="62">
        <v>54</v>
      </c>
      <c r="DK31" s="65" t="str">
        <f t="shared" si="40"/>
        <v>SA</v>
      </c>
      <c r="DL31" s="56">
        <v>24</v>
      </c>
      <c r="DM31" s="63">
        <v>7.84</v>
      </c>
      <c r="DN31" s="64">
        <v>3.6999999999999998E-2</v>
      </c>
      <c r="DO31" s="64">
        <v>3.2000000000000001E-2</v>
      </c>
      <c r="DP31" s="64">
        <v>7.2999999999999995E-2</v>
      </c>
      <c r="DQ31" s="63">
        <v>6.96</v>
      </c>
      <c r="DR31" s="61">
        <v>20.100000000000001</v>
      </c>
      <c r="DS31" s="64">
        <v>1.0149999999999999</v>
      </c>
      <c r="DT31" s="61">
        <v>83.1</v>
      </c>
      <c r="DU31" s="63">
        <v>4.3499999999999996</v>
      </c>
      <c r="DV31" s="64">
        <v>0.67600000000000005</v>
      </c>
      <c r="DW31" s="64">
        <v>1.98</v>
      </c>
      <c r="DX31" s="66" t="s">
        <v>242</v>
      </c>
      <c r="DY31" s="65" t="str">
        <f t="shared" si="41"/>
        <v>SA</v>
      </c>
      <c r="DZ31" s="128">
        <v>24</v>
      </c>
      <c r="EA31" s="173">
        <f t="shared" si="42"/>
        <v>5.0802139037433157E-2</v>
      </c>
      <c r="EB31" s="173">
        <f t="shared" si="43"/>
        <v>0.11691176470588235</v>
      </c>
      <c r="EC31" s="173">
        <f t="shared" si="44"/>
        <v>0.88157894736842102</v>
      </c>
      <c r="ED31" s="63">
        <v>0.98</v>
      </c>
      <c r="EE31" s="63">
        <v>1.08</v>
      </c>
      <c r="EF31" s="63">
        <v>0.06</v>
      </c>
      <c r="EG31" s="63">
        <v>0.06</v>
      </c>
      <c r="EH31" s="127" t="str">
        <f t="shared" si="5"/>
        <v>SA</v>
      </c>
      <c r="EI31" s="56">
        <v>24</v>
      </c>
      <c r="EJ31" s="334" t="s">
        <v>399</v>
      </c>
      <c r="EK31" s="334"/>
      <c r="EL31" s="334"/>
      <c r="EM31" s="334"/>
      <c r="EN31" s="334"/>
      <c r="EO31" s="334"/>
      <c r="EP31" s="334"/>
      <c r="EQ31" s="65" t="str">
        <f t="shared" si="45"/>
        <v>SA</v>
      </c>
      <c r="ER31" s="20"/>
      <c r="ES31" s="20"/>
      <c r="ET31" s="20"/>
      <c r="EU31" s="20"/>
      <c r="EV31" s="20"/>
      <c r="EW31" s="20"/>
      <c r="EX31" s="20"/>
    </row>
    <row r="32" spans="1:154" s="3" customFormat="1" ht="17.149999999999999" customHeight="1" x14ac:dyDescent="0.35">
      <c r="A32" s="56">
        <v>25</v>
      </c>
      <c r="B32" s="57">
        <v>898718</v>
      </c>
      <c r="C32" s="58">
        <f t="shared" si="6"/>
        <v>205</v>
      </c>
      <c r="D32" s="167">
        <v>9.57</v>
      </c>
      <c r="E32" s="59">
        <v>803131</v>
      </c>
      <c r="F32" s="58">
        <f t="shared" si="7"/>
        <v>179</v>
      </c>
      <c r="G32" s="168">
        <v>1.94</v>
      </c>
      <c r="H32" s="57">
        <v>758941</v>
      </c>
      <c r="I32" s="58">
        <f t="shared" si="0"/>
        <v>150</v>
      </c>
      <c r="J32" s="60" t="s">
        <v>194</v>
      </c>
      <c r="K32" s="56">
        <v>25</v>
      </c>
      <c r="L32" s="57">
        <v>70334</v>
      </c>
      <c r="M32" s="58">
        <f t="shared" si="8"/>
        <v>48</v>
      </c>
      <c r="N32" s="59">
        <v>178974</v>
      </c>
      <c r="O32" s="58">
        <f t="shared" si="9"/>
        <v>55</v>
      </c>
      <c r="P32" s="57">
        <v>194749</v>
      </c>
      <c r="Q32" s="169" t="str">
        <f t="shared" si="1"/>
        <v/>
      </c>
      <c r="R32" s="57">
        <v>682</v>
      </c>
      <c r="S32" s="57">
        <v>689</v>
      </c>
      <c r="T32" s="57">
        <v>143</v>
      </c>
      <c r="U32" s="57">
        <v>140</v>
      </c>
      <c r="V32" s="58" t="str">
        <f t="shared" si="10"/>
        <v>ME</v>
      </c>
      <c r="W32" s="56">
        <v>25</v>
      </c>
      <c r="X32" s="63">
        <v>11881.81</v>
      </c>
      <c r="Y32" s="130">
        <f t="shared" si="11"/>
        <v>3.5</v>
      </c>
      <c r="Z32" s="63">
        <v>12652.09</v>
      </c>
      <c r="AA32" s="130">
        <f t="shared" si="12"/>
        <v>2.6499999999996362</v>
      </c>
      <c r="AB32" s="63">
        <v>9962.89</v>
      </c>
      <c r="AC32" s="130" t="str">
        <f t="shared" si="13"/>
        <v/>
      </c>
      <c r="AD32" s="63">
        <v>10072.67</v>
      </c>
      <c r="AE32" s="130">
        <f t="shared" si="2"/>
        <v>3.9799999999995634</v>
      </c>
      <c r="AF32" s="125" t="str">
        <f t="shared" si="14"/>
        <v>ME</v>
      </c>
      <c r="AG32" s="56">
        <v>25</v>
      </c>
      <c r="AH32" s="63">
        <v>47500.41</v>
      </c>
      <c r="AI32" s="130">
        <f t="shared" si="15"/>
        <v>8.0199999999967986</v>
      </c>
      <c r="AJ32" s="63">
        <v>49656.76</v>
      </c>
      <c r="AK32" s="130">
        <f t="shared" si="16"/>
        <v>12.629999999997381</v>
      </c>
      <c r="AL32" s="63">
        <v>587.66999999999996</v>
      </c>
      <c r="AM32" s="130" t="str">
        <f t="shared" si="17"/>
        <v/>
      </c>
      <c r="AN32" s="63">
        <v>548.9</v>
      </c>
      <c r="AO32" s="130" t="str">
        <f t="shared" si="3"/>
        <v/>
      </c>
      <c r="AP32" s="125" t="str">
        <f t="shared" si="18"/>
        <v>ME</v>
      </c>
      <c r="AQ32" s="56">
        <v>25</v>
      </c>
      <c r="AR32" s="63">
        <v>6840.81</v>
      </c>
      <c r="AS32" s="130">
        <f t="shared" si="19"/>
        <v>2.2399999999997817</v>
      </c>
      <c r="AT32" s="63">
        <v>7617.39</v>
      </c>
      <c r="AU32" s="130">
        <f t="shared" si="20"/>
        <v>2.75</v>
      </c>
      <c r="AV32" s="63">
        <v>258.33999999999997</v>
      </c>
      <c r="AW32" s="130">
        <f t="shared" si="21"/>
        <v>0.34000000000003183</v>
      </c>
      <c r="AX32" s="63">
        <v>245.01</v>
      </c>
      <c r="AY32" s="130" t="str">
        <f t="shared" si="4"/>
        <v/>
      </c>
      <c r="AZ32" s="125" t="str">
        <f t="shared" si="22"/>
        <v>ME</v>
      </c>
      <c r="BA32" s="56">
        <v>25</v>
      </c>
      <c r="BB32" s="63">
        <v>1.72</v>
      </c>
      <c r="BC32" s="62">
        <v>39</v>
      </c>
      <c r="BD32" s="61">
        <v>7.2</v>
      </c>
      <c r="BE32" s="61">
        <v>20.399999999999999</v>
      </c>
      <c r="BF32" s="61">
        <v>15.8</v>
      </c>
      <c r="BG32" s="61">
        <v>7.2</v>
      </c>
      <c r="BH32" s="64">
        <v>0.14799999999999999</v>
      </c>
      <c r="BI32" s="64">
        <v>0.15</v>
      </c>
      <c r="BJ32" s="64">
        <v>6.4000000000000001E-2</v>
      </c>
      <c r="BK32" s="64">
        <v>7.2999999999999995E-2</v>
      </c>
      <c r="BL32" s="64">
        <v>5.5E-2</v>
      </c>
      <c r="BM32" s="64">
        <v>5.8999999999999997E-2</v>
      </c>
      <c r="BN32" s="65" t="str">
        <f t="shared" si="23"/>
        <v>ME</v>
      </c>
      <c r="BO32" s="56">
        <v>25</v>
      </c>
      <c r="BP32" s="64">
        <v>9.5000000000000001E-2</v>
      </c>
      <c r="BQ32" s="62">
        <v>0</v>
      </c>
      <c r="BR32" s="61">
        <v>7</v>
      </c>
      <c r="BS32" s="61">
        <v>20.100000000000001</v>
      </c>
      <c r="BT32" s="61">
        <v>17.3</v>
      </c>
      <c r="BU32" s="64">
        <v>1.7999999999999999E-2</v>
      </c>
      <c r="BV32" s="63">
        <v>0.86</v>
      </c>
      <c r="BW32" s="63">
        <v>0.81</v>
      </c>
      <c r="BX32" s="66" t="s">
        <v>269</v>
      </c>
      <c r="BY32" s="172" t="s">
        <v>246</v>
      </c>
      <c r="BZ32" s="67" t="str">
        <f t="shared" si="24"/>
        <v>ME</v>
      </c>
      <c r="CA32" s="56">
        <v>25</v>
      </c>
      <c r="CB32" s="61">
        <v>83.2</v>
      </c>
      <c r="CC32" s="61"/>
      <c r="CD32" s="68">
        <f t="shared" si="25"/>
        <v>1.6000000000000085</v>
      </c>
      <c r="CE32" s="69">
        <f t="shared" si="26"/>
        <v>7.4468240000000403</v>
      </c>
      <c r="CF32" s="69">
        <f t="shared" si="27"/>
        <v>5.9574592000000317</v>
      </c>
      <c r="CG32" s="62">
        <v>54</v>
      </c>
      <c r="CH32" s="62">
        <v>100</v>
      </c>
      <c r="CI32" s="65" t="str">
        <f t="shared" si="28"/>
        <v>ME</v>
      </c>
      <c r="CJ32" s="56">
        <v>25</v>
      </c>
      <c r="CK32" s="61">
        <v>81.900000000000006</v>
      </c>
      <c r="CL32" s="61">
        <v>99.8</v>
      </c>
      <c r="CM32" s="68">
        <f t="shared" si="29"/>
        <v>2.7000000000000028</v>
      </c>
      <c r="CN32" s="68">
        <f t="shared" si="30"/>
        <v>12.566515500000014</v>
      </c>
      <c r="CO32" s="68">
        <f t="shared" si="31"/>
        <v>24.375975066219542</v>
      </c>
      <c r="CP32" s="62">
        <v>54</v>
      </c>
      <c r="CQ32" s="62">
        <v>83</v>
      </c>
      <c r="CR32" s="65" t="str">
        <f t="shared" si="32"/>
        <v>ME</v>
      </c>
      <c r="CS32" s="56">
        <v>25</v>
      </c>
      <c r="CT32" s="61">
        <v>88.7</v>
      </c>
      <c r="CU32" s="61">
        <v>113</v>
      </c>
      <c r="CV32" s="68">
        <f t="shared" si="33"/>
        <v>2.2000000000000028</v>
      </c>
      <c r="CW32" s="68">
        <f t="shared" si="34"/>
        <v>14.617328000000018</v>
      </c>
      <c r="CX32" s="69">
        <f t="shared" si="35"/>
        <v>7.1304039024390337E-2</v>
      </c>
      <c r="CY32" s="66" t="s">
        <v>240</v>
      </c>
      <c r="CZ32" s="66" t="s">
        <v>241</v>
      </c>
      <c r="DA32" s="66"/>
      <c r="DB32" s="65" t="str">
        <f t="shared" si="36"/>
        <v>ME</v>
      </c>
      <c r="DC32" s="56">
        <v>25</v>
      </c>
      <c r="DD32" s="61">
        <v>103.4</v>
      </c>
      <c r="DE32" s="61"/>
      <c r="DF32" s="68">
        <f t="shared" si="37"/>
        <v>12.900000000000006</v>
      </c>
      <c r="DG32" s="69">
        <f t="shared" si="38"/>
        <v>0.69597085152000038</v>
      </c>
      <c r="DH32" s="68">
        <f t="shared" si="39"/>
        <v>3.3949797635121968</v>
      </c>
      <c r="DI32" s="62">
        <v>89</v>
      </c>
      <c r="DJ32" s="62">
        <v>54</v>
      </c>
      <c r="DK32" s="65" t="str">
        <f t="shared" si="40"/>
        <v>ME</v>
      </c>
      <c r="DL32" s="56">
        <v>25</v>
      </c>
      <c r="DM32" s="63">
        <v>8.1</v>
      </c>
      <c r="DN32" s="64">
        <v>3.4000000000000002E-2</v>
      </c>
      <c r="DO32" s="64">
        <v>3.2000000000000001E-2</v>
      </c>
      <c r="DP32" s="64">
        <v>7.0000000000000007E-2</v>
      </c>
      <c r="DQ32" s="63">
        <v>6.98</v>
      </c>
      <c r="DR32" s="61">
        <v>20.100000000000001</v>
      </c>
      <c r="DS32" s="64">
        <v>0.94099999999999995</v>
      </c>
      <c r="DT32" s="61">
        <v>84</v>
      </c>
      <c r="DU32" s="63">
        <v>4.17</v>
      </c>
      <c r="DV32" s="64">
        <v>0.68400000000000005</v>
      </c>
      <c r="DW32" s="64">
        <v>0.46800000000000003</v>
      </c>
      <c r="DX32" s="66" t="s">
        <v>247</v>
      </c>
      <c r="DY32" s="65" t="str">
        <f t="shared" si="41"/>
        <v>ME</v>
      </c>
      <c r="DZ32" s="128">
        <v>25</v>
      </c>
      <c r="EA32" s="173">
        <f t="shared" si="42"/>
        <v>0.13703208556149732</v>
      </c>
      <c r="EB32" s="173">
        <f t="shared" si="43"/>
        <v>0.13161764705882353</v>
      </c>
      <c r="EC32" s="173">
        <f t="shared" si="44"/>
        <v>0.73170731707317072</v>
      </c>
      <c r="ED32" s="63">
        <v>0.83</v>
      </c>
      <c r="EE32" s="63">
        <v>1.1599999999999999</v>
      </c>
      <c r="EF32" s="63">
        <v>0.06</v>
      </c>
      <c r="EG32" s="63">
        <v>0.06</v>
      </c>
      <c r="EH32" s="127" t="str">
        <f t="shared" si="5"/>
        <v>ME</v>
      </c>
      <c r="EI32" s="56">
        <v>25</v>
      </c>
      <c r="EJ32" s="334"/>
      <c r="EK32" s="334"/>
      <c r="EL32" s="334"/>
      <c r="EM32" s="334"/>
      <c r="EN32" s="334"/>
      <c r="EO32" s="334"/>
      <c r="EP32" s="334"/>
      <c r="EQ32" s="65" t="str">
        <f t="shared" si="45"/>
        <v>ME</v>
      </c>
      <c r="ER32" s="20"/>
      <c r="ES32" s="20"/>
      <c r="ET32" s="20"/>
      <c r="EU32" s="20"/>
      <c r="EV32" s="20"/>
      <c r="EW32" s="20"/>
      <c r="EX32" s="20"/>
    </row>
    <row r="33" spans="1:154" s="3" customFormat="1" ht="17.149999999999999" customHeight="1" x14ac:dyDescent="0.35">
      <c r="A33" s="56">
        <v>26</v>
      </c>
      <c r="B33" s="57">
        <v>898923</v>
      </c>
      <c r="C33" s="58">
        <f t="shared" si="6"/>
        <v>222</v>
      </c>
      <c r="D33" s="167">
        <v>9.11</v>
      </c>
      <c r="E33" s="59">
        <v>803310</v>
      </c>
      <c r="F33" s="58">
        <f t="shared" si="7"/>
        <v>228</v>
      </c>
      <c r="G33" s="168">
        <v>1.57</v>
      </c>
      <c r="H33" s="57">
        <v>759091</v>
      </c>
      <c r="I33" s="58">
        <f t="shared" si="0"/>
        <v>204</v>
      </c>
      <c r="J33" s="60" t="s">
        <v>194</v>
      </c>
      <c r="K33" s="56">
        <v>26</v>
      </c>
      <c r="L33" s="57">
        <v>70382</v>
      </c>
      <c r="M33" s="58" t="str">
        <f t="shared" si="8"/>
        <v/>
      </c>
      <c r="N33" s="59">
        <v>179029</v>
      </c>
      <c r="O33" s="58">
        <f t="shared" si="9"/>
        <v>29</v>
      </c>
      <c r="P33" s="57">
        <v>194749</v>
      </c>
      <c r="Q33" s="169" t="str">
        <f t="shared" si="1"/>
        <v/>
      </c>
      <c r="R33" s="57">
        <v>682</v>
      </c>
      <c r="S33" s="57">
        <v>690</v>
      </c>
      <c r="T33" s="57">
        <v>143</v>
      </c>
      <c r="U33" s="57">
        <v>140</v>
      </c>
      <c r="V33" s="58" t="str">
        <f t="shared" si="10"/>
        <v>ME</v>
      </c>
      <c r="W33" s="56">
        <v>26</v>
      </c>
      <c r="X33" s="63">
        <v>11885.31</v>
      </c>
      <c r="Y33" s="130">
        <f t="shared" si="11"/>
        <v>4.6499999999996362</v>
      </c>
      <c r="Z33" s="63">
        <v>12654.74</v>
      </c>
      <c r="AA33" s="130">
        <f t="shared" si="12"/>
        <v>1.8400000000001455</v>
      </c>
      <c r="AB33" s="63">
        <v>9962.89</v>
      </c>
      <c r="AC33" s="130" t="str">
        <f t="shared" si="13"/>
        <v/>
      </c>
      <c r="AD33" s="63">
        <v>10076.65</v>
      </c>
      <c r="AE33" s="130">
        <f t="shared" si="2"/>
        <v>5.4200000000000728</v>
      </c>
      <c r="AF33" s="125" t="str">
        <f t="shared" si="14"/>
        <v>ME</v>
      </c>
      <c r="AG33" s="56">
        <v>26</v>
      </c>
      <c r="AH33" s="63">
        <v>47508.43</v>
      </c>
      <c r="AI33" s="130">
        <f t="shared" si="15"/>
        <v>15.980000000003201</v>
      </c>
      <c r="AJ33" s="63">
        <v>49669.39</v>
      </c>
      <c r="AK33" s="130">
        <f t="shared" si="16"/>
        <v>8.6600000000034925</v>
      </c>
      <c r="AL33" s="63">
        <v>587.66999999999996</v>
      </c>
      <c r="AM33" s="130" t="str">
        <f t="shared" si="17"/>
        <v/>
      </c>
      <c r="AN33" s="63">
        <v>548.9</v>
      </c>
      <c r="AO33" s="130" t="str">
        <f t="shared" si="3"/>
        <v/>
      </c>
      <c r="AP33" s="125" t="str">
        <f t="shared" si="18"/>
        <v>ME</v>
      </c>
      <c r="AQ33" s="56">
        <v>26</v>
      </c>
      <c r="AR33" s="63">
        <v>6843.05</v>
      </c>
      <c r="AS33" s="130">
        <f t="shared" si="19"/>
        <v>1.6300000000001091</v>
      </c>
      <c r="AT33" s="63">
        <v>7620.14</v>
      </c>
      <c r="AU33" s="130">
        <f t="shared" si="20"/>
        <v>1.6099999999996726</v>
      </c>
      <c r="AV33" s="63">
        <v>258.68</v>
      </c>
      <c r="AW33" s="130" t="str">
        <f t="shared" si="21"/>
        <v/>
      </c>
      <c r="AX33" s="63">
        <v>245.01</v>
      </c>
      <c r="AY33" s="130" t="str">
        <f t="shared" si="4"/>
        <v/>
      </c>
      <c r="AZ33" s="125" t="str">
        <f t="shared" si="22"/>
        <v>ME</v>
      </c>
      <c r="BA33" s="56">
        <v>26</v>
      </c>
      <c r="BB33" s="63">
        <v>1.32</v>
      </c>
      <c r="BC33" s="62">
        <v>21</v>
      </c>
      <c r="BD33" s="61">
        <v>7</v>
      </c>
      <c r="BE33" s="61">
        <v>20.7</v>
      </c>
      <c r="BF33" s="61">
        <v>15.6</v>
      </c>
      <c r="BG33" s="61">
        <v>7</v>
      </c>
      <c r="BH33" s="64">
        <v>0.124</v>
      </c>
      <c r="BI33" s="64">
        <v>0.14099999999999999</v>
      </c>
      <c r="BJ33" s="64">
        <v>5.7000000000000002E-2</v>
      </c>
      <c r="BK33" s="64">
        <v>8.2000000000000003E-2</v>
      </c>
      <c r="BL33" s="64">
        <v>0.06</v>
      </c>
      <c r="BM33" s="64">
        <v>5.8000000000000003E-2</v>
      </c>
      <c r="BN33" s="65" t="str">
        <f t="shared" si="23"/>
        <v>ME</v>
      </c>
      <c r="BO33" s="56">
        <v>26</v>
      </c>
      <c r="BP33" s="64">
        <v>9.0999999999999998E-2</v>
      </c>
      <c r="BQ33" s="62">
        <v>0</v>
      </c>
      <c r="BR33" s="61">
        <v>7</v>
      </c>
      <c r="BS33" s="61">
        <v>20.3</v>
      </c>
      <c r="BT33" s="61">
        <v>20.399999999999999</v>
      </c>
      <c r="BU33" s="64">
        <v>1.2999999999999999E-2</v>
      </c>
      <c r="BV33" s="63">
        <v>1.05</v>
      </c>
      <c r="BW33" s="63">
        <v>0.81</v>
      </c>
      <c r="BX33" s="66" t="s">
        <v>253</v>
      </c>
      <c r="BY33" s="172" t="s">
        <v>246</v>
      </c>
      <c r="BZ33" s="67" t="str">
        <f t="shared" si="24"/>
        <v>ME</v>
      </c>
      <c r="CA33" s="56">
        <v>26</v>
      </c>
      <c r="CB33" s="61">
        <v>81.599999999999994</v>
      </c>
      <c r="CC33" s="61">
        <v>97.1</v>
      </c>
      <c r="CD33" s="68">
        <f t="shared" si="25"/>
        <v>2</v>
      </c>
      <c r="CE33" s="69">
        <f t="shared" si="26"/>
        <v>9.3085300000000011</v>
      </c>
      <c r="CF33" s="69">
        <f t="shared" si="27"/>
        <v>5.4756058823529408</v>
      </c>
      <c r="CG33" s="62">
        <v>73</v>
      </c>
      <c r="CH33" s="62">
        <v>100</v>
      </c>
      <c r="CI33" s="65" t="str">
        <f t="shared" si="28"/>
        <v>ME</v>
      </c>
      <c r="CJ33" s="56">
        <v>26</v>
      </c>
      <c r="CK33" s="61">
        <v>97.1</v>
      </c>
      <c r="CL33" s="61"/>
      <c r="CM33" s="68">
        <f t="shared" si="29"/>
        <v>2.7999999999999972</v>
      </c>
      <c r="CN33" s="68">
        <f t="shared" si="30"/>
        <v>13.031941999999988</v>
      </c>
      <c r="CO33" s="68">
        <f t="shared" si="31"/>
        <v>23.343025839189174</v>
      </c>
      <c r="CP33" s="62">
        <v>51</v>
      </c>
      <c r="CQ33" s="62">
        <v>83</v>
      </c>
      <c r="CR33" s="65" t="str">
        <f t="shared" si="32"/>
        <v>ME</v>
      </c>
      <c r="CS33" s="56">
        <v>26</v>
      </c>
      <c r="CT33" s="61">
        <v>110.8</v>
      </c>
      <c r="CU33" s="61"/>
      <c r="CV33" s="68">
        <f t="shared" si="33"/>
        <v>2.5</v>
      </c>
      <c r="CW33" s="68">
        <f t="shared" si="34"/>
        <v>16.610599999999998</v>
      </c>
      <c r="CX33" s="69">
        <f t="shared" si="35"/>
        <v>7.4822522522522514E-2</v>
      </c>
      <c r="CY33" s="66" t="s">
        <v>240</v>
      </c>
      <c r="CZ33" s="66" t="s">
        <v>241</v>
      </c>
      <c r="DA33" s="66"/>
      <c r="DB33" s="65" t="str">
        <f t="shared" si="36"/>
        <v>ME</v>
      </c>
      <c r="DC33" s="56">
        <v>26</v>
      </c>
      <c r="DD33" s="61">
        <v>90.5</v>
      </c>
      <c r="DE33" s="61">
        <v>104</v>
      </c>
      <c r="DF33" s="68">
        <f t="shared" si="37"/>
        <v>4.4000000000000057</v>
      </c>
      <c r="DG33" s="69">
        <f t="shared" si="38"/>
        <v>0.2373854067200003</v>
      </c>
      <c r="DH33" s="68">
        <f t="shared" si="39"/>
        <v>1.0693036338738753</v>
      </c>
      <c r="DI33" s="62">
        <v>85</v>
      </c>
      <c r="DJ33" s="62">
        <v>54</v>
      </c>
      <c r="DK33" s="65" t="str">
        <f t="shared" si="40"/>
        <v>ME</v>
      </c>
      <c r="DL33" s="56">
        <v>26</v>
      </c>
      <c r="DM33" s="63">
        <v>8.16</v>
      </c>
      <c r="DN33" s="64">
        <v>3.9E-2</v>
      </c>
      <c r="DO33" s="64">
        <v>3.6999999999999998E-2</v>
      </c>
      <c r="DP33" s="64">
        <v>6.8000000000000005E-2</v>
      </c>
      <c r="DQ33" s="63">
        <v>7</v>
      </c>
      <c r="DR33" s="61">
        <v>20.3</v>
      </c>
      <c r="DS33" s="64">
        <v>1.054</v>
      </c>
      <c r="DT33" s="61">
        <v>85.9</v>
      </c>
      <c r="DU33" s="63">
        <v>4.1900000000000004</v>
      </c>
      <c r="DV33" s="64">
        <v>0.88500000000000001</v>
      </c>
      <c r="DW33" s="64">
        <v>1.31</v>
      </c>
      <c r="DX33" s="66" t="s">
        <v>242</v>
      </c>
      <c r="DY33" s="65" t="str">
        <f t="shared" si="41"/>
        <v>ME</v>
      </c>
      <c r="DZ33" s="128">
        <v>26</v>
      </c>
      <c r="EA33" s="173">
        <f t="shared" si="42"/>
        <v>0.1483957219251337</v>
      </c>
      <c r="EB33" s="173">
        <f t="shared" si="43"/>
        <v>0.1676470588235294</v>
      </c>
      <c r="EC33" s="173">
        <f t="shared" si="44"/>
        <v>0.91891891891891897</v>
      </c>
      <c r="ED33" s="63">
        <v>0.9</v>
      </c>
      <c r="EE33" s="63">
        <v>1.33</v>
      </c>
      <c r="EF33" s="63">
        <v>0.05</v>
      </c>
      <c r="EG33" s="63">
        <v>0.06</v>
      </c>
      <c r="EH33" s="127" t="str">
        <f t="shared" si="5"/>
        <v>ME</v>
      </c>
      <c r="EI33" s="56">
        <v>26</v>
      </c>
      <c r="EJ33" s="334" t="s">
        <v>400</v>
      </c>
      <c r="EK33" s="334"/>
      <c r="EL33" s="334"/>
      <c r="EM33" s="334"/>
      <c r="EN33" s="334"/>
      <c r="EO33" s="334"/>
      <c r="EP33" s="334"/>
      <c r="EQ33" s="65" t="str">
        <f t="shared" si="45"/>
        <v>ME</v>
      </c>
      <c r="ER33" s="20"/>
      <c r="ES33" s="20"/>
      <c r="ET33" s="20"/>
      <c r="EU33" s="20"/>
      <c r="EV33" s="20"/>
      <c r="EW33" s="20"/>
      <c r="EX33" s="20"/>
    </row>
    <row r="34" spans="1:154" s="3" customFormat="1" ht="17.149999999999999" customHeight="1" x14ac:dyDescent="0.35">
      <c r="A34" s="56">
        <v>27</v>
      </c>
      <c r="B34" s="57">
        <v>899145</v>
      </c>
      <c r="C34" s="58">
        <f t="shared" si="6"/>
        <v>260</v>
      </c>
      <c r="D34" s="167">
        <v>9.23</v>
      </c>
      <c r="E34" s="59">
        <v>803538</v>
      </c>
      <c r="F34" s="58">
        <f t="shared" si="7"/>
        <v>236</v>
      </c>
      <c r="G34" s="168">
        <v>3.36</v>
      </c>
      <c r="H34" s="57">
        <v>759295</v>
      </c>
      <c r="I34" s="58">
        <f t="shared" si="0"/>
        <v>241</v>
      </c>
      <c r="J34" s="60" t="s">
        <v>338</v>
      </c>
      <c r="K34" s="56">
        <v>27</v>
      </c>
      <c r="L34" s="57">
        <v>70382</v>
      </c>
      <c r="M34" s="58" t="str">
        <f t="shared" si="8"/>
        <v/>
      </c>
      <c r="N34" s="59">
        <v>179058</v>
      </c>
      <c r="O34" s="58">
        <f t="shared" si="9"/>
        <v>24</v>
      </c>
      <c r="P34" s="57">
        <v>194749</v>
      </c>
      <c r="Q34" s="169" t="str">
        <f t="shared" si="1"/>
        <v/>
      </c>
      <c r="R34" s="57">
        <v>682</v>
      </c>
      <c r="S34" s="57">
        <v>690</v>
      </c>
      <c r="T34" s="57">
        <v>143</v>
      </c>
      <c r="U34" s="57">
        <v>140</v>
      </c>
      <c r="V34" s="58" t="str">
        <f t="shared" si="10"/>
        <v>SA</v>
      </c>
      <c r="W34" s="56">
        <v>27</v>
      </c>
      <c r="X34" s="63">
        <v>11889.96</v>
      </c>
      <c r="Y34" s="221">
        <f t="shared" si="11"/>
        <v>2.75</v>
      </c>
      <c r="Z34" s="63">
        <v>12656.58</v>
      </c>
      <c r="AA34" s="130">
        <f t="shared" si="12"/>
        <v>4.7800000000006548</v>
      </c>
      <c r="AB34" s="63">
        <v>9962.89</v>
      </c>
      <c r="AC34" s="130" t="str">
        <f t="shared" si="13"/>
        <v/>
      </c>
      <c r="AD34" s="63">
        <v>10082.07</v>
      </c>
      <c r="AE34" s="130">
        <f t="shared" si="2"/>
        <v>6.4200000000000728</v>
      </c>
      <c r="AF34" s="125" t="str">
        <f t="shared" si="14"/>
        <v>SA</v>
      </c>
      <c r="AG34" s="56">
        <v>27</v>
      </c>
      <c r="AH34" s="63">
        <v>47524.41</v>
      </c>
      <c r="AI34" s="130">
        <f t="shared" si="15"/>
        <v>8.8599999999933061</v>
      </c>
      <c r="AJ34" s="63">
        <v>49678.05</v>
      </c>
      <c r="AK34" s="130">
        <f t="shared" si="16"/>
        <v>15.349999999998545</v>
      </c>
      <c r="AL34" s="63">
        <v>587.66999999999996</v>
      </c>
      <c r="AM34" s="130"/>
      <c r="AN34" s="63">
        <v>548.9</v>
      </c>
      <c r="AO34" s="130">
        <f t="shared" si="3"/>
        <v>2.9999999999972715E-2</v>
      </c>
      <c r="AP34" s="125" t="str">
        <f t="shared" si="18"/>
        <v>SA</v>
      </c>
      <c r="AQ34" s="56">
        <v>27</v>
      </c>
      <c r="AR34" s="63">
        <v>6844.68</v>
      </c>
      <c r="AS34" s="130">
        <f t="shared" si="19"/>
        <v>1.2799999999997453</v>
      </c>
      <c r="AT34" s="63">
        <v>7621.75</v>
      </c>
      <c r="AU34" s="130">
        <f t="shared" si="20"/>
        <v>1.0399999999999636</v>
      </c>
      <c r="AV34" s="63">
        <v>258.68</v>
      </c>
      <c r="AW34" s="130" t="str">
        <f t="shared" si="21"/>
        <v/>
      </c>
      <c r="AX34" s="63">
        <v>245.01</v>
      </c>
      <c r="AY34" s="130" t="str">
        <f t="shared" si="4"/>
        <v/>
      </c>
      <c r="AZ34" s="125" t="str">
        <f t="shared" si="22"/>
        <v>SA</v>
      </c>
      <c r="BA34" s="56">
        <v>27</v>
      </c>
      <c r="BB34" s="63"/>
      <c r="BC34" s="62"/>
      <c r="BD34" s="61"/>
      <c r="BE34" s="61"/>
      <c r="BF34" s="61"/>
      <c r="BG34" s="61"/>
      <c r="BH34" s="64"/>
      <c r="BI34" s="64"/>
      <c r="BJ34" s="64"/>
      <c r="BK34" s="64"/>
      <c r="BL34" s="64"/>
      <c r="BM34" s="64"/>
      <c r="BN34" s="65" t="str">
        <f t="shared" si="23"/>
        <v>SA</v>
      </c>
      <c r="BO34" s="56">
        <v>27</v>
      </c>
      <c r="BP34" s="64">
        <v>9.1999999999999998E-2</v>
      </c>
      <c r="BQ34" s="62">
        <v>0</v>
      </c>
      <c r="BR34" s="61">
        <v>7.2</v>
      </c>
      <c r="BS34" s="61">
        <v>20.399999999999999</v>
      </c>
      <c r="BT34" s="61">
        <v>22</v>
      </c>
      <c r="BU34" s="64">
        <v>0.01</v>
      </c>
      <c r="BV34" s="63">
        <v>1.24</v>
      </c>
      <c r="BW34" s="63">
        <v>0.99</v>
      </c>
      <c r="BX34" s="66" t="s">
        <v>330</v>
      </c>
      <c r="BY34" s="172" t="s">
        <v>239</v>
      </c>
      <c r="BZ34" s="67" t="str">
        <f t="shared" si="24"/>
        <v>SA</v>
      </c>
      <c r="CA34" s="56">
        <v>27</v>
      </c>
      <c r="CB34" s="61">
        <v>95.1</v>
      </c>
      <c r="CC34" s="61"/>
      <c r="CD34" s="68">
        <f t="shared" si="25"/>
        <v>2.5</v>
      </c>
      <c r="CE34" s="69">
        <f t="shared" si="26"/>
        <v>11.6356625</v>
      </c>
      <c r="CF34" s="69">
        <f t="shared" si="27"/>
        <v>5.7936908713692938</v>
      </c>
      <c r="CG34" s="62">
        <v>73</v>
      </c>
      <c r="CH34" s="62">
        <v>100</v>
      </c>
      <c r="CI34" s="65" t="str">
        <f t="shared" si="28"/>
        <v>SA</v>
      </c>
      <c r="CJ34" s="56">
        <v>27</v>
      </c>
      <c r="CK34" s="61">
        <v>94.3</v>
      </c>
      <c r="CL34" s="61"/>
      <c r="CM34" s="68">
        <f t="shared" si="29"/>
        <v>3.2000000000000028</v>
      </c>
      <c r="CN34" s="68">
        <f t="shared" si="30"/>
        <v>14.893648000000013</v>
      </c>
      <c r="CO34" s="68">
        <f t="shared" si="31"/>
        <v>22.778688950769254</v>
      </c>
      <c r="CP34" s="62">
        <v>51</v>
      </c>
      <c r="CQ34" s="62">
        <v>83</v>
      </c>
      <c r="CR34" s="65" t="str">
        <f t="shared" si="32"/>
        <v>SA</v>
      </c>
      <c r="CS34" s="56">
        <v>27</v>
      </c>
      <c r="CT34" s="61">
        <v>108.3</v>
      </c>
      <c r="CU34" s="61"/>
      <c r="CV34" s="68">
        <f t="shared" si="33"/>
        <v>2.7000000000000028</v>
      </c>
      <c r="CW34" s="68">
        <f t="shared" si="34"/>
        <v>17.93944800000002</v>
      </c>
      <c r="CX34" s="69">
        <f t="shared" si="35"/>
        <v>6.8997876923077003E-2</v>
      </c>
      <c r="CY34" s="66" t="s">
        <v>240</v>
      </c>
      <c r="CZ34" s="66" t="s">
        <v>241</v>
      </c>
      <c r="DA34" s="66"/>
      <c r="DB34" s="65" t="str">
        <f t="shared" si="36"/>
        <v>SA</v>
      </c>
      <c r="DC34" s="56">
        <v>27</v>
      </c>
      <c r="DD34" s="61">
        <v>99.6</v>
      </c>
      <c r="DE34" s="61">
        <v>105.6</v>
      </c>
      <c r="DF34" s="68">
        <f t="shared" si="37"/>
        <v>21.599999999999994</v>
      </c>
      <c r="DG34" s="69">
        <f t="shared" si="38"/>
        <v>1.1653465420799995</v>
      </c>
      <c r="DH34" s="68">
        <f t="shared" si="39"/>
        <v>4.482102084923075</v>
      </c>
      <c r="DI34" s="62">
        <v>85</v>
      </c>
      <c r="DJ34" s="62">
        <v>54</v>
      </c>
      <c r="DK34" s="65" t="str">
        <f t="shared" si="40"/>
        <v>SA</v>
      </c>
      <c r="DL34" s="56">
        <v>27</v>
      </c>
      <c r="DM34" s="63">
        <v>8.08</v>
      </c>
      <c r="DN34" s="64">
        <v>3.4000000000000002E-2</v>
      </c>
      <c r="DO34" s="64">
        <v>3.2000000000000001E-2</v>
      </c>
      <c r="DP34" s="64">
        <v>6.6000000000000003E-2</v>
      </c>
      <c r="DQ34" s="63">
        <v>7</v>
      </c>
      <c r="DR34" s="61">
        <v>20.399999999999999</v>
      </c>
      <c r="DS34" s="64">
        <v>1.218</v>
      </c>
      <c r="DT34" s="61">
        <v>84.7</v>
      </c>
      <c r="DU34" s="63">
        <v>4.24</v>
      </c>
      <c r="DV34" s="64">
        <v>0.70299999999999996</v>
      </c>
      <c r="DW34" s="64">
        <v>0.77</v>
      </c>
      <c r="DX34" s="66" t="s">
        <v>247</v>
      </c>
      <c r="DY34" s="65" t="s">
        <v>338</v>
      </c>
      <c r="DZ34" s="128">
        <v>27</v>
      </c>
      <c r="EA34" s="173">
        <f t="shared" si="42"/>
        <v>0.17379679144385027</v>
      </c>
      <c r="EB34" s="173">
        <f t="shared" si="43"/>
        <v>0.17352941176470588</v>
      </c>
      <c r="EC34" s="173">
        <f t="shared" si="44"/>
        <v>0.92692307692307696</v>
      </c>
      <c r="ED34" s="63">
        <v>1.1399999999999999</v>
      </c>
      <c r="EE34" s="63">
        <v>1.32</v>
      </c>
      <c r="EF34" s="63">
        <v>0.05</v>
      </c>
      <c r="EG34" s="63">
        <v>0.06</v>
      </c>
      <c r="EH34" s="127" t="str">
        <f t="shared" si="5"/>
        <v>SA</v>
      </c>
      <c r="EI34" s="56">
        <v>27</v>
      </c>
      <c r="EJ34" s="334" t="s">
        <v>401</v>
      </c>
      <c r="EK34" s="334"/>
      <c r="EL34" s="334"/>
      <c r="EM34" s="334"/>
      <c r="EN34" s="334"/>
      <c r="EO34" s="334"/>
      <c r="EP34" s="334"/>
      <c r="EQ34" s="65" t="str">
        <f t="shared" si="45"/>
        <v>SA</v>
      </c>
      <c r="ER34" s="20"/>
      <c r="ES34" s="20"/>
      <c r="ET34" s="20"/>
      <c r="EU34" s="20"/>
      <c r="EV34" s="20"/>
      <c r="EW34" s="20"/>
      <c r="EX34" s="20"/>
    </row>
    <row r="35" spans="1:154" s="3" customFormat="1" ht="17.149999999999999" customHeight="1" x14ac:dyDescent="0.35">
      <c r="A35" s="56">
        <v>28</v>
      </c>
      <c r="B35" s="57">
        <v>899405</v>
      </c>
      <c r="C35" s="58">
        <f t="shared" si="6"/>
        <v>247</v>
      </c>
      <c r="D35" s="167">
        <v>9.0299999999999994</v>
      </c>
      <c r="E35" s="59">
        <v>803774</v>
      </c>
      <c r="F35" s="58">
        <f t="shared" si="7"/>
        <v>269</v>
      </c>
      <c r="G35" s="168">
        <v>2.5499999999999998</v>
      </c>
      <c r="H35" s="57">
        <v>759536</v>
      </c>
      <c r="I35" s="58">
        <f t="shared" si="0"/>
        <v>187</v>
      </c>
      <c r="J35" s="60" t="s">
        <v>194</v>
      </c>
      <c r="K35" s="56">
        <v>28</v>
      </c>
      <c r="L35" s="57">
        <v>70382</v>
      </c>
      <c r="M35" s="58">
        <f t="shared" si="8"/>
        <v>49</v>
      </c>
      <c r="N35" s="59">
        <v>179082</v>
      </c>
      <c r="O35" s="58">
        <f t="shared" si="9"/>
        <v>46</v>
      </c>
      <c r="P35" s="57">
        <v>194749</v>
      </c>
      <c r="Q35" s="169" t="str">
        <f t="shared" si="1"/>
        <v/>
      </c>
      <c r="R35" s="57">
        <v>682</v>
      </c>
      <c r="S35" s="57">
        <v>690</v>
      </c>
      <c r="T35" s="57">
        <v>143</v>
      </c>
      <c r="U35" s="57">
        <v>140</v>
      </c>
      <c r="V35" s="58" t="str">
        <f t="shared" si="10"/>
        <v>ME</v>
      </c>
      <c r="W35" s="56">
        <v>28</v>
      </c>
      <c r="X35" s="63">
        <v>11892.71</v>
      </c>
      <c r="Y35" s="130">
        <f t="shared" si="11"/>
        <v>4.6700000000000728</v>
      </c>
      <c r="Z35" s="63">
        <v>12661.36</v>
      </c>
      <c r="AA35" s="130">
        <f t="shared" si="12"/>
        <v>2.7099999999991269</v>
      </c>
      <c r="AB35" s="63">
        <v>9962.89</v>
      </c>
      <c r="AC35" s="130" t="str">
        <f t="shared" si="13"/>
        <v/>
      </c>
      <c r="AD35" s="63">
        <v>10088.49</v>
      </c>
      <c r="AE35" s="130">
        <f t="shared" si="2"/>
        <v>4.9600000000009459</v>
      </c>
      <c r="AF35" s="125" t="str">
        <f t="shared" si="14"/>
        <v>ME</v>
      </c>
      <c r="AG35" s="56">
        <v>28</v>
      </c>
      <c r="AH35" s="63">
        <v>47533.27</v>
      </c>
      <c r="AI35" s="130">
        <f t="shared" si="15"/>
        <v>15.150000000001455</v>
      </c>
      <c r="AJ35" s="63">
        <v>49693.4</v>
      </c>
      <c r="AK35" s="130">
        <f t="shared" si="16"/>
        <v>11.589999999996508</v>
      </c>
      <c r="AL35" s="63">
        <v>587.66999999999996</v>
      </c>
      <c r="AM35" s="130">
        <f t="shared" si="17"/>
        <v>0.10000000000002274</v>
      </c>
      <c r="AN35" s="63">
        <v>548.92999999999995</v>
      </c>
      <c r="AO35" s="130" t="str">
        <f t="shared" si="3"/>
        <v/>
      </c>
      <c r="AP35" s="125" t="str">
        <f t="shared" si="18"/>
        <v>ME</v>
      </c>
      <c r="AQ35" s="56">
        <v>28</v>
      </c>
      <c r="AR35" s="63">
        <v>6845.96</v>
      </c>
      <c r="AS35" s="130">
        <f t="shared" si="19"/>
        <v>2.1199999999998909</v>
      </c>
      <c r="AT35" s="63">
        <v>7622.79</v>
      </c>
      <c r="AU35" s="130">
        <f t="shared" si="20"/>
        <v>1.8800000000001091</v>
      </c>
      <c r="AV35" s="63">
        <v>258.68</v>
      </c>
      <c r="AW35" s="130" t="str">
        <f t="shared" si="21"/>
        <v/>
      </c>
      <c r="AX35" s="63">
        <v>245.01</v>
      </c>
      <c r="AY35" s="130">
        <f t="shared" si="4"/>
        <v>0.34000000000000341</v>
      </c>
      <c r="AZ35" s="125" t="str">
        <f t="shared" si="22"/>
        <v>ME</v>
      </c>
      <c r="BA35" s="56">
        <v>28</v>
      </c>
      <c r="BB35" s="63">
        <v>1.33</v>
      </c>
      <c r="BC35" s="62">
        <v>37</v>
      </c>
      <c r="BD35" s="61">
        <v>7.1</v>
      </c>
      <c r="BE35" s="61">
        <v>20.6</v>
      </c>
      <c r="BF35" s="61">
        <v>14.4</v>
      </c>
      <c r="BG35" s="61">
        <v>7.1</v>
      </c>
      <c r="BH35" s="64">
        <v>0.11700000000000001</v>
      </c>
      <c r="BI35" s="64">
        <v>0.13900000000000001</v>
      </c>
      <c r="BJ35" s="64">
        <v>5.8000000000000003E-2</v>
      </c>
      <c r="BK35" s="64">
        <v>5.5E-2</v>
      </c>
      <c r="BL35" s="64">
        <v>6.2E-2</v>
      </c>
      <c r="BM35" s="64">
        <v>5.8000000000000003E-2</v>
      </c>
      <c r="BN35" s="65" t="str">
        <f t="shared" si="23"/>
        <v>ME</v>
      </c>
      <c r="BO35" s="56">
        <v>28</v>
      </c>
      <c r="BP35" s="64">
        <v>9.2999999999999999E-2</v>
      </c>
      <c r="BQ35" s="62">
        <v>0</v>
      </c>
      <c r="BR35" s="61">
        <v>7.2</v>
      </c>
      <c r="BS35" s="61">
        <v>20.3</v>
      </c>
      <c r="BT35" s="61">
        <v>17.7</v>
      </c>
      <c r="BU35" s="64">
        <v>1.2E-2</v>
      </c>
      <c r="BV35" s="63">
        <v>1.18</v>
      </c>
      <c r="BW35" s="63">
        <v>0.97</v>
      </c>
      <c r="BX35" s="66" t="s">
        <v>245</v>
      </c>
      <c r="BY35" s="172" t="s">
        <v>246</v>
      </c>
      <c r="BZ35" s="67" t="str">
        <f t="shared" si="24"/>
        <v>ME</v>
      </c>
      <c r="CA35" s="56">
        <v>28</v>
      </c>
      <c r="CB35" s="61">
        <v>92.6</v>
      </c>
      <c r="CC35" s="61"/>
      <c r="CD35" s="68">
        <f t="shared" si="25"/>
        <v>1.7999999999999972</v>
      </c>
      <c r="CE35" s="69">
        <f t="shared" si="26"/>
        <v>8.3776769999999878</v>
      </c>
      <c r="CF35" s="69">
        <f t="shared" si="27"/>
        <v>5.3760494117646971</v>
      </c>
      <c r="CG35" s="62">
        <v>68</v>
      </c>
      <c r="CH35" s="62">
        <v>100</v>
      </c>
      <c r="CI35" s="65" t="str">
        <f t="shared" si="28"/>
        <v>ME</v>
      </c>
      <c r="CJ35" s="56">
        <v>28</v>
      </c>
      <c r="CK35" s="61">
        <v>91.1</v>
      </c>
      <c r="CL35" s="61"/>
      <c r="CM35" s="68">
        <f t="shared" si="29"/>
        <v>3.0999999999999943</v>
      </c>
      <c r="CN35" s="68">
        <f t="shared" si="30"/>
        <v>14.428221499999974</v>
      </c>
      <c r="CO35" s="68">
        <f t="shared" si="31"/>
        <v>23.228268337955431</v>
      </c>
      <c r="CP35" s="62">
        <v>51</v>
      </c>
      <c r="CQ35" s="62">
        <v>83</v>
      </c>
      <c r="CR35" s="65" t="str">
        <f t="shared" si="32"/>
        <v>ME</v>
      </c>
      <c r="CS35" s="56">
        <v>28</v>
      </c>
      <c r="CT35" s="61">
        <v>105.6</v>
      </c>
      <c r="CU35" s="61"/>
      <c r="CV35" s="68">
        <f t="shared" si="33"/>
        <v>2.6999999999999886</v>
      </c>
      <c r="CW35" s="68">
        <f t="shared" si="34"/>
        <v>17.939447999999924</v>
      </c>
      <c r="CX35" s="69">
        <f t="shared" si="35"/>
        <v>7.2629344129554352E-2</v>
      </c>
      <c r="CY35" s="66" t="s">
        <v>240</v>
      </c>
      <c r="CZ35" s="66" t="s">
        <v>241</v>
      </c>
      <c r="DA35" s="66"/>
      <c r="DB35" s="65" t="str">
        <f t="shared" si="36"/>
        <v>ME</v>
      </c>
      <c r="DC35" s="56">
        <v>28</v>
      </c>
      <c r="DD35" s="61">
        <v>84</v>
      </c>
      <c r="DE35" s="61">
        <v>103.4</v>
      </c>
      <c r="DF35" s="68">
        <f t="shared" si="37"/>
        <v>22.5</v>
      </c>
      <c r="DG35" s="69">
        <f t="shared" si="38"/>
        <v>1.2139026479999999</v>
      </c>
      <c r="DH35" s="68">
        <f t="shared" si="39"/>
        <v>4.9145856194331987</v>
      </c>
      <c r="DI35" s="62">
        <v>87</v>
      </c>
      <c r="DJ35" s="62">
        <v>54</v>
      </c>
      <c r="DK35" s="65" t="str">
        <f t="shared" si="40"/>
        <v>ME</v>
      </c>
      <c r="DL35" s="56">
        <v>28</v>
      </c>
      <c r="DM35" s="63">
        <v>8.23</v>
      </c>
      <c r="DN35" s="64">
        <v>3.1E-2</v>
      </c>
      <c r="DO35" s="64">
        <v>3.1E-2</v>
      </c>
      <c r="DP35" s="64">
        <v>6.9000000000000006E-2</v>
      </c>
      <c r="DQ35" s="63">
        <v>6.99</v>
      </c>
      <c r="DR35" s="61">
        <v>20.3</v>
      </c>
      <c r="DS35" s="64">
        <v>1.212</v>
      </c>
      <c r="DT35" s="61">
        <v>86.5</v>
      </c>
      <c r="DU35" s="63">
        <v>4.3899999999999997</v>
      </c>
      <c r="DV35" s="64">
        <v>0.68799999999999994</v>
      </c>
      <c r="DW35" s="64">
        <v>1.45</v>
      </c>
      <c r="DX35" s="66" t="s">
        <v>242</v>
      </c>
      <c r="DY35" s="65" t="str">
        <f t="shared" si="41"/>
        <v>ME</v>
      </c>
      <c r="DZ35" s="128">
        <v>28</v>
      </c>
      <c r="EA35" s="173">
        <f t="shared" si="42"/>
        <v>0.16510695187165775</v>
      </c>
      <c r="EB35" s="173">
        <f t="shared" si="43"/>
        <v>0.19779411764705881</v>
      </c>
      <c r="EC35" s="173">
        <f t="shared" si="44"/>
        <v>0.75708502024291502</v>
      </c>
      <c r="ED35" s="63">
        <v>0.87</v>
      </c>
      <c r="EE35" s="63">
        <v>1.3</v>
      </c>
      <c r="EF35" s="63">
        <v>0.05</v>
      </c>
      <c r="EG35" s="63">
        <v>0.09</v>
      </c>
      <c r="EH35" s="127" t="str">
        <f t="shared" si="5"/>
        <v>ME</v>
      </c>
      <c r="EI35" s="56">
        <v>28</v>
      </c>
      <c r="EJ35" s="334"/>
      <c r="EK35" s="334"/>
      <c r="EL35" s="334"/>
      <c r="EM35" s="334"/>
      <c r="EN35" s="334"/>
      <c r="EO35" s="334"/>
      <c r="EP35" s="334"/>
      <c r="EQ35" s="65" t="str">
        <f t="shared" si="45"/>
        <v>ME</v>
      </c>
      <c r="ER35" s="20"/>
      <c r="ES35" s="20"/>
      <c r="ET35" s="20"/>
      <c r="EU35" s="20"/>
      <c r="EV35" s="20"/>
      <c r="EW35" s="20"/>
      <c r="EX35" s="20"/>
    </row>
    <row r="36" spans="1:154" s="3" customFormat="1" ht="17.149999999999999" customHeight="1" x14ac:dyDescent="0.35">
      <c r="A36" s="56">
        <v>29</v>
      </c>
      <c r="B36" s="57">
        <v>899652</v>
      </c>
      <c r="C36" s="58">
        <f t="shared" si="6"/>
        <v>187</v>
      </c>
      <c r="D36" s="167">
        <v>9.2200000000000006</v>
      </c>
      <c r="E36" s="59">
        <v>804043</v>
      </c>
      <c r="F36" s="58">
        <f t="shared" si="7"/>
        <v>208</v>
      </c>
      <c r="G36" s="168">
        <v>2.2200000000000002</v>
      </c>
      <c r="H36" s="57">
        <v>759723</v>
      </c>
      <c r="I36" s="58">
        <f t="shared" si="0"/>
        <v>175</v>
      </c>
      <c r="J36" s="60" t="s">
        <v>194</v>
      </c>
      <c r="K36" s="56">
        <v>29</v>
      </c>
      <c r="L36" s="57">
        <v>70431</v>
      </c>
      <c r="M36" s="58" t="str">
        <f t="shared" si="8"/>
        <v/>
      </c>
      <c r="N36" s="59">
        <v>179128</v>
      </c>
      <c r="O36" s="58">
        <f t="shared" si="9"/>
        <v>41</v>
      </c>
      <c r="P36" s="57">
        <v>194749</v>
      </c>
      <c r="Q36" s="169" t="str">
        <f t="shared" si="1"/>
        <v/>
      </c>
      <c r="R36" s="57">
        <v>683</v>
      </c>
      <c r="S36" s="57">
        <v>690</v>
      </c>
      <c r="T36" s="57">
        <v>143</v>
      </c>
      <c r="U36" s="57">
        <v>140</v>
      </c>
      <c r="V36" s="58" t="str">
        <f t="shared" si="10"/>
        <v>ME</v>
      </c>
      <c r="W36" s="56">
        <v>29</v>
      </c>
      <c r="X36" s="63">
        <v>11897.38</v>
      </c>
      <c r="Y36" s="130">
        <f t="shared" si="11"/>
        <v>3.1900000000005093</v>
      </c>
      <c r="Z36" s="63">
        <v>12664.07</v>
      </c>
      <c r="AA36" s="130">
        <f t="shared" si="12"/>
        <v>2.3000000000010914</v>
      </c>
      <c r="AB36" s="63">
        <v>9962.89</v>
      </c>
      <c r="AC36" s="130" t="str">
        <f t="shared" si="13"/>
        <v/>
      </c>
      <c r="AD36" s="63">
        <v>10093.450000000001</v>
      </c>
      <c r="AE36" s="130">
        <f t="shared" si="2"/>
        <v>4.6499999999996362</v>
      </c>
      <c r="AF36" s="125" t="str">
        <f t="shared" si="14"/>
        <v>ME</v>
      </c>
      <c r="AG36" s="56">
        <v>29</v>
      </c>
      <c r="AH36" s="63">
        <v>47548.42</v>
      </c>
      <c r="AI36" s="130">
        <f t="shared" si="15"/>
        <v>7.1900000000023283</v>
      </c>
      <c r="AJ36" s="63">
        <v>49704.99</v>
      </c>
      <c r="AK36" s="130">
        <f t="shared" si="16"/>
        <v>12.42000000000553</v>
      </c>
      <c r="AL36" s="63">
        <v>587.77</v>
      </c>
      <c r="AM36" s="275">
        <f t="shared" si="17"/>
        <v>5.0000000000068212E-2</v>
      </c>
      <c r="AN36" s="63">
        <v>548.92999999999995</v>
      </c>
      <c r="AO36" s="130">
        <f t="shared" si="3"/>
        <v>0.10000000000002274</v>
      </c>
      <c r="AP36" s="125" t="str">
        <f t="shared" si="18"/>
        <v>ME</v>
      </c>
      <c r="AQ36" s="56">
        <v>29</v>
      </c>
      <c r="AR36" s="63">
        <v>6848.08</v>
      </c>
      <c r="AS36" s="130">
        <f t="shared" si="19"/>
        <v>1.9499999999998181</v>
      </c>
      <c r="AT36" s="63">
        <v>7624.67</v>
      </c>
      <c r="AU36" s="130">
        <f t="shared" si="20"/>
        <v>2.569999999999709</v>
      </c>
      <c r="AV36" s="63">
        <v>258.68</v>
      </c>
      <c r="AW36" s="130" t="str">
        <f t="shared" si="21"/>
        <v/>
      </c>
      <c r="AX36" s="63">
        <v>245.35</v>
      </c>
      <c r="AY36" s="130" t="str">
        <f t="shared" si="4"/>
        <v/>
      </c>
      <c r="AZ36" s="125" t="str">
        <f t="shared" si="22"/>
        <v>ME</v>
      </c>
      <c r="BA36" s="56">
        <v>29</v>
      </c>
      <c r="BB36" s="63">
        <v>1.5</v>
      </c>
      <c r="BC36" s="62">
        <v>40</v>
      </c>
      <c r="BD36" s="61">
        <v>7.2</v>
      </c>
      <c r="BE36" s="61">
        <v>20.8</v>
      </c>
      <c r="BF36" s="61">
        <v>14.9</v>
      </c>
      <c r="BG36" s="61">
        <v>7.2</v>
      </c>
      <c r="BH36" s="64">
        <v>0.191</v>
      </c>
      <c r="BI36" s="64">
        <v>0.188</v>
      </c>
      <c r="BJ36" s="64">
        <v>6.2E-2</v>
      </c>
      <c r="BK36" s="64">
        <v>6.0999999999999999E-2</v>
      </c>
      <c r="BL36" s="64">
        <v>6.8000000000000005E-2</v>
      </c>
      <c r="BM36" s="64">
        <v>5.8999999999999997E-2</v>
      </c>
      <c r="BN36" s="65" t="str">
        <f t="shared" si="23"/>
        <v>ME</v>
      </c>
      <c r="BO36" s="56">
        <v>29</v>
      </c>
      <c r="BP36" s="64">
        <v>9.0999999999999998E-2</v>
      </c>
      <c r="BQ36" s="62">
        <v>0</v>
      </c>
      <c r="BR36" s="61">
        <v>7</v>
      </c>
      <c r="BS36" s="61">
        <v>20.6</v>
      </c>
      <c r="BT36" s="61">
        <v>17.5</v>
      </c>
      <c r="BU36" s="64">
        <v>1.7000000000000001E-2</v>
      </c>
      <c r="BV36" s="63">
        <v>1.1599999999999999</v>
      </c>
      <c r="BW36" s="63">
        <v>0.98</v>
      </c>
      <c r="BX36" s="66" t="s">
        <v>287</v>
      </c>
      <c r="BY36" s="172" t="s">
        <v>246</v>
      </c>
      <c r="BZ36" s="67" t="str">
        <f t="shared" si="24"/>
        <v>ME</v>
      </c>
      <c r="CA36" s="56">
        <v>29</v>
      </c>
      <c r="CB36" s="61">
        <v>90.8</v>
      </c>
      <c r="CC36" s="61"/>
      <c r="CD36" s="68">
        <f t="shared" si="25"/>
        <v>1.5999999999999943</v>
      </c>
      <c r="CE36" s="69">
        <f t="shared" si="26"/>
        <v>7.4468239999999746</v>
      </c>
      <c r="CF36" s="69">
        <f t="shared" si="27"/>
        <v>5.1063935999999828</v>
      </c>
      <c r="CG36" s="62">
        <v>60</v>
      </c>
      <c r="CH36" s="62">
        <v>100</v>
      </c>
      <c r="CI36" s="65" t="str">
        <f t="shared" si="28"/>
        <v>ME</v>
      </c>
      <c r="CJ36" s="56">
        <v>29</v>
      </c>
      <c r="CK36" s="61">
        <v>88</v>
      </c>
      <c r="CL36" s="61"/>
      <c r="CM36" s="68">
        <f t="shared" si="29"/>
        <v>2.4000000000000057</v>
      </c>
      <c r="CN36" s="68">
        <f t="shared" si="30"/>
        <v>11.170236000000028</v>
      </c>
      <c r="CO36" s="68">
        <f t="shared" si="31"/>
        <v>23.753178317647123</v>
      </c>
      <c r="CP36" s="62">
        <v>52</v>
      </c>
      <c r="CQ36" s="62">
        <v>83</v>
      </c>
      <c r="CR36" s="65" t="str">
        <f t="shared" si="32"/>
        <v>ME</v>
      </c>
      <c r="CS36" s="56">
        <v>29</v>
      </c>
      <c r="CT36" s="61">
        <v>102.9</v>
      </c>
      <c r="CU36" s="61">
        <v>98.5</v>
      </c>
      <c r="CV36" s="68">
        <f t="shared" si="33"/>
        <v>2</v>
      </c>
      <c r="CW36" s="68">
        <f t="shared" si="34"/>
        <v>13.28848</v>
      </c>
      <c r="CX36" s="69">
        <f t="shared" si="35"/>
        <v>7.1061390374331554E-2</v>
      </c>
      <c r="CY36" s="66" t="s">
        <v>240</v>
      </c>
      <c r="CZ36" s="66" t="s">
        <v>241</v>
      </c>
      <c r="DA36" s="66" t="s">
        <v>242</v>
      </c>
      <c r="DB36" s="65" t="str">
        <f t="shared" si="36"/>
        <v>ME</v>
      </c>
      <c r="DC36" s="56">
        <v>29</v>
      </c>
      <c r="DD36" s="61">
        <v>80.900000000000006</v>
      </c>
      <c r="DE36" s="61">
        <v>104.7</v>
      </c>
      <c r="DF36" s="68">
        <f t="shared" si="37"/>
        <v>21</v>
      </c>
      <c r="DG36" s="69">
        <f t="shared" si="38"/>
        <v>1.1329758048</v>
      </c>
      <c r="DH36" s="68">
        <f t="shared" si="39"/>
        <v>6.0586941433155088</v>
      </c>
      <c r="DI36" s="62">
        <v>86</v>
      </c>
      <c r="DJ36" s="62">
        <v>54</v>
      </c>
      <c r="DK36" s="65" t="str">
        <f t="shared" si="40"/>
        <v>ME</v>
      </c>
      <c r="DL36" s="56">
        <v>29</v>
      </c>
      <c r="DM36" s="63">
        <v>8.09</v>
      </c>
      <c r="DN36" s="64">
        <v>3.7999999999999999E-2</v>
      </c>
      <c r="DO36" s="64">
        <v>3.4000000000000002E-2</v>
      </c>
      <c r="DP36" s="64">
        <v>7.0999999999999994E-2</v>
      </c>
      <c r="DQ36" s="63">
        <v>6.98</v>
      </c>
      <c r="DR36" s="61">
        <v>20.6</v>
      </c>
      <c r="DS36" s="64">
        <v>1.171</v>
      </c>
      <c r="DT36" s="61">
        <v>85.3</v>
      </c>
      <c r="DU36" s="63">
        <v>4.21</v>
      </c>
      <c r="DV36" s="64">
        <v>1.4690000000000001</v>
      </c>
      <c r="DW36" s="64">
        <v>3.56</v>
      </c>
      <c r="DX36" s="66" t="s">
        <v>242</v>
      </c>
      <c r="DY36" s="65" t="str">
        <f t="shared" si="41"/>
        <v>ME</v>
      </c>
      <c r="DZ36" s="128">
        <v>29</v>
      </c>
      <c r="EA36" s="173">
        <f t="shared" si="42"/>
        <v>0.125</v>
      </c>
      <c r="EB36" s="173">
        <f t="shared" si="43"/>
        <v>0.15294117647058825</v>
      </c>
      <c r="EC36" s="173">
        <f t="shared" si="44"/>
        <v>0.93582887700534756</v>
      </c>
      <c r="ED36" s="63">
        <v>1.05</v>
      </c>
      <c r="EE36" s="63">
        <v>1.24</v>
      </c>
      <c r="EF36" s="63">
        <v>0.05</v>
      </c>
      <c r="EG36" s="63">
        <v>0.11</v>
      </c>
      <c r="EH36" s="127" t="str">
        <f t="shared" si="5"/>
        <v>ME</v>
      </c>
      <c r="EI36" s="56">
        <v>29</v>
      </c>
      <c r="EJ36" s="334"/>
      <c r="EK36" s="334"/>
      <c r="EL36" s="334"/>
      <c r="EM36" s="334"/>
      <c r="EN36" s="334"/>
      <c r="EO36" s="334"/>
      <c r="EP36" s="334"/>
      <c r="EQ36" s="65" t="str">
        <f t="shared" si="45"/>
        <v>ME</v>
      </c>
      <c r="ER36" s="20"/>
      <c r="ES36" s="20"/>
      <c r="ET36" s="20"/>
      <c r="EU36" s="20"/>
      <c r="EV36" s="20"/>
      <c r="EW36" s="20"/>
      <c r="EX36" s="20"/>
    </row>
    <row r="37" spans="1:154" s="3" customFormat="1" ht="17.149999999999999" customHeight="1" x14ac:dyDescent="0.35">
      <c r="A37" s="56">
        <v>30</v>
      </c>
      <c r="B37" s="57">
        <v>899839</v>
      </c>
      <c r="C37" s="58">
        <f t="shared" si="6"/>
        <v>280</v>
      </c>
      <c r="D37" s="167">
        <v>9.24</v>
      </c>
      <c r="E37" s="59">
        <v>804251</v>
      </c>
      <c r="F37" s="58">
        <f t="shared" si="7"/>
        <v>266</v>
      </c>
      <c r="G37" s="168">
        <v>1.78</v>
      </c>
      <c r="H37" s="57">
        <v>759898</v>
      </c>
      <c r="I37" s="58">
        <f t="shared" si="0"/>
        <v>268</v>
      </c>
      <c r="J37" s="60" t="s">
        <v>194</v>
      </c>
      <c r="K37" s="56">
        <v>30</v>
      </c>
      <c r="L37" s="57">
        <v>70431</v>
      </c>
      <c r="M37" s="58" t="str">
        <f t="shared" si="8"/>
        <v/>
      </c>
      <c r="N37" s="59">
        <v>179169</v>
      </c>
      <c r="O37" s="58">
        <f t="shared" si="9"/>
        <v>41</v>
      </c>
      <c r="P37" s="57">
        <v>194749</v>
      </c>
      <c r="Q37" s="169" t="str">
        <f t="shared" si="1"/>
        <v/>
      </c>
      <c r="R37" s="57">
        <v>683</v>
      </c>
      <c r="S37" s="57">
        <v>690</v>
      </c>
      <c r="T37" s="57">
        <v>143</v>
      </c>
      <c r="U37" s="57">
        <v>140</v>
      </c>
      <c r="V37" s="58" t="str">
        <f t="shared" si="10"/>
        <v>ME</v>
      </c>
      <c r="W37" s="56">
        <v>30</v>
      </c>
      <c r="X37" s="63">
        <v>11900.57</v>
      </c>
      <c r="Y37" s="130">
        <f t="shared" si="11"/>
        <v>2.0799999999999272</v>
      </c>
      <c r="Z37" s="63">
        <v>12666.37</v>
      </c>
      <c r="AA37" s="130">
        <f t="shared" si="12"/>
        <v>6.3299999999999272</v>
      </c>
      <c r="AB37" s="63">
        <v>9962.89</v>
      </c>
      <c r="AC37" s="130" t="str">
        <f t="shared" si="13"/>
        <v/>
      </c>
      <c r="AD37" s="63">
        <v>10098.1</v>
      </c>
      <c r="AE37" s="130">
        <f t="shared" si="2"/>
        <v>7.1900000000005093</v>
      </c>
      <c r="AF37" s="125" t="str">
        <f t="shared" si="14"/>
        <v>ME</v>
      </c>
      <c r="AG37" s="56">
        <v>30</v>
      </c>
      <c r="AH37" s="63">
        <v>47555.61</v>
      </c>
      <c r="AI37" s="130">
        <f t="shared" si="15"/>
        <v>10.599999999998545</v>
      </c>
      <c r="AJ37" s="63">
        <v>49717.41</v>
      </c>
      <c r="AK37" s="130">
        <f t="shared" si="16"/>
        <v>11.779999999998836</v>
      </c>
      <c r="AL37" s="63">
        <v>587.82000000000005</v>
      </c>
      <c r="AM37" s="302">
        <f t="shared" si="17"/>
        <v>0.87000000000000455</v>
      </c>
      <c r="AN37" s="63">
        <v>549.03</v>
      </c>
      <c r="AO37" s="130">
        <f t="shared" si="3"/>
        <v>0.74000000000000909</v>
      </c>
      <c r="AP37" s="125" t="str">
        <f t="shared" si="18"/>
        <v>ME</v>
      </c>
      <c r="AQ37" s="56">
        <v>30</v>
      </c>
      <c r="AR37" s="63">
        <v>6850.03</v>
      </c>
      <c r="AS37" s="130">
        <f t="shared" si="19"/>
        <v>2.5</v>
      </c>
      <c r="AT37" s="63">
        <v>7627.24</v>
      </c>
      <c r="AU37" s="130">
        <f t="shared" si="20"/>
        <v>2.3900000000003274</v>
      </c>
      <c r="AV37" s="63">
        <v>258.68</v>
      </c>
      <c r="AW37" s="130" t="str">
        <f t="shared" si="21"/>
        <v/>
      </c>
      <c r="AX37" s="63">
        <v>245.35</v>
      </c>
      <c r="AY37" s="130" t="str">
        <f t="shared" si="4"/>
        <v/>
      </c>
      <c r="AZ37" s="125" t="str">
        <f t="shared" si="22"/>
        <v>ME</v>
      </c>
      <c r="BA37" s="56">
        <v>30</v>
      </c>
      <c r="BB37" s="63"/>
      <c r="BC37" s="62"/>
      <c r="BD37" s="61"/>
      <c r="BE37" s="61"/>
      <c r="BF37" s="61"/>
      <c r="BG37" s="61"/>
      <c r="BH37" s="64"/>
      <c r="BI37" s="64"/>
      <c r="BJ37" s="64"/>
      <c r="BK37" s="64"/>
      <c r="BL37" s="64"/>
      <c r="BM37" s="64"/>
      <c r="BN37" s="65" t="str">
        <f t="shared" si="23"/>
        <v>ME</v>
      </c>
      <c r="BO37" s="56">
        <v>30</v>
      </c>
      <c r="BP37" s="64">
        <v>8.7999999999999995E-2</v>
      </c>
      <c r="BQ37" s="62"/>
      <c r="BR37" s="61"/>
      <c r="BS37" s="61"/>
      <c r="BT37" s="61"/>
      <c r="BU37" s="64"/>
      <c r="BV37" s="63">
        <v>1.17</v>
      </c>
      <c r="BW37" s="63">
        <v>0.98</v>
      </c>
      <c r="BX37" s="66" t="s">
        <v>245</v>
      </c>
      <c r="BY37" s="172" t="s">
        <v>246</v>
      </c>
      <c r="BZ37" s="67" t="str">
        <f t="shared" si="24"/>
        <v>ME</v>
      </c>
      <c r="CA37" s="56">
        <v>30</v>
      </c>
      <c r="CB37" s="61">
        <v>89.2</v>
      </c>
      <c r="CC37" s="61"/>
      <c r="CD37" s="68">
        <f t="shared" si="25"/>
        <v>2.5</v>
      </c>
      <c r="CE37" s="69">
        <f t="shared" si="26"/>
        <v>11.6356625</v>
      </c>
      <c r="CF37" s="69">
        <f t="shared" si="27"/>
        <v>5.2099981343283579</v>
      </c>
      <c r="CG37" s="62">
        <v>60</v>
      </c>
      <c r="CH37" s="62">
        <v>100</v>
      </c>
      <c r="CI37" s="65" t="str">
        <f t="shared" si="28"/>
        <v>ME</v>
      </c>
      <c r="CJ37" s="56">
        <v>30</v>
      </c>
      <c r="CK37" s="61">
        <v>85.6</v>
      </c>
      <c r="CL37" s="61">
        <v>99.9</v>
      </c>
      <c r="CM37" s="68">
        <f t="shared" si="29"/>
        <v>3.4000000000000057</v>
      </c>
      <c r="CN37" s="68">
        <f t="shared" si="30"/>
        <v>15.824501000000028</v>
      </c>
      <c r="CO37" s="68">
        <f t="shared" si="31"/>
        <v>22.47361722375004</v>
      </c>
      <c r="CP37" s="62">
        <v>51</v>
      </c>
      <c r="CQ37" s="62">
        <v>83</v>
      </c>
      <c r="CR37" s="65" t="str">
        <f t="shared" si="32"/>
        <v>ME</v>
      </c>
      <c r="CS37" s="56">
        <v>30</v>
      </c>
      <c r="CT37" s="61">
        <v>96.5</v>
      </c>
      <c r="CU37" s="61"/>
      <c r="CV37" s="68">
        <f t="shared" si="33"/>
        <v>2.9000000000000057</v>
      </c>
      <c r="CW37" s="68">
        <f t="shared" si="34"/>
        <v>19.268296000000039</v>
      </c>
      <c r="CX37" s="69">
        <f t="shared" si="35"/>
        <v>6.8815342857142997E-2</v>
      </c>
      <c r="CY37" s="66" t="s">
        <v>240</v>
      </c>
      <c r="CZ37" s="66" t="s">
        <v>241</v>
      </c>
      <c r="DA37" s="66"/>
      <c r="DB37" s="65" t="str">
        <f t="shared" si="36"/>
        <v>ME</v>
      </c>
      <c r="DC37" s="56">
        <v>30</v>
      </c>
      <c r="DD37" s="61">
        <v>83.7</v>
      </c>
      <c r="DE37" s="61">
        <v>103.6</v>
      </c>
      <c r="DF37" s="68">
        <f t="shared" si="37"/>
        <v>30.399999999999991</v>
      </c>
      <c r="DG37" s="69">
        <f t="shared" si="38"/>
        <v>1.6401173555199995</v>
      </c>
      <c r="DH37" s="68">
        <f t="shared" si="39"/>
        <v>5.8575619839999984</v>
      </c>
      <c r="DI37" s="62">
        <v>90</v>
      </c>
      <c r="DJ37" s="62">
        <v>54</v>
      </c>
      <c r="DK37" s="65" t="str">
        <f t="shared" si="40"/>
        <v>ME</v>
      </c>
      <c r="DL37" s="56">
        <v>30</v>
      </c>
      <c r="DM37" s="63">
        <v>8.16</v>
      </c>
      <c r="DN37" s="64">
        <v>3.3000000000000002E-2</v>
      </c>
      <c r="DO37" s="64">
        <v>0.03</v>
      </c>
      <c r="DP37" s="64">
        <v>7.2999999999999995E-2</v>
      </c>
      <c r="DQ37" s="63">
        <v>6.96</v>
      </c>
      <c r="DR37" s="61">
        <v>20.7</v>
      </c>
      <c r="DS37" s="64">
        <v>1.163</v>
      </c>
      <c r="DT37" s="61">
        <v>86.5</v>
      </c>
      <c r="DU37" s="63">
        <v>4.21</v>
      </c>
      <c r="DV37" s="64">
        <v>0.70799999999999996</v>
      </c>
      <c r="DW37" s="64">
        <v>0.51500000000000001</v>
      </c>
      <c r="DX37" s="66" t="s">
        <v>247</v>
      </c>
      <c r="DY37" s="65" t="str">
        <f t="shared" si="41"/>
        <v>ME</v>
      </c>
      <c r="DZ37" s="128">
        <v>30</v>
      </c>
      <c r="EA37" s="173">
        <f t="shared" si="42"/>
        <v>0.18716577540106952</v>
      </c>
      <c r="EB37" s="173">
        <f t="shared" si="43"/>
        <v>0.19558823529411765</v>
      </c>
      <c r="EC37" s="173">
        <f t="shared" si="44"/>
        <v>0.95714285714285718</v>
      </c>
      <c r="ED37" s="284">
        <v>0</v>
      </c>
      <c r="EE37" s="284">
        <v>5.63</v>
      </c>
      <c r="EF37" s="63">
        <v>0.05</v>
      </c>
      <c r="EG37" s="63">
        <v>0.08</v>
      </c>
      <c r="EH37" s="127" t="str">
        <f t="shared" si="5"/>
        <v>ME</v>
      </c>
      <c r="EI37" s="56">
        <v>30</v>
      </c>
      <c r="EJ37" s="334" t="s">
        <v>403</v>
      </c>
      <c r="EK37" s="334"/>
      <c r="EL37" s="334"/>
      <c r="EM37" s="334"/>
      <c r="EN37" s="334"/>
      <c r="EO37" s="334"/>
      <c r="EP37" s="334"/>
      <c r="EQ37" s="65" t="str">
        <f t="shared" si="45"/>
        <v>ME</v>
      </c>
      <c r="ER37" s="20"/>
      <c r="ES37" s="20"/>
      <c r="ET37" s="20"/>
      <c r="EU37" s="20"/>
      <c r="EV37" s="20"/>
      <c r="EW37" s="20"/>
      <c r="EX37" s="20"/>
    </row>
    <row r="38" spans="1:154" s="3" customFormat="1" ht="17.149999999999999" customHeight="1" thickBot="1" x14ac:dyDescent="0.4">
      <c r="A38" s="56">
        <v>31</v>
      </c>
      <c r="B38" s="57">
        <v>900119</v>
      </c>
      <c r="C38" s="58">
        <f>IF(Aug.!B8="","",IF(Aug.!B8=B38,"",(Aug.!B8-B38)))</f>
        <v>440</v>
      </c>
      <c r="D38" s="167">
        <v>9.6</v>
      </c>
      <c r="E38" s="59">
        <v>804517</v>
      </c>
      <c r="F38" s="58">
        <f>IF(Aug.!E8="","",IF(Aug.!E8=E38,"",(Aug.!E8-E38)))</f>
        <v>317</v>
      </c>
      <c r="G38" s="168">
        <v>1.1599999999999999</v>
      </c>
      <c r="H38" s="57">
        <v>760166</v>
      </c>
      <c r="I38" s="58">
        <f>IF(Aug.!H8="","",IF(Aug.!H8=H38,"",(Aug.!H8-H38)))</f>
        <v>282</v>
      </c>
      <c r="J38" s="60" t="s">
        <v>194</v>
      </c>
      <c r="K38" s="56">
        <v>31</v>
      </c>
      <c r="L38" s="57">
        <v>70431</v>
      </c>
      <c r="M38" s="58">
        <f>IF(Aug.!L8="","",IF(Aug.!L8=L38,"",(Aug.!L8-L38)))</f>
        <v>48</v>
      </c>
      <c r="N38" s="59">
        <v>179210</v>
      </c>
      <c r="O38" s="58">
        <f>IF(Aug.!N8="","",IF(Aug.!N8=N38,"",(Aug.!N8-N38)))</f>
        <v>71</v>
      </c>
      <c r="P38" s="57">
        <v>194749</v>
      </c>
      <c r="Q38" s="58" t="str">
        <f>IF(Aug.!P8="","",IF(Aug.!P8=P38,"",(Aug.!P8-P38)))</f>
        <v/>
      </c>
      <c r="R38" s="57">
        <v>683</v>
      </c>
      <c r="S38" s="57">
        <v>690</v>
      </c>
      <c r="T38" s="57">
        <v>143</v>
      </c>
      <c r="U38" s="57">
        <v>140</v>
      </c>
      <c r="V38" s="58" t="str">
        <f t="shared" si="10"/>
        <v>ME</v>
      </c>
      <c r="W38" s="56">
        <v>31</v>
      </c>
      <c r="X38" s="63">
        <v>11902.65</v>
      </c>
      <c r="Y38" s="130">
        <f>IF(Aug.!X8="","",IF(Aug.!X8=X38,"",Aug.!X8-X38))</f>
        <v>5.5500000000010914</v>
      </c>
      <c r="Z38" s="63">
        <v>12672.7</v>
      </c>
      <c r="AA38" s="130">
        <f>IF(Aug.!Z8="","",IF(Aug.!Z8=Z38,"",Aug.!Z8-Z38))</f>
        <v>6.0799999999999272</v>
      </c>
      <c r="AB38" s="63">
        <v>9962.89</v>
      </c>
      <c r="AC38" s="130" t="str">
        <f>IF(Aug.!AB8="","",IF(Aug.!AB8=AB38,"",Aug.!AB8-AB38))</f>
        <v/>
      </c>
      <c r="AD38" s="63">
        <v>10105.290000000001</v>
      </c>
      <c r="AE38" s="130">
        <f>IF(Aug.!AD8="","",IF(Aug.!AD8=AD38,"",Aug.!AD8-AD38))</f>
        <v>6.6899999999986903</v>
      </c>
      <c r="AF38" s="125" t="str">
        <f t="shared" si="14"/>
        <v>ME</v>
      </c>
      <c r="AG38" s="56">
        <v>31</v>
      </c>
      <c r="AH38" s="63">
        <v>47566.21</v>
      </c>
      <c r="AI38" s="130">
        <f>IF(Aug.!AH8="","",IF(Aug.!AH8=AH38,"",Aug.!AH8-AH38))</f>
        <v>18.470000000001164</v>
      </c>
      <c r="AJ38" s="63">
        <v>49729.19</v>
      </c>
      <c r="AK38" s="130">
        <f>IF(Aug.!AJ8="","",IF(Aug.!AJ8=AJ38,"",Aug.!AJ8-AJ38))</f>
        <v>7.5499999999956344</v>
      </c>
      <c r="AL38" s="63">
        <v>588.69000000000005</v>
      </c>
      <c r="AM38" s="302">
        <f>IF(Aug.!AL8="","",IF(Aug.!AL8=AL38,"",Aug.!AL8-AL38))</f>
        <v>2.5399999999999636</v>
      </c>
      <c r="AN38" s="63">
        <v>549.77</v>
      </c>
      <c r="AO38" s="130">
        <f>IF(Aug.!AN8="","",IF(Aug.!AN8=AN38,"",Aug.!AN8-AN38))</f>
        <v>2.3300000000000409</v>
      </c>
      <c r="AP38" s="125" t="str">
        <f t="shared" si="18"/>
        <v>ME</v>
      </c>
      <c r="AQ38" s="56">
        <v>31</v>
      </c>
      <c r="AR38" s="63">
        <v>6852.53</v>
      </c>
      <c r="AS38" s="130">
        <f>IF(Aug.!AR8="","",IF(Aug.!AR8=AR38,"",Aug.!AR8-AR38))</f>
        <v>2.7400000000006912</v>
      </c>
      <c r="AT38" s="63">
        <v>7629.63</v>
      </c>
      <c r="AU38" s="130">
        <f>IF(Aug.!AT8="","",IF(Aug.!AT8=AT38,"",Aug.!AT8-AT38))</f>
        <v>3.2899999999999636</v>
      </c>
      <c r="AV38" s="63">
        <v>258.68</v>
      </c>
      <c r="AW38" s="130">
        <f>IF(Aug.!AV8="","",IF(Aug.!AV8=AV38,"",Aug.!AV8-AV38))</f>
        <v>0.33999999999997499</v>
      </c>
      <c r="AX38" s="63">
        <v>245.35</v>
      </c>
      <c r="AY38" s="130" t="str">
        <f>IF(Aug.!AX8="","",IF(Aug.!AX8=AX38,"",Aug.!AX8-AX38))</f>
        <v/>
      </c>
      <c r="AZ38" s="125" t="str">
        <f t="shared" si="22"/>
        <v>ME</v>
      </c>
      <c r="BA38" s="56">
        <v>31</v>
      </c>
      <c r="BB38" s="63"/>
      <c r="BC38" s="62"/>
      <c r="BD38" s="61"/>
      <c r="BE38" s="61"/>
      <c r="BF38" s="61"/>
      <c r="BG38" s="61"/>
      <c r="BH38" s="64"/>
      <c r="BI38" s="64"/>
      <c r="BJ38" s="64"/>
      <c r="BK38" s="64"/>
      <c r="BL38" s="64"/>
      <c r="BM38" s="64"/>
      <c r="BN38" s="65" t="str">
        <f t="shared" si="23"/>
        <v>ME</v>
      </c>
      <c r="BO38" s="56">
        <v>31</v>
      </c>
      <c r="BP38" s="64">
        <v>9.8000000000000004E-2</v>
      </c>
      <c r="BQ38" s="62"/>
      <c r="BR38" s="61"/>
      <c r="BS38" s="61"/>
      <c r="BT38" s="61"/>
      <c r="BU38" s="64"/>
      <c r="BV38" s="63">
        <v>1.17</v>
      </c>
      <c r="BW38" s="63">
        <v>0.97</v>
      </c>
      <c r="BX38" s="66" t="s">
        <v>343</v>
      </c>
      <c r="BY38" s="172" t="s">
        <v>246</v>
      </c>
      <c r="BZ38" s="67" t="str">
        <f t="shared" si="24"/>
        <v>ME</v>
      </c>
      <c r="CA38" s="56">
        <v>31</v>
      </c>
      <c r="CB38" s="61">
        <v>86.7</v>
      </c>
      <c r="CC38" s="61"/>
      <c r="CD38" s="68">
        <f>IF(Aug.!CB8="","",IF(CC38="",IF(CB38=Aug.!CB8,"",(CB38-Aug.!CB8)),IF(CC38=Aug.!CB8,"",(CC38-Aug.!CB8))))</f>
        <v>3.2999999999999972</v>
      </c>
      <c r="CE38" s="69">
        <f t="shared" si="26"/>
        <v>15.359074499999988</v>
      </c>
      <c r="CF38" s="69">
        <f t="shared" si="27"/>
        <v>6.5357763829787183</v>
      </c>
      <c r="CG38" s="62">
        <v>72</v>
      </c>
      <c r="CH38" s="62">
        <v>100</v>
      </c>
      <c r="CI38" s="65" t="str">
        <f t="shared" si="28"/>
        <v>ME</v>
      </c>
      <c r="CJ38" s="56">
        <v>31</v>
      </c>
      <c r="CK38" s="61">
        <v>96.5</v>
      </c>
      <c r="CL38" s="61"/>
      <c r="CM38" s="68">
        <f>IF(Aug.!CK8="","",IF(CL38="",IF(CK38=Aug.!CK8,"",(CK38-Aug.!CK8)),IF(CL38=Aug.!CK8,"",(CL38-Aug.!CK8))))</f>
        <v>5.5999999999999943</v>
      </c>
      <c r="CN38" s="68">
        <f t="shared" si="30"/>
        <v>26.063883999999977</v>
      </c>
      <c r="CO38" s="68">
        <f t="shared" si="31"/>
        <v>23.555235164999985</v>
      </c>
      <c r="CP38" s="62">
        <v>51</v>
      </c>
      <c r="CQ38" s="62">
        <v>83</v>
      </c>
      <c r="CR38" s="65" t="str">
        <f t="shared" si="32"/>
        <v>ME</v>
      </c>
      <c r="CS38" s="56">
        <v>31</v>
      </c>
      <c r="CT38" s="61">
        <v>93.6</v>
      </c>
      <c r="CU38" s="61"/>
      <c r="CV38" s="68">
        <f>IF(Aug.!CT8="","",IF(CU38="",IF(CT38=Aug.!CT8,"",(CT38-Aug.!CT8)),IF(CU38=Aug.!CT8,"",(CU38-Aug.!CT8))))</f>
        <v>4.7999999999999972</v>
      </c>
      <c r="CW38" s="68">
        <f t="shared" si="34"/>
        <v>31.892351999999981</v>
      </c>
      <c r="CX38" s="69">
        <f t="shared" si="35"/>
        <v>7.2482618181818143E-2</v>
      </c>
      <c r="CY38" s="66" t="s">
        <v>240</v>
      </c>
      <c r="CZ38" s="66" t="s">
        <v>241</v>
      </c>
      <c r="DA38" s="66"/>
      <c r="DB38" s="65" t="str">
        <f t="shared" si="36"/>
        <v>ME</v>
      </c>
      <c r="DC38" s="56">
        <v>31</v>
      </c>
      <c r="DD38" s="61">
        <v>73.2</v>
      </c>
      <c r="DE38" s="61">
        <v>104.3</v>
      </c>
      <c r="DF38" s="68">
        <f>IF(Aug.!DD8="","",IF(DE38="",IF(DD38=Aug.!DD8,"",(DD38-Aug.!DD8)),IF(DE38=Aug.!DD8,"",(DE38-Aug.!DD8))))</f>
        <v>38.5</v>
      </c>
      <c r="DG38" s="69">
        <f t="shared" si="38"/>
        <v>2.0771223088000004</v>
      </c>
      <c r="DH38" s="68">
        <f t="shared" si="39"/>
        <v>4.7207325200000003</v>
      </c>
      <c r="DI38" s="62">
        <v>90</v>
      </c>
      <c r="DJ38" s="62">
        <v>54</v>
      </c>
      <c r="DK38" s="65" t="str">
        <f t="shared" si="40"/>
        <v>ME</v>
      </c>
      <c r="DL38" s="56">
        <v>31</v>
      </c>
      <c r="DM38" s="63">
        <v>8.59</v>
      </c>
      <c r="DN38" s="64">
        <v>3.5000000000000003E-2</v>
      </c>
      <c r="DO38" s="64">
        <v>3.3000000000000002E-2</v>
      </c>
      <c r="DP38" s="64">
        <v>7.5999999999999998E-2</v>
      </c>
      <c r="DQ38" s="63">
        <v>6.93</v>
      </c>
      <c r="DR38" s="61">
        <v>21.1</v>
      </c>
      <c r="DS38" s="64">
        <v>1.171</v>
      </c>
      <c r="DT38" s="61">
        <v>86.9</v>
      </c>
      <c r="DU38" s="63">
        <v>4.25</v>
      </c>
      <c r="DV38" s="64">
        <v>0.98299999999999998</v>
      </c>
      <c r="DW38" s="64">
        <v>1.78</v>
      </c>
      <c r="DX38" s="66" t="s">
        <v>242</v>
      </c>
      <c r="DY38" s="65" t="str">
        <f t="shared" si="41"/>
        <v>ME</v>
      </c>
      <c r="DZ38" s="128">
        <v>31</v>
      </c>
      <c r="EA38" s="173">
        <f t="shared" si="42"/>
        <v>0.29411764705882354</v>
      </c>
      <c r="EB38" s="173">
        <f t="shared" si="43"/>
        <v>0.23308823529411765</v>
      </c>
      <c r="EC38" s="173">
        <f t="shared" si="44"/>
        <v>0.64090909090909087</v>
      </c>
      <c r="ED38" s="63">
        <v>0.93</v>
      </c>
      <c r="EE38" s="63">
        <v>1.17</v>
      </c>
      <c r="EF38" s="63">
        <v>0.05</v>
      </c>
      <c r="EG38" s="63">
        <v>0.1</v>
      </c>
      <c r="EH38" s="127" t="str">
        <f t="shared" si="5"/>
        <v>ME</v>
      </c>
      <c r="EI38" s="56">
        <v>31</v>
      </c>
      <c r="EJ38" s="334" t="s">
        <v>404</v>
      </c>
      <c r="EK38" s="334"/>
      <c r="EL38" s="334"/>
      <c r="EM38" s="334"/>
      <c r="EN38" s="334"/>
      <c r="EO38" s="334"/>
      <c r="EP38" s="334"/>
      <c r="EQ38" s="65" t="str">
        <f t="shared" si="45"/>
        <v>ME</v>
      </c>
      <c r="ER38" s="20"/>
      <c r="ES38" s="20"/>
      <c r="ET38" s="20"/>
      <c r="EU38" s="20"/>
      <c r="EV38" s="20"/>
      <c r="EW38" s="20"/>
      <c r="EX38" s="20"/>
    </row>
    <row r="39" spans="1:154" s="3" customFormat="1" ht="18.649999999999999" customHeight="1" thickBot="1" x14ac:dyDescent="0.4">
      <c r="A39" s="73"/>
      <c r="B39" s="74"/>
      <c r="C39" s="74"/>
      <c r="D39" s="75"/>
      <c r="E39" s="74"/>
      <c r="F39" s="74"/>
      <c r="G39" s="75"/>
      <c r="H39" s="74"/>
      <c r="I39" s="74"/>
      <c r="J39" s="73"/>
      <c r="K39" s="73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3"/>
      <c r="W39" s="73"/>
      <c r="X39" s="75"/>
      <c r="Y39" s="75"/>
      <c r="Z39" s="75"/>
      <c r="AA39" s="75"/>
      <c r="AB39" s="75"/>
      <c r="AC39" s="75"/>
      <c r="AD39" s="75"/>
      <c r="AE39" s="75"/>
      <c r="AF39" s="73"/>
      <c r="AG39" s="73"/>
      <c r="AH39" s="75"/>
      <c r="AI39" s="75"/>
      <c r="AJ39" s="75"/>
      <c r="AK39" s="75"/>
      <c r="AL39" s="75"/>
      <c r="AM39" s="75"/>
      <c r="AN39" s="75"/>
      <c r="AO39" s="75"/>
      <c r="AP39" s="73"/>
      <c r="AQ39" s="73"/>
      <c r="AR39" s="75"/>
      <c r="AS39" s="75"/>
      <c r="AT39" s="75"/>
      <c r="AU39" s="75"/>
      <c r="AV39" s="75"/>
      <c r="AW39" s="75"/>
      <c r="AX39" s="75"/>
      <c r="AY39" s="75"/>
      <c r="AZ39" s="73"/>
      <c r="BA39" s="73"/>
      <c r="BB39" s="75"/>
      <c r="BC39" s="74"/>
      <c r="BD39" s="73"/>
      <c r="BE39" s="73"/>
      <c r="BF39" s="73"/>
      <c r="BG39" s="73"/>
      <c r="BH39" s="124"/>
      <c r="BI39" s="124"/>
      <c r="BJ39" s="124"/>
      <c r="BK39" s="124"/>
      <c r="BL39" s="124"/>
      <c r="BM39" s="124"/>
      <c r="BN39" s="73"/>
      <c r="BO39" s="73"/>
      <c r="BP39" s="124"/>
      <c r="BQ39" s="74"/>
      <c r="BR39" s="73"/>
      <c r="BS39" s="73"/>
      <c r="BT39" s="73"/>
      <c r="BU39" s="124"/>
      <c r="BV39" s="75"/>
      <c r="BW39" s="75"/>
      <c r="BX39" s="73"/>
      <c r="BY39" s="73"/>
      <c r="BZ39" s="73"/>
      <c r="CA39" s="73"/>
      <c r="CB39" s="73"/>
      <c r="CC39" s="73"/>
      <c r="CD39" s="73"/>
      <c r="CE39" s="75"/>
      <c r="CF39" s="75"/>
      <c r="CG39" s="74"/>
      <c r="CH39" s="74"/>
      <c r="CI39" s="73"/>
      <c r="CJ39" s="73"/>
      <c r="CK39" s="73"/>
      <c r="CL39" s="73"/>
      <c r="CM39" s="73"/>
      <c r="CN39" s="73"/>
      <c r="CO39" s="73"/>
      <c r="CP39" s="74"/>
      <c r="CQ39" s="74"/>
      <c r="CR39" s="73"/>
      <c r="CS39" s="73"/>
      <c r="CT39" s="73"/>
      <c r="CU39" s="73"/>
      <c r="CV39" s="73"/>
      <c r="CW39" s="73"/>
      <c r="CX39" s="75"/>
      <c r="CY39" s="74"/>
      <c r="CZ39" s="74"/>
      <c r="DA39" s="74"/>
      <c r="DB39" s="73"/>
      <c r="DC39" s="73"/>
      <c r="DD39" s="73"/>
      <c r="DE39" s="73"/>
      <c r="DF39" s="73"/>
      <c r="DG39" s="75"/>
      <c r="DH39" s="73"/>
      <c r="DI39" s="74"/>
      <c r="DJ39" s="74"/>
      <c r="DK39" s="73"/>
      <c r="DL39" s="73"/>
      <c r="DM39" s="75"/>
      <c r="DN39" s="124"/>
      <c r="DO39" s="124"/>
      <c r="DP39" s="124"/>
      <c r="DQ39" s="75"/>
      <c r="DR39" s="73"/>
      <c r="DS39" s="124"/>
      <c r="DT39" s="73"/>
      <c r="DU39" s="75"/>
      <c r="DV39" s="124"/>
      <c r="DW39" s="124"/>
      <c r="DX39" s="124"/>
      <c r="DY39" s="73"/>
      <c r="DZ39" s="195" t="s">
        <v>199</v>
      </c>
      <c r="EA39" s="198">
        <f>IF(COUNT(EA7:EA37)=0,"",AVERAGE(EA7:EA37))*100</f>
        <v>14.338235294117652</v>
      </c>
      <c r="EB39" s="199">
        <f>IF(COUNT(EB7:EB37)=0,"",AVERAGE(EB7:EB37))*100</f>
        <v>15.835784313725492</v>
      </c>
      <c r="EC39" s="200">
        <f>IF(COUNT(EC7:EC37)=0,"",AVERAGE(EC7:EC37))*100</f>
        <v>82.198720250414041</v>
      </c>
      <c r="ED39" s="259" t="s">
        <v>206</v>
      </c>
      <c r="EE39" s="75"/>
      <c r="EF39" s="75"/>
      <c r="EG39" s="75"/>
      <c r="EH39" s="73"/>
      <c r="EI39" s="73"/>
      <c r="EJ39" s="351"/>
      <c r="EK39" s="351"/>
      <c r="EL39" s="351"/>
      <c r="EM39" s="351"/>
      <c r="EN39" s="351"/>
      <c r="EO39" s="351"/>
      <c r="EP39" s="351"/>
      <c r="EQ39" s="73"/>
      <c r="ER39" s="20"/>
      <c r="ES39" s="20"/>
      <c r="ET39" s="20"/>
      <c r="EU39" s="20"/>
      <c r="EV39" s="20"/>
      <c r="EW39" s="20"/>
      <c r="EX39" s="20"/>
    </row>
    <row r="40" spans="1:154" s="3" customFormat="1" ht="18.649999999999999" customHeight="1" x14ac:dyDescent="0.35">
      <c r="A40" s="56" t="s">
        <v>2</v>
      </c>
      <c r="B40" s="77"/>
      <c r="C40" s="78">
        <f>IF(COUNT(C8:C38)=0,"",SUM(C8:C38))</f>
        <v>6875</v>
      </c>
      <c r="D40" s="75"/>
      <c r="E40" s="74"/>
      <c r="F40" s="78">
        <f>IF(COUNT(F8:F38)=0,"",SUM(F8:F38))</f>
        <v>6778</v>
      </c>
      <c r="G40" s="81"/>
      <c r="H40" s="74"/>
      <c r="I40" s="78">
        <f>IF(COUNT(I8:I38)=0,"",SUM(I8:I38))</f>
        <v>5496</v>
      </c>
      <c r="J40" s="79"/>
      <c r="K40" s="56" t="s">
        <v>2</v>
      </c>
      <c r="L40" s="77"/>
      <c r="M40" s="78">
        <f>IF(COUNT(M8:M38)=0,"",SUM(M8:M38))</f>
        <v>498</v>
      </c>
      <c r="N40" s="74"/>
      <c r="O40" s="78">
        <f>IF(COUNT(O8:O38)=0,"",SUM(O8:O38))</f>
        <v>1435</v>
      </c>
      <c r="P40" s="74"/>
      <c r="Q40" s="78" t="str">
        <f>IF(COUNT(Q8:Q38)=0,"",SUM(Q8:Q38))</f>
        <v/>
      </c>
      <c r="R40" s="77"/>
      <c r="S40" s="77"/>
      <c r="T40" s="77"/>
      <c r="U40" s="77"/>
      <c r="V40" s="79"/>
      <c r="W40" s="56" t="s">
        <v>2</v>
      </c>
      <c r="X40" s="81"/>
      <c r="Y40" s="82">
        <f>IF(COUNT(Y8:Y38)=0,"",SUM(Y8:Y38))</f>
        <v>98.280000000000655</v>
      </c>
      <c r="Z40" s="75"/>
      <c r="AA40" s="82">
        <f>IF(COUNT(AA8:AA38)=0,"",SUM(AA8:AA38))</f>
        <v>103.70000000000226</v>
      </c>
      <c r="AB40" s="75"/>
      <c r="AC40" s="82">
        <f>IF(COUNT(AC8:AC38)=0,"",SUM(AC8:AC38))</f>
        <v>46.619999999998981</v>
      </c>
      <c r="AD40" s="75"/>
      <c r="AE40" s="82">
        <f>IF(COUNT(AE8:AE38)=0,"",SUM(AE8:AE38))</f>
        <v>98.930000000000291</v>
      </c>
      <c r="AF40" s="79"/>
      <c r="AG40" s="56" t="s">
        <v>2</v>
      </c>
      <c r="AH40" s="81"/>
      <c r="AI40" s="82">
        <f>IF(COUNT(AI8:AI38)=0,"",SUM(AI8:AI38))</f>
        <v>373.93000000000029</v>
      </c>
      <c r="AJ40" s="75"/>
      <c r="AK40" s="82">
        <f>IF(COUNT(AK8:AK38)=0,"",SUM(AK8:AK38))</f>
        <v>370.54000000000087</v>
      </c>
      <c r="AL40" s="75"/>
      <c r="AM40" s="82">
        <f>IF(COUNT(AM8:AM38)=0,"",SUM(AM8:AM38))</f>
        <v>4.1299999999999955</v>
      </c>
      <c r="AN40" s="75"/>
      <c r="AO40" s="82">
        <f>IF(COUNT(AO8:AO38)=0,"",SUM(AO8:AO38))</f>
        <v>3.5299999999999727</v>
      </c>
      <c r="AP40" s="79"/>
      <c r="AQ40" s="56" t="s">
        <v>2</v>
      </c>
      <c r="AR40" s="81"/>
      <c r="AS40" s="82">
        <f>IF(COUNT(AS8:AS38)=0,"",SUM(AS8:AS38))</f>
        <v>57.220000000000255</v>
      </c>
      <c r="AT40" s="75"/>
      <c r="AU40" s="82">
        <f>IF(COUNT(AU8:AU38)=0,"",SUM(AU8:AU38))</f>
        <v>68.430000000000291</v>
      </c>
      <c r="AV40" s="75"/>
      <c r="AW40" s="82">
        <f>IF(COUNT(AW8:AW38)=0,"",SUM(AW8:AW38))</f>
        <v>2.4599999999999795</v>
      </c>
      <c r="AX40" s="75"/>
      <c r="AY40" s="82">
        <f>IF(COUNT(AY8:AY38)=0,"",SUM(AY8:AY38))</f>
        <v>1.1099999999999852</v>
      </c>
      <c r="AZ40" s="79"/>
      <c r="BA40" s="264" t="s">
        <v>2</v>
      </c>
      <c r="BB40" s="265">
        <f>COUNTA(BB8:BB38)</f>
        <v>18</v>
      </c>
      <c r="BC40" s="265">
        <f t="shared" ref="BC40:BM40" si="46">COUNTA(BC8:BC38)</f>
        <v>18</v>
      </c>
      <c r="BD40" s="265">
        <f t="shared" si="46"/>
        <v>18</v>
      </c>
      <c r="BE40" s="265">
        <f t="shared" si="46"/>
        <v>18</v>
      </c>
      <c r="BF40" s="265">
        <f t="shared" si="46"/>
        <v>18</v>
      </c>
      <c r="BG40" s="265">
        <f t="shared" si="46"/>
        <v>18</v>
      </c>
      <c r="BH40" s="265">
        <f t="shared" si="46"/>
        <v>18</v>
      </c>
      <c r="BI40" s="265">
        <f t="shared" si="46"/>
        <v>18</v>
      </c>
      <c r="BJ40" s="265">
        <f t="shared" si="46"/>
        <v>18</v>
      </c>
      <c r="BK40" s="265">
        <f t="shared" si="46"/>
        <v>18</v>
      </c>
      <c r="BL40" s="265">
        <f t="shared" si="46"/>
        <v>18</v>
      </c>
      <c r="BM40" s="265">
        <f t="shared" si="46"/>
        <v>18</v>
      </c>
      <c r="BN40" s="266" t="s">
        <v>208</v>
      </c>
      <c r="BO40" s="264" t="s">
        <v>2</v>
      </c>
      <c r="BP40" s="265">
        <f t="shared" ref="BP40:BW40" si="47">COUNTA(BP8:BP38)</f>
        <v>31</v>
      </c>
      <c r="BQ40" s="265">
        <f t="shared" si="47"/>
        <v>24</v>
      </c>
      <c r="BR40" s="265">
        <f t="shared" si="47"/>
        <v>24</v>
      </c>
      <c r="BS40" s="265">
        <f t="shared" si="47"/>
        <v>24</v>
      </c>
      <c r="BT40" s="265">
        <f t="shared" si="47"/>
        <v>24</v>
      </c>
      <c r="BU40" s="265">
        <f t="shared" si="47"/>
        <v>24</v>
      </c>
      <c r="BV40" s="265">
        <f t="shared" si="47"/>
        <v>31</v>
      </c>
      <c r="BW40" s="265">
        <f t="shared" si="47"/>
        <v>31</v>
      </c>
      <c r="BX40" s="267" t="s">
        <v>208</v>
      </c>
      <c r="BY40" s="83"/>
      <c r="BZ40" s="73"/>
      <c r="CA40" s="56" t="s">
        <v>2</v>
      </c>
      <c r="CB40" s="73"/>
      <c r="CC40" s="73"/>
      <c r="CD40" s="80">
        <f>IF(COUNT(CD8:CD38)=0,"",SUM(CD8:CD38))</f>
        <v>56.699999999999989</v>
      </c>
      <c r="CE40" s="82">
        <f>IF(COUNT(CE8:CE38)=0,"",SUM(CE8:CE38))</f>
        <v>263.89682549999992</v>
      </c>
      <c r="CF40" s="75"/>
      <c r="CG40" s="74"/>
      <c r="CH40" s="74"/>
      <c r="CI40" s="73"/>
      <c r="CJ40" s="56" t="s">
        <v>2</v>
      </c>
      <c r="CK40" s="73"/>
      <c r="CL40" s="73"/>
      <c r="CM40" s="80">
        <f>IF(COUNT(CM8:CM38)=0,"",SUM(CM8:CM38))</f>
        <v>84</v>
      </c>
      <c r="CN40" s="80">
        <f>IF(COUNT(CN8:CN38)=0,"",SUM(CN8:CN38))</f>
        <v>390.95826000000005</v>
      </c>
      <c r="CO40" s="73"/>
      <c r="CP40" s="74"/>
      <c r="CQ40" s="74"/>
      <c r="CR40" s="73"/>
      <c r="CS40" s="56" t="s">
        <v>2</v>
      </c>
      <c r="CT40" s="73"/>
      <c r="CU40" s="73"/>
      <c r="CV40" s="80">
        <f>IF(COUNT(CV8:CV38)=0,"",SUM(CV8:CV38))</f>
        <v>72.199999999999989</v>
      </c>
      <c r="CW40" s="80">
        <f>IF(COUNT(CW8:CW38)=0,"",SUM(CW8:CW38))</f>
        <v>479.71412799999979</v>
      </c>
      <c r="CX40" s="75"/>
      <c r="CY40" s="74"/>
      <c r="CZ40" s="74"/>
      <c r="DA40" s="74"/>
      <c r="DB40" s="73"/>
      <c r="DC40" s="56" t="s">
        <v>2</v>
      </c>
      <c r="DD40" s="73"/>
      <c r="DE40" s="73"/>
      <c r="DF40" s="80">
        <f>IF(COUNT(DF8:DF38)=0,"",SUM(DF8:DF38))</f>
        <v>595.49999999999989</v>
      </c>
      <c r="DG40" s="82">
        <f>IF(COUNT(DG8:DG38)=0,"",SUM(DG8:DG38))</f>
        <v>32.127956750400003</v>
      </c>
      <c r="DH40" s="73"/>
      <c r="DI40" s="74"/>
      <c r="DJ40" s="74"/>
      <c r="DK40" s="73"/>
      <c r="DL40" s="56" t="s">
        <v>2</v>
      </c>
      <c r="DM40" s="75"/>
      <c r="DN40" s="124"/>
      <c r="DO40" s="124"/>
      <c r="DP40" s="124"/>
      <c r="DQ40" s="75"/>
      <c r="DR40" s="73"/>
      <c r="DS40" s="124"/>
      <c r="DT40" s="73"/>
      <c r="DU40" s="75"/>
      <c r="DV40" s="124"/>
      <c r="DW40" s="124"/>
      <c r="DX40" s="124"/>
      <c r="DY40" s="73"/>
      <c r="DZ40" s="84" t="s">
        <v>27</v>
      </c>
      <c r="EA40" s="82">
        <f>IF(COUNT(EA8:EA38)=0,"",MIN(EA8:EA38))*100</f>
        <v>5.0802139037433154</v>
      </c>
      <c r="EB40" s="82">
        <f>IF(COUNT(EB8:EB38)=0,"",MIN(EB8:EB38))*100</f>
        <v>11.25</v>
      </c>
      <c r="EC40" s="82">
        <f>IF(COUNT(EC8:EC38)=0,"",MIN(EC8:EC38))*100</f>
        <v>59.230769230769234</v>
      </c>
      <c r="ED40" s="259">
        <f>IF(COUNT(ED8:ED38)=0,"",MIN(ED8:ED38))</f>
        <v>0</v>
      </c>
      <c r="EE40" s="75"/>
      <c r="EF40" s="75"/>
      <c r="EG40" s="75"/>
      <c r="EH40" s="73"/>
      <c r="EI40" s="73"/>
      <c r="EJ40" s="351"/>
      <c r="EK40" s="351"/>
      <c r="EL40" s="351"/>
      <c r="EM40" s="351"/>
      <c r="EN40" s="351"/>
      <c r="EO40" s="351"/>
      <c r="EP40" s="351"/>
      <c r="EQ40" s="73"/>
      <c r="ER40" s="20"/>
      <c r="ES40" s="20"/>
      <c r="ET40" s="20"/>
      <c r="EU40" s="20"/>
      <c r="EV40" s="20"/>
      <c r="EW40" s="20"/>
      <c r="EX40" s="20"/>
    </row>
    <row r="41" spans="1:154" s="3" customFormat="1" ht="18" customHeight="1" x14ac:dyDescent="0.35">
      <c r="A41" s="56" t="s">
        <v>7</v>
      </c>
      <c r="B41" s="77"/>
      <c r="C41" s="78">
        <f>IF(COUNT(C8:C38)=0,"",AVERAGE(C8:C38))</f>
        <v>221.7741935483871</v>
      </c>
      <c r="D41" s="75"/>
      <c r="E41" s="74"/>
      <c r="F41" s="78">
        <f>IF(COUNT(F8:F38)=0,"",AVERAGE(F8:F38))</f>
        <v>218.64516129032259</v>
      </c>
      <c r="G41" s="81"/>
      <c r="H41" s="74"/>
      <c r="I41" s="78">
        <f>IF(COUNT(I8:I38)=0,"",AVERAGE(I8:I38))</f>
        <v>177.29032258064515</v>
      </c>
      <c r="J41" s="79"/>
      <c r="K41" s="56" t="s">
        <v>7</v>
      </c>
      <c r="L41" s="77"/>
      <c r="M41" s="78">
        <f>IF(COUNT(M8:M38)=0,"",AVERAGE(M8:M38))</f>
        <v>41.5</v>
      </c>
      <c r="N41" s="74"/>
      <c r="O41" s="78">
        <f>IF(COUNT(O8:O38)=0,"",AVERAGE(O8:O38))</f>
        <v>46.29032258064516</v>
      </c>
      <c r="P41" s="74"/>
      <c r="Q41" s="78" t="str">
        <f>IF(COUNT(Q8:Q38)=0,"",AVERAGE(Q8:Q38))</f>
        <v/>
      </c>
      <c r="R41" s="77"/>
      <c r="S41" s="77"/>
      <c r="T41" s="77"/>
      <c r="U41" s="77"/>
      <c r="V41" s="79"/>
      <c r="W41" s="56" t="s">
        <v>7</v>
      </c>
      <c r="X41" s="75"/>
      <c r="Y41" s="75"/>
      <c r="Z41" s="75"/>
      <c r="AA41" s="75"/>
      <c r="AB41" s="75"/>
      <c r="AC41" s="75"/>
      <c r="AD41" s="75"/>
      <c r="AE41" s="75"/>
      <c r="AF41" s="79"/>
      <c r="AG41" s="56" t="s">
        <v>7</v>
      </c>
      <c r="AH41" s="75"/>
      <c r="AI41" s="75"/>
      <c r="AJ41" s="75"/>
      <c r="AK41" s="75"/>
      <c r="AL41" s="75"/>
      <c r="AM41" s="75"/>
      <c r="AN41" s="75"/>
      <c r="AO41" s="75"/>
      <c r="AP41" s="79"/>
      <c r="AQ41" s="56" t="s">
        <v>7</v>
      </c>
      <c r="AR41" s="75"/>
      <c r="AS41" s="75"/>
      <c r="AT41" s="75"/>
      <c r="AU41" s="75"/>
      <c r="AV41" s="75"/>
      <c r="AW41" s="75"/>
      <c r="AX41" s="75"/>
      <c r="AY41" s="75"/>
      <c r="AZ41" s="79"/>
      <c r="BA41" s="56" t="s">
        <v>7</v>
      </c>
      <c r="BB41" s="82">
        <f>IF(COUNT(BB8:BB38)=0,"",AVERAGE(BB8:BB38))</f>
        <v>1.4388888888888889</v>
      </c>
      <c r="BC41" s="78">
        <f t="shared" ref="BC41:BM41" si="48">IF(COUNT(BC8:BC38)=0,"",AVERAGE(BC8:BC38))</f>
        <v>36.722222222222221</v>
      </c>
      <c r="BD41" s="80">
        <f t="shared" si="48"/>
        <v>7.0277777777777786</v>
      </c>
      <c r="BE41" s="80">
        <f t="shared" si="48"/>
        <v>19.444444444444443</v>
      </c>
      <c r="BF41" s="80">
        <f t="shared" si="48"/>
        <v>16.350000000000001</v>
      </c>
      <c r="BG41" s="80">
        <f t="shared" si="48"/>
        <v>7.0277777777777786</v>
      </c>
      <c r="BH41" s="84">
        <f t="shared" si="48"/>
        <v>0.1721111111111111</v>
      </c>
      <c r="BI41" s="84">
        <f t="shared" si="48"/>
        <v>0.17166666666666663</v>
      </c>
      <c r="BJ41" s="84">
        <f t="shared" si="48"/>
        <v>6.933333333333333E-2</v>
      </c>
      <c r="BK41" s="84">
        <f t="shared" si="48"/>
        <v>6.4000000000000001E-2</v>
      </c>
      <c r="BL41" s="84">
        <f t="shared" si="48"/>
        <v>6.3833333333333353E-2</v>
      </c>
      <c r="BM41" s="84">
        <f t="shared" si="48"/>
        <v>5.9388888888888887E-2</v>
      </c>
      <c r="BN41" s="73"/>
      <c r="BO41" s="56" t="s">
        <v>7</v>
      </c>
      <c r="BP41" s="84">
        <f>IF(COUNT(BP8:BP38)=0,"",AVERAGE(BP8:BP38))</f>
        <v>0.12887096774193552</v>
      </c>
      <c r="BQ41" s="78">
        <f t="shared" ref="BQ41:BW41" si="49">IF(COUNT(BQ8:BQ38)=0,"",AVERAGE(BQ8:BQ38))</f>
        <v>0</v>
      </c>
      <c r="BR41" s="80">
        <f t="shared" si="49"/>
        <v>7.142083333333332</v>
      </c>
      <c r="BS41" s="80">
        <f t="shared" si="49"/>
        <v>19.129166666666666</v>
      </c>
      <c r="BT41" s="80">
        <f t="shared" si="49"/>
        <v>18.556521739130432</v>
      </c>
      <c r="BU41" s="84">
        <f t="shared" si="49"/>
        <v>1.4375000000000006E-2</v>
      </c>
      <c r="BV41" s="82">
        <f t="shared" si="49"/>
        <v>1.1287096774193546</v>
      </c>
      <c r="BW41" s="82">
        <f t="shared" si="49"/>
        <v>0.9074193548387095</v>
      </c>
      <c r="BX41" s="75"/>
      <c r="BY41" s="83"/>
      <c r="BZ41" s="73"/>
      <c r="CA41" s="56" t="s">
        <v>7</v>
      </c>
      <c r="CB41" s="73"/>
      <c r="CC41" s="73"/>
      <c r="CD41" s="80">
        <f>IF(COUNT(CD8:CD38)=0,"",AVERAGE(CD8:CD38))</f>
        <v>1.8290322580645157</v>
      </c>
      <c r="CE41" s="82">
        <f>IF(COUNT(CE8:CE38)=0,"",AVERAGE(CE8:CE38))</f>
        <v>8.5128008225806422</v>
      </c>
      <c r="CF41" s="82">
        <f>IF(COUNT(CF8:CF38)=0,"",AVERAGE(CF8:CF38))</f>
        <v>5.8062774199189384</v>
      </c>
      <c r="CG41" s="74"/>
      <c r="CH41" s="74"/>
      <c r="CI41" s="73"/>
      <c r="CJ41" s="56" t="s">
        <v>7</v>
      </c>
      <c r="CK41" s="73"/>
      <c r="CL41" s="73"/>
      <c r="CM41" s="80">
        <f>IF(COUNT(CM8:CM38)=0,"",AVERAGE(CM8:CM38))</f>
        <v>2.7096774193548385</v>
      </c>
      <c r="CN41" s="80">
        <f>IF(COUNT(CN8:CN38)=0,"",AVERAGE(CN8:CN38))</f>
        <v>12.61155677419355</v>
      </c>
      <c r="CO41" s="80">
        <f>IF(COUNT(CO8:CO38)=0,"",AVERAGE(CO8:CO38))</f>
        <v>22.547797968014756</v>
      </c>
      <c r="CP41" s="74"/>
      <c r="CQ41" s="74"/>
      <c r="CR41" s="73"/>
      <c r="CS41" s="56" t="s">
        <v>7</v>
      </c>
      <c r="CT41" s="73"/>
      <c r="CU41" s="73"/>
      <c r="CV41" s="80">
        <f>IF(COUNT(CV8:CV38)=0,"",AVERAGE(CV8:CV38))</f>
        <v>2.3290322580645157</v>
      </c>
      <c r="CW41" s="80">
        <f>IF(COUNT(CW8:CW38)=0,"",AVERAGE(CW8:CW38))</f>
        <v>15.474649290322574</v>
      </c>
      <c r="CX41" s="82">
        <f>IF(COUNT(CX8:CX38)=0,"",AVERAGE(CX8:CX38))</f>
        <v>6.9672609245011535E-2</v>
      </c>
      <c r="CY41" s="74"/>
      <c r="CZ41" s="74"/>
      <c r="DA41" s="74"/>
      <c r="DB41" s="73"/>
      <c r="DC41" s="56" t="s">
        <v>7</v>
      </c>
      <c r="DD41" s="73"/>
      <c r="DE41" s="73"/>
      <c r="DF41" s="80">
        <f>IF(COUNT(DF8:DF38)=0,"",AVERAGE(DF8:DF38))</f>
        <v>19.209677419354836</v>
      </c>
      <c r="DG41" s="82">
        <f>IF(COUNT(DG8:DG38)=0,"",AVERAGE(DG8:DG38))</f>
        <v>1.0363857016258065</v>
      </c>
      <c r="DH41" s="80">
        <f>IF(COUNT(DH8:DH38)=0,"",AVERAGE(DH8:DH38))</f>
        <v>4.6900854133027305</v>
      </c>
      <c r="DI41" s="74"/>
      <c r="DJ41" s="74"/>
      <c r="DK41" s="73"/>
      <c r="DL41" s="56" t="s">
        <v>7</v>
      </c>
      <c r="DM41" s="82">
        <f t="shared" ref="DM41:DW41" si="50">IF(COUNT(DM8:DM38)=0,"",AVERAGE(DM8:DM38))</f>
        <v>8.0806451612903238</v>
      </c>
      <c r="DN41" s="84">
        <f t="shared" si="50"/>
        <v>3.3774193548387108E-2</v>
      </c>
      <c r="DO41" s="84">
        <f t="shared" si="50"/>
        <v>3.2838709677419371E-2</v>
      </c>
      <c r="DP41" s="84">
        <f t="shared" si="50"/>
        <v>7.6258064516129043E-2</v>
      </c>
      <c r="DQ41" s="82">
        <f t="shared" si="50"/>
        <v>6.9429032258064511</v>
      </c>
      <c r="DR41" s="80">
        <f t="shared" si="50"/>
        <v>19.067741935483873</v>
      </c>
      <c r="DS41" s="84">
        <f t="shared" si="50"/>
        <v>1.1413870967741935</v>
      </c>
      <c r="DT41" s="80">
        <f t="shared" si="50"/>
        <v>85.322580645161295</v>
      </c>
      <c r="DU41" s="82">
        <f t="shared" si="50"/>
        <v>4.219032258064515</v>
      </c>
      <c r="DV41" s="84">
        <f t="shared" si="50"/>
        <v>1.1626451612903226</v>
      </c>
      <c r="DW41" s="84">
        <f t="shared" si="50"/>
        <v>1.3366129032258069</v>
      </c>
      <c r="DX41" s="124"/>
      <c r="DY41" s="73"/>
      <c r="DZ41" s="84" t="s">
        <v>28</v>
      </c>
      <c r="EA41" s="82">
        <f>IF(COUNT(EA8:EA38)=0,"",MAX(EA8:EA38))*100</f>
        <v>29.411764705882355</v>
      </c>
      <c r="EB41" s="82">
        <f>IF(COUNT(EB8:EB38)=0,"",MAX(EB8:EB38))*100</f>
        <v>23.308823529411764</v>
      </c>
      <c r="EC41" s="82">
        <f>IF(COUNT(EC8:EC38)=0,"",MAX(EC8:EC38))*100</f>
        <v>95.714285714285722</v>
      </c>
      <c r="ED41" s="75"/>
      <c r="EE41" s="82">
        <f>IF(COUNT(EE8:EE38)=0,"",MAX(EE8:EE38))</f>
        <v>5.63</v>
      </c>
      <c r="EF41" s="82">
        <f>IF(COUNT(EF8:EF38)=0,"",MAX(EF8:EF38))</f>
        <v>0.06</v>
      </c>
      <c r="EG41" s="82">
        <f>IF(COUNT(EG8:EG38)=0,"",MAX(EG8:EG38))</f>
        <v>0.11</v>
      </c>
      <c r="EH41" s="73"/>
      <c r="EI41" s="73"/>
      <c r="EJ41" s="351"/>
      <c r="EK41" s="351"/>
      <c r="EL41" s="351"/>
      <c r="EM41" s="351"/>
      <c r="EN41" s="351"/>
      <c r="EO41" s="351"/>
      <c r="EP41" s="351"/>
      <c r="EQ41" s="73"/>
      <c r="ER41" s="20"/>
      <c r="ES41" s="20"/>
      <c r="ET41" s="20"/>
      <c r="EU41" s="20"/>
      <c r="EV41" s="20"/>
      <c r="EW41" s="20"/>
      <c r="EX41" s="20"/>
    </row>
    <row r="42" spans="1:154" ht="25.5" customHeight="1" x14ac:dyDescent="0.5">
      <c r="A42" s="314" t="s">
        <v>450</v>
      </c>
      <c r="B42" s="314"/>
      <c r="C42" s="314"/>
      <c r="D42" s="314"/>
      <c r="E42" s="314"/>
      <c r="F42" s="315" t="s">
        <v>115</v>
      </c>
      <c r="G42" s="315"/>
      <c r="H42" s="315"/>
      <c r="I42" s="315"/>
      <c r="J42" s="315"/>
      <c r="K42" s="314" t="str">
        <f>IF(A42="","",A42)</f>
        <v xml:space="preserve"> Drinking Water System</v>
      </c>
      <c r="L42" s="314"/>
      <c r="M42" s="314"/>
      <c r="N42" s="314"/>
      <c r="O42" s="315" t="s">
        <v>125</v>
      </c>
      <c r="P42" s="315"/>
      <c r="Q42" s="315"/>
      <c r="R42" s="315"/>
      <c r="S42" s="315"/>
      <c r="T42" s="315"/>
      <c r="U42" s="315"/>
      <c r="V42" s="315"/>
      <c r="W42" s="314" t="str">
        <f>IF(A42="","",A42)</f>
        <v xml:space="preserve"> Drinking Water System</v>
      </c>
      <c r="X42" s="314"/>
      <c r="Y42" s="314"/>
      <c r="Z42" s="314"/>
      <c r="AA42" s="314"/>
      <c r="AB42" s="315" t="s">
        <v>129</v>
      </c>
      <c r="AC42" s="315"/>
      <c r="AD42" s="315"/>
      <c r="AE42" s="315"/>
      <c r="AF42" s="315"/>
      <c r="AG42" s="314" t="str">
        <f>IF(A42="","",A42)</f>
        <v xml:space="preserve"> Drinking Water System</v>
      </c>
      <c r="AH42" s="314"/>
      <c r="AI42" s="314"/>
      <c r="AJ42" s="314"/>
      <c r="AK42" s="314"/>
      <c r="AL42" s="315" t="s">
        <v>93</v>
      </c>
      <c r="AM42" s="315"/>
      <c r="AN42" s="315"/>
      <c r="AO42" s="315"/>
      <c r="AP42" s="315"/>
      <c r="AQ42" s="314" t="str">
        <f>IF(A42="","",A42)</f>
        <v xml:space="preserve"> Drinking Water System</v>
      </c>
      <c r="AR42" s="314"/>
      <c r="AS42" s="314"/>
      <c r="AT42" s="314"/>
      <c r="AU42" s="314"/>
      <c r="AV42" s="315" t="s">
        <v>135</v>
      </c>
      <c r="AW42" s="315"/>
      <c r="AX42" s="315"/>
      <c r="AY42" s="315"/>
      <c r="AZ42" s="315"/>
      <c r="BA42" s="314" t="str">
        <f>IF(A42="","",A42)</f>
        <v xml:space="preserve"> Drinking Water System</v>
      </c>
      <c r="BB42" s="314"/>
      <c r="BC42" s="314"/>
      <c r="BD42" s="314"/>
      <c r="BE42" s="314"/>
      <c r="BF42" s="352" t="s">
        <v>145</v>
      </c>
      <c r="BG42" s="352"/>
      <c r="BH42" s="352"/>
      <c r="BI42" s="352"/>
      <c r="BJ42" s="352"/>
      <c r="BK42" s="352"/>
      <c r="BL42" s="352"/>
      <c r="BM42" s="352"/>
      <c r="BN42" s="352"/>
      <c r="BO42" s="314" t="str">
        <f>IF(A42="","",A42)</f>
        <v xml:space="preserve"> Drinking Water System</v>
      </c>
      <c r="BP42" s="314"/>
      <c r="BQ42" s="314"/>
      <c r="BR42" s="314"/>
      <c r="BS42" s="314"/>
      <c r="BT42" s="315" t="s">
        <v>100</v>
      </c>
      <c r="BU42" s="315"/>
      <c r="BV42" s="315"/>
      <c r="BW42" s="315"/>
      <c r="BX42" s="315"/>
      <c r="BY42" s="315"/>
      <c r="BZ42" s="315"/>
      <c r="CA42" s="314" t="str">
        <f>IF(A42="","",A42)</f>
        <v xml:space="preserve"> Drinking Water System</v>
      </c>
      <c r="CB42" s="314"/>
      <c r="CC42" s="314"/>
      <c r="CD42" s="314"/>
      <c r="CE42" s="315" t="s">
        <v>154</v>
      </c>
      <c r="CF42" s="315"/>
      <c r="CG42" s="315"/>
      <c r="CH42" s="315"/>
      <c r="CI42" s="315"/>
      <c r="CJ42" s="314" t="str">
        <f>IF(A42="","",A42)</f>
        <v xml:space="preserve"> Drinking Water System</v>
      </c>
      <c r="CK42" s="314"/>
      <c r="CL42" s="314"/>
      <c r="CM42" s="314"/>
      <c r="CN42" s="315" t="s">
        <v>155</v>
      </c>
      <c r="CO42" s="315"/>
      <c r="CP42" s="315"/>
      <c r="CQ42" s="315"/>
      <c r="CR42" s="315"/>
      <c r="CS42" s="314" t="str">
        <f>IF(A42="","",A42)</f>
        <v xml:space="preserve"> Drinking Water System</v>
      </c>
      <c r="CT42" s="314"/>
      <c r="CU42" s="314"/>
      <c r="CV42" s="314"/>
      <c r="CW42" s="315" t="s">
        <v>101</v>
      </c>
      <c r="CX42" s="315"/>
      <c r="CY42" s="315"/>
      <c r="CZ42" s="315"/>
      <c r="DA42" s="315"/>
      <c r="DB42" s="315"/>
      <c r="DC42" s="314" t="str">
        <f>IF(A42="","",A42)</f>
        <v xml:space="preserve"> Drinking Water System</v>
      </c>
      <c r="DD42" s="314"/>
      <c r="DE42" s="314"/>
      <c r="DF42" s="314"/>
      <c r="DG42" s="315" t="s">
        <v>159</v>
      </c>
      <c r="DH42" s="315"/>
      <c r="DI42" s="315"/>
      <c r="DJ42" s="315"/>
      <c r="DK42" s="315"/>
      <c r="DL42" s="324" t="str">
        <f>IF(A42="","",A42)</f>
        <v xml:space="preserve"> Drinking Water System</v>
      </c>
      <c r="DM42" s="324"/>
      <c r="DN42" s="324"/>
      <c r="DO42" s="324"/>
      <c r="DP42" s="324"/>
      <c r="DQ42" s="325" t="s">
        <v>168</v>
      </c>
      <c r="DR42" s="325"/>
      <c r="DS42" s="325"/>
      <c r="DT42" s="325"/>
      <c r="DU42" s="325"/>
      <c r="DV42" s="325"/>
      <c r="DW42" s="325"/>
      <c r="DX42" s="325"/>
      <c r="DY42" s="325"/>
      <c r="DZ42" s="324" t="str">
        <f>IF(A42="","",A42)</f>
        <v xml:space="preserve"> Drinking Water System</v>
      </c>
      <c r="EA42" s="324"/>
      <c r="EB42" s="324"/>
      <c r="EC42" s="324"/>
      <c r="ED42" s="324"/>
      <c r="EE42" s="324"/>
      <c r="EF42" s="325" t="s">
        <v>91</v>
      </c>
      <c r="EG42" s="325"/>
      <c r="EH42" s="325"/>
      <c r="EI42" s="314" t="str">
        <f>IF(A42="","",A42)</f>
        <v xml:space="preserve"> Drinking Water System</v>
      </c>
      <c r="EJ42" s="314"/>
      <c r="EK42" s="314"/>
      <c r="EL42" s="314"/>
      <c r="EM42" s="315" t="s">
        <v>33</v>
      </c>
      <c r="EN42" s="315"/>
      <c r="EO42" s="315"/>
      <c r="EP42" s="315"/>
      <c r="EQ42" s="315"/>
    </row>
    <row r="43" spans="1:154" ht="14.15" customHeight="1" x14ac:dyDescent="0.35"/>
    <row r="44" spans="1:154" s="10" customFormat="1" ht="14.15" customHeight="1" x14ac:dyDescent="0.35">
      <c r="A44" s="20"/>
      <c r="B44" s="5"/>
      <c r="C44" s="5"/>
      <c r="D44" s="23"/>
      <c r="E44" s="5"/>
      <c r="F44" s="5"/>
      <c r="G44" s="23"/>
      <c r="H44" s="5"/>
      <c r="I44" s="5"/>
      <c r="J44" s="20"/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3"/>
      <c r="Y44" s="23"/>
      <c r="Z44" s="23"/>
      <c r="AA44" s="23"/>
      <c r="AB44" s="23"/>
      <c r="AC44" s="23"/>
      <c r="AD44" s="23"/>
      <c r="AE44" s="23"/>
      <c r="AF44" s="22"/>
      <c r="AG44" s="20"/>
      <c r="AH44" s="20"/>
      <c r="AI44" s="5"/>
      <c r="AJ44" s="5"/>
      <c r="AK44" s="5"/>
      <c r="AL44" s="5"/>
      <c r="AM44" s="5"/>
      <c r="AN44" s="5"/>
      <c r="AO44" s="22"/>
      <c r="AP44" s="5"/>
      <c r="AQ44" s="5"/>
      <c r="AR44" s="23"/>
      <c r="AS44" s="23"/>
      <c r="AT44" s="23"/>
      <c r="AU44" s="23"/>
      <c r="AV44" s="23"/>
      <c r="AW44" s="23"/>
      <c r="AX44" s="23"/>
      <c r="AY44" s="23"/>
      <c r="AZ44" s="5"/>
      <c r="BA44" s="38"/>
      <c r="BB44" s="13"/>
      <c r="BC44" s="11"/>
      <c r="BD44" s="12"/>
      <c r="BE44" s="12"/>
      <c r="BF44" s="12"/>
      <c r="BG44" s="12"/>
      <c r="BH44" s="38"/>
      <c r="BI44" s="38"/>
      <c r="BJ44" s="38"/>
      <c r="BK44" s="38"/>
      <c r="BL44" s="38"/>
      <c r="BM44" s="38"/>
      <c r="BN44" s="12"/>
      <c r="BO44" s="13"/>
      <c r="BP44" s="38"/>
      <c r="BQ44" s="11"/>
      <c r="BR44" s="12"/>
      <c r="BS44" s="12"/>
      <c r="BT44" s="12"/>
      <c r="BU44" s="38"/>
      <c r="BV44" s="13"/>
      <c r="BW44" s="13"/>
      <c r="BX44" s="12"/>
      <c r="BY44" s="11"/>
      <c r="BZ44" s="11"/>
      <c r="CB44" s="12"/>
      <c r="CC44" s="12"/>
      <c r="CD44" s="12"/>
      <c r="CE44" s="13"/>
      <c r="CF44" s="13"/>
      <c r="CG44" s="11"/>
      <c r="CH44" s="11"/>
      <c r="CI44" s="12"/>
      <c r="CJ44" s="13"/>
      <c r="CK44" s="12"/>
      <c r="CL44" s="12"/>
      <c r="CM44" s="12"/>
      <c r="CN44" s="12"/>
      <c r="CO44" s="12"/>
      <c r="CU44" s="13"/>
      <c r="CV44" s="11"/>
      <c r="CW44" s="12"/>
      <c r="CX44" s="13"/>
      <c r="CY44" s="12"/>
      <c r="CZ44" s="12"/>
      <c r="DA44" s="38"/>
      <c r="DB44" s="12"/>
      <c r="DC44" s="38"/>
      <c r="DD44" s="12"/>
      <c r="DE44" s="12"/>
      <c r="DF44" s="12"/>
      <c r="DG44" s="13"/>
      <c r="DH44" s="12"/>
      <c r="DI44" s="11"/>
      <c r="DJ44" s="11"/>
      <c r="DK44" s="38"/>
      <c r="DM44" s="13"/>
      <c r="DN44" s="38"/>
      <c r="DO44" s="38"/>
      <c r="DP44" s="38"/>
      <c r="DQ44" s="13"/>
      <c r="DR44" s="12"/>
      <c r="DS44" s="38"/>
      <c r="DT44" s="12"/>
      <c r="DU44" s="13"/>
      <c r="DV44" s="38"/>
      <c r="DW44" s="38"/>
      <c r="EB44" s="55"/>
      <c r="EC44" s="55"/>
      <c r="ED44" s="13"/>
      <c r="EE44" s="13"/>
      <c r="EF44" s="13"/>
      <c r="EG44" s="13"/>
    </row>
    <row r="45" spans="1:154" ht="22.5" customHeight="1" x14ac:dyDescent="0.35"/>
  </sheetData>
  <sheetProtection selectLockedCells="1"/>
  <mergeCells count="282">
    <mergeCell ref="A3:E3"/>
    <mergeCell ref="F3:J3"/>
    <mergeCell ref="K3:N3"/>
    <mergeCell ref="O3:V3"/>
    <mergeCell ref="W3:AA3"/>
    <mergeCell ref="AB3:AF3"/>
    <mergeCell ref="BO1:BZ2"/>
    <mergeCell ref="A1:J2"/>
    <mergeCell ref="K1:V2"/>
    <mergeCell ref="W1:AF2"/>
    <mergeCell ref="AG1:AP2"/>
    <mergeCell ref="AQ1:AZ2"/>
    <mergeCell ref="BA1:BN2"/>
    <mergeCell ref="BT3:BZ3"/>
    <mergeCell ref="AG3:AK3"/>
    <mergeCell ref="AL3:AP3"/>
    <mergeCell ref="EI1:EQ2"/>
    <mergeCell ref="CA1:CI2"/>
    <mergeCell ref="CJ1:CR2"/>
    <mergeCell ref="CS1:DB2"/>
    <mergeCell ref="DC1:DK2"/>
    <mergeCell ref="DL1:DP2"/>
    <mergeCell ref="DZ1:EA2"/>
    <mergeCell ref="EB1:EG2"/>
    <mergeCell ref="EI3:EL3"/>
    <mergeCell ref="EM3:EQ3"/>
    <mergeCell ref="DQ3:DY3"/>
    <mergeCell ref="DZ3:EE3"/>
    <mergeCell ref="EF3:EH3"/>
    <mergeCell ref="CA3:CD3"/>
    <mergeCell ref="CE3:CI3"/>
    <mergeCell ref="CJ3:CM3"/>
    <mergeCell ref="CN3:CR3"/>
    <mergeCell ref="CS3:CV3"/>
    <mergeCell ref="A4:A7"/>
    <mergeCell ref="B4:D4"/>
    <mergeCell ref="E4:G4"/>
    <mergeCell ref="H4:I4"/>
    <mergeCell ref="J4:J7"/>
    <mergeCell ref="CW3:DB3"/>
    <mergeCell ref="AQ3:AU3"/>
    <mergeCell ref="AV3:AZ3"/>
    <mergeCell ref="DL3:DP3"/>
    <mergeCell ref="AZ4:AZ7"/>
    <mergeCell ref="BA4:BA7"/>
    <mergeCell ref="BB4:BF4"/>
    <mergeCell ref="BG4:BG7"/>
    <mergeCell ref="S5:S7"/>
    <mergeCell ref="T5:T7"/>
    <mergeCell ref="U5:U7"/>
    <mergeCell ref="BA3:BE3"/>
    <mergeCell ref="BF3:BN3"/>
    <mergeCell ref="K4:K7"/>
    <mergeCell ref="L4:M4"/>
    <mergeCell ref="N4:O4"/>
    <mergeCell ref="DC3:DF3"/>
    <mergeCell ref="DG3:DK3"/>
    <mergeCell ref="BO3:BS3"/>
    <mergeCell ref="CC4:CC7"/>
    <mergeCell ref="CM4:CM7"/>
    <mergeCell ref="CN4:CN7"/>
    <mergeCell ref="CO4:CO7"/>
    <mergeCell ref="CP4:CP7"/>
    <mergeCell ref="AV6:AV7"/>
    <mergeCell ref="AW6:AW7"/>
    <mergeCell ref="AX6:AX7"/>
    <mergeCell ref="AY6:AY7"/>
    <mergeCell ref="BF5:BF7"/>
    <mergeCell ref="BH4:BI4"/>
    <mergeCell ref="BW4:BY4"/>
    <mergeCell ref="BK5:BK7"/>
    <mergeCell ref="BL5:BL7"/>
    <mergeCell ref="BM5:BM7"/>
    <mergeCell ref="AV5:AW5"/>
    <mergeCell ref="AX5:AY5"/>
    <mergeCell ref="BB5:BB7"/>
    <mergeCell ref="BC5:BC7"/>
    <mergeCell ref="BD5:BD7"/>
    <mergeCell ref="BT5:BT7"/>
    <mergeCell ref="BU5:BU7"/>
    <mergeCell ref="DP5:DP7"/>
    <mergeCell ref="BE5:BE7"/>
    <mergeCell ref="BI5:BI7"/>
    <mergeCell ref="BJ5:BJ7"/>
    <mergeCell ref="BQ5:BQ7"/>
    <mergeCell ref="BP5:BP7"/>
    <mergeCell ref="BR5:BR7"/>
    <mergeCell ref="BS5:BS7"/>
    <mergeCell ref="BW5:BW7"/>
    <mergeCell ref="BX5:BX7"/>
    <mergeCell ref="DJ4:DJ7"/>
    <mergeCell ref="DK4:DK7"/>
    <mergeCell ref="DL4:DL7"/>
    <mergeCell ref="BV5:BV7"/>
    <mergeCell ref="BJ4:BK4"/>
    <mergeCell ref="BL4:BM4"/>
    <mergeCell ref="BN4:BN7"/>
    <mergeCell ref="BO4:BO7"/>
    <mergeCell ref="BP4:BV4"/>
    <mergeCell ref="BH5:BH7"/>
    <mergeCell ref="CI4:CI7"/>
    <mergeCell ref="CJ4:CJ7"/>
    <mergeCell ref="CA4:CA7"/>
    <mergeCell ref="CB4:CB7"/>
    <mergeCell ref="EQ4:EQ7"/>
    <mergeCell ref="B5:B7"/>
    <mergeCell ref="C5:C7"/>
    <mergeCell ref="D5:D7"/>
    <mergeCell ref="E5:E7"/>
    <mergeCell ref="F5:F7"/>
    <mergeCell ref="G5:G7"/>
    <mergeCell ref="H5:H7"/>
    <mergeCell ref="DD4:DD7"/>
    <mergeCell ref="DE4:DE7"/>
    <mergeCell ref="ED4:EE4"/>
    <mergeCell ref="EH4:EH7"/>
    <mergeCell ref="X5:Y5"/>
    <mergeCell ref="Z5:AA5"/>
    <mergeCell ref="AB5:AC5"/>
    <mergeCell ref="AD5:AE5"/>
    <mergeCell ref="DO5:DO7"/>
    <mergeCell ref="DF4:DF7"/>
    <mergeCell ref="DG4:DG7"/>
    <mergeCell ref="DH4:DH7"/>
    <mergeCell ref="I5:I7"/>
    <mergeCell ref="DY4:DY7"/>
    <mergeCell ref="DZ4:DZ7"/>
    <mergeCell ref="EA4:EC4"/>
    <mergeCell ref="DB4:DB7"/>
    <mergeCell ref="DC4:DC7"/>
    <mergeCell ref="AV4:AY4"/>
    <mergeCell ref="DT5:DT7"/>
    <mergeCell ref="DU5:DU7"/>
    <mergeCell ref="CR4:CR7"/>
    <mergeCell ref="DN5:DN7"/>
    <mergeCell ref="DQ5:DQ7"/>
    <mergeCell ref="DR5:DR7"/>
    <mergeCell ref="CS4:CS7"/>
    <mergeCell ref="BY5:BY7"/>
    <mergeCell ref="BZ4:BZ7"/>
    <mergeCell ref="CD4:CD7"/>
    <mergeCell ref="CE4:CE7"/>
    <mergeCell ref="DS5:DS7"/>
    <mergeCell ref="CQ4:CQ7"/>
    <mergeCell ref="CF4:CF7"/>
    <mergeCell ref="CG4:CG7"/>
    <mergeCell ref="CH4:CH7"/>
    <mergeCell ref="CK4:CK7"/>
    <mergeCell ref="DN4:DO4"/>
    <mergeCell ref="DM5:DM7"/>
    <mergeCell ref="DI4:DI7"/>
    <mergeCell ref="DP4:DU4"/>
    <mergeCell ref="L5:L7"/>
    <mergeCell ref="M5:M7"/>
    <mergeCell ref="N5:N7"/>
    <mergeCell ref="O5:O7"/>
    <mergeCell ref="P5:P7"/>
    <mergeCell ref="Q5:Q7"/>
    <mergeCell ref="P4:Q4"/>
    <mergeCell ref="R4:U4"/>
    <mergeCell ref="V4:V7"/>
    <mergeCell ref="W4:W7"/>
    <mergeCell ref="X4:AA4"/>
    <mergeCell ref="AB4:AE4"/>
    <mergeCell ref="R5:R7"/>
    <mergeCell ref="X6:X7"/>
    <mergeCell ref="Y6:Y7"/>
    <mergeCell ref="Z6:Z7"/>
    <mergeCell ref="CZ4:CZ7"/>
    <mergeCell ref="DA4:DA7"/>
    <mergeCell ref="AH4:AO4"/>
    <mergeCell ref="AL5:AM5"/>
    <mergeCell ref="AN5:AO5"/>
    <mergeCell ref="AH5:AI5"/>
    <mergeCell ref="AJ5:AK5"/>
    <mergeCell ref="CL4:CL7"/>
    <mergeCell ref="CT4:CT7"/>
    <mergeCell ref="CU4:CU7"/>
    <mergeCell ref="CV4:CV7"/>
    <mergeCell ref="CW4:CW7"/>
    <mergeCell ref="CX4:CX7"/>
    <mergeCell ref="CY4:CY7"/>
    <mergeCell ref="AA6:AA7"/>
    <mergeCell ref="AB6:AB7"/>
    <mergeCell ref="AC6:AC7"/>
    <mergeCell ref="AD6:AD7"/>
    <mergeCell ref="AE6:AE7"/>
    <mergeCell ref="AH6:AH7"/>
    <mergeCell ref="AO6:AO7"/>
    <mergeCell ref="AR6:AR7"/>
    <mergeCell ref="AS6:AS7"/>
    <mergeCell ref="AQ4:AQ7"/>
    <mergeCell ref="AR4:AU4"/>
    <mergeCell ref="AR5:AS5"/>
    <mergeCell ref="AT5:AU5"/>
    <mergeCell ref="AT6:AT7"/>
    <mergeCell ref="AU6:AU7"/>
    <mergeCell ref="AP4:AP7"/>
    <mergeCell ref="AI6:AI7"/>
    <mergeCell ref="AJ6:AJ7"/>
    <mergeCell ref="AK6:AK7"/>
    <mergeCell ref="AL6:AL7"/>
    <mergeCell ref="AM6:AM7"/>
    <mergeCell ref="AN6:AN7"/>
    <mergeCell ref="AF4:AF7"/>
    <mergeCell ref="AG4:AG7"/>
    <mergeCell ref="EJ9:EP9"/>
    <mergeCell ref="EJ10:EP10"/>
    <mergeCell ref="EJ11:EP11"/>
    <mergeCell ref="EJ12:EP12"/>
    <mergeCell ref="EJ13:EP13"/>
    <mergeCell ref="DV5:DV7"/>
    <mergeCell ref="DW5:DW7"/>
    <mergeCell ref="DX5:DX7"/>
    <mergeCell ref="EA5:EA7"/>
    <mergeCell ref="EJ8:EP8"/>
    <mergeCell ref="EG5:EG7"/>
    <mergeCell ref="EJ4:EP7"/>
    <mergeCell ref="DV4:DX4"/>
    <mergeCell ref="EI4:EI7"/>
    <mergeCell ref="EB5:EB7"/>
    <mergeCell ref="EC5:EC7"/>
    <mergeCell ref="ED5:EE5"/>
    <mergeCell ref="EF5:EF7"/>
    <mergeCell ref="ED6:ED7"/>
    <mergeCell ref="EE6:EE7"/>
    <mergeCell ref="EJ21:EP21"/>
    <mergeCell ref="EJ22:EP22"/>
    <mergeCell ref="EJ23:EP23"/>
    <mergeCell ref="EJ24:EP24"/>
    <mergeCell ref="EJ25:EP25"/>
    <mergeCell ref="EJ14:EP14"/>
    <mergeCell ref="EJ36:EP36"/>
    <mergeCell ref="EJ37:EP37"/>
    <mergeCell ref="EJ38:EP38"/>
    <mergeCell ref="EJ26:EP26"/>
    <mergeCell ref="EJ15:EP15"/>
    <mergeCell ref="EJ16:EP16"/>
    <mergeCell ref="EJ17:EP17"/>
    <mergeCell ref="EJ18:EP18"/>
    <mergeCell ref="EJ19:EP19"/>
    <mergeCell ref="EJ20:EP20"/>
    <mergeCell ref="BF42:BN42"/>
    <mergeCell ref="BO42:BS42"/>
    <mergeCell ref="EJ27:EP27"/>
    <mergeCell ref="EJ28:EP28"/>
    <mergeCell ref="EJ29:EP29"/>
    <mergeCell ref="EJ30:EP30"/>
    <mergeCell ref="EJ31:EP31"/>
    <mergeCell ref="EJ32:EP32"/>
    <mergeCell ref="EJ33:EP33"/>
    <mergeCell ref="EJ34:EP34"/>
    <mergeCell ref="EJ35:EP35"/>
    <mergeCell ref="DC42:DF42"/>
    <mergeCell ref="DG42:DK42"/>
    <mergeCell ref="DL42:DP42"/>
    <mergeCell ref="DQ42:DY42"/>
    <mergeCell ref="DZ42:EE42"/>
    <mergeCell ref="A42:E42"/>
    <mergeCell ref="F42:J42"/>
    <mergeCell ref="K42:N42"/>
    <mergeCell ref="O42:V42"/>
    <mergeCell ref="W42:AA42"/>
    <mergeCell ref="EJ39:EP39"/>
    <mergeCell ref="EJ40:EP40"/>
    <mergeCell ref="EJ41:EP41"/>
    <mergeCell ref="EF42:EH42"/>
    <mergeCell ref="EI42:EL42"/>
    <mergeCell ref="AG42:AK42"/>
    <mergeCell ref="BT42:BZ42"/>
    <mergeCell ref="CA42:CD42"/>
    <mergeCell ref="EM42:EQ42"/>
    <mergeCell ref="CW42:DB42"/>
    <mergeCell ref="AB42:AF42"/>
    <mergeCell ref="CE42:CI42"/>
    <mergeCell ref="CJ42:CM42"/>
    <mergeCell ref="CN42:CR42"/>
    <mergeCell ref="CS42:CV42"/>
    <mergeCell ref="AL42:AP42"/>
    <mergeCell ref="AQ42:AU42"/>
    <mergeCell ref="AV42:AZ42"/>
    <mergeCell ref="BA42:BE42"/>
  </mergeCells>
  <pageMargins left="0.23622047244094491" right="0.23622047244094491" top="0.31496062992125984" bottom="0.74803149606299213" header="0.31496062992125984" footer="0.31496062992125984"/>
  <pageSetup pageOrder="overThenDown" orientation="portrait" r:id="rId1"/>
  <headerFooter>
    <evenHeader>&amp;L&amp;28Red Lake WPCP&amp;R&amp;28New Plant</even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EX45"/>
  <sheetViews>
    <sheetView showGridLines="0" view="pageBreakPreview" zoomScaleNormal="50" zoomScaleSheetLayoutView="100" workbookViewId="0">
      <selection activeCell="C16" sqref="C16"/>
    </sheetView>
  </sheetViews>
  <sheetFormatPr defaultColWidth="9.1796875" defaultRowHeight="14.5" x14ac:dyDescent="0.35"/>
  <cols>
    <col min="1" max="1" width="6" style="20" customWidth="1"/>
    <col min="2" max="2" width="14" style="5" customWidth="1"/>
    <col min="3" max="3" width="8.54296875" style="5" customWidth="1"/>
    <col min="4" max="4" width="9.7265625" style="23" customWidth="1"/>
    <col min="5" max="5" width="14" style="5" customWidth="1"/>
    <col min="6" max="6" width="8.54296875" style="5" customWidth="1"/>
    <col min="7" max="7" width="9.7265625" style="23" customWidth="1"/>
    <col min="8" max="8" width="14" style="5" customWidth="1"/>
    <col min="9" max="9" width="8.54296875" style="5" customWidth="1"/>
    <col min="10" max="10" width="8.26953125" style="20" customWidth="1"/>
    <col min="11" max="11" width="5.54296875" style="20" customWidth="1"/>
    <col min="12" max="12" width="11.453125" style="5" customWidth="1"/>
    <col min="13" max="13" width="8" style="5" customWidth="1"/>
    <col min="14" max="14" width="11.453125" style="5" customWidth="1"/>
    <col min="15" max="15" width="8" style="5" customWidth="1"/>
    <col min="16" max="16" width="11.453125" style="5" customWidth="1"/>
    <col min="17" max="17" width="8" style="5" customWidth="1"/>
    <col min="18" max="21" width="7.453125" style="5" customWidth="1"/>
    <col min="22" max="22" width="7.7265625" style="5" customWidth="1"/>
    <col min="23" max="23" width="6" style="5" customWidth="1"/>
    <col min="24" max="24" width="12.7265625" style="23" customWidth="1"/>
    <col min="25" max="25" width="9" style="23" customWidth="1"/>
    <col min="26" max="26" width="12.7265625" style="23" customWidth="1"/>
    <col min="27" max="27" width="9" style="23" customWidth="1"/>
    <col min="28" max="28" width="12.7265625" style="23" customWidth="1"/>
    <col min="29" max="29" width="9" style="23" customWidth="1"/>
    <col min="30" max="30" width="12.7265625" style="23" customWidth="1"/>
    <col min="31" max="31" width="9" style="23" customWidth="1"/>
    <col min="32" max="32" width="8" style="22" customWidth="1"/>
    <col min="33" max="33" width="6" style="20" customWidth="1"/>
    <col min="34" max="34" width="12.7265625" style="20" customWidth="1"/>
    <col min="35" max="35" width="9" style="5" customWidth="1"/>
    <col min="36" max="36" width="12.7265625" style="5" customWidth="1"/>
    <col min="37" max="37" width="9" style="5" customWidth="1"/>
    <col min="38" max="38" width="12.7265625" style="5" customWidth="1"/>
    <col min="39" max="39" width="9" style="5" customWidth="1"/>
    <col min="40" max="40" width="12.7265625" style="5" customWidth="1"/>
    <col min="41" max="41" width="9" style="22" customWidth="1"/>
    <col min="42" max="42" width="8" style="5" customWidth="1"/>
    <col min="43" max="43" width="6" style="5" customWidth="1"/>
    <col min="44" max="44" width="12.7265625" style="23" customWidth="1"/>
    <col min="45" max="45" width="9" style="23" customWidth="1"/>
    <col min="46" max="46" width="12.7265625" style="23" customWidth="1"/>
    <col min="47" max="47" width="9" style="23" customWidth="1"/>
    <col min="48" max="48" width="12.7265625" style="23" customWidth="1"/>
    <col min="49" max="49" width="9" style="23" customWidth="1"/>
    <col min="50" max="50" width="12.7265625" style="23" customWidth="1"/>
    <col min="51" max="51" width="9" style="23" customWidth="1"/>
    <col min="52" max="52" width="8" style="5" customWidth="1"/>
    <col min="53" max="53" width="5.7265625" style="21" customWidth="1"/>
    <col min="54" max="54" width="7.1796875" style="21" customWidth="1"/>
    <col min="55" max="55" width="6.7265625" style="5" customWidth="1"/>
    <col min="56" max="57" width="6.7265625" style="22" customWidth="1"/>
    <col min="58" max="58" width="7.1796875" style="22" customWidth="1"/>
    <col min="59" max="59" width="6.7265625" style="22" customWidth="1"/>
    <col min="60" max="65" width="8" style="21" customWidth="1"/>
    <col min="66" max="66" width="6.81640625" style="22" customWidth="1"/>
    <col min="67" max="67" width="5.7265625" style="23" customWidth="1"/>
    <col min="68" max="68" width="8.54296875" style="21" customWidth="1"/>
    <col min="69" max="69" width="6.81640625" style="5" customWidth="1"/>
    <col min="70" max="70" width="6.7265625" style="22" customWidth="1"/>
    <col min="71" max="71" width="7.1796875" style="22" customWidth="1"/>
    <col min="72" max="72" width="8" style="22" customWidth="1"/>
    <col min="73" max="73" width="8.453125" style="21" customWidth="1"/>
    <col min="74" max="75" width="8.26953125" style="23" customWidth="1"/>
    <col min="76" max="76" width="8" style="22" customWidth="1"/>
    <col min="77" max="77" width="18.1796875" style="5" customWidth="1"/>
    <col min="78" max="78" width="7.453125" style="5" customWidth="1"/>
    <col min="79" max="79" width="7.1796875" style="20" customWidth="1"/>
    <col min="80" max="82" width="12" style="22" customWidth="1"/>
    <col min="83" max="84" width="12" style="23" customWidth="1"/>
    <col min="85" max="86" width="12" style="5" customWidth="1"/>
    <col min="87" max="87" width="9.1796875" style="22" customWidth="1"/>
    <col min="88" max="88" width="7.1796875" style="23" customWidth="1"/>
    <col min="89" max="93" width="12" style="22" customWidth="1"/>
    <col min="94" max="95" width="12" style="20" customWidth="1"/>
    <col min="96" max="96" width="9.1796875" style="20" customWidth="1"/>
    <col min="97" max="97" width="6.26953125" style="20" customWidth="1"/>
    <col min="98" max="98" width="9.453125" style="20" customWidth="1"/>
    <col min="99" max="99" width="13.81640625" style="23" customWidth="1"/>
    <col min="100" max="100" width="9.7265625" style="5" customWidth="1"/>
    <col min="101" max="101" width="9.7265625" style="22" customWidth="1"/>
    <col min="102" max="102" width="10" style="23" customWidth="1"/>
    <col min="103" max="104" width="12" style="22" customWidth="1"/>
    <col min="105" max="105" width="10.54296875" style="21" customWidth="1"/>
    <col min="106" max="106" width="8" style="22" customWidth="1"/>
    <col min="107" max="107" width="7.1796875" style="21" customWidth="1"/>
    <col min="108" max="110" width="12" style="22" customWidth="1"/>
    <col min="111" max="111" width="12" style="23" customWidth="1"/>
    <col min="112" max="112" width="12" style="22" customWidth="1"/>
    <col min="113" max="114" width="12" style="5" customWidth="1"/>
    <col min="115" max="115" width="9.1796875" style="21" customWidth="1"/>
    <col min="116" max="116" width="4.81640625" style="20" customWidth="1"/>
    <col min="117" max="117" width="6.453125" style="23" customWidth="1"/>
    <col min="118" max="120" width="7.7265625" style="21" customWidth="1"/>
    <col min="121" max="121" width="6.81640625" style="23" customWidth="1"/>
    <col min="122" max="122" width="6.81640625" style="22" customWidth="1"/>
    <col min="123" max="123" width="7.7265625" style="21" customWidth="1"/>
    <col min="124" max="124" width="7.1796875" style="22" customWidth="1"/>
    <col min="125" max="125" width="7.453125" style="23" customWidth="1"/>
    <col min="126" max="127" width="8.54296875" style="21" customWidth="1"/>
    <col min="128" max="128" width="7.1796875" style="20" customWidth="1"/>
    <col min="129" max="129" width="6.81640625" style="20" customWidth="1"/>
    <col min="130" max="130" width="6.54296875" style="20" customWidth="1"/>
    <col min="131" max="131" width="13" style="20" customWidth="1"/>
    <col min="132" max="133" width="13" style="54" customWidth="1"/>
    <col min="134" max="137" width="10" style="23" customWidth="1"/>
    <col min="138" max="138" width="11.453125" style="20" customWidth="1"/>
    <col min="139" max="139" width="7.26953125" style="20" customWidth="1"/>
    <col min="140" max="146" width="12" style="20" customWidth="1"/>
    <col min="147" max="16384" width="9.1796875" style="20"/>
  </cols>
  <sheetData>
    <row r="1" spans="1:154" ht="15" customHeight="1" x14ac:dyDescent="0.35">
      <c r="A1" s="373" t="s">
        <v>232</v>
      </c>
      <c r="B1" s="373"/>
      <c r="C1" s="373"/>
      <c r="D1" s="373"/>
      <c r="E1" s="373"/>
      <c r="F1" s="373"/>
      <c r="G1" s="373"/>
      <c r="H1" s="373"/>
      <c r="I1" s="373"/>
      <c r="J1" s="373"/>
      <c r="K1" s="345" t="str">
        <f>IF(A1="","",A1)</f>
        <v>August 2016</v>
      </c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 t="str">
        <f>IF(A1="","",A1)</f>
        <v>August 2016</v>
      </c>
      <c r="X1" s="345"/>
      <c r="Y1" s="345"/>
      <c r="Z1" s="345"/>
      <c r="AA1" s="345"/>
      <c r="AB1" s="345"/>
      <c r="AC1" s="345"/>
      <c r="AD1" s="345"/>
      <c r="AE1" s="345"/>
      <c r="AF1" s="345"/>
      <c r="AG1" s="345" t="str">
        <f>IF(A1="","",A1)</f>
        <v>August 2016</v>
      </c>
      <c r="AH1" s="345"/>
      <c r="AI1" s="345"/>
      <c r="AJ1" s="345"/>
      <c r="AK1" s="345"/>
      <c r="AL1" s="345"/>
      <c r="AM1" s="345"/>
      <c r="AN1" s="345"/>
      <c r="AO1" s="345"/>
      <c r="AP1" s="345"/>
      <c r="AQ1" s="345" t="str">
        <f>IF(A1="","",A1)</f>
        <v>August 2016</v>
      </c>
      <c r="AR1" s="345"/>
      <c r="AS1" s="345"/>
      <c r="AT1" s="345"/>
      <c r="AU1" s="345"/>
      <c r="AV1" s="345"/>
      <c r="AW1" s="345"/>
      <c r="AX1" s="345"/>
      <c r="AY1" s="345"/>
      <c r="AZ1" s="345"/>
      <c r="BA1" s="371" t="str">
        <f>IF(A1="","",A1)</f>
        <v>August 2016</v>
      </c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07" t="str">
        <f>IF(A1="","",A1)</f>
        <v>August 2016</v>
      </c>
      <c r="BP1" s="307"/>
      <c r="BQ1" s="307"/>
      <c r="BR1" s="307"/>
      <c r="BS1" s="307"/>
      <c r="BT1" s="307"/>
      <c r="BU1" s="307"/>
      <c r="BV1" s="307"/>
      <c r="BW1" s="307"/>
      <c r="BX1" s="307"/>
      <c r="BY1" s="307"/>
      <c r="BZ1" s="307"/>
      <c r="CA1" s="372" t="str">
        <f>IF(A1="","",A1)</f>
        <v>August 2016</v>
      </c>
      <c r="CB1" s="372"/>
      <c r="CC1" s="372"/>
      <c r="CD1" s="372"/>
      <c r="CE1" s="372"/>
      <c r="CF1" s="372"/>
      <c r="CG1" s="372"/>
      <c r="CH1" s="372"/>
      <c r="CI1" s="372"/>
      <c r="CJ1" s="372" t="str">
        <f>IF(A1="","",A1)</f>
        <v>August 2016</v>
      </c>
      <c r="CK1" s="372"/>
      <c r="CL1" s="372"/>
      <c r="CM1" s="372"/>
      <c r="CN1" s="372"/>
      <c r="CO1" s="372"/>
      <c r="CP1" s="372"/>
      <c r="CQ1" s="372"/>
      <c r="CR1" s="372"/>
      <c r="CS1" s="372" t="str">
        <f>IF(A1="","",A1)</f>
        <v>August 2016</v>
      </c>
      <c r="CT1" s="372"/>
      <c r="CU1" s="372"/>
      <c r="CV1" s="372"/>
      <c r="CW1" s="372"/>
      <c r="CX1" s="372"/>
      <c r="CY1" s="372"/>
      <c r="CZ1" s="372"/>
      <c r="DA1" s="372"/>
      <c r="DB1" s="372"/>
      <c r="DC1" s="372" t="str">
        <f>IF(A1="","",A1)</f>
        <v>August 2016</v>
      </c>
      <c r="DD1" s="372"/>
      <c r="DE1" s="372"/>
      <c r="DF1" s="372"/>
      <c r="DG1" s="372"/>
      <c r="DH1" s="372"/>
      <c r="DI1" s="372"/>
      <c r="DJ1" s="372"/>
      <c r="DK1" s="372"/>
      <c r="DL1" s="307" t="str">
        <f>IF(A1="","",A1)</f>
        <v>August 2016</v>
      </c>
      <c r="DM1" s="307"/>
      <c r="DN1" s="307"/>
      <c r="DO1" s="307"/>
      <c r="DP1" s="307"/>
      <c r="DQ1" s="53"/>
      <c r="DR1" s="85"/>
      <c r="DS1" s="39"/>
      <c r="DT1" s="85"/>
      <c r="DU1" s="53"/>
      <c r="DV1" s="39"/>
      <c r="DW1" s="39"/>
      <c r="DX1" s="39"/>
      <c r="DY1" s="126"/>
      <c r="DZ1" s="307" t="str">
        <f>IF(A1="","",A1)</f>
        <v>August 2016</v>
      </c>
      <c r="EA1" s="307"/>
      <c r="EB1" s="308" t="s">
        <v>196</v>
      </c>
      <c r="EC1" s="309"/>
      <c r="ED1" s="309"/>
      <c r="EE1" s="309"/>
      <c r="EF1" s="309"/>
      <c r="EG1" s="310"/>
      <c r="EH1" s="189"/>
      <c r="EI1" s="307" t="str">
        <f>IF(A1="","",A1)</f>
        <v>August 2016</v>
      </c>
      <c r="EJ1" s="307"/>
      <c r="EK1" s="307"/>
      <c r="EL1" s="307"/>
      <c r="EM1" s="307"/>
      <c r="EN1" s="307"/>
      <c r="EO1" s="307"/>
      <c r="EP1" s="307"/>
      <c r="EQ1" s="307"/>
    </row>
    <row r="2" spans="1:154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07"/>
      <c r="BP2" s="307"/>
      <c r="BQ2" s="307"/>
      <c r="BR2" s="307"/>
      <c r="BS2" s="307"/>
      <c r="BT2" s="307"/>
      <c r="BU2" s="307"/>
      <c r="BV2" s="307"/>
      <c r="BW2" s="307"/>
      <c r="BX2" s="307"/>
      <c r="BY2" s="307"/>
      <c r="BZ2" s="307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  <c r="CL2" s="372"/>
      <c r="CM2" s="372"/>
      <c r="CN2" s="372"/>
      <c r="CO2" s="372"/>
      <c r="CP2" s="372"/>
      <c r="CQ2" s="372"/>
      <c r="CR2" s="372"/>
      <c r="CS2" s="372"/>
      <c r="CT2" s="372"/>
      <c r="CU2" s="372"/>
      <c r="CV2" s="372"/>
      <c r="CW2" s="372"/>
      <c r="CX2" s="372"/>
      <c r="CY2" s="372"/>
      <c r="CZ2" s="372"/>
      <c r="DA2" s="372"/>
      <c r="DB2" s="372"/>
      <c r="DC2" s="372"/>
      <c r="DD2" s="372"/>
      <c r="DE2" s="372"/>
      <c r="DF2" s="372"/>
      <c r="DG2" s="372"/>
      <c r="DH2" s="372"/>
      <c r="DI2" s="372"/>
      <c r="DJ2" s="372"/>
      <c r="DK2" s="372"/>
      <c r="DL2" s="307"/>
      <c r="DM2" s="307"/>
      <c r="DN2" s="307"/>
      <c r="DO2" s="307"/>
      <c r="DP2" s="307"/>
      <c r="DQ2" s="53"/>
      <c r="DR2" s="85"/>
      <c r="DS2" s="39"/>
      <c r="DT2" s="85"/>
      <c r="DU2" s="53"/>
      <c r="DV2" s="39"/>
      <c r="DW2" s="39"/>
      <c r="DX2" s="39"/>
      <c r="DY2" s="126"/>
      <c r="DZ2" s="307"/>
      <c r="EA2" s="307"/>
      <c r="EB2" s="311"/>
      <c r="EC2" s="312"/>
      <c r="ED2" s="312"/>
      <c r="EE2" s="312"/>
      <c r="EF2" s="312"/>
      <c r="EG2" s="313"/>
      <c r="EH2" s="189"/>
      <c r="EI2" s="307"/>
      <c r="EJ2" s="307"/>
      <c r="EK2" s="307"/>
      <c r="EL2" s="307"/>
      <c r="EM2" s="307"/>
      <c r="EN2" s="307"/>
      <c r="EO2" s="307"/>
      <c r="EP2" s="307"/>
      <c r="EQ2" s="307"/>
    </row>
    <row r="3" spans="1:154" ht="25.5" customHeight="1" x14ac:dyDescent="0.25">
      <c r="A3" s="314" t="s">
        <v>449</v>
      </c>
      <c r="B3" s="314"/>
      <c r="C3" s="314"/>
      <c r="D3" s="314"/>
      <c r="E3" s="314"/>
      <c r="F3" s="315" t="s">
        <v>114</v>
      </c>
      <c r="G3" s="315"/>
      <c r="H3" s="315"/>
      <c r="I3" s="315"/>
      <c r="J3" s="315"/>
      <c r="K3" s="314" t="str">
        <f>IF(A3="","",A3)</f>
        <v>Drinking Water System</v>
      </c>
      <c r="L3" s="314"/>
      <c r="M3" s="314"/>
      <c r="N3" s="314"/>
      <c r="O3" s="315" t="s">
        <v>125</v>
      </c>
      <c r="P3" s="315"/>
      <c r="Q3" s="315"/>
      <c r="R3" s="315"/>
      <c r="S3" s="315"/>
      <c r="T3" s="315"/>
      <c r="U3" s="315"/>
      <c r="V3" s="315"/>
      <c r="W3" s="314" t="str">
        <f>IF(A3="","",A3)</f>
        <v>Drinking Water System</v>
      </c>
      <c r="X3" s="314"/>
      <c r="Y3" s="314"/>
      <c r="Z3" s="314"/>
      <c r="AA3" s="314"/>
      <c r="AB3" s="315" t="s">
        <v>129</v>
      </c>
      <c r="AC3" s="315"/>
      <c r="AD3" s="315"/>
      <c r="AE3" s="315"/>
      <c r="AF3" s="315"/>
      <c r="AG3" s="314" t="str">
        <f>IF(A3="","",A3)</f>
        <v>Drinking Water System</v>
      </c>
      <c r="AH3" s="314"/>
      <c r="AI3" s="314"/>
      <c r="AJ3" s="314"/>
      <c r="AK3" s="314"/>
      <c r="AL3" s="315" t="s">
        <v>93</v>
      </c>
      <c r="AM3" s="315"/>
      <c r="AN3" s="315"/>
      <c r="AO3" s="315"/>
      <c r="AP3" s="315"/>
      <c r="AQ3" s="314" t="str">
        <f>IF(A3="","",A3)</f>
        <v>Drinking Water System</v>
      </c>
      <c r="AR3" s="314"/>
      <c r="AS3" s="314"/>
      <c r="AT3" s="314"/>
      <c r="AU3" s="314"/>
      <c r="AV3" s="315" t="s">
        <v>135</v>
      </c>
      <c r="AW3" s="315"/>
      <c r="AX3" s="315"/>
      <c r="AY3" s="315"/>
      <c r="AZ3" s="315"/>
      <c r="BA3" s="314" t="str">
        <f>IF(A3="","",A3)</f>
        <v>Drinking Water System</v>
      </c>
      <c r="BB3" s="314"/>
      <c r="BC3" s="314"/>
      <c r="BD3" s="314"/>
      <c r="BE3" s="314"/>
      <c r="BF3" s="369" t="s">
        <v>145</v>
      </c>
      <c r="BG3" s="369"/>
      <c r="BH3" s="369"/>
      <c r="BI3" s="369"/>
      <c r="BJ3" s="369"/>
      <c r="BK3" s="369"/>
      <c r="BL3" s="369"/>
      <c r="BM3" s="369"/>
      <c r="BN3" s="369"/>
      <c r="BO3" s="314" t="str">
        <f>IF(A3="","",A3)</f>
        <v>Drinking Water System</v>
      </c>
      <c r="BP3" s="314"/>
      <c r="BQ3" s="314"/>
      <c r="BR3" s="314"/>
      <c r="BS3" s="314"/>
      <c r="BT3" s="315" t="s">
        <v>100</v>
      </c>
      <c r="BU3" s="315"/>
      <c r="BV3" s="315"/>
      <c r="BW3" s="315"/>
      <c r="BX3" s="315"/>
      <c r="BY3" s="315"/>
      <c r="BZ3" s="315"/>
      <c r="CA3" s="314" t="str">
        <f>IF(A3="","",A3)</f>
        <v>Drinking Water System</v>
      </c>
      <c r="CB3" s="314"/>
      <c r="CC3" s="314"/>
      <c r="CD3" s="314"/>
      <c r="CE3" s="315" t="s">
        <v>154</v>
      </c>
      <c r="CF3" s="315"/>
      <c r="CG3" s="315"/>
      <c r="CH3" s="315"/>
      <c r="CI3" s="315"/>
      <c r="CJ3" s="314" t="str">
        <f>IF(A3="","",A3)</f>
        <v>Drinking Water System</v>
      </c>
      <c r="CK3" s="314"/>
      <c r="CL3" s="314"/>
      <c r="CM3" s="314"/>
      <c r="CN3" s="315" t="s">
        <v>155</v>
      </c>
      <c r="CO3" s="315"/>
      <c r="CP3" s="315"/>
      <c r="CQ3" s="315"/>
      <c r="CR3" s="315"/>
      <c r="CS3" s="314" t="str">
        <f>IF(A3="","",A3)</f>
        <v>Drinking Water System</v>
      </c>
      <c r="CT3" s="314"/>
      <c r="CU3" s="314"/>
      <c r="CV3" s="314"/>
      <c r="CW3" s="315" t="s">
        <v>101</v>
      </c>
      <c r="CX3" s="315"/>
      <c r="CY3" s="315"/>
      <c r="CZ3" s="315"/>
      <c r="DA3" s="315"/>
      <c r="DB3" s="315"/>
      <c r="DC3" s="314" t="str">
        <f>IF(A3="","",A3)</f>
        <v>Drinking Water System</v>
      </c>
      <c r="DD3" s="314"/>
      <c r="DE3" s="314"/>
      <c r="DF3" s="314"/>
      <c r="DG3" s="315" t="s">
        <v>159</v>
      </c>
      <c r="DH3" s="315"/>
      <c r="DI3" s="315"/>
      <c r="DJ3" s="315"/>
      <c r="DK3" s="315"/>
      <c r="DL3" s="329" t="str">
        <f>IF(A3="","",A3)</f>
        <v>Drinking Water System</v>
      </c>
      <c r="DM3" s="329"/>
      <c r="DN3" s="329"/>
      <c r="DO3" s="329"/>
      <c r="DP3" s="329"/>
      <c r="DQ3" s="370" t="s">
        <v>168</v>
      </c>
      <c r="DR3" s="370"/>
      <c r="DS3" s="370"/>
      <c r="DT3" s="370"/>
      <c r="DU3" s="370"/>
      <c r="DV3" s="370"/>
      <c r="DW3" s="370"/>
      <c r="DX3" s="370"/>
      <c r="DY3" s="370"/>
      <c r="DZ3" s="329" t="str">
        <f>IF(A3="","",A3)</f>
        <v>Drinking Water System</v>
      </c>
      <c r="EA3" s="329"/>
      <c r="EB3" s="329"/>
      <c r="EC3" s="329"/>
      <c r="ED3" s="329"/>
      <c r="EE3" s="329"/>
      <c r="EF3" s="370" t="s">
        <v>91</v>
      </c>
      <c r="EG3" s="370"/>
      <c r="EH3" s="370"/>
      <c r="EI3" s="314" t="str">
        <f>IF(A3="","",A3)</f>
        <v>Drinking Water System</v>
      </c>
      <c r="EJ3" s="314"/>
      <c r="EK3" s="314"/>
      <c r="EL3" s="314"/>
      <c r="EM3" s="315" t="s">
        <v>33</v>
      </c>
      <c r="EN3" s="315"/>
      <c r="EO3" s="315"/>
      <c r="EP3" s="315"/>
      <c r="EQ3" s="315"/>
    </row>
    <row r="4" spans="1:154" ht="17.149999999999999" customHeight="1" x14ac:dyDescent="0.35">
      <c r="A4" s="359" t="s">
        <v>1</v>
      </c>
      <c r="B4" s="359" t="s">
        <v>38</v>
      </c>
      <c r="C4" s="359"/>
      <c r="D4" s="359"/>
      <c r="E4" s="317" t="s">
        <v>24</v>
      </c>
      <c r="F4" s="317"/>
      <c r="G4" s="317"/>
      <c r="H4" s="358" t="s">
        <v>112</v>
      </c>
      <c r="I4" s="358"/>
      <c r="J4" s="360" t="s">
        <v>0</v>
      </c>
      <c r="K4" s="359" t="s">
        <v>1</v>
      </c>
      <c r="L4" s="358" t="s">
        <v>117</v>
      </c>
      <c r="M4" s="358"/>
      <c r="N4" s="358" t="s">
        <v>118</v>
      </c>
      <c r="O4" s="358"/>
      <c r="P4" s="358" t="s">
        <v>119</v>
      </c>
      <c r="Q4" s="358"/>
      <c r="R4" s="362" t="s">
        <v>120</v>
      </c>
      <c r="S4" s="363"/>
      <c r="T4" s="363"/>
      <c r="U4" s="364"/>
      <c r="V4" s="360" t="s">
        <v>0</v>
      </c>
      <c r="W4" s="346" t="s">
        <v>1</v>
      </c>
      <c r="X4" s="344" t="s">
        <v>63</v>
      </c>
      <c r="Y4" s="344"/>
      <c r="Z4" s="344"/>
      <c r="AA4" s="344"/>
      <c r="AB4" s="344" t="s">
        <v>126</v>
      </c>
      <c r="AC4" s="344"/>
      <c r="AD4" s="344"/>
      <c r="AE4" s="344"/>
      <c r="AF4" s="342" t="s">
        <v>0</v>
      </c>
      <c r="AG4" s="346" t="s">
        <v>1</v>
      </c>
      <c r="AH4" s="330" t="s">
        <v>93</v>
      </c>
      <c r="AI4" s="331"/>
      <c r="AJ4" s="331"/>
      <c r="AK4" s="331"/>
      <c r="AL4" s="331"/>
      <c r="AM4" s="331"/>
      <c r="AN4" s="331"/>
      <c r="AO4" s="332"/>
      <c r="AP4" s="342" t="s">
        <v>0</v>
      </c>
      <c r="AQ4" s="346" t="s">
        <v>1</v>
      </c>
      <c r="AR4" s="344" t="s">
        <v>132</v>
      </c>
      <c r="AS4" s="344"/>
      <c r="AT4" s="344"/>
      <c r="AU4" s="344"/>
      <c r="AV4" s="344" t="s">
        <v>94</v>
      </c>
      <c r="AW4" s="344"/>
      <c r="AX4" s="344"/>
      <c r="AY4" s="344"/>
      <c r="AZ4" s="342" t="s">
        <v>0</v>
      </c>
      <c r="BA4" s="317" t="s">
        <v>1</v>
      </c>
      <c r="BB4" s="317" t="s">
        <v>38</v>
      </c>
      <c r="BC4" s="317"/>
      <c r="BD4" s="317"/>
      <c r="BE4" s="317"/>
      <c r="BF4" s="317"/>
      <c r="BG4" s="326" t="s">
        <v>146</v>
      </c>
      <c r="BH4" s="316" t="s">
        <v>136</v>
      </c>
      <c r="BI4" s="316"/>
      <c r="BJ4" s="316" t="s">
        <v>139</v>
      </c>
      <c r="BK4" s="316"/>
      <c r="BL4" s="316" t="s">
        <v>142</v>
      </c>
      <c r="BM4" s="316"/>
      <c r="BN4" s="347" t="s">
        <v>0</v>
      </c>
      <c r="BO4" s="317" t="s">
        <v>1</v>
      </c>
      <c r="BP4" s="344" t="s">
        <v>147</v>
      </c>
      <c r="BQ4" s="344"/>
      <c r="BR4" s="344"/>
      <c r="BS4" s="344"/>
      <c r="BT4" s="344"/>
      <c r="BU4" s="344"/>
      <c r="BV4" s="344"/>
      <c r="BW4" s="344" t="s">
        <v>148</v>
      </c>
      <c r="BX4" s="344"/>
      <c r="BY4" s="344"/>
      <c r="BZ4" s="347" t="s">
        <v>0</v>
      </c>
      <c r="CA4" s="317" t="s">
        <v>1</v>
      </c>
      <c r="CB4" s="318" t="s">
        <v>150</v>
      </c>
      <c r="CC4" s="318" t="s">
        <v>151</v>
      </c>
      <c r="CD4" s="318" t="s">
        <v>78</v>
      </c>
      <c r="CE4" s="321" t="s">
        <v>79</v>
      </c>
      <c r="CF4" s="321" t="s">
        <v>77</v>
      </c>
      <c r="CG4" s="336" t="s">
        <v>152</v>
      </c>
      <c r="CH4" s="336" t="s">
        <v>153</v>
      </c>
      <c r="CI4" s="342" t="s">
        <v>0</v>
      </c>
      <c r="CJ4" s="317" t="s">
        <v>1</v>
      </c>
      <c r="CK4" s="318" t="s">
        <v>150</v>
      </c>
      <c r="CL4" s="318" t="s">
        <v>151</v>
      </c>
      <c r="CM4" s="318" t="s">
        <v>78</v>
      </c>
      <c r="CN4" s="318" t="s">
        <v>79</v>
      </c>
      <c r="CO4" s="318" t="s">
        <v>77</v>
      </c>
      <c r="CP4" s="336" t="s">
        <v>152</v>
      </c>
      <c r="CQ4" s="336" t="s">
        <v>153</v>
      </c>
      <c r="CR4" s="342" t="s">
        <v>0</v>
      </c>
      <c r="CS4" s="317" t="s">
        <v>1</v>
      </c>
      <c r="CT4" s="318" t="s">
        <v>150</v>
      </c>
      <c r="CU4" s="318" t="s">
        <v>157</v>
      </c>
      <c r="CV4" s="318" t="s">
        <v>78</v>
      </c>
      <c r="CW4" s="318" t="s">
        <v>158</v>
      </c>
      <c r="CX4" s="321" t="s">
        <v>77</v>
      </c>
      <c r="CY4" s="336" t="s">
        <v>152</v>
      </c>
      <c r="CZ4" s="336" t="s">
        <v>153</v>
      </c>
      <c r="DA4" s="339" t="s">
        <v>156</v>
      </c>
      <c r="DB4" s="342" t="s">
        <v>0</v>
      </c>
      <c r="DC4" s="317" t="s">
        <v>1</v>
      </c>
      <c r="DD4" s="318" t="s">
        <v>150</v>
      </c>
      <c r="DE4" s="318" t="s">
        <v>151</v>
      </c>
      <c r="DF4" s="318" t="s">
        <v>78</v>
      </c>
      <c r="DG4" s="321" t="s">
        <v>160</v>
      </c>
      <c r="DH4" s="318" t="s">
        <v>77</v>
      </c>
      <c r="DI4" s="336" t="s">
        <v>152</v>
      </c>
      <c r="DJ4" s="336" t="s">
        <v>153</v>
      </c>
      <c r="DK4" s="342" t="s">
        <v>0</v>
      </c>
      <c r="DL4" s="317" t="s">
        <v>1</v>
      </c>
      <c r="DM4" s="129" t="s">
        <v>37</v>
      </c>
      <c r="DN4" s="316" t="s">
        <v>76</v>
      </c>
      <c r="DO4" s="316"/>
      <c r="DP4" s="316" t="s">
        <v>92</v>
      </c>
      <c r="DQ4" s="316"/>
      <c r="DR4" s="316"/>
      <c r="DS4" s="316"/>
      <c r="DT4" s="316"/>
      <c r="DU4" s="316"/>
      <c r="DV4" s="316" t="s">
        <v>165</v>
      </c>
      <c r="DW4" s="316"/>
      <c r="DX4" s="316"/>
      <c r="DY4" s="347" t="s">
        <v>0</v>
      </c>
      <c r="DZ4" s="368" t="s">
        <v>1</v>
      </c>
      <c r="EA4" s="344" t="s">
        <v>170</v>
      </c>
      <c r="EB4" s="344"/>
      <c r="EC4" s="344"/>
      <c r="ED4" s="344" t="s">
        <v>104</v>
      </c>
      <c r="EE4" s="344"/>
      <c r="EF4" s="132" t="s">
        <v>121</v>
      </c>
      <c r="EG4" s="132" t="s">
        <v>122</v>
      </c>
      <c r="EH4" s="367" t="s">
        <v>0</v>
      </c>
      <c r="EI4" s="346" t="s">
        <v>1</v>
      </c>
      <c r="EJ4" s="361" t="s">
        <v>34</v>
      </c>
      <c r="EK4" s="361"/>
      <c r="EL4" s="361"/>
      <c r="EM4" s="361"/>
      <c r="EN4" s="361"/>
      <c r="EO4" s="361"/>
      <c r="EP4" s="361"/>
      <c r="EQ4" s="365" t="s">
        <v>0</v>
      </c>
    </row>
    <row r="5" spans="1:154" ht="17.149999999999999" customHeight="1" x14ac:dyDescent="0.35">
      <c r="A5" s="359"/>
      <c r="B5" s="357" t="s">
        <v>83</v>
      </c>
      <c r="C5" s="357" t="s">
        <v>111</v>
      </c>
      <c r="D5" s="356" t="s">
        <v>32</v>
      </c>
      <c r="E5" s="357" t="s">
        <v>83</v>
      </c>
      <c r="F5" s="357" t="s">
        <v>110</v>
      </c>
      <c r="G5" s="356" t="s">
        <v>32</v>
      </c>
      <c r="H5" s="357" t="s">
        <v>83</v>
      </c>
      <c r="I5" s="357" t="s">
        <v>109</v>
      </c>
      <c r="J5" s="360"/>
      <c r="K5" s="359"/>
      <c r="L5" s="357" t="s">
        <v>83</v>
      </c>
      <c r="M5" s="357" t="s">
        <v>116</v>
      </c>
      <c r="N5" s="357" t="s">
        <v>83</v>
      </c>
      <c r="O5" s="357" t="s">
        <v>66</v>
      </c>
      <c r="P5" s="357" t="s">
        <v>83</v>
      </c>
      <c r="Q5" s="357" t="s">
        <v>116</v>
      </c>
      <c r="R5" s="336" t="s">
        <v>121</v>
      </c>
      <c r="S5" s="336" t="s">
        <v>122</v>
      </c>
      <c r="T5" s="336" t="s">
        <v>123</v>
      </c>
      <c r="U5" s="336" t="s">
        <v>124</v>
      </c>
      <c r="V5" s="360"/>
      <c r="W5" s="346"/>
      <c r="X5" s="333" t="s">
        <v>20</v>
      </c>
      <c r="Y5" s="333"/>
      <c r="Z5" s="333" t="s">
        <v>21</v>
      </c>
      <c r="AA5" s="333"/>
      <c r="AB5" s="333" t="s">
        <v>127</v>
      </c>
      <c r="AC5" s="333"/>
      <c r="AD5" s="333" t="s">
        <v>128</v>
      </c>
      <c r="AE5" s="333"/>
      <c r="AF5" s="342"/>
      <c r="AG5" s="346"/>
      <c r="AH5" s="333" t="s">
        <v>130</v>
      </c>
      <c r="AI5" s="333"/>
      <c r="AJ5" s="333" t="s">
        <v>131</v>
      </c>
      <c r="AK5" s="333"/>
      <c r="AL5" s="333" t="s">
        <v>65</v>
      </c>
      <c r="AM5" s="333"/>
      <c r="AN5" s="333" t="s">
        <v>75</v>
      </c>
      <c r="AO5" s="333"/>
      <c r="AP5" s="342"/>
      <c r="AQ5" s="346"/>
      <c r="AR5" s="333" t="s">
        <v>133</v>
      </c>
      <c r="AS5" s="333"/>
      <c r="AT5" s="333" t="s">
        <v>134</v>
      </c>
      <c r="AU5" s="333"/>
      <c r="AV5" s="333" t="s">
        <v>95</v>
      </c>
      <c r="AW5" s="333"/>
      <c r="AX5" s="333" t="s">
        <v>96</v>
      </c>
      <c r="AY5" s="333"/>
      <c r="AZ5" s="342"/>
      <c r="BA5" s="317"/>
      <c r="BB5" s="343" t="s">
        <v>25</v>
      </c>
      <c r="BC5" s="366" t="s">
        <v>29</v>
      </c>
      <c r="BD5" s="335" t="s">
        <v>4</v>
      </c>
      <c r="BE5" s="335" t="s">
        <v>80</v>
      </c>
      <c r="BF5" s="335" t="s">
        <v>81</v>
      </c>
      <c r="BG5" s="326"/>
      <c r="BH5" s="343" t="s">
        <v>137</v>
      </c>
      <c r="BI5" s="343" t="s">
        <v>138</v>
      </c>
      <c r="BJ5" s="343" t="s">
        <v>140</v>
      </c>
      <c r="BK5" s="343" t="s">
        <v>141</v>
      </c>
      <c r="BL5" s="343" t="s">
        <v>143</v>
      </c>
      <c r="BM5" s="343" t="s">
        <v>144</v>
      </c>
      <c r="BN5" s="347"/>
      <c r="BO5" s="317"/>
      <c r="BP5" s="328" t="s">
        <v>31</v>
      </c>
      <c r="BQ5" s="354" t="s">
        <v>22</v>
      </c>
      <c r="BR5" s="326" t="s">
        <v>4</v>
      </c>
      <c r="BS5" s="326" t="s">
        <v>82</v>
      </c>
      <c r="BT5" s="326" t="s">
        <v>149</v>
      </c>
      <c r="BU5" s="328" t="s">
        <v>23</v>
      </c>
      <c r="BV5" s="327" t="s">
        <v>99</v>
      </c>
      <c r="BW5" s="327" t="s">
        <v>98</v>
      </c>
      <c r="BX5" s="355" t="s">
        <v>26</v>
      </c>
      <c r="BY5" s="355" t="s">
        <v>97</v>
      </c>
      <c r="BZ5" s="347"/>
      <c r="CA5" s="317"/>
      <c r="CB5" s="319"/>
      <c r="CC5" s="319"/>
      <c r="CD5" s="319"/>
      <c r="CE5" s="322"/>
      <c r="CF5" s="322"/>
      <c r="CG5" s="337"/>
      <c r="CH5" s="337"/>
      <c r="CI5" s="342"/>
      <c r="CJ5" s="317"/>
      <c r="CK5" s="319"/>
      <c r="CL5" s="319"/>
      <c r="CM5" s="319"/>
      <c r="CN5" s="319"/>
      <c r="CO5" s="319"/>
      <c r="CP5" s="337"/>
      <c r="CQ5" s="337"/>
      <c r="CR5" s="342"/>
      <c r="CS5" s="317"/>
      <c r="CT5" s="319"/>
      <c r="CU5" s="319"/>
      <c r="CV5" s="319"/>
      <c r="CW5" s="319"/>
      <c r="CX5" s="322"/>
      <c r="CY5" s="337"/>
      <c r="CZ5" s="337"/>
      <c r="DA5" s="340"/>
      <c r="DB5" s="342"/>
      <c r="DC5" s="317"/>
      <c r="DD5" s="319"/>
      <c r="DE5" s="319"/>
      <c r="DF5" s="319"/>
      <c r="DG5" s="322"/>
      <c r="DH5" s="319"/>
      <c r="DI5" s="337"/>
      <c r="DJ5" s="337"/>
      <c r="DK5" s="342"/>
      <c r="DL5" s="317"/>
      <c r="DM5" s="327" t="s">
        <v>4</v>
      </c>
      <c r="DN5" s="328" t="s">
        <v>161</v>
      </c>
      <c r="DO5" s="328" t="s">
        <v>162</v>
      </c>
      <c r="DP5" s="328" t="s">
        <v>85</v>
      </c>
      <c r="DQ5" s="327" t="s">
        <v>4</v>
      </c>
      <c r="DR5" s="326" t="s">
        <v>82</v>
      </c>
      <c r="DS5" s="328" t="s">
        <v>163</v>
      </c>
      <c r="DT5" s="326" t="s">
        <v>164</v>
      </c>
      <c r="DU5" s="327" t="s">
        <v>169</v>
      </c>
      <c r="DV5" s="328" t="s">
        <v>172</v>
      </c>
      <c r="DW5" s="328" t="s">
        <v>166</v>
      </c>
      <c r="DX5" s="328" t="s">
        <v>167</v>
      </c>
      <c r="DY5" s="347"/>
      <c r="DZ5" s="368"/>
      <c r="EA5" s="348" t="s">
        <v>173</v>
      </c>
      <c r="EB5" s="348" t="s">
        <v>174</v>
      </c>
      <c r="EC5" s="348" t="s">
        <v>171</v>
      </c>
      <c r="ED5" s="327" t="s">
        <v>86</v>
      </c>
      <c r="EE5" s="327"/>
      <c r="EF5" s="327" t="s">
        <v>84</v>
      </c>
      <c r="EG5" s="327" t="s">
        <v>84</v>
      </c>
      <c r="EH5" s="367"/>
      <c r="EI5" s="346"/>
      <c r="EJ5" s="361"/>
      <c r="EK5" s="361"/>
      <c r="EL5" s="361"/>
      <c r="EM5" s="361"/>
      <c r="EN5" s="361"/>
      <c r="EO5" s="361"/>
      <c r="EP5" s="361"/>
      <c r="EQ5" s="365"/>
    </row>
    <row r="6" spans="1:154" ht="17.149999999999999" customHeight="1" x14ac:dyDescent="0.35">
      <c r="A6" s="359"/>
      <c r="B6" s="357"/>
      <c r="C6" s="357"/>
      <c r="D6" s="356"/>
      <c r="E6" s="357"/>
      <c r="F6" s="357"/>
      <c r="G6" s="356"/>
      <c r="H6" s="357"/>
      <c r="I6" s="357"/>
      <c r="J6" s="360"/>
      <c r="K6" s="359"/>
      <c r="L6" s="357"/>
      <c r="M6" s="357"/>
      <c r="N6" s="357"/>
      <c r="O6" s="357"/>
      <c r="P6" s="357"/>
      <c r="Q6" s="357"/>
      <c r="R6" s="337"/>
      <c r="S6" s="337"/>
      <c r="T6" s="337"/>
      <c r="U6" s="337"/>
      <c r="V6" s="360"/>
      <c r="W6" s="346"/>
      <c r="X6" s="333" t="s">
        <v>5</v>
      </c>
      <c r="Y6" s="333" t="s">
        <v>6</v>
      </c>
      <c r="Z6" s="333" t="s">
        <v>5</v>
      </c>
      <c r="AA6" s="333" t="s">
        <v>6</v>
      </c>
      <c r="AB6" s="333" t="s">
        <v>5</v>
      </c>
      <c r="AC6" s="333" t="s">
        <v>6</v>
      </c>
      <c r="AD6" s="333" t="s">
        <v>5</v>
      </c>
      <c r="AE6" s="333" t="s">
        <v>6</v>
      </c>
      <c r="AF6" s="342"/>
      <c r="AG6" s="346"/>
      <c r="AH6" s="333" t="s">
        <v>5</v>
      </c>
      <c r="AI6" s="333" t="s">
        <v>6</v>
      </c>
      <c r="AJ6" s="333" t="s">
        <v>5</v>
      </c>
      <c r="AK6" s="333" t="s">
        <v>6</v>
      </c>
      <c r="AL6" s="333" t="s">
        <v>5</v>
      </c>
      <c r="AM6" s="333" t="s">
        <v>6</v>
      </c>
      <c r="AN6" s="333" t="s">
        <v>5</v>
      </c>
      <c r="AO6" s="333" t="s">
        <v>6</v>
      </c>
      <c r="AP6" s="342"/>
      <c r="AQ6" s="346"/>
      <c r="AR6" s="333" t="s">
        <v>5</v>
      </c>
      <c r="AS6" s="333" t="s">
        <v>6</v>
      </c>
      <c r="AT6" s="333" t="s">
        <v>5</v>
      </c>
      <c r="AU6" s="333" t="s">
        <v>6</v>
      </c>
      <c r="AV6" s="333" t="s">
        <v>5</v>
      </c>
      <c r="AW6" s="333" t="s">
        <v>6</v>
      </c>
      <c r="AX6" s="333" t="s">
        <v>5</v>
      </c>
      <c r="AY6" s="333" t="s">
        <v>6</v>
      </c>
      <c r="AZ6" s="342"/>
      <c r="BA6" s="317"/>
      <c r="BB6" s="343"/>
      <c r="BC6" s="366"/>
      <c r="BD6" s="335"/>
      <c r="BE6" s="335"/>
      <c r="BF6" s="335"/>
      <c r="BG6" s="326"/>
      <c r="BH6" s="343"/>
      <c r="BI6" s="343"/>
      <c r="BJ6" s="343"/>
      <c r="BK6" s="343"/>
      <c r="BL6" s="343"/>
      <c r="BM6" s="343"/>
      <c r="BN6" s="347"/>
      <c r="BO6" s="317"/>
      <c r="BP6" s="328"/>
      <c r="BQ6" s="354"/>
      <c r="BR6" s="326"/>
      <c r="BS6" s="326"/>
      <c r="BT6" s="326"/>
      <c r="BU6" s="328"/>
      <c r="BV6" s="327"/>
      <c r="BW6" s="327"/>
      <c r="BX6" s="355"/>
      <c r="BY6" s="355"/>
      <c r="BZ6" s="347"/>
      <c r="CA6" s="317"/>
      <c r="CB6" s="319"/>
      <c r="CC6" s="319"/>
      <c r="CD6" s="319"/>
      <c r="CE6" s="322"/>
      <c r="CF6" s="322"/>
      <c r="CG6" s="337"/>
      <c r="CH6" s="337"/>
      <c r="CI6" s="342"/>
      <c r="CJ6" s="317"/>
      <c r="CK6" s="319"/>
      <c r="CL6" s="319"/>
      <c r="CM6" s="319"/>
      <c r="CN6" s="319"/>
      <c r="CO6" s="319"/>
      <c r="CP6" s="337"/>
      <c r="CQ6" s="337"/>
      <c r="CR6" s="342"/>
      <c r="CS6" s="317"/>
      <c r="CT6" s="319"/>
      <c r="CU6" s="319"/>
      <c r="CV6" s="319"/>
      <c r="CW6" s="319"/>
      <c r="CX6" s="322"/>
      <c r="CY6" s="337"/>
      <c r="CZ6" s="337"/>
      <c r="DA6" s="340"/>
      <c r="DB6" s="342"/>
      <c r="DC6" s="317"/>
      <c r="DD6" s="319"/>
      <c r="DE6" s="319"/>
      <c r="DF6" s="319"/>
      <c r="DG6" s="322"/>
      <c r="DH6" s="319"/>
      <c r="DI6" s="337"/>
      <c r="DJ6" s="337"/>
      <c r="DK6" s="342"/>
      <c r="DL6" s="317"/>
      <c r="DM6" s="327"/>
      <c r="DN6" s="328"/>
      <c r="DO6" s="328"/>
      <c r="DP6" s="328"/>
      <c r="DQ6" s="327"/>
      <c r="DR6" s="326"/>
      <c r="DS6" s="328"/>
      <c r="DT6" s="326"/>
      <c r="DU6" s="327"/>
      <c r="DV6" s="328"/>
      <c r="DW6" s="328"/>
      <c r="DX6" s="328"/>
      <c r="DY6" s="347"/>
      <c r="DZ6" s="368"/>
      <c r="EA6" s="348"/>
      <c r="EB6" s="348"/>
      <c r="EC6" s="348"/>
      <c r="ED6" s="327" t="s">
        <v>102</v>
      </c>
      <c r="EE6" s="327" t="s">
        <v>103</v>
      </c>
      <c r="EF6" s="327"/>
      <c r="EG6" s="327"/>
      <c r="EH6" s="367"/>
      <c r="EI6" s="346"/>
      <c r="EJ6" s="361"/>
      <c r="EK6" s="361"/>
      <c r="EL6" s="361"/>
      <c r="EM6" s="361"/>
      <c r="EN6" s="361"/>
      <c r="EO6" s="361"/>
      <c r="EP6" s="361"/>
      <c r="EQ6" s="365"/>
    </row>
    <row r="7" spans="1:154" ht="17.149999999999999" customHeight="1" x14ac:dyDescent="0.35">
      <c r="A7" s="359"/>
      <c r="B7" s="357"/>
      <c r="C7" s="357"/>
      <c r="D7" s="356"/>
      <c r="E7" s="357"/>
      <c r="F7" s="357"/>
      <c r="G7" s="356"/>
      <c r="H7" s="357"/>
      <c r="I7" s="357"/>
      <c r="J7" s="360"/>
      <c r="K7" s="359"/>
      <c r="L7" s="357"/>
      <c r="M7" s="357"/>
      <c r="N7" s="357"/>
      <c r="O7" s="357"/>
      <c r="P7" s="357"/>
      <c r="Q7" s="357"/>
      <c r="R7" s="338"/>
      <c r="S7" s="338"/>
      <c r="T7" s="338"/>
      <c r="U7" s="338"/>
      <c r="V7" s="360"/>
      <c r="W7" s="346"/>
      <c r="X7" s="333"/>
      <c r="Y7" s="333"/>
      <c r="Z7" s="333"/>
      <c r="AA7" s="333"/>
      <c r="AB7" s="333"/>
      <c r="AC7" s="333"/>
      <c r="AD7" s="333"/>
      <c r="AE7" s="333"/>
      <c r="AF7" s="342"/>
      <c r="AG7" s="346"/>
      <c r="AH7" s="333"/>
      <c r="AI7" s="333"/>
      <c r="AJ7" s="333"/>
      <c r="AK7" s="333"/>
      <c r="AL7" s="333"/>
      <c r="AM7" s="333"/>
      <c r="AN7" s="333"/>
      <c r="AO7" s="333"/>
      <c r="AP7" s="342"/>
      <c r="AQ7" s="346"/>
      <c r="AR7" s="333"/>
      <c r="AS7" s="333"/>
      <c r="AT7" s="333"/>
      <c r="AU7" s="333"/>
      <c r="AV7" s="333"/>
      <c r="AW7" s="333"/>
      <c r="AX7" s="333"/>
      <c r="AY7" s="333"/>
      <c r="AZ7" s="342"/>
      <c r="BA7" s="317"/>
      <c r="BB7" s="343"/>
      <c r="BC7" s="366"/>
      <c r="BD7" s="335"/>
      <c r="BE7" s="335"/>
      <c r="BF7" s="335"/>
      <c r="BG7" s="326"/>
      <c r="BH7" s="343"/>
      <c r="BI7" s="343"/>
      <c r="BJ7" s="343"/>
      <c r="BK7" s="343"/>
      <c r="BL7" s="343"/>
      <c r="BM7" s="343"/>
      <c r="BN7" s="347"/>
      <c r="BO7" s="317"/>
      <c r="BP7" s="328"/>
      <c r="BQ7" s="354"/>
      <c r="BR7" s="326"/>
      <c r="BS7" s="326"/>
      <c r="BT7" s="326"/>
      <c r="BU7" s="328"/>
      <c r="BV7" s="327"/>
      <c r="BW7" s="327"/>
      <c r="BX7" s="355"/>
      <c r="BY7" s="355"/>
      <c r="BZ7" s="347"/>
      <c r="CA7" s="317"/>
      <c r="CB7" s="320"/>
      <c r="CC7" s="320"/>
      <c r="CD7" s="320"/>
      <c r="CE7" s="323"/>
      <c r="CF7" s="323"/>
      <c r="CG7" s="338"/>
      <c r="CH7" s="338"/>
      <c r="CI7" s="342"/>
      <c r="CJ7" s="317"/>
      <c r="CK7" s="320"/>
      <c r="CL7" s="320"/>
      <c r="CM7" s="320"/>
      <c r="CN7" s="320"/>
      <c r="CO7" s="320"/>
      <c r="CP7" s="338"/>
      <c r="CQ7" s="338"/>
      <c r="CR7" s="342"/>
      <c r="CS7" s="317"/>
      <c r="CT7" s="320"/>
      <c r="CU7" s="320"/>
      <c r="CV7" s="320"/>
      <c r="CW7" s="320"/>
      <c r="CX7" s="323"/>
      <c r="CY7" s="338"/>
      <c r="CZ7" s="338"/>
      <c r="DA7" s="341"/>
      <c r="DB7" s="342"/>
      <c r="DC7" s="317"/>
      <c r="DD7" s="320"/>
      <c r="DE7" s="320"/>
      <c r="DF7" s="320"/>
      <c r="DG7" s="323"/>
      <c r="DH7" s="320"/>
      <c r="DI7" s="338"/>
      <c r="DJ7" s="338"/>
      <c r="DK7" s="342"/>
      <c r="DL7" s="317"/>
      <c r="DM7" s="327"/>
      <c r="DN7" s="328"/>
      <c r="DO7" s="328"/>
      <c r="DP7" s="328"/>
      <c r="DQ7" s="327"/>
      <c r="DR7" s="326"/>
      <c r="DS7" s="328"/>
      <c r="DT7" s="326"/>
      <c r="DU7" s="327"/>
      <c r="DV7" s="328"/>
      <c r="DW7" s="328"/>
      <c r="DX7" s="328"/>
      <c r="DY7" s="347"/>
      <c r="DZ7" s="368"/>
      <c r="EA7" s="348"/>
      <c r="EB7" s="348"/>
      <c r="EC7" s="348"/>
      <c r="ED7" s="327"/>
      <c r="EE7" s="327"/>
      <c r="EF7" s="327"/>
      <c r="EG7" s="327"/>
      <c r="EH7" s="367"/>
      <c r="EI7" s="346"/>
      <c r="EJ7" s="361"/>
      <c r="EK7" s="361"/>
      <c r="EL7" s="361"/>
      <c r="EM7" s="361"/>
      <c r="EN7" s="361"/>
      <c r="EO7" s="361"/>
      <c r="EP7" s="361"/>
      <c r="EQ7" s="365"/>
    </row>
    <row r="8" spans="1:154" s="3" customFormat="1" ht="17.149999999999999" customHeight="1" x14ac:dyDescent="0.25">
      <c r="A8" s="56">
        <v>1</v>
      </c>
      <c r="B8" s="57">
        <v>900559</v>
      </c>
      <c r="C8" s="58">
        <f>IF(B9="","",IF(B9=B8,"",(B9-B8)))</f>
        <v>195</v>
      </c>
      <c r="D8" s="167">
        <v>11.91</v>
      </c>
      <c r="E8" s="59">
        <v>804834</v>
      </c>
      <c r="F8" s="58">
        <f>IF(E9="","",IF(E9=E8,"",(E9-E8)))</f>
        <v>266</v>
      </c>
      <c r="G8" s="168">
        <v>3.2</v>
      </c>
      <c r="H8" s="57">
        <v>760448</v>
      </c>
      <c r="I8" s="58">
        <f t="shared" ref="I8:I37" si="0">IF(H9="","",IF(H9=H8,"",(H9-H8)))</f>
        <v>161</v>
      </c>
      <c r="J8" s="60" t="s">
        <v>194</v>
      </c>
      <c r="K8" s="56">
        <v>1</v>
      </c>
      <c r="L8" s="57">
        <v>70479</v>
      </c>
      <c r="M8" s="58" t="str">
        <f>IF(L9="","",IF(L9=L8,"",(L9-L8)))</f>
        <v/>
      </c>
      <c r="N8" s="59">
        <v>179281</v>
      </c>
      <c r="O8" s="58">
        <f>IF(N9="","",IF(N9=N8,"",(N9-N8)))</f>
        <v>76</v>
      </c>
      <c r="P8" s="57">
        <v>194749</v>
      </c>
      <c r="Q8" s="58" t="str">
        <f t="shared" ref="Q8:Q37" si="1">IF(P9="","",IF(P9=P8,"",(P9-P8)))</f>
        <v/>
      </c>
      <c r="R8" s="57">
        <v>683</v>
      </c>
      <c r="S8" s="57">
        <v>691</v>
      </c>
      <c r="T8" s="170">
        <v>143</v>
      </c>
      <c r="U8" s="57">
        <v>140</v>
      </c>
      <c r="V8" s="58" t="str">
        <f>IF(J8="","",J8)</f>
        <v>ME</v>
      </c>
      <c r="W8" s="56">
        <v>1</v>
      </c>
      <c r="X8" s="63">
        <v>11908.2</v>
      </c>
      <c r="Y8" s="130">
        <f>IF(X9="","",IF(X9=X8,"",X9-X8))</f>
        <v>2.5199999999986176</v>
      </c>
      <c r="Z8" s="63">
        <v>12678.78</v>
      </c>
      <c r="AA8" s="130">
        <f>IF(Z9="","",IF(Z9=Z8,"",Z9-Z8))</f>
        <v>2.1199999999989814</v>
      </c>
      <c r="AB8" s="63">
        <v>9962.89</v>
      </c>
      <c r="AC8" s="130" t="str">
        <f>IF(AB9="","",IF(AB9=AB8,"",AB9-AB8))</f>
        <v/>
      </c>
      <c r="AD8" s="63">
        <v>10111.98</v>
      </c>
      <c r="AE8" s="130">
        <f t="shared" ref="AE8:AE37" si="2">IF(AD9="","",IF(AD9=AD8,"",AD9-AD8))</f>
        <v>3.6200000000008004</v>
      </c>
      <c r="AF8" s="125" t="str">
        <f>IF(J8="","",J8)</f>
        <v>ME</v>
      </c>
      <c r="AG8" s="56">
        <v>1</v>
      </c>
      <c r="AH8" s="63">
        <v>47584.68</v>
      </c>
      <c r="AI8" s="130">
        <f>IF(AH9="","",IF(AH9=AH8,"",AH9-AH8))</f>
        <v>5.2900000000008731</v>
      </c>
      <c r="AJ8" s="63">
        <v>49736.74</v>
      </c>
      <c r="AK8" s="130">
        <f>IF(AJ9="","",IF(AJ9=AJ8,"",AJ9-AJ8))</f>
        <v>23.180000000000291</v>
      </c>
      <c r="AL8" s="63">
        <v>591.23</v>
      </c>
      <c r="AM8" s="130">
        <f>IF(AL9="","",IF(AL9=AL8,"",AL9-AL8))</f>
        <v>4.9999999999954525E-2</v>
      </c>
      <c r="AN8" s="63">
        <v>552.1</v>
      </c>
      <c r="AO8" s="130" t="str">
        <f t="shared" ref="AO8:AO37" si="3">IF(AN9="","",IF(AN9=AN8,"",AN9-AN8))</f>
        <v/>
      </c>
      <c r="AP8" s="125" t="str">
        <f>IF(J8="","",J8)</f>
        <v>ME</v>
      </c>
      <c r="AQ8" s="56">
        <v>1</v>
      </c>
      <c r="AR8" s="63">
        <v>6855.27</v>
      </c>
      <c r="AS8" s="130">
        <f>IF(AR9="","",IF(AR9=AR8,"",AR9-AR8))</f>
        <v>2.4499999999998181</v>
      </c>
      <c r="AT8" s="63">
        <v>7632.92</v>
      </c>
      <c r="AU8" s="130">
        <f>IF(AT9="","",IF(AT9=AT8,"",AT9-AT8))</f>
        <v>2.319999999999709</v>
      </c>
      <c r="AV8" s="63">
        <v>259.02</v>
      </c>
      <c r="AW8" s="130" t="str">
        <f>IF(AV9="","",IF(AV9=AV8,"",AV9-AV8))</f>
        <v/>
      </c>
      <c r="AX8" s="63">
        <v>245.35</v>
      </c>
      <c r="AY8" s="130" t="str">
        <f t="shared" ref="AY8:AY37" si="4">IF(AX9="","",IF(AX9=AX8,"",AX9-AX8))</f>
        <v/>
      </c>
      <c r="AZ8" s="125" t="str">
        <f>IF(J8="","",J8)</f>
        <v>ME</v>
      </c>
      <c r="BA8" s="56">
        <v>1</v>
      </c>
      <c r="BB8" s="64"/>
      <c r="BC8" s="62"/>
      <c r="BD8" s="61"/>
      <c r="BE8" s="61"/>
      <c r="BF8" s="61"/>
      <c r="BG8" s="61"/>
      <c r="BH8" s="64"/>
      <c r="BI8" s="64"/>
      <c r="BJ8" s="64"/>
      <c r="BK8" s="64"/>
      <c r="BL8" s="64"/>
      <c r="BM8" s="64"/>
      <c r="BN8" s="65" t="str">
        <f>IF(J8="","",J8)</f>
        <v>ME</v>
      </c>
      <c r="BO8" s="56">
        <v>1</v>
      </c>
      <c r="BP8" s="64">
        <v>0.109</v>
      </c>
      <c r="BQ8" s="62"/>
      <c r="BR8" s="61"/>
      <c r="BS8" s="61"/>
      <c r="BT8" s="61"/>
      <c r="BU8" s="64"/>
      <c r="BV8" s="63">
        <v>1.1100000000000001</v>
      </c>
      <c r="BW8" s="63">
        <v>0.87</v>
      </c>
      <c r="BX8" s="66" t="s">
        <v>245</v>
      </c>
      <c r="BY8" s="172" t="s">
        <v>246</v>
      </c>
      <c r="BZ8" s="67" t="str">
        <f>IF(J8="","",J8)</f>
        <v>ME</v>
      </c>
      <c r="CA8" s="56">
        <v>1</v>
      </c>
      <c r="CB8" s="61">
        <v>83.4</v>
      </c>
      <c r="CC8" s="61">
        <v>99.2</v>
      </c>
      <c r="CD8" s="68">
        <f>IF(CB9="","",IF(CC8="",IF(CB8=CB9,"",(CB8-CB9)),IF(CC8=CB9,"",(CC8-CB9))))</f>
        <v>2.1000000000000085</v>
      </c>
      <c r="CE8" s="69">
        <f>IF(CD8="","",(CD8*(0.785*77*77)/1000))</f>
        <v>9.7739565000000397</v>
      </c>
      <c r="CF8" s="69">
        <f>IF(CE8="","",(CE8*0.12*1000)/I8)</f>
        <v>7.2849365217391604</v>
      </c>
      <c r="CG8" s="62">
        <v>78</v>
      </c>
      <c r="CH8" s="62">
        <v>100</v>
      </c>
      <c r="CI8" s="65" t="str">
        <f>IF(J8="","",J8)</f>
        <v>ME</v>
      </c>
      <c r="CJ8" s="56">
        <v>1</v>
      </c>
      <c r="CK8" s="61">
        <v>90.9</v>
      </c>
      <c r="CL8" s="61"/>
      <c r="CM8" s="68">
        <f>IF(CK9="","",IF(CL8="",IF(CK8=CK9,"",(CK8-CK9)),IF(CL8=CK9,"",(CL8-CK9))))</f>
        <v>2.5</v>
      </c>
      <c r="CN8" s="68">
        <f>IF(CM8="","",(CM8*(0.785*77*77)/1000))</f>
        <v>11.6356625</v>
      </c>
      <c r="CO8" s="68">
        <f>IF(CN8="","",(CN8*0.33*1.205*1000)/C8)</f>
        <v>23.727800990384623</v>
      </c>
      <c r="CP8" s="62">
        <v>60</v>
      </c>
      <c r="CQ8" s="62">
        <v>83</v>
      </c>
      <c r="CR8" s="65" t="str">
        <f>IF(J8="","",J8)</f>
        <v>ME</v>
      </c>
      <c r="CS8" s="56">
        <v>1</v>
      </c>
      <c r="CT8" s="61">
        <v>88.8</v>
      </c>
      <c r="CU8" s="61">
        <v>113.1</v>
      </c>
      <c r="CV8" s="68">
        <f>IF(CT9="","",IF(CU8="",IF(CT8=CT9,"",(CT8-CT9)),IF(CU8=CT9,"",(CU8-CT9))))</f>
        <v>2.2999999999999972</v>
      </c>
      <c r="CW8" s="68">
        <f>IF(CV8="","",(CV8*(0.785*92*92)/1000))</f>
        <v>15.28175199999998</v>
      </c>
      <c r="CX8" s="69">
        <f>IF(CW8="","",(CW8)/C8)</f>
        <v>7.8367958974358873E-2</v>
      </c>
      <c r="CY8" s="66" t="s">
        <v>405</v>
      </c>
      <c r="CZ8" s="66" t="s">
        <v>241</v>
      </c>
      <c r="DA8" s="66"/>
      <c r="DB8" s="65" t="str">
        <f>IF(J8="","",J8)</f>
        <v>ME</v>
      </c>
      <c r="DC8" s="56">
        <v>1</v>
      </c>
      <c r="DD8" s="61">
        <v>65.8</v>
      </c>
      <c r="DE8" s="61">
        <v>104.9</v>
      </c>
      <c r="DF8" s="68">
        <f>IF(DD9="","",IF(DE8="",IF(DD8=DD9,"",(DD8-DD9)),IF(DE8=DD9,"",(DE8-DD9))))</f>
        <v>16.700000000000003</v>
      </c>
      <c r="DG8" s="69">
        <f>IF(DF8="","",(DF8*(0.785*92*92)*0.00812/1000))</f>
        <v>0.90098552096000029</v>
      </c>
      <c r="DH8" s="68">
        <f>IF(DG8="","",(DG8*1000)/C8)</f>
        <v>4.6204385690256426</v>
      </c>
      <c r="DI8" s="62">
        <v>98</v>
      </c>
      <c r="DJ8" s="62">
        <v>54</v>
      </c>
      <c r="DK8" s="65" t="str">
        <f>IF(J8="","",J8)</f>
        <v>ME</v>
      </c>
      <c r="DL8" s="56">
        <v>1</v>
      </c>
      <c r="DM8" s="63">
        <v>8.31</v>
      </c>
      <c r="DN8" s="64">
        <v>4.4999999999999998E-2</v>
      </c>
      <c r="DO8" s="64">
        <v>3.9E-2</v>
      </c>
      <c r="DP8" s="64">
        <v>0.08</v>
      </c>
      <c r="DQ8" s="63">
        <v>6.93</v>
      </c>
      <c r="DR8" s="61">
        <v>21.2</v>
      </c>
      <c r="DS8" s="64">
        <v>1.079</v>
      </c>
      <c r="DT8" s="61">
        <v>85.5</v>
      </c>
      <c r="DU8" s="63">
        <v>4.28</v>
      </c>
      <c r="DV8" s="64">
        <v>3.5350000000000001</v>
      </c>
      <c r="DW8" s="64">
        <v>1.32</v>
      </c>
      <c r="DX8" s="66" t="s">
        <v>242</v>
      </c>
      <c r="DY8" s="65" t="str">
        <f>IF(J8="","",J8)</f>
        <v>ME</v>
      </c>
      <c r="DZ8" s="128">
        <v>1</v>
      </c>
      <c r="EA8" s="173">
        <f>IF(C8="","",C8/1496)</f>
        <v>0.13034759358288769</v>
      </c>
      <c r="EB8" s="173">
        <f>IF(F8="","",IF(Q8="",F8/1360,(F8+Q8)/1360))</f>
        <v>0.19558823529411765</v>
      </c>
      <c r="EC8" s="173">
        <f>IF(I8="","",IF(C8="","",I8/C8))</f>
        <v>0.82564102564102559</v>
      </c>
      <c r="ED8" s="63">
        <v>0</v>
      </c>
      <c r="EE8" s="63">
        <v>5.63</v>
      </c>
      <c r="EF8" s="63">
        <v>0.05</v>
      </c>
      <c r="EG8" s="63">
        <v>0.14000000000000001</v>
      </c>
      <c r="EH8" s="127" t="str">
        <f t="shared" ref="EH8:EH38" si="5">IF(J8="","",J8)</f>
        <v>ME</v>
      </c>
      <c r="EI8" s="56">
        <v>1</v>
      </c>
      <c r="EJ8" s="3" t="s">
        <v>407</v>
      </c>
      <c r="EQ8" s="65" t="str">
        <f>IF(J8="","",J8)</f>
        <v>ME</v>
      </c>
      <c r="ER8" s="20"/>
      <c r="ES8" s="20"/>
      <c r="ET8" s="20"/>
      <c r="EU8" s="20"/>
      <c r="EV8" s="20"/>
      <c r="EW8" s="20"/>
      <c r="EX8" s="20"/>
    </row>
    <row r="9" spans="1:154" s="3" customFormat="1" ht="17.149999999999999" customHeight="1" x14ac:dyDescent="0.25">
      <c r="A9" s="56">
        <v>2</v>
      </c>
      <c r="B9" s="57">
        <v>900754</v>
      </c>
      <c r="C9" s="58">
        <f t="shared" ref="C9:C37" si="6">IF(B10="","",IF(B10=B9,"",(B10-B9)))</f>
        <v>197</v>
      </c>
      <c r="D9" s="167">
        <v>12.02</v>
      </c>
      <c r="E9" s="57">
        <v>805100</v>
      </c>
      <c r="F9" s="58">
        <f t="shared" ref="F9:F37" si="7">IF(E10="","",IF(E10=E9,"",(E10-E9)))</f>
        <v>208</v>
      </c>
      <c r="G9" s="168">
        <v>1.03</v>
      </c>
      <c r="H9" s="57">
        <v>760609</v>
      </c>
      <c r="I9" s="58">
        <f t="shared" si="0"/>
        <v>174</v>
      </c>
      <c r="J9" s="60" t="s">
        <v>194</v>
      </c>
      <c r="K9" s="56">
        <v>2</v>
      </c>
      <c r="L9" s="57">
        <v>70479</v>
      </c>
      <c r="M9" s="58" t="str">
        <f t="shared" ref="M9:M37" si="8">IF(L10="","",IF(L10=L9,"",(L10-L9)))</f>
        <v/>
      </c>
      <c r="N9" s="57">
        <v>179357</v>
      </c>
      <c r="O9" s="58">
        <f t="shared" ref="O9:O37" si="9">IF(N10="","",IF(N10=N9,"",(N10-N9)))</f>
        <v>44</v>
      </c>
      <c r="P9" s="57">
        <v>194749</v>
      </c>
      <c r="Q9" s="58" t="str">
        <f t="shared" si="1"/>
        <v/>
      </c>
      <c r="R9" s="57">
        <v>683</v>
      </c>
      <c r="S9" s="57">
        <v>691</v>
      </c>
      <c r="T9" s="170">
        <v>143</v>
      </c>
      <c r="U9" s="57">
        <v>140</v>
      </c>
      <c r="V9" s="58" t="str">
        <f t="shared" ref="V9:V38" si="10">IF(J9="","",J9)</f>
        <v>ME</v>
      </c>
      <c r="W9" s="56">
        <v>2</v>
      </c>
      <c r="X9" s="63">
        <v>11910.72</v>
      </c>
      <c r="Y9" s="130">
        <f t="shared" ref="Y9:Y37" si="11">IF(X10="","",IF(X10=X9,"",X10-X9))</f>
        <v>1.8700000000008004</v>
      </c>
      <c r="Z9" s="63">
        <v>12680.9</v>
      </c>
      <c r="AA9" s="130">
        <f t="shared" ref="AA9:AA37" si="12">IF(Z10="","",IF(Z10=Z9,"",Z10-Z9))</f>
        <v>2.75</v>
      </c>
      <c r="AB9" s="63">
        <v>9962.89</v>
      </c>
      <c r="AC9" s="130" t="str">
        <f t="shared" ref="AC9:AC37" si="13">IF(AB10="","",IF(AB10=AB9,"",AB10-AB9))</f>
        <v/>
      </c>
      <c r="AD9" s="63">
        <v>10115.6</v>
      </c>
      <c r="AE9" s="130">
        <f t="shared" si="2"/>
        <v>3.8799999999991996</v>
      </c>
      <c r="AF9" s="125" t="str">
        <f t="shared" ref="AF9:AF38" si="14">IF(J9="","",J9)</f>
        <v>ME</v>
      </c>
      <c r="AG9" s="56">
        <v>2</v>
      </c>
      <c r="AH9" s="63">
        <v>47589.97</v>
      </c>
      <c r="AI9" s="130">
        <f t="shared" ref="AI9:AI37" si="15">IF(AH10="","",IF(AH10=AH9,"",AH10-AH9))</f>
        <v>11.059999999997672</v>
      </c>
      <c r="AJ9" s="63">
        <v>49759.92</v>
      </c>
      <c r="AK9" s="130">
        <f t="shared" ref="AK9:AK37" si="16">IF(AJ10="","",IF(AJ10=AJ9,"",AJ10-AJ9))</f>
        <v>11.970000000001164</v>
      </c>
      <c r="AL9" s="63">
        <v>591.28</v>
      </c>
      <c r="AM9" s="130" t="str">
        <f t="shared" ref="AM9:AM37" si="17">IF(AL10="","",IF(AL10=AL9,"",AL10-AL9))</f>
        <v/>
      </c>
      <c r="AN9" s="63">
        <v>552.1</v>
      </c>
      <c r="AO9" s="130">
        <f t="shared" si="3"/>
        <v>4.9999999999954525E-2</v>
      </c>
      <c r="AP9" s="125" t="str">
        <f t="shared" ref="AP9:AP38" si="18">IF(J9="","",J9)</f>
        <v>ME</v>
      </c>
      <c r="AQ9" s="56">
        <v>2</v>
      </c>
      <c r="AR9" s="63">
        <v>6857.72</v>
      </c>
      <c r="AS9" s="130">
        <f t="shared" ref="AS9:AS37" si="19">IF(AR10="","",IF(AR10=AR9,"",AR10-AR9))</f>
        <v>2.2399999999997817</v>
      </c>
      <c r="AT9" s="63">
        <v>7635.24</v>
      </c>
      <c r="AU9" s="130">
        <f t="shared" ref="AU9:AU37" si="20">IF(AT10="","",IF(AT10=AT9,"",AT10-AT9))</f>
        <v>2.8400000000001455</v>
      </c>
      <c r="AV9" s="63">
        <v>259.02</v>
      </c>
      <c r="AW9" s="130" t="str">
        <f t="shared" ref="AW9:AW37" si="21">IF(AV10="","",IF(AV10=AV9,"",AV10-AV9))</f>
        <v/>
      </c>
      <c r="AX9" s="63">
        <v>245.35</v>
      </c>
      <c r="AY9" s="130" t="str">
        <f t="shared" si="4"/>
        <v/>
      </c>
      <c r="AZ9" s="125" t="str">
        <f t="shared" ref="AZ9:AZ38" si="22">IF(J9="","",J9)</f>
        <v>ME</v>
      </c>
      <c r="BA9" s="56">
        <v>2</v>
      </c>
      <c r="BB9" s="64">
        <v>1.48</v>
      </c>
      <c r="BC9" s="62">
        <v>67</v>
      </c>
      <c r="BD9" s="61">
        <v>6.8</v>
      </c>
      <c r="BE9" s="61">
        <v>22.4</v>
      </c>
      <c r="BF9" s="61">
        <v>13.5</v>
      </c>
      <c r="BG9" s="61">
        <v>6.8</v>
      </c>
      <c r="BH9" s="64">
        <v>0.157</v>
      </c>
      <c r="BI9" s="64">
        <v>0.18099999999999999</v>
      </c>
      <c r="BJ9" s="64">
        <v>7.0999999999999994E-2</v>
      </c>
      <c r="BK9" s="64">
        <v>7.1999999999999995E-2</v>
      </c>
      <c r="BL9" s="64">
        <v>6.2E-2</v>
      </c>
      <c r="BM9" s="64">
        <v>6.3E-2</v>
      </c>
      <c r="BN9" s="65" t="str">
        <f t="shared" ref="BN9:BN38" si="23">IF(J9="","",J9)</f>
        <v>ME</v>
      </c>
      <c r="BO9" s="56">
        <v>2</v>
      </c>
      <c r="BP9" s="64">
        <v>0.106</v>
      </c>
      <c r="BQ9" s="62">
        <v>0</v>
      </c>
      <c r="BR9" s="61">
        <v>7.2</v>
      </c>
      <c r="BS9" s="61">
        <v>21.3</v>
      </c>
      <c r="BT9" s="61">
        <v>17.600000000000001</v>
      </c>
      <c r="BU9" s="64">
        <v>0.02</v>
      </c>
      <c r="BV9" s="63">
        <v>1.06</v>
      </c>
      <c r="BW9" s="63">
        <v>0.86</v>
      </c>
      <c r="BX9" s="66" t="s">
        <v>253</v>
      </c>
      <c r="BY9" s="172" t="s">
        <v>246</v>
      </c>
      <c r="BZ9" s="67" t="str">
        <f t="shared" ref="BZ9:BZ38" si="24">IF(J9="","",J9)</f>
        <v>ME</v>
      </c>
      <c r="CA9" s="56">
        <v>2</v>
      </c>
      <c r="CB9" s="61">
        <v>97.1</v>
      </c>
      <c r="CC9" s="61"/>
      <c r="CD9" s="68">
        <f t="shared" ref="CD9:CD37" si="25">IF(CB10="","",IF(CC9="",IF(CB9=CB10,"",(CB9-CB10)),IF(CC9=CB10,"",(CC9-CB10))))</f>
        <v>2.7999999999999972</v>
      </c>
      <c r="CE9" s="69">
        <f t="shared" ref="CE9:CE38" si="26">IF(CD9="","",(CD9*(0.785*77*77)/1000))</f>
        <v>13.031941999999988</v>
      </c>
      <c r="CF9" s="69">
        <f t="shared" ref="CF9:CF38" si="27">IF(CE9="","",(CE9*0.12*1000)/I9)</f>
        <v>8.9875462068965426</v>
      </c>
      <c r="CG9" s="62">
        <v>92</v>
      </c>
      <c r="CH9" s="62">
        <v>100</v>
      </c>
      <c r="CI9" s="65" t="str">
        <f t="shared" ref="CI9:CI38" si="28">IF(J9="","",J9)</f>
        <v>ME</v>
      </c>
      <c r="CJ9" s="56">
        <v>2</v>
      </c>
      <c r="CK9" s="61">
        <v>88.4</v>
      </c>
      <c r="CL9" s="61"/>
      <c r="CM9" s="68">
        <f t="shared" ref="CM9:CM37" si="29">IF(CK10="","",IF(CL9="",IF(CK9=CK10,"",(CK9-CK10)),IF(CL9=CK10,"",(CL9-CK10))))</f>
        <v>2.4000000000000057</v>
      </c>
      <c r="CN9" s="68">
        <f t="shared" ref="CN9:CN38" si="30">IF(CM9="","",(CM9*(0.785*77*77)/1000))</f>
        <v>11.170236000000028</v>
      </c>
      <c r="CO9" s="68">
        <f t="shared" ref="CO9:CO38" si="31">IF(CN9="","",(CN9*0.33*1.205*1000)/C9)</f>
        <v>22.547433225380768</v>
      </c>
      <c r="CP9" s="62">
        <v>68</v>
      </c>
      <c r="CQ9" s="62">
        <v>83</v>
      </c>
      <c r="CR9" s="65" t="str">
        <f t="shared" ref="CR9:CR38" si="32">IF(J9="","",J9)</f>
        <v>ME</v>
      </c>
      <c r="CS9" s="56">
        <v>2</v>
      </c>
      <c r="CT9" s="61">
        <v>110.8</v>
      </c>
      <c r="CU9" s="61"/>
      <c r="CV9" s="68">
        <f t="shared" ref="CV9:CV37" si="33">IF(CT10="","",IF(CU9="",IF(CT9=CT10,"",(CT9-CT10)),IF(CU9=CT10,"",(CU9-CT10))))</f>
        <v>2.2999999999999972</v>
      </c>
      <c r="CW9" s="68">
        <f t="shared" ref="CW9:CW38" si="34">IF(CV9="","",(CV9*(0.785*92*92)/1000))</f>
        <v>15.28175199999998</v>
      </c>
      <c r="CX9" s="69">
        <f t="shared" ref="CX9:CX38" si="35">IF(CW9="","",(CW9)/C9)</f>
        <v>7.757234517766487E-2</v>
      </c>
      <c r="CY9" s="66" t="s">
        <v>406</v>
      </c>
      <c r="CZ9" s="66" t="s">
        <v>241</v>
      </c>
      <c r="DA9" s="66"/>
      <c r="DB9" s="65" t="str">
        <f t="shared" ref="DB9:DB38" si="36">IF(J9="","",J9)</f>
        <v>ME</v>
      </c>
      <c r="DC9" s="56">
        <v>2</v>
      </c>
      <c r="DD9" s="61">
        <v>88.2</v>
      </c>
      <c r="DE9" s="61">
        <v>104.5</v>
      </c>
      <c r="DF9" s="68">
        <f t="shared" ref="DF9:DF37" si="37">IF(DD10="","",IF(DE9="",IF(DD9=DD10,"",(DD9-DD10)),IF(DE9=DD10,"",(DE9-DD10))))</f>
        <v>14.099999999999994</v>
      </c>
      <c r="DG9" s="69">
        <f t="shared" ref="DG9:DG38" si="38">IF(DF9="","",(DF9*(0.785*92*92)*0.00812/1000))</f>
        <v>0.76071232607999972</v>
      </c>
      <c r="DH9" s="68">
        <f t="shared" ref="DH9:DH38" si="39">IF(DG9="","",(DG9*1000)/C9)</f>
        <v>3.8614838887309628</v>
      </c>
      <c r="DI9" s="62">
        <v>113</v>
      </c>
      <c r="DJ9" s="62">
        <v>54</v>
      </c>
      <c r="DK9" s="65" t="str">
        <f t="shared" ref="DK9:DK38" si="40">IF(J9="","",J9)</f>
        <v>ME</v>
      </c>
      <c r="DL9" s="56">
        <v>2</v>
      </c>
      <c r="DM9" s="63">
        <v>8.2799999999999994</v>
      </c>
      <c r="DN9" s="64">
        <v>3.6999999999999998E-2</v>
      </c>
      <c r="DO9" s="64">
        <v>3.4000000000000002E-2</v>
      </c>
      <c r="DP9" s="64">
        <v>7.4999999999999997E-2</v>
      </c>
      <c r="DQ9" s="63">
        <v>6.98</v>
      </c>
      <c r="DR9" s="61">
        <v>21.3</v>
      </c>
      <c r="DS9" s="64">
        <v>1.0369999999999999</v>
      </c>
      <c r="DT9" s="61">
        <v>85.2</v>
      </c>
      <c r="DU9" s="63">
        <v>4.1100000000000003</v>
      </c>
      <c r="DV9" s="64">
        <v>1.321</v>
      </c>
      <c r="DW9" s="64">
        <v>2.69</v>
      </c>
      <c r="DX9" s="66" t="s">
        <v>242</v>
      </c>
      <c r="DY9" s="65" t="str">
        <f t="shared" ref="DY9:DY38" si="41">IF(J9="","",J9)</f>
        <v>ME</v>
      </c>
      <c r="DZ9" s="128">
        <v>2</v>
      </c>
      <c r="EA9" s="173">
        <f t="shared" ref="EA9:EA38" si="42">IF(C9="","",C9/1496)</f>
        <v>0.13168449197860962</v>
      </c>
      <c r="EB9" s="173">
        <f t="shared" ref="EB9:EB38" si="43">IF(F9="","",IF(Q9="",F9/1360,(F9+Q9)/1360))</f>
        <v>0.15294117647058825</v>
      </c>
      <c r="EC9" s="173">
        <f t="shared" ref="EC9:EC38" si="44">IF(I9="","",IF(C9="","",I9/C9))</f>
        <v>0.88324873096446699</v>
      </c>
      <c r="ED9" s="63">
        <v>0.83</v>
      </c>
      <c r="EE9" s="63">
        <v>1.0900000000000001</v>
      </c>
      <c r="EF9" s="63">
        <v>0.05</v>
      </c>
      <c r="EG9" s="63">
        <v>0.1</v>
      </c>
      <c r="EH9" s="127" t="str">
        <f t="shared" si="5"/>
        <v>ME</v>
      </c>
      <c r="EI9" s="56">
        <v>2</v>
      </c>
      <c r="EJ9" s="334"/>
      <c r="EK9" s="334"/>
      <c r="EL9" s="334"/>
      <c r="EM9" s="334"/>
      <c r="EN9" s="334"/>
      <c r="EO9" s="334"/>
      <c r="EP9" s="334"/>
      <c r="EQ9" s="65" t="str">
        <f t="shared" ref="EQ9:EQ38" si="45">IF(J9="","",J9)</f>
        <v>ME</v>
      </c>
      <c r="ER9" s="20"/>
      <c r="ES9" s="20"/>
      <c r="ET9" s="20"/>
      <c r="EU9" s="20"/>
      <c r="EV9" s="20"/>
      <c r="EW9" s="20"/>
      <c r="EX9" s="20"/>
    </row>
    <row r="10" spans="1:154" s="3" customFormat="1" ht="17.149999999999999" customHeight="1" x14ac:dyDescent="0.25">
      <c r="A10" s="56">
        <v>3</v>
      </c>
      <c r="B10" s="57">
        <v>900951</v>
      </c>
      <c r="C10" s="58">
        <f t="shared" si="6"/>
        <v>275</v>
      </c>
      <c r="D10" s="167">
        <v>11.97</v>
      </c>
      <c r="E10" s="57">
        <v>805308</v>
      </c>
      <c r="F10" s="58">
        <f t="shared" si="7"/>
        <v>190</v>
      </c>
      <c r="G10" s="168">
        <v>3.61</v>
      </c>
      <c r="H10" s="57">
        <v>760783</v>
      </c>
      <c r="I10" s="58">
        <f t="shared" si="0"/>
        <v>202</v>
      </c>
      <c r="J10" s="60" t="s">
        <v>194</v>
      </c>
      <c r="K10" s="56">
        <v>3</v>
      </c>
      <c r="L10" s="57">
        <v>70479</v>
      </c>
      <c r="M10" s="58">
        <f t="shared" si="8"/>
        <v>49</v>
      </c>
      <c r="N10" s="57">
        <v>179401</v>
      </c>
      <c r="O10" s="58">
        <f t="shared" si="9"/>
        <v>48</v>
      </c>
      <c r="P10" s="57">
        <v>194749</v>
      </c>
      <c r="Q10" s="58" t="str">
        <f t="shared" si="1"/>
        <v/>
      </c>
      <c r="R10" s="57">
        <v>683</v>
      </c>
      <c r="S10" s="57">
        <v>691</v>
      </c>
      <c r="T10" s="170">
        <v>143</v>
      </c>
      <c r="U10" s="57">
        <v>140</v>
      </c>
      <c r="V10" s="58" t="str">
        <f t="shared" si="10"/>
        <v>ME</v>
      </c>
      <c r="W10" s="56">
        <v>3</v>
      </c>
      <c r="X10" s="63">
        <v>11912.59</v>
      </c>
      <c r="Y10" s="130">
        <f t="shared" si="11"/>
        <v>4.0799999999999272</v>
      </c>
      <c r="Z10" s="63">
        <v>12683.65</v>
      </c>
      <c r="AA10" s="130">
        <f t="shared" si="12"/>
        <v>2.5900000000001455</v>
      </c>
      <c r="AB10" s="63">
        <v>9962.89</v>
      </c>
      <c r="AC10" s="130" t="str">
        <f t="shared" si="13"/>
        <v/>
      </c>
      <c r="AD10" s="63">
        <v>10119.48</v>
      </c>
      <c r="AE10" s="130">
        <f t="shared" si="2"/>
        <v>4.5400000000008731</v>
      </c>
      <c r="AF10" s="125" t="str">
        <f t="shared" si="14"/>
        <v>ME</v>
      </c>
      <c r="AG10" s="56">
        <v>3</v>
      </c>
      <c r="AH10" s="63">
        <v>47601.03</v>
      </c>
      <c r="AI10" s="130">
        <f t="shared" si="15"/>
        <v>12.940000000002328</v>
      </c>
      <c r="AJ10" s="63">
        <v>49771.89</v>
      </c>
      <c r="AK10" s="130">
        <f t="shared" si="16"/>
        <v>7.5200000000040745</v>
      </c>
      <c r="AL10" s="63">
        <v>591.28</v>
      </c>
      <c r="AM10" s="130">
        <f t="shared" si="17"/>
        <v>8.0000000000040927E-2</v>
      </c>
      <c r="AN10" s="63">
        <v>552.15</v>
      </c>
      <c r="AO10" s="130">
        <f t="shared" si="3"/>
        <v>8.0000000000040927E-2</v>
      </c>
      <c r="AP10" s="125" t="str">
        <f t="shared" si="18"/>
        <v>ME</v>
      </c>
      <c r="AQ10" s="56">
        <v>3</v>
      </c>
      <c r="AR10" s="63">
        <v>6859.96</v>
      </c>
      <c r="AS10" s="130">
        <f t="shared" si="19"/>
        <v>2.25</v>
      </c>
      <c r="AT10" s="63">
        <v>7638.08</v>
      </c>
      <c r="AU10" s="130">
        <f t="shared" si="20"/>
        <v>1.8100000000004002</v>
      </c>
      <c r="AV10" s="63">
        <v>259.02</v>
      </c>
      <c r="AW10" s="130">
        <f t="shared" si="21"/>
        <v>0.33000000000004093</v>
      </c>
      <c r="AX10" s="63">
        <v>245.35</v>
      </c>
      <c r="AY10" s="130" t="str">
        <f t="shared" si="4"/>
        <v/>
      </c>
      <c r="AZ10" s="125" t="str">
        <f t="shared" si="22"/>
        <v>ME</v>
      </c>
      <c r="BA10" s="56">
        <v>3</v>
      </c>
      <c r="BB10" s="64">
        <v>1.28</v>
      </c>
      <c r="BC10" s="62">
        <v>35</v>
      </c>
      <c r="BD10" s="61">
        <v>6.9</v>
      </c>
      <c r="BE10" s="61">
        <v>22</v>
      </c>
      <c r="BF10" s="61">
        <v>17.7</v>
      </c>
      <c r="BG10" s="61">
        <v>6.9</v>
      </c>
      <c r="BH10" s="64">
        <v>0.16900000000000001</v>
      </c>
      <c r="BI10" s="64">
        <v>0.158</v>
      </c>
      <c r="BJ10" s="64">
        <v>8.1000000000000003E-2</v>
      </c>
      <c r="BK10" s="64">
        <v>7.8E-2</v>
      </c>
      <c r="BL10" s="64">
        <v>6.8000000000000005E-2</v>
      </c>
      <c r="BM10" s="64">
        <v>6.2E-2</v>
      </c>
      <c r="BN10" s="65" t="str">
        <f t="shared" si="23"/>
        <v>ME</v>
      </c>
      <c r="BO10" s="56">
        <v>3</v>
      </c>
      <c r="BP10" s="64">
        <v>0.106</v>
      </c>
      <c r="BQ10" s="62">
        <v>0</v>
      </c>
      <c r="BR10" s="61">
        <v>7.3</v>
      </c>
      <c r="BS10" s="61">
        <v>21.3</v>
      </c>
      <c r="BT10" s="61">
        <v>20</v>
      </c>
      <c r="BU10" s="64">
        <v>1.4999999999999999E-2</v>
      </c>
      <c r="BV10" s="63">
        <v>1.0900000000000001</v>
      </c>
      <c r="BW10" s="63">
        <v>0.85</v>
      </c>
      <c r="BX10" s="66" t="s">
        <v>245</v>
      </c>
      <c r="BY10" s="172" t="s">
        <v>246</v>
      </c>
      <c r="BZ10" s="67" t="str">
        <f t="shared" si="24"/>
        <v>ME</v>
      </c>
      <c r="CA10" s="56">
        <v>3</v>
      </c>
      <c r="CB10" s="61">
        <v>94.3</v>
      </c>
      <c r="CC10" s="61"/>
      <c r="CD10" s="68">
        <f t="shared" si="25"/>
        <v>2.5999999999999943</v>
      </c>
      <c r="CE10" s="69">
        <f t="shared" si="26"/>
        <v>12.101088999999975</v>
      </c>
      <c r="CF10" s="69">
        <f t="shared" si="27"/>
        <v>7.1887657425742413</v>
      </c>
      <c r="CG10" s="62">
        <v>92</v>
      </c>
      <c r="CH10" s="62">
        <v>100</v>
      </c>
      <c r="CI10" s="65" t="str">
        <f t="shared" si="28"/>
        <v>ME</v>
      </c>
      <c r="CJ10" s="56">
        <v>3</v>
      </c>
      <c r="CK10" s="61">
        <v>86</v>
      </c>
      <c r="CL10" s="61">
        <v>100</v>
      </c>
      <c r="CM10" s="68">
        <f t="shared" si="29"/>
        <v>2.9000000000000057</v>
      </c>
      <c r="CN10" s="68">
        <f t="shared" si="30"/>
        <v>13.497368500000027</v>
      </c>
      <c r="CO10" s="68">
        <f t="shared" si="31"/>
        <v>19.517194851000042</v>
      </c>
      <c r="CP10" s="62">
        <v>66</v>
      </c>
      <c r="CQ10" s="62">
        <v>83</v>
      </c>
      <c r="CR10" s="65" t="str">
        <f t="shared" si="32"/>
        <v>ME</v>
      </c>
      <c r="CS10" s="56">
        <v>3</v>
      </c>
      <c r="CT10" s="61">
        <v>108.5</v>
      </c>
      <c r="CU10" s="61"/>
      <c r="CV10" s="68">
        <f t="shared" si="33"/>
        <v>2.5999999999999943</v>
      </c>
      <c r="CW10" s="68">
        <f t="shared" si="34"/>
        <v>17.275023999999963</v>
      </c>
      <c r="CX10" s="69">
        <f t="shared" si="35"/>
        <v>6.2818269090908957E-2</v>
      </c>
      <c r="CY10" s="66" t="s">
        <v>406</v>
      </c>
      <c r="CZ10" s="66" t="s">
        <v>241</v>
      </c>
      <c r="DA10" s="66"/>
      <c r="DB10" s="65" t="str">
        <f t="shared" si="36"/>
        <v>ME</v>
      </c>
      <c r="DC10" s="56">
        <v>3</v>
      </c>
      <c r="DD10" s="61">
        <v>90.4</v>
      </c>
      <c r="DE10" s="61">
        <v>105.2</v>
      </c>
      <c r="DF10" s="68">
        <f t="shared" si="37"/>
        <v>25.100000000000009</v>
      </c>
      <c r="DG10" s="69">
        <f t="shared" si="38"/>
        <v>1.3541758428800006</v>
      </c>
      <c r="DH10" s="68">
        <f t="shared" si="39"/>
        <v>4.9242757922909108</v>
      </c>
      <c r="DI10" s="62">
        <v>112</v>
      </c>
      <c r="DJ10" s="62">
        <v>54</v>
      </c>
      <c r="DK10" s="65" t="str">
        <f t="shared" si="40"/>
        <v>ME</v>
      </c>
      <c r="DL10" s="56">
        <v>3</v>
      </c>
      <c r="DM10" s="63">
        <v>8.4499999999999993</v>
      </c>
      <c r="DN10" s="64">
        <v>3.4000000000000002E-2</v>
      </c>
      <c r="DO10" s="64">
        <v>3.3000000000000002E-2</v>
      </c>
      <c r="DP10" s="64">
        <v>7.0000000000000007E-2</v>
      </c>
      <c r="DQ10" s="63">
        <v>7.01</v>
      </c>
      <c r="DR10" s="61">
        <v>21.3</v>
      </c>
      <c r="DS10" s="64">
        <v>1.103</v>
      </c>
      <c r="DT10" s="61">
        <v>86.1</v>
      </c>
      <c r="DU10" s="63">
        <v>4.12</v>
      </c>
      <c r="DV10" s="64">
        <v>0.68500000000000005</v>
      </c>
      <c r="DW10" s="64">
        <v>1.22</v>
      </c>
      <c r="DX10" s="66" t="s">
        <v>247</v>
      </c>
      <c r="DY10" s="65" t="str">
        <f t="shared" si="41"/>
        <v>ME</v>
      </c>
      <c r="DZ10" s="128">
        <v>3</v>
      </c>
      <c r="EA10" s="173">
        <f t="shared" si="42"/>
        <v>0.18382352941176472</v>
      </c>
      <c r="EB10" s="173">
        <f t="shared" si="43"/>
        <v>0.13970588235294118</v>
      </c>
      <c r="EC10" s="173">
        <f t="shared" si="44"/>
        <v>0.7345454545454545</v>
      </c>
      <c r="ED10" s="284">
        <v>0.56000000000000005</v>
      </c>
      <c r="EE10" s="63">
        <v>1.28</v>
      </c>
      <c r="EF10" s="63">
        <v>0.06</v>
      </c>
      <c r="EG10" s="63">
        <v>0.09</v>
      </c>
      <c r="EH10" s="127" t="str">
        <f t="shared" si="5"/>
        <v>ME</v>
      </c>
      <c r="EI10" s="56">
        <v>3</v>
      </c>
      <c r="EJ10" s="334" t="s">
        <v>412</v>
      </c>
      <c r="EK10" s="334"/>
      <c r="EL10" s="334"/>
      <c r="EM10" s="334"/>
      <c r="EN10" s="334"/>
      <c r="EO10" s="334"/>
      <c r="EP10" s="334"/>
      <c r="EQ10" s="65" t="str">
        <f t="shared" si="45"/>
        <v>ME</v>
      </c>
      <c r="ER10" s="20"/>
      <c r="ES10" s="20"/>
      <c r="ET10" s="20"/>
      <c r="EU10" s="20"/>
      <c r="EV10" s="20"/>
      <c r="EW10" s="20"/>
      <c r="EX10" s="20"/>
    </row>
    <row r="11" spans="1:154" s="3" customFormat="1" ht="17.149999999999999" customHeight="1" x14ac:dyDescent="0.25">
      <c r="A11" s="56">
        <v>4</v>
      </c>
      <c r="B11" s="57">
        <v>901226</v>
      </c>
      <c r="C11" s="58">
        <f t="shared" si="6"/>
        <v>201</v>
      </c>
      <c r="D11" s="167">
        <v>11.09</v>
      </c>
      <c r="E11" s="57">
        <v>805498</v>
      </c>
      <c r="F11" s="58">
        <f t="shared" si="7"/>
        <v>222</v>
      </c>
      <c r="G11" s="168">
        <v>1.98</v>
      </c>
      <c r="H11" s="57">
        <v>760985</v>
      </c>
      <c r="I11" s="58">
        <f t="shared" si="0"/>
        <v>173</v>
      </c>
      <c r="J11" s="60" t="s">
        <v>338</v>
      </c>
      <c r="K11" s="56">
        <v>4</v>
      </c>
      <c r="L11" s="57">
        <v>70528</v>
      </c>
      <c r="M11" s="58" t="str">
        <f t="shared" si="8"/>
        <v/>
      </c>
      <c r="N11" s="57">
        <v>179449</v>
      </c>
      <c r="O11" s="58">
        <f t="shared" si="9"/>
        <v>66</v>
      </c>
      <c r="P11" s="57">
        <v>194749</v>
      </c>
      <c r="Q11" s="169" t="str">
        <f t="shared" si="1"/>
        <v/>
      </c>
      <c r="R11" s="57">
        <v>684</v>
      </c>
      <c r="S11" s="57">
        <v>691</v>
      </c>
      <c r="T11" s="57">
        <v>143</v>
      </c>
      <c r="U11" s="57">
        <v>140</v>
      </c>
      <c r="V11" s="58" t="str">
        <f t="shared" si="10"/>
        <v>SA</v>
      </c>
      <c r="W11" s="56">
        <v>4</v>
      </c>
      <c r="X11" s="63">
        <v>11916.67</v>
      </c>
      <c r="Y11" s="130">
        <f t="shared" si="11"/>
        <v>1.1299999999991996</v>
      </c>
      <c r="Z11" s="63">
        <v>12686.24</v>
      </c>
      <c r="AA11" s="130">
        <f t="shared" si="12"/>
        <v>3.5599999999994907</v>
      </c>
      <c r="AB11" s="63">
        <v>9962.89</v>
      </c>
      <c r="AC11" s="130">
        <f t="shared" si="13"/>
        <v>0.90999999999985448</v>
      </c>
      <c r="AD11" s="63">
        <v>10124.02</v>
      </c>
      <c r="AE11" s="130">
        <f t="shared" si="2"/>
        <v>2.9699999999993452</v>
      </c>
      <c r="AF11" s="125" t="str">
        <f t="shared" si="14"/>
        <v>SA</v>
      </c>
      <c r="AG11" s="56">
        <v>4</v>
      </c>
      <c r="AH11" s="63">
        <v>47613.97</v>
      </c>
      <c r="AI11" s="130">
        <f t="shared" si="15"/>
        <v>10.25</v>
      </c>
      <c r="AJ11" s="63">
        <v>49779.41</v>
      </c>
      <c r="AK11" s="130">
        <f t="shared" si="16"/>
        <v>16.479999999995925</v>
      </c>
      <c r="AL11" s="63">
        <v>591.36</v>
      </c>
      <c r="AM11" s="130" t="str">
        <f t="shared" si="17"/>
        <v/>
      </c>
      <c r="AN11" s="63">
        <v>552.23</v>
      </c>
      <c r="AO11" s="130" t="str">
        <f t="shared" si="3"/>
        <v/>
      </c>
      <c r="AP11" s="125" t="str">
        <f t="shared" si="18"/>
        <v>SA</v>
      </c>
      <c r="AQ11" s="56">
        <v>4</v>
      </c>
      <c r="AR11" s="63">
        <v>6862.21</v>
      </c>
      <c r="AS11" s="130">
        <f t="shared" si="19"/>
        <v>3.1999999999998181</v>
      </c>
      <c r="AT11" s="63">
        <v>7639.89</v>
      </c>
      <c r="AU11" s="130">
        <f t="shared" si="20"/>
        <v>3.6099999999996726</v>
      </c>
      <c r="AV11" s="63">
        <v>259.35000000000002</v>
      </c>
      <c r="AW11" s="130" t="str">
        <f t="shared" si="21"/>
        <v/>
      </c>
      <c r="AX11" s="63">
        <v>245.35</v>
      </c>
      <c r="AY11" s="130" t="str">
        <f t="shared" si="4"/>
        <v/>
      </c>
      <c r="AZ11" s="125" t="str">
        <f t="shared" si="22"/>
        <v>SA</v>
      </c>
      <c r="BA11" s="56">
        <v>4</v>
      </c>
      <c r="BB11" s="64">
        <v>1.1599999999999999</v>
      </c>
      <c r="BC11" s="62">
        <v>24</v>
      </c>
      <c r="BD11" s="61">
        <v>7.3</v>
      </c>
      <c r="BE11" s="61">
        <v>22.6</v>
      </c>
      <c r="BF11" s="61">
        <v>14.7</v>
      </c>
      <c r="BG11" s="61">
        <v>7.3</v>
      </c>
      <c r="BH11" s="64">
        <v>0.28499999999999998</v>
      </c>
      <c r="BI11" s="64">
        <v>0.29099999999999998</v>
      </c>
      <c r="BJ11" s="64">
        <v>9.6000000000000002E-2</v>
      </c>
      <c r="BK11" s="64">
        <v>0.10100000000000001</v>
      </c>
      <c r="BL11" s="64">
        <v>7.0000000000000007E-2</v>
      </c>
      <c r="BM11" s="64">
        <v>6.5000000000000002E-2</v>
      </c>
      <c r="BN11" s="65" t="str">
        <f t="shared" si="23"/>
        <v>SA</v>
      </c>
      <c r="BO11" s="56">
        <v>4</v>
      </c>
      <c r="BP11" s="64">
        <v>0.10100000000000001</v>
      </c>
      <c r="BQ11" s="62">
        <v>0</v>
      </c>
      <c r="BR11" s="61">
        <v>7.2</v>
      </c>
      <c r="BS11" s="61">
        <v>21.6</v>
      </c>
      <c r="BT11" s="61">
        <v>17.600000000000001</v>
      </c>
      <c r="BU11" s="64">
        <v>1.4999999999999999E-2</v>
      </c>
      <c r="BV11" s="63">
        <v>1.1200000000000001</v>
      </c>
      <c r="BW11" s="63">
        <v>0.88</v>
      </c>
      <c r="BX11" s="66" t="s">
        <v>408</v>
      </c>
      <c r="BY11" s="172" t="s">
        <v>409</v>
      </c>
      <c r="BZ11" s="67" t="str">
        <f t="shared" si="24"/>
        <v>SA</v>
      </c>
      <c r="CA11" s="56">
        <v>4</v>
      </c>
      <c r="CB11" s="61">
        <v>91.7</v>
      </c>
      <c r="CC11" s="61"/>
      <c r="CD11" s="68">
        <f t="shared" si="25"/>
        <v>1.5</v>
      </c>
      <c r="CE11" s="69">
        <f t="shared" si="26"/>
        <v>6.9813975000000008</v>
      </c>
      <c r="CF11" s="69">
        <f t="shared" si="27"/>
        <v>4.8425878612716771</v>
      </c>
      <c r="CG11" s="62">
        <v>92</v>
      </c>
      <c r="CH11" s="62">
        <v>100</v>
      </c>
      <c r="CI11" s="65" t="str">
        <f t="shared" si="28"/>
        <v>SA</v>
      </c>
      <c r="CJ11" s="56">
        <v>4</v>
      </c>
      <c r="CK11" s="61">
        <v>97.1</v>
      </c>
      <c r="CL11" s="61"/>
      <c r="CM11" s="68">
        <f t="shared" si="29"/>
        <v>2.5999999999999943</v>
      </c>
      <c r="CN11" s="68">
        <f t="shared" si="30"/>
        <v>12.101088999999975</v>
      </c>
      <c r="CO11" s="68">
        <f t="shared" si="31"/>
        <v>23.940288760447714</v>
      </c>
      <c r="CP11" s="62">
        <v>66</v>
      </c>
      <c r="CQ11" s="62">
        <v>83</v>
      </c>
      <c r="CR11" s="65" t="str">
        <f t="shared" si="32"/>
        <v>SA</v>
      </c>
      <c r="CS11" s="56">
        <v>4</v>
      </c>
      <c r="CT11" s="61">
        <v>105.9</v>
      </c>
      <c r="CU11" s="61"/>
      <c r="CV11" s="68">
        <f t="shared" si="33"/>
        <v>2.1000000000000085</v>
      </c>
      <c r="CW11" s="68">
        <f t="shared" si="34"/>
        <v>13.952904000000057</v>
      </c>
      <c r="CX11" s="69">
        <f t="shared" si="35"/>
        <v>6.9417432835821177E-2</v>
      </c>
      <c r="CY11" s="66" t="s">
        <v>406</v>
      </c>
      <c r="CZ11" s="66" t="s">
        <v>241</v>
      </c>
      <c r="DA11" s="66"/>
      <c r="DB11" s="65" t="str">
        <f t="shared" si="36"/>
        <v>SA</v>
      </c>
      <c r="DC11" s="56">
        <v>4</v>
      </c>
      <c r="DD11" s="61">
        <v>80.099999999999994</v>
      </c>
      <c r="DE11" s="61">
        <v>103.9</v>
      </c>
      <c r="DF11" s="68">
        <f t="shared" si="37"/>
        <v>17.300000000000011</v>
      </c>
      <c r="DG11" s="69">
        <f t="shared" si="38"/>
        <v>0.93335625824000068</v>
      </c>
      <c r="DH11" s="68">
        <f t="shared" si="39"/>
        <v>4.6435634738308487</v>
      </c>
      <c r="DI11" s="62">
        <v>112</v>
      </c>
      <c r="DJ11" s="62">
        <v>54</v>
      </c>
      <c r="DK11" s="65" t="str">
        <f t="shared" si="40"/>
        <v>SA</v>
      </c>
      <c r="DL11" s="56">
        <v>4</v>
      </c>
      <c r="DM11" s="63">
        <v>8.35</v>
      </c>
      <c r="DN11" s="64">
        <v>4.1000000000000002E-2</v>
      </c>
      <c r="DO11" s="64">
        <v>4.2000000000000003E-2</v>
      </c>
      <c r="DP11" s="64">
        <v>7.1999999999999995E-2</v>
      </c>
      <c r="DQ11" s="63">
        <v>7.02</v>
      </c>
      <c r="DR11" s="61">
        <v>21.6</v>
      </c>
      <c r="DS11" s="64">
        <v>1.125</v>
      </c>
      <c r="DT11" s="61">
        <v>84.5</v>
      </c>
      <c r="DU11" s="63">
        <v>4.26</v>
      </c>
      <c r="DV11" s="64">
        <v>1.714</v>
      </c>
      <c r="DW11" s="64">
        <v>2.91</v>
      </c>
      <c r="DX11" s="66" t="s">
        <v>242</v>
      </c>
      <c r="DY11" s="65" t="str">
        <f t="shared" si="41"/>
        <v>SA</v>
      </c>
      <c r="DZ11" s="128">
        <v>4</v>
      </c>
      <c r="EA11" s="173">
        <f t="shared" si="42"/>
        <v>0.13435828877005349</v>
      </c>
      <c r="EB11" s="173">
        <f t="shared" si="43"/>
        <v>0.16323529411764706</v>
      </c>
      <c r="EC11" s="173">
        <f t="shared" si="44"/>
        <v>0.86069651741293529</v>
      </c>
      <c r="ED11" s="63">
        <v>1.0900000000000001</v>
      </c>
      <c r="EE11" s="63">
        <v>1.22</v>
      </c>
      <c r="EF11" s="63">
        <v>0.06</v>
      </c>
      <c r="EG11" s="63">
        <v>0.08</v>
      </c>
      <c r="EH11" s="127" t="str">
        <f t="shared" si="5"/>
        <v>SA</v>
      </c>
      <c r="EI11" s="56">
        <v>4</v>
      </c>
      <c r="EJ11" s="334" t="s">
        <v>413</v>
      </c>
      <c r="EK11" s="334"/>
      <c r="EL11" s="334"/>
      <c r="EM11" s="334"/>
      <c r="EN11" s="334"/>
      <c r="EO11" s="334"/>
      <c r="EP11" s="334"/>
      <c r="EQ11" s="65" t="str">
        <f t="shared" si="45"/>
        <v>SA</v>
      </c>
      <c r="ER11" s="20"/>
      <c r="ES11" s="20"/>
      <c r="ET11" s="20"/>
      <c r="EU11" s="20"/>
      <c r="EV11" s="20"/>
      <c r="EW11" s="20"/>
      <c r="EX11" s="20"/>
    </row>
    <row r="12" spans="1:154" s="3" customFormat="1" ht="17.149999999999999" customHeight="1" x14ac:dyDescent="0.25">
      <c r="A12" s="56">
        <v>5</v>
      </c>
      <c r="B12" s="57">
        <v>901427</v>
      </c>
      <c r="C12" s="58">
        <f t="shared" si="6"/>
        <v>224</v>
      </c>
      <c r="D12" s="167">
        <v>11.77</v>
      </c>
      <c r="E12" s="57">
        <v>805720</v>
      </c>
      <c r="F12" s="58">
        <f t="shared" si="7"/>
        <v>214</v>
      </c>
      <c r="G12" s="168">
        <v>2.8</v>
      </c>
      <c r="H12" s="57">
        <v>761158</v>
      </c>
      <c r="I12" s="58">
        <f t="shared" si="0"/>
        <v>194</v>
      </c>
      <c r="J12" s="60" t="s">
        <v>338</v>
      </c>
      <c r="K12" s="56">
        <v>5</v>
      </c>
      <c r="L12" s="57">
        <v>70528</v>
      </c>
      <c r="M12" s="58" t="str">
        <f t="shared" si="8"/>
        <v/>
      </c>
      <c r="N12" s="57">
        <v>179515</v>
      </c>
      <c r="O12" s="58">
        <f t="shared" si="9"/>
        <v>30</v>
      </c>
      <c r="P12" s="57">
        <v>194749</v>
      </c>
      <c r="Q12" s="169" t="str">
        <f t="shared" si="1"/>
        <v/>
      </c>
      <c r="R12" s="57">
        <v>684</v>
      </c>
      <c r="S12" s="57">
        <v>691</v>
      </c>
      <c r="T12" s="57">
        <v>143</v>
      </c>
      <c r="U12" s="57">
        <v>140</v>
      </c>
      <c r="V12" s="58" t="str">
        <f t="shared" si="10"/>
        <v>SA</v>
      </c>
      <c r="W12" s="56">
        <v>5</v>
      </c>
      <c r="X12" s="63">
        <v>11917.8</v>
      </c>
      <c r="Y12" s="130">
        <f t="shared" si="11"/>
        <v>3.2200000000011642</v>
      </c>
      <c r="Z12" s="63">
        <v>12689.8</v>
      </c>
      <c r="AA12" s="130">
        <f t="shared" si="12"/>
        <v>1.7800000000006548</v>
      </c>
      <c r="AB12" s="63">
        <v>9963.7999999999993</v>
      </c>
      <c r="AC12" s="130">
        <f t="shared" si="13"/>
        <v>3.1000000000003638</v>
      </c>
      <c r="AD12" s="63">
        <v>10126.99</v>
      </c>
      <c r="AE12" s="130">
        <f t="shared" si="2"/>
        <v>1.4899999999997817</v>
      </c>
      <c r="AF12" s="125" t="str">
        <f t="shared" si="14"/>
        <v>SA</v>
      </c>
      <c r="AG12" s="56">
        <v>5</v>
      </c>
      <c r="AH12" s="63">
        <v>47624.22</v>
      </c>
      <c r="AI12" s="130">
        <f t="shared" si="15"/>
        <v>13.760000000002037</v>
      </c>
      <c r="AJ12" s="63">
        <v>49795.89</v>
      </c>
      <c r="AK12" s="130">
        <f t="shared" si="16"/>
        <v>11.160000000003492</v>
      </c>
      <c r="AL12" s="63">
        <v>591.36</v>
      </c>
      <c r="AM12" s="130" t="str">
        <f t="shared" si="17"/>
        <v/>
      </c>
      <c r="AN12" s="63">
        <v>552.23</v>
      </c>
      <c r="AO12" s="130" t="str">
        <f t="shared" si="3"/>
        <v/>
      </c>
      <c r="AP12" s="125" t="str">
        <f t="shared" si="18"/>
        <v>SA</v>
      </c>
      <c r="AQ12" s="56">
        <v>5</v>
      </c>
      <c r="AR12" s="63">
        <v>6865.41</v>
      </c>
      <c r="AS12" s="130">
        <f t="shared" si="19"/>
        <v>1.8900000000003274</v>
      </c>
      <c r="AT12" s="63">
        <v>7643.5</v>
      </c>
      <c r="AU12" s="130">
        <f t="shared" si="20"/>
        <v>1.3100000000004002</v>
      </c>
      <c r="AV12" s="63">
        <v>259.35000000000002</v>
      </c>
      <c r="AW12" s="130" t="str">
        <f t="shared" si="21"/>
        <v/>
      </c>
      <c r="AX12" s="63">
        <v>245.35</v>
      </c>
      <c r="AY12" s="130" t="str">
        <f t="shared" si="4"/>
        <v/>
      </c>
      <c r="AZ12" s="125" t="str">
        <f t="shared" si="22"/>
        <v>SA</v>
      </c>
      <c r="BA12" s="56">
        <v>5</v>
      </c>
      <c r="BB12" s="64">
        <v>1.96</v>
      </c>
      <c r="BC12" s="62">
        <v>38</v>
      </c>
      <c r="BD12" s="61">
        <v>7.2</v>
      </c>
      <c r="BE12" s="61">
        <v>21.6</v>
      </c>
      <c r="BF12" s="61">
        <v>16.399999999999999</v>
      </c>
      <c r="BG12" s="61">
        <v>7.2</v>
      </c>
      <c r="BH12" s="64">
        <v>0.19</v>
      </c>
      <c r="BI12" s="64">
        <v>0.16500000000000001</v>
      </c>
      <c r="BJ12" s="64">
        <v>6.6000000000000003E-2</v>
      </c>
      <c r="BK12" s="64">
        <v>6.8000000000000005E-2</v>
      </c>
      <c r="BL12" s="64">
        <v>7.3999999999999996E-2</v>
      </c>
      <c r="BM12" s="64">
        <v>7.2999999999999995E-2</v>
      </c>
      <c r="BN12" s="65" t="str">
        <f t="shared" si="23"/>
        <v>SA</v>
      </c>
      <c r="BO12" s="56">
        <v>5</v>
      </c>
      <c r="BP12" s="64">
        <v>0.109</v>
      </c>
      <c r="BQ12" s="62">
        <v>0</v>
      </c>
      <c r="BR12" s="61">
        <v>7.1</v>
      </c>
      <c r="BS12" s="61">
        <v>21.6</v>
      </c>
      <c r="BT12" s="61">
        <v>16.7</v>
      </c>
      <c r="BU12" s="64">
        <v>1.7000000000000001E-2</v>
      </c>
      <c r="BV12" s="63">
        <v>1.1599999999999999</v>
      </c>
      <c r="BW12" s="63">
        <v>0.89</v>
      </c>
      <c r="BX12" s="66" t="s">
        <v>410</v>
      </c>
      <c r="BY12" s="172" t="s">
        <v>409</v>
      </c>
      <c r="BZ12" s="67" t="str">
        <f t="shared" si="24"/>
        <v>SA</v>
      </c>
      <c r="CA12" s="56">
        <v>5</v>
      </c>
      <c r="CB12" s="61">
        <v>90.2</v>
      </c>
      <c r="CC12" s="61"/>
      <c r="CD12" s="68">
        <f t="shared" si="25"/>
        <v>2.2999999999999972</v>
      </c>
      <c r="CE12" s="69">
        <f t="shared" si="26"/>
        <v>10.704809499999987</v>
      </c>
      <c r="CF12" s="69">
        <f t="shared" si="27"/>
        <v>6.6215316494845275</v>
      </c>
      <c r="CG12" s="62">
        <v>92</v>
      </c>
      <c r="CH12" s="62">
        <v>100</v>
      </c>
      <c r="CI12" s="65" t="str">
        <f t="shared" si="28"/>
        <v>SA</v>
      </c>
      <c r="CJ12" s="56">
        <v>5</v>
      </c>
      <c r="CK12" s="61">
        <v>94.5</v>
      </c>
      <c r="CL12" s="61"/>
      <c r="CM12" s="68">
        <f t="shared" si="29"/>
        <v>2.9000000000000057</v>
      </c>
      <c r="CN12" s="68">
        <f t="shared" si="30"/>
        <v>13.497368500000027</v>
      </c>
      <c r="CO12" s="68">
        <f t="shared" si="31"/>
        <v>23.960841892968801</v>
      </c>
      <c r="CP12" s="62">
        <v>66</v>
      </c>
      <c r="CQ12" s="62">
        <v>83</v>
      </c>
      <c r="CR12" s="65" t="str">
        <f t="shared" si="32"/>
        <v>SA</v>
      </c>
      <c r="CS12" s="56">
        <v>5</v>
      </c>
      <c r="CT12" s="61">
        <v>103.8</v>
      </c>
      <c r="CU12" s="61"/>
      <c r="CV12" s="68">
        <f t="shared" si="33"/>
        <v>2.3999999999999915</v>
      </c>
      <c r="CW12" s="68">
        <f t="shared" si="34"/>
        <v>15.946175999999943</v>
      </c>
      <c r="CX12" s="69">
        <f t="shared" si="35"/>
        <v>7.1188285714285454E-2</v>
      </c>
      <c r="CY12" s="66" t="s">
        <v>406</v>
      </c>
      <c r="CZ12" s="66" t="s">
        <v>241</v>
      </c>
      <c r="DA12" s="66"/>
      <c r="DB12" s="65" t="str">
        <f t="shared" si="36"/>
        <v>SA</v>
      </c>
      <c r="DC12" s="56">
        <v>5</v>
      </c>
      <c r="DD12" s="61">
        <v>86.6</v>
      </c>
      <c r="DE12" s="61">
        <v>104.3</v>
      </c>
      <c r="DF12" s="68">
        <f t="shared" si="37"/>
        <v>21.899999999999991</v>
      </c>
      <c r="DG12" s="69">
        <f t="shared" si="38"/>
        <v>1.1815319107199995</v>
      </c>
      <c r="DH12" s="68">
        <f t="shared" si="39"/>
        <v>5.2746960299999985</v>
      </c>
      <c r="DI12" s="62">
        <v>112</v>
      </c>
      <c r="DJ12" s="62">
        <v>54</v>
      </c>
      <c r="DK12" s="65" t="str">
        <f t="shared" si="40"/>
        <v>SA</v>
      </c>
      <c r="DL12" s="56">
        <v>5</v>
      </c>
      <c r="DM12" s="63">
        <v>8.31</v>
      </c>
      <c r="DN12" s="64">
        <v>3.3000000000000002E-2</v>
      </c>
      <c r="DO12" s="64">
        <v>3.7999999999999999E-2</v>
      </c>
      <c r="DP12" s="64">
        <v>6.8000000000000005E-2</v>
      </c>
      <c r="DQ12" s="63">
        <v>7.05</v>
      </c>
      <c r="DR12" s="61">
        <v>21.6</v>
      </c>
      <c r="DS12" s="64">
        <v>1.1830000000000001</v>
      </c>
      <c r="DT12" s="61">
        <v>83.7</v>
      </c>
      <c r="DU12" s="63">
        <v>4.2699999999999996</v>
      </c>
      <c r="DV12" s="64">
        <v>0.67900000000000005</v>
      </c>
      <c r="DW12" s="64">
        <v>2.5499999999999998</v>
      </c>
      <c r="DX12" s="66" t="s">
        <v>242</v>
      </c>
      <c r="DY12" s="65" t="str">
        <f t="shared" si="41"/>
        <v>SA</v>
      </c>
      <c r="DZ12" s="128">
        <v>5</v>
      </c>
      <c r="EA12" s="173">
        <f t="shared" si="42"/>
        <v>0.1497326203208556</v>
      </c>
      <c r="EB12" s="173">
        <f t="shared" si="43"/>
        <v>0.15735294117647058</v>
      </c>
      <c r="EC12" s="173">
        <f t="shared" si="44"/>
        <v>0.8660714285714286</v>
      </c>
      <c r="ED12" s="63">
        <v>1.02</v>
      </c>
      <c r="EE12" s="63">
        <v>1.2</v>
      </c>
      <c r="EF12" s="63">
        <v>0.05</v>
      </c>
      <c r="EG12" s="63">
        <v>7.0000000000000007E-2</v>
      </c>
      <c r="EH12" s="127" t="str">
        <f t="shared" si="5"/>
        <v>SA</v>
      </c>
      <c r="EI12" s="56">
        <v>5</v>
      </c>
      <c r="EJ12" s="334"/>
      <c r="EK12" s="334"/>
      <c r="EL12" s="334"/>
      <c r="EM12" s="334"/>
      <c r="EN12" s="334"/>
      <c r="EO12" s="334"/>
      <c r="EP12" s="334"/>
      <c r="EQ12" s="65" t="str">
        <f t="shared" si="45"/>
        <v>SA</v>
      </c>
      <c r="ER12" s="20"/>
      <c r="ES12" s="20"/>
      <c r="ET12" s="20"/>
      <c r="EU12" s="20"/>
      <c r="EV12" s="20"/>
      <c r="EW12" s="20"/>
      <c r="EX12" s="20"/>
    </row>
    <row r="13" spans="1:154" s="3" customFormat="1" ht="17.149999999999999" customHeight="1" x14ac:dyDescent="0.25">
      <c r="A13" s="56">
        <v>6</v>
      </c>
      <c r="B13" s="57">
        <v>901651</v>
      </c>
      <c r="C13" s="58">
        <f t="shared" si="6"/>
        <v>259</v>
      </c>
      <c r="D13" s="167">
        <v>11.83</v>
      </c>
      <c r="E13" s="57">
        <v>805934</v>
      </c>
      <c r="F13" s="58">
        <f t="shared" si="7"/>
        <v>289</v>
      </c>
      <c r="G13" s="168">
        <v>2.4900000000000002</v>
      </c>
      <c r="H13" s="57">
        <v>761352</v>
      </c>
      <c r="I13" s="58">
        <f t="shared" si="0"/>
        <v>232</v>
      </c>
      <c r="J13" s="60" t="s">
        <v>338</v>
      </c>
      <c r="K13" s="56">
        <v>6</v>
      </c>
      <c r="L13" s="57">
        <v>70528</v>
      </c>
      <c r="M13" s="58" t="str">
        <f t="shared" si="8"/>
        <v/>
      </c>
      <c r="N13" s="57">
        <v>179545</v>
      </c>
      <c r="O13" s="58">
        <f t="shared" si="9"/>
        <v>38</v>
      </c>
      <c r="P13" s="57">
        <v>194749</v>
      </c>
      <c r="Q13" s="169"/>
      <c r="R13" s="57">
        <v>684</v>
      </c>
      <c r="S13" s="57">
        <v>691</v>
      </c>
      <c r="T13" s="57">
        <v>143</v>
      </c>
      <c r="U13" s="57">
        <v>140</v>
      </c>
      <c r="V13" s="58" t="str">
        <f t="shared" si="10"/>
        <v>SA</v>
      </c>
      <c r="W13" s="56">
        <v>6</v>
      </c>
      <c r="X13" s="63">
        <v>11921.02</v>
      </c>
      <c r="Y13" s="130">
        <f t="shared" si="11"/>
        <v>2.2600000000002183</v>
      </c>
      <c r="Z13" s="63">
        <v>12691.58</v>
      </c>
      <c r="AA13" s="130">
        <f t="shared" si="12"/>
        <v>4.069999999999709</v>
      </c>
      <c r="AB13" s="63">
        <v>9966.9</v>
      </c>
      <c r="AC13" s="130">
        <f t="shared" si="13"/>
        <v>1.4899999999997817</v>
      </c>
      <c r="AD13" s="63">
        <v>10128.48</v>
      </c>
      <c r="AE13" s="130">
        <f t="shared" si="2"/>
        <v>3.4799999999995634</v>
      </c>
      <c r="AF13" s="125" t="str">
        <f t="shared" si="14"/>
        <v>SA</v>
      </c>
      <c r="AG13" s="56">
        <v>6</v>
      </c>
      <c r="AH13" s="63">
        <v>47637.98</v>
      </c>
      <c r="AI13" s="130">
        <f t="shared" si="15"/>
        <v>16.269999999996799</v>
      </c>
      <c r="AJ13" s="63">
        <v>49807.05</v>
      </c>
      <c r="AK13" s="130">
        <f t="shared" si="16"/>
        <v>12.849999999998545</v>
      </c>
      <c r="AL13" s="63">
        <v>591.36</v>
      </c>
      <c r="AM13" s="130">
        <f t="shared" si="17"/>
        <v>0.25999999999999091</v>
      </c>
      <c r="AN13" s="63">
        <v>552.23</v>
      </c>
      <c r="AO13" s="130">
        <f t="shared" si="3"/>
        <v>0.41999999999995907</v>
      </c>
      <c r="AP13" s="125" t="str">
        <f t="shared" si="18"/>
        <v>SA</v>
      </c>
      <c r="AQ13" s="56">
        <v>6</v>
      </c>
      <c r="AR13" s="63">
        <v>6867.3</v>
      </c>
      <c r="AS13" s="130">
        <f t="shared" si="19"/>
        <v>1.8699999999998909</v>
      </c>
      <c r="AT13" s="63">
        <v>7644.81</v>
      </c>
      <c r="AU13" s="130">
        <f t="shared" si="20"/>
        <v>2.2299999999995634</v>
      </c>
      <c r="AV13" s="63">
        <v>259.35000000000002</v>
      </c>
      <c r="AW13" s="130" t="str">
        <f t="shared" si="21"/>
        <v/>
      </c>
      <c r="AX13" s="63">
        <v>245.35</v>
      </c>
      <c r="AY13" s="130" t="str">
        <f t="shared" si="4"/>
        <v/>
      </c>
      <c r="AZ13" s="125" t="str">
        <f t="shared" si="22"/>
        <v>SA</v>
      </c>
      <c r="BA13" s="56">
        <v>6</v>
      </c>
      <c r="BB13" s="64"/>
      <c r="BC13" s="62"/>
      <c r="BD13" s="61"/>
      <c r="BE13" s="61"/>
      <c r="BF13" s="61"/>
      <c r="BG13" s="61"/>
      <c r="BH13" s="64"/>
      <c r="BI13" s="64"/>
      <c r="BJ13" s="64"/>
      <c r="BK13" s="64"/>
      <c r="BL13" s="64"/>
      <c r="BM13" s="64"/>
      <c r="BN13" s="65" t="str">
        <f t="shared" si="23"/>
        <v>SA</v>
      </c>
      <c r="BO13" s="56">
        <v>6</v>
      </c>
      <c r="BP13" s="64">
        <v>0.10299999999999999</v>
      </c>
      <c r="BQ13" s="62">
        <v>0</v>
      </c>
      <c r="BR13" s="61">
        <v>7.1</v>
      </c>
      <c r="BS13" s="61">
        <v>21.8</v>
      </c>
      <c r="BT13" s="61">
        <v>15.1</v>
      </c>
      <c r="BU13" s="64">
        <v>1.4999999999999999E-2</v>
      </c>
      <c r="BV13" s="63">
        <v>1.17</v>
      </c>
      <c r="BW13" s="63">
        <v>0.87</v>
      </c>
      <c r="BX13" s="66" t="s">
        <v>304</v>
      </c>
      <c r="BY13" s="172" t="s">
        <v>409</v>
      </c>
      <c r="BZ13" s="67" t="str">
        <f t="shared" si="24"/>
        <v>SA</v>
      </c>
      <c r="CA13" s="56">
        <v>6</v>
      </c>
      <c r="CB13" s="61">
        <v>87.9</v>
      </c>
      <c r="CC13" s="61"/>
      <c r="CD13" s="68">
        <f t="shared" si="25"/>
        <v>2.6000000000000085</v>
      </c>
      <c r="CE13" s="69">
        <f t="shared" si="26"/>
        <v>12.101089000000041</v>
      </c>
      <c r="CF13" s="69">
        <f t="shared" si="27"/>
        <v>6.2591839655172627</v>
      </c>
      <c r="CG13" s="62">
        <v>92</v>
      </c>
      <c r="CH13" s="62">
        <v>100</v>
      </c>
      <c r="CI13" s="65" t="str">
        <f t="shared" si="28"/>
        <v>SA</v>
      </c>
      <c r="CJ13" s="56">
        <v>6</v>
      </c>
      <c r="CK13" s="61">
        <v>91.6</v>
      </c>
      <c r="CL13" s="61"/>
      <c r="CM13" s="68">
        <f t="shared" si="29"/>
        <v>3.2999999999999972</v>
      </c>
      <c r="CN13" s="68">
        <f t="shared" si="30"/>
        <v>15.359074499999988</v>
      </c>
      <c r="CO13" s="68">
        <f t="shared" si="31"/>
        <v>23.581219980405393</v>
      </c>
      <c r="CP13" s="62">
        <v>66</v>
      </c>
      <c r="CQ13" s="62">
        <v>83</v>
      </c>
      <c r="CR13" s="65" t="str">
        <f t="shared" si="32"/>
        <v>SA</v>
      </c>
      <c r="CS13" s="56">
        <v>6</v>
      </c>
      <c r="CT13" s="61">
        <v>101.4</v>
      </c>
      <c r="CU13" s="61"/>
      <c r="CV13" s="68">
        <f t="shared" si="33"/>
        <v>3</v>
      </c>
      <c r="CW13" s="68">
        <f t="shared" si="34"/>
        <v>19.93272</v>
      </c>
      <c r="CX13" s="69">
        <f t="shared" si="35"/>
        <v>7.6960308880308873E-2</v>
      </c>
      <c r="CY13" s="66" t="s">
        <v>406</v>
      </c>
      <c r="CZ13" s="66" t="s">
        <v>241</v>
      </c>
      <c r="DA13" s="66"/>
      <c r="DB13" s="65" t="str">
        <f t="shared" si="36"/>
        <v>SA</v>
      </c>
      <c r="DC13" s="56">
        <v>6</v>
      </c>
      <c r="DD13" s="61">
        <v>82.4</v>
      </c>
      <c r="DE13" s="61">
        <v>104.9</v>
      </c>
      <c r="DF13" s="68">
        <f t="shared" si="37"/>
        <v>23.600000000000009</v>
      </c>
      <c r="DG13" s="69">
        <f t="shared" si="38"/>
        <v>1.2732489996800005</v>
      </c>
      <c r="DH13" s="68">
        <f t="shared" si="39"/>
        <v>4.9160193037837852</v>
      </c>
      <c r="DI13" s="62">
        <v>112</v>
      </c>
      <c r="DJ13" s="62">
        <v>54</v>
      </c>
      <c r="DK13" s="65" t="str">
        <f t="shared" si="40"/>
        <v>SA</v>
      </c>
      <c r="DL13" s="56">
        <v>6</v>
      </c>
      <c r="DM13" s="63">
        <v>8.14</v>
      </c>
      <c r="DN13" s="64">
        <v>2.8000000000000001E-2</v>
      </c>
      <c r="DO13" s="64">
        <v>2.8000000000000001E-2</v>
      </c>
      <c r="DP13" s="64">
        <v>6.5000000000000002E-2</v>
      </c>
      <c r="DQ13" s="63">
        <v>7.05</v>
      </c>
      <c r="DR13" s="61">
        <v>21.8</v>
      </c>
      <c r="DS13" s="64">
        <v>1.214</v>
      </c>
      <c r="DT13" s="61">
        <v>84.4</v>
      </c>
      <c r="DU13" s="63">
        <v>4.3899999999999997</v>
      </c>
      <c r="DV13" s="64">
        <v>0.71099999999999997</v>
      </c>
      <c r="DW13" s="64">
        <v>4.9000000000000004</v>
      </c>
      <c r="DX13" s="66" t="s">
        <v>247</v>
      </c>
      <c r="DY13" s="65" t="str">
        <f t="shared" si="41"/>
        <v>SA</v>
      </c>
      <c r="DZ13" s="128">
        <v>6</v>
      </c>
      <c r="EA13" s="173">
        <f t="shared" si="42"/>
        <v>0.1731283422459893</v>
      </c>
      <c r="EB13" s="173">
        <f t="shared" si="43"/>
        <v>0.21249999999999999</v>
      </c>
      <c r="EC13" s="173">
        <f t="shared" si="44"/>
        <v>0.89575289575289574</v>
      </c>
      <c r="ED13" s="63">
        <v>1.05</v>
      </c>
      <c r="EE13" s="63">
        <v>1.23</v>
      </c>
      <c r="EF13" s="63">
        <v>0.04</v>
      </c>
      <c r="EG13" s="63">
        <v>0.06</v>
      </c>
      <c r="EH13" s="127" t="str">
        <f t="shared" si="5"/>
        <v>SA</v>
      </c>
      <c r="EI13" s="56">
        <v>6</v>
      </c>
      <c r="EJ13" s="334"/>
      <c r="EK13" s="334"/>
      <c r="EL13" s="334"/>
      <c r="EM13" s="334"/>
      <c r="EN13" s="334"/>
      <c r="EO13" s="334"/>
      <c r="EP13" s="334"/>
      <c r="EQ13" s="65" t="str">
        <f t="shared" si="45"/>
        <v>SA</v>
      </c>
      <c r="ER13" s="20"/>
      <c r="ES13" s="20"/>
      <c r="ET13" s="20"/>
      <c r="EU13" s="20"/>
      <c r="EV13" s="20"/>
      <c r="EW13" s="20"/>
      <c r="EX13" s="20"/>
    </row>
    <row r="14" spans="1:154" s="3" customFormat="1" ht="17.149999999999999" customHeight="1" x14ac:dyDescent="0.25">
      <c r="A14" s="56">
        <v>7</v>
      </c>
      <c r="B14" s="57">
        <v>901910</v>
      </c>
      <c r="C14" s="58">
        <f t="shared" si="6"/>
        <v>178</v>
      </c>
      <c r="D14" s="167">
        <v>11.5</v>
      </c>
      <c r="E14" s="57">
        <v>806223</v>
      </c>
      <c r="F14" s="58">
        <f t="shared" si="7"/>
        <v>192</v>
      </c>
      <c r="G14" s="168">
        <v>5.05</v>
      </c>
      <c r="H14" s="57">
        <v>761584</v>
      </c>
      <c r="I14" s="58">
        <f t="shared" si="0"/>
        <v>116</v>
      </c>
      <c r="J14" s="60" t="s">
        <v>338</v>
      </c>
      <c r="K14" s="56">
        <v>7</v>
      </c>
      <c r="L14" s="57">
        <v>70528</v>
      </c>
      <c r="M14" s="58">
        <f t="shared" si="8"/>
        <v>49</v>
      </c>
      <c r="N14" s="57">
        <v>179583</v>
      </c>
      <c r="O14" s="58">
        <f t="shared" si="9"/>
        <v>52</v>
      </c>
      <c r="P14" s="57">
        <v>194749</v>
      </c>
      <c r="Q14" s="169" t="str">
        <f t="shared" si="1"/>
        <v/>
      </c>
      <c r="R14" s="57">
        <v>684</v>
      </c>
      <c r="S14" s="57">
        <v>691</v>
      </c>
      <c r="T14" s="57">
        <v>143</v>
      </c>
      <c r="U14" s="57">
        <v>140</v>
      </c>
      <c r="V14" s="58" t="str">
        <f t="shared" si="10"/>
        <v>SA</v>
      </c>
      <c r="W14" s="56">
        <v>7</v>
      </c>
      <c r="X14" s="63">
        <v>11923.28</v>
      </c>
      <c r="Y14" s="130">
        <f t="shared" si="11"/>
        <v>2.6999999999989086</v>
      </c>
      <c r="Z14" s="63">
        <v>12695.65</v>
      </c>
      <c r="AA14" s="130">
        <f t="shared" si="12"/>
        <v>1.6499999999996362</v>
      </c>
      <c r="AB14" s="63">
        <v>9968.39</v>
      </c>
      <c r="AC14" s="130">
        <f t="shared" si="13"/>
        <v>1.2000000000007276</v>
      </c>
      <c r="AD14" s="63">
        <v>10131.959999999999</v>
      </c>
      <c r="AE14" s="130">
        <f t="shared" si="2"/>
        <v>1.2900000000008731</v>
      </c>
      <c r="AF14" s="125" t="str">
        <f t="shared" si="14"/>
        <v>SA</v>
      </c>
      <c r="AG14" s="56">
        <v>7</v>
      </c>
      <c r="AH14" s="63">
        <v>47654.25</v>
      </c>
      <c r="AI14" s="130">
        <f t="shared" si="15"/>
        <v>7.7300000000032014</v>
      </c>
      <c r="AJ14" s="63">
        <v>49819.9</v>
      </c>
      <c r="AK14" s="130">
        <f t="shared" si="16"/>
        <v>11.580000000001746</v>
      </c>
      <c r="AL14" s="63">
        <v>591.62</v>
      </c>
      <c r="AM14" s="130">
        <f t="shared" si="17"/>
        <v>0.20000000000004547</v>
      </c>
      <c r="AN14" s="63">
        <v>552.65</v>
      </c>
      <c r="AO14" s="130">
        <f t="shared" si="3"/>
        <v>0.33000000000004093</v>
      </c>
      <c r="AP14" s="125" t="str">
        <f t="shared" si="18"/>
        <v>SA</v>
      </c>
      <c r="AQ14" s="56">
        <v>7</v>
      </c>
      <c r="AR14" s="63">
        <v>6869.17</v>
      </c>
      <c r="AS14" s="130">
        <f t="shared" si="19"/>
        <v>2.1199999999998909</v>
      </c>
      <c r="AT14" s="63">
        <v>7647.04</v>
      </c>
      <c r="AU14" s="130">
        <f t="shared" si="20"/>
        <v>2.0500000000001819</v>
      </c>
      <c r="AV14" s="63">
        <v>259.35000000000002</v>
      </c>
      <c r="AW14" s="130" t="str">
        <f t="shared" si="21"/>
        <v/>
      </c>
      <c r="AX14" s="63">
        <v>245.35</v>
      </c>
      <c r="AY14" s="130">
        <f t="shared" si="4"/>
        <v>0.34000000000000341</v>
      </c>
      <c r="AZ14" s="125" t="str">
        <f t="shared" si="22"/>
        <v>SA</v>
      </c>
      <c r="BA14" s="56">
        <v>7</v>
      </c>
      <c r="BB14" s="64"/>
      <c r="BC14" s="62"/>
      <c r="BD14" s="61"/>
      <c r="BE14" s="61"/>
      <c r="BF14" s="61"/>
      <c r="BG14" s="61"/>
      <c r="BH14" s="64"/>
      <c r="BI14" s="64"/>
      <c r="BJ14" s="64"/>
      <c r="BK14" s="64"/>
      <c r="BL14" s="64"/>
      <c r="BM14" s="64"/>
      <c r="BN14" s="65" t="str">
        <f t="shared" si="23"/>
        <v>SA</v>
      </c>
      <c r="BO14" s="56">
        <v>7</v>
      </c>
      <c r="BP14" s="64">
        <v>0.104</v>
      </c>
      <c r="BQ14" s="62">
        <v>0</v>
      </c>
      <c r="BR14" s="61">
        <v>7.2</v>
      </c>
      <c r="BS14" s="61">
        <v>22.1</v>
      </c>
      <c r="BT14" s="61">
        <v>24.1</v>
      </c>
      <c r="BU14" s="64">
        <v>1.2999999999999999E-2</v>
      </c>
      <c r="BV14" s="63">
        <v>1.1599999999999999</v>
      </c>
      <c r="BW14" s="63">
        <v>0.88</v>
      </c>
      <c r="BX14" s="66" t="s">
        <v>243</v>
      </c>
      <c r="BY14" s="172" t="s">
        <v>409</v>
      </c>
      <c r="BZ14" s="67" t="str">
        <f t="shared" si="24"/>
        <v>SA</v>
      </c>
      <c r="CA14" s="56">
        <v>7</v>
      </c>
      <c r="CB14" s="61">
        <v>85.3</v>
      </c>
      <c r="CC14" s="61"/>
      <c r="CD14" s="68">
        <f t="shared" si="25"/>
        <v>1.2000000000000028</v>
      </c>
      <c r="CE14" s="69">
        <f t="shared" si="26"/>
        <v>5.5851180000000138</v>
      </c>
      <c r="CF14" s="69">
        <f t="shared" si="27"/>
        <v>5.7777082758620839</v>
      </c>
      <c r="CG14" s="62">
        <v>92</v>
      </c>
      <c r="CH14" s="62">
        <v>100</v>
      </c>
      <c r="CI14" s="65" t="str">
        <f t="shared" si="28"/>
        <v>SA</v>
      </c>
      <c r="CJ14" s="56">
        <v>7</v>
      </c>
      <c r="CK14" s="61">
        <v>88.3</v>
      </c>
      <c r="CL14" s="61"/>
      <c r="CM14" s="68">
        <f t="shared" si="29"/>
        <v>2.2000000000000028</v>
      </c>
      <c r="CN14" s="68">
        <f t="shared" si="30"/>
        <v>10.239383000000014</v>
      </c>
      <c r="CO14" s="68">
        <f t="shared" si="31"/>
        <v>22.874666572752844</v>
      </c>
      <c r="CP14" s="62">
        <v>66</v>
      </c>
      <c r="CQ14" s="62">
        <v>83</v>
      </c>
      <c r="CR14" s="65" t="str">
        <f t="shared" si="32"/>
        <v>SA</v>
      </c>
      <c r="CS14" s="56">
        <v>7</v>
      </c>
      <c r="CT14" s="61">
        <v>98.4</v>
      </c>
      <c r="CU14" s="61"/>
      <c r="CV14" s="68">
        <f t="shared" si="33"/>
        <v>1.8000000000000114</v>
      </c>
      <c r="CW14" s="68">
        <f t="shared" si="34"/>
        <v>11.959632000000076</v>
      </c>
      <c r="CX14" s="69">
        <f t="shared" si="35"/>
        <v>6.7188943820225139E-2</v>
      </c>
      <c r="CY14" s="66" t="s">
        <v>406</v>
      </c>
      <c r="CZ14" s="66" t="s">
        <v>241</v>
      </c>
      <c r="DA14" s="66"/>
      <c r="DB14" s="65" t="str">
        <f t="shared" si="36"/>
        <v>SA</v>
      </c>
      <c r="DC14" s="56">
        <v>7</v>
      </c>
      <c r="DD14" s="61">
        <v>81.3</v>
      </c>
      <c r="DE14" s="61">
        <v>106</v>
      </c>
      <c r="DF14" s="68">
        <f t="shared" si="37"/>
        <v>16.599999999999994</v>
      </c>
      <c r="DG14" s="69">
        <f t="shared" si="38"/>
        <v>0.89559039807999974</v>
      </c>
      <c r="DH14" s="68">
        <f t="shared" si="39"/>
        <v>5.0314067307865153</v>
      </c>
      <c r="DI14" s="62">
        <v>112</v>
      </c>
      <c r="DJ14" s="62">
        <v>54</v>
      </c>
      <c r="DK14" s="65" t="str">
        <f t="shared" si="40"/>
        <v>SA</v>
      </c>
      <c r="DL14" s="56">
        <v>7</v>
      </c>
      <c r="DM14" s="63">
        <v>8.34</v>
      </c>
      <c r="DN14" s="64">
        <v>2.7E-2</v>
      </c>
      <c r="DO14" s="64">
        <v>0.03</v>
      </c>
      <c r="DP14" s="64">
        <v>9.1999999999999998E-2</v>
      </c>
      <c r="DQ14" s="63">
        <v>6.98</v>
      </c>
      <c r="DR14" s="61">
        <v>22.1</v>
      </c>
      <c r="DS14" s="64">
        <v>1.1950000000000001</v>
      </c>
      <c r="DT14" s="61">
        <v>81</v>
      </c>
      <c r="DU14" s="63">
        <v>4.3099999999999996</v>
      </c>
      <c r="DV14" s="64">
        <v>0.68899999999999995</v>
      </c>
      <c r="DW14" s="64">
        <v>2.4900000000000002</v>
      </c>
      <c r="DX14" s="66" t="s">
        <v>242</v>
      </c>
      <c r="DY14" s="65" t="str">
        <f t="shared" si="41"/>
        <v>SA</v>
      </c>
      <c r="DZ14" s="128">
        <v>7</v>
      </c>
      <c r="EA14" s="173">
        <f t="shared" si="42"/>
        <v>0.11898395721925134</v>
      </c>
      <c r="EB14" s="173">
        <f t="shared" si="43"/>
        <v>0.14117647058823529</v>
      </c>
      <c r="EC14" s="173">
        <f t="shared" si="44"/>
        <v>0.651685393258427</v>
      </c>
      <c r="ED14" s="284">
        <v>0.71</v>
      </c>
      <c r="EE14" s="63">
        <v>1.24</v>
      </c>
      <c r="EF14" s="63">
        <v>0.04</v>
      </c>
      <c r="EG14" s="63">
        <v>0.09</v>
      </c>
      <c r="EH14" s="127" t="str">
        <f t="shared" si="5"/>
        <v>SA</v>
      </c>
      <c r="EI14" s="56">
        <v>7</v>
      </c>
      <c r="EJ14" s="334" t="s">
        <v>412</v>
      </c>
      <c r="EK14" s="380"/>
      <c r="EL14" s="380"/>
      <c r="EM14" s="380"/>
      <c r="EN14" s="380"/>
      <c r="EO14" s="380"/>
      <c r="EP14" s="380"/>
      <c r="EQ14" s="65" t="str">
        <f t="shared" si="45"/>
        <v>SA</v>
      </c>
      <c r="ER14" s="20"/>
      <c r="ES14" s="20"/>
      <c r="ET14" s="20"/>
      <c r="EU14" s="20"/>
      <c r="EV14" s="20"/>
      <c r="EW14" s="20"/>
      <c r="EX14" s="20"/>
    </row>
    <row r="15" spans="1:154" s="3" customFormat="1" ht="17.149999999999999" customHeight="1" x14ac:dyDescent="0.25">
      <c r="A15" s="56">
        <v>8</v>
      </c>
      <c r="B15" s="57">
        <v>902088</v>
      </c>
      <c r="C15" s="58">
        <f t="shared" si="6"/>
        <v>208</v>
      </c>
      <c r="D15" s="167">
        <v>11.9</v>
      </c>
      <c r="E15" s="57">
        <v>806415</v>
      </c>
      <c r="F15" s="58">
        <f t="shared" si="7"/>
        <v>231</v>
      </c>
      <c r="G15" s="168">
        <v>4</v>
      </c>
      <c r="H15" s="57">
        <v>761700</v>
      </c>
      <c r="I15" s="58">
        <f t="shared" si="0"/>
        <v>189</v>
      </c>
      <c r="J15" s="60" t="s">
        <v>194</v>
      </c>
      <c r="K15" s="56">
        <v>8</v>
      </c>
      <c r="L15" s="57">
        <v>70577</v>
      </c>
      <c r="M15" s="58" t="str">
        <f t="shared" si="8"/>
        <v/>
      </c>
      <c r="N15" s="57">
        <v>179635</v>
      </c>
      <c r="O15" s="58">
        <f t="shared" si="9"/>
        <v>51</v>
      </c>
      <c r="P15" s="57">
        <v>194749</v>
      </c>
      <c r="Q15" s="169" t="str">
        <f t="shared" si="1"/>
        <v/>
      </c>
      <c r="R15" s="57">
        <v>684</v>
      </c>
      <c r="S15" s="57">
        <v>691</v>
      </c>
      <c r="T15" s="57">
        <v>143</v>
      </c>
      <c r="U15" s="57">
        <v>140</v>
      </c>
      <c r="V15" s="58" t="str">
        <f t="shared" si="10"/>
        <v>ME</v>
      </c>
      <c r="W15" s="56">
        <v>8</v>
      </c>
      <c r="X15" s="63">
        <v>11925.98</v>
      </c>
      <c r="Y15" s="130">
        <f t="shared" si="11"/>
        <v>2.7100000000009459</v>
      </c>
      <c r="Z15" s="63">
        <v>12697.3</v>
      </c>
      <c r="AA15" s="130">
        <f t="shared" si="12"/>
        <v>2.1599999999998545</v>
      </c>
      <c r="AB15" s="63">
        <v>9969.59</v>
      </c>
      <c r="AC15" s="130">
        <f t="shared" si="13"/>
        <v>2.3699999999989814</v>
      </c>
      <c r="AD15" s="63">
        <v>10133.25</v>
      </c>
      <c r="AE15" s="130">
        <f t="shared" si="2"/>
        <v>1.9699999999993452</v>
      </c>
      <c r="AF15" s="125" t="str">
        <f t="shared" si="14"/>
        <v>ME</v>
      </c>
      <c r="AG15" s="56">
        <v>8</v>
      </c>
      <c r="AH15" s="63">
        <v>47661.98</v>
      </c>
      <c r="AI15" s="130">
        <f t="shared" si="15"/>
        <v>10.779999999998836</v>
      </c>
      <c r="AJ15" s="63">
        <v>49831.48</v>
      </c>
      <c r="AK15" s="130">
        <f t="shared" si="16"/>
        <v>12.430000000000291</v>
      </c>
      <c r="AL15" s="63">
        <v>591.82000000000005</v>
      </c>
      <c r="AM15" s="130">
        <f t="shared" si="17"/>
        <v>0.17999999999994998</v>
      </c>
      <c r="AN15" s="63">
        <v>552.98</v>
      </c>
      <c r="AO15" s="130">
        <f t="shared" si="3"/>
        <v>0.19999999999993179</v>
      </c>
      <c r="AP15" s="125" t="str">
        <f t="shared" si="18"/>
        <v>ME</v>
      </c>
      <c r="AQ15" s="56">
        <v>8</v>
      </c>
      <c r="AR15" s="63">
        <v>6871.29</v>
      </c>
      <c r="AS15" s="130">
        <f t="shared" si="19"/>
        <v>2.4600000000000364</v>
      </c>
      <c r="AT15" s="63">
        <v>7649.09</v>
      </c>
      <c r="AU15" s="130">
        <f t="shared" si="20"/>
        <v>2.7699999999995271</v>
      </c>
      <c r="AV15" s="63">
        <v>259.35000000000002</v>
      </c>
      <c r="AW15" s="130" t="str">
        <f t="shared" si="21"/>
        <v/>
      </c>
      <c r="AX15" s="63">
        <v>245.69</v>
      </c>
      <c r="AY15" s="130" t="str">
        <f t="shared" si="4"/>
        <v/>
      </c>
      <c r="AZ15" s="125" t="str">
        <f t="shared" si="22"/>
        <v>ME</v>
      </c>
      <c r="BA15" s="56">
        <v>8</v>
      </c>
      <c r="BB15" s="64">
        <v>1.63</v>
      </c>
      <c r="BC15" s="62">
        <v>71</v>
      </c>
      <c r="BD15" s="61">
        <v>7.2</v>
      </c>
      <c r="BE15" s="61">
        <v>21.3</v>
      </c>
      <c r="BF15" s="61">
        <v>15.9</v>
      </c>
      <c r="BG15" s="61">
        <v>7.2</v>
      </c>
      <c r="BH15" s="64">
        <v>0.14799999999999999</v>
      </c>
      <c r="BI15" s="64">
        <v>0.16</v>
      </c>
      <c r="BJ15" s="64">
        <v>7.0999999999999994E-2</v>
      </c>
      <c r="BK15" s="64">
        <v>5.3999999999999999E-2</v>
      </c>
      <c r="BL15" s="64">
        <v>7.4999999999999997E-2</v>
      </c>
      <c r="BM15" s="64">
        <v>7.3999999999999996E-2</v>
      </c>
      <c r="BN15" s="65" t="str">
        <f t="shared" si="23"/>
        <v>ME</v>
      </c>
      <c r="BO15" s="56">
        <v>8</v>
      </c>
      <c r="BP15" s="64">
        <v>9.0999999999999998E-2</v>
      </c>
      <c r="BQ15" s="62">
        <v>0</v>
      </c>
      <c r="BR15" s="61">
        <v>7.4</v>
      </c>
      <c r="BS15" s="61">
        <v>22.1</v>
      </c>
      <c r="BT15" s="61">
        <v>17.5</v>
      </c>
      <c r="BU15" s="64">
        <v>1.7999999999999999E-2</v>
      </c>
      <c r="BV15" s="63">
        <v>1.1299999999999999</v>
      </c>
      <c r="BW15" s="63">
        <v>0.91</v>
      </c>
      <c r="BX15" s="66" t="s">
        <v>253</v>
      </c>
      <c r="BY15" s="172" t="s">
        <v>246</v>
      </c>
      <c r="BZ15" s="67" t="str">
        <f t="shared" si="24"/>
        <v>ME</v>
      </c>
      <c r="CA15" s="56">
        <v>8</v>
      </c>
      <c r="CB15" s="61">
        <v>84.1</v>
      </c>
      <c r="CC15" s="61">
        <v>93.4</v>
      </c>
      <c r="CD15" s="68">
        <f t="shared" si="25"/>
        <v>2.2000000000000028</v>
      </c>
      <c r="CE15" s="69">
        <f t="shared" si="26"/>
        <v>10.239383000000014</v>
      </c>
      <c r="CF15" s="69">
        <f t="shared" si="27"/>
        <v>6.5011955555555652</v>
      </c>
      <c r="CG15" s="62">
        <v>92</v>
      </c>
      <c r="CH15" s="62">
        <v>100</v>
      </c>
      <c r="CI15" s="65" t="str">
        <f t="shared" si="28"/>
        <v>ME</v>
      </c>
      <c r="CJ15" s="56">
        <v>8</v>
      </c>
      <c r="CK15" s="61">
        <v>86.1</v>
      </c>
      <c r="CL15" s="61">
        <v>99.8</v>
      </c>
      <c r="CM15" s="68">
        <f t="shared" si="29"/>
        <v>2.7000000000000028</v>
      </c>
      <c r="CN15" s="68">
        <f t="shared" si="30"/>
        <v>12.566515500000014</v>
      </c>
      <c r="CO15" s="68">
        <f t="shared" si="31"/>
        <v>24.024398502764452</v>
      </c>
      <c r="CP15" s="62">
        <v>67</v>
      </c>
      <c r="CQ15" s="62">
        <v>83</v>
      </c>
      <c r="CR15" s="65" t="str">
        <f t="shared" si="32"/>
        <v>ME</v>
      </c>
      <c r="CS15" s="56">
        <v>8</v>
      </c>
      <c r="CT15" s="61">
        <v>96.6</v>
      </c>
      <c r="CU15" s="61">
        <v>94.4</v>
      </c>
      <c r="CV15" s="68">
        <f t="shared" si="33"/>
        <v>2.3000000000000114</v>
      </c>
      <c r="CW15" s="68">
        <f t="shared" si="34"/>
        <v>15.281752000000075</v>
      </c>
      <c r="CX15" s="69">
        <f t="shared" si="35"/>
        <v>7.34699615384619E-2</v>
      </c>
      <c r="CY15" s="66" t="s">
        <v>406</v>
      </c>
      <c r="CZ15" s="66" t="s">
        <v>241</v>
      </c>
      <c r="DA15" s="66" t="s">
        <v>242</v>
      </c>
      <c r="DB15" s="65" t="str">
        <f t="shared" si="36"/>
        <v>ME</v>
      </c>
      <c r="DC15" s="56">
        <v>8</v>
      </c>
      <c r="DD15" s="61">
        <v>89.4</v>
      </c>
      <c r="DE15" s="61">
        <v>103.1</v>
      </c>
      <c r="DF15" s="68">
        <f t="shared" si="37"/>
        <v>20.099999999999994</v>
      </c>
      <c r="DG15" s="69">
        <f t="shared" si="38"/>
        <v>1.0844196988799997</v>
      </c>
      <c r="DH15" s="68">
        <f t="shared" si="39"/>
        <v>5.2135562446153836</v>
      </c>
      <c r="DI15" s="62">
        <v>112</v>
      </c>
      <c r="DJ15" s="62">
        <v>54</v>
      </c>
      <c r="DK15" s="65" t="str">
        <f t="shared" si="40"/>
        <v>ME</v>
      </c>
      <c r="DL15" s="56">
        <v>8</v>
      </c>
      <c r="DM15" s="63">
        <v>8.35</v>
      </c>
      <c r="DN15" s="64">
        <v>3.3000000000000002E-2</v>
      </c>
      <c r="DO15" s="64">
        <v>3.1E-2</v>
      </c>
      <c r="DP15" s="64">
        <v>6.7000000000000004E-2</v>
      </c>
      <c r="DQ15" s="63">
        <v>6.94</v>
      </c>
      <c r="DR15" s="61">
        <v>22.1</v>
      </c>
      <c r="DS15" s="64">
        <v>1.2310000000000001</v>
      </c>
      <c r="DT15" s="61">
        <v>86.2</v>
      </c>
      <c r="DU15" s="63">
        <v>4.1500000000000004</v>
      </c>
      <c r="DV15" s="64">
        <v>1.476</v>
      </c>
      <c r="DW15" s="64">
        <v>4.1100000000000003</v>
      </c>
      <c r="DX15" s="66" t="s">
        <v>242</v>
      </c>
      <c r="DY15" s="65" t="str">
        <f t="shared" si="41"/>
        <v>ME</v>
      </c>
      <c r="DZ15" s="128">
        <v>8</v>
      </c>
      <c r="EA15" s="173">
        <f t="shared" si="42"/>
        <v>0.13903743315508021</v>
      </c>
      <c r="EB15" s="173">
        <f t="shared" si="43"/>
        <v>0.1698529411764706</v>
      </c>
      <c r="EC15" s="173">
        <f t="shared" si="44"/>
        <v>0.90865384615384615</v>
      </c>
      <c r="ED15" s="63">
        <v>0.96</v>
      </c>
      <c r="EE15" s="63">
        <v>1.27</v>
      </c>
      <c r="EF15" s="63">
        <v>0.04</v>
      </c>
      <c r="EG15" s="63">
        <v>0.1</v>
      </c>
      <c r="EH15" s="127" t="str">
        <f t="shared" si="5"/>
        <v>ME</v>
      </c>
      <c r="EI15" s="56">
        <v>8</v>
      </c>
      <c r="EJ15" s="334"/>
      <c r="EK15" s="334"/>
      <c r="EL15" s="334"/>
      <c r="EM15" s="334"/>
      <c r="EN15" s="334"/>
      <c r="EO15" s="334"/>
      <c r="EP15" s="334"/>
      <c r="EQ15" s="65" t="str">
        <f t="shared" si="45"/>
        <v>ME</v>
      </c>
      <c r="ER15" s="20"/>
      <c r="ES15" s="20"/>
      <c r="ET15" s="20"/>
      <c r="EU15" s="20"/>
      <c r="EV15" s="20"/>
      <c r="EW15" s="20"/>
      <c r="EX15" s="20"/>
    </row>
    <row r="16" spans="1:154" s="3" customFormat="1" ht="17.149999999999999" customHeight="1" x14ac:dyDescent="0.25">
      <c r="A16" s="56">
        <v>9</v>
      </c>
      <c r="B16" s="57">
        <v>902296</v>
      </c>
      <c r="C16" s="58">
        <f t="shared" si="6"/>
        <v>194</v>
      </c>
      <c r="D16" s="167">
        <v>11.55</v>
      </c>
      <c r="E16" s="57">
        <v>806646</v>
      </c>
      <c r="F16" s="58">
        <f t="shared" si="7"/>
        <v>194</v>
      </c>
      <c r="G16" s="168">
        <v>1.51</v>
      </c>
      <c r="H16" s="57">
        <v>761889</v>
      </c>
      <c r="I16" s="58">
        <f t="shared" si="0"/>
        <v>174</v>
      </c>
      <c r="J16" s="60" t="s">
        <v>194</v>
      </c>
      <c r="K16" s="56">
        <v>9</v>
      </c>
      <c r="L16" s="57">
        <v>70577</v>
      </c>
      <c r="M16" s="58" t="str">
        <f t="shared" si="8"/>
        <v/>
      </c>
      <c r="N16" s="57">
        <v>179686</v>
      </c>
      <c r="O16" s="58">
        <f t="shared" si="9"/>
        <v>27</v>
      </c>
      <c r="P16" s="57">
        <v>194749</v>
      </c>
      <c r="Q16" s="169" t="str">
        <f t="shared" si="1"/>
        <v/>
      </c>
      <c r="R16" s="57">
        <v>684</v>
      </c>
      <c r="S16" s="57">
        <v>692</v>
      </c>
      <c r="T16" s="57">
        <v>143</v>
      </c>
      <c r="U16" s="57">
        <v>140</v>
      </c>
      <c r="V16" s="58" t="str">
        <f t="shared" si="10"/>
        <v>ME</v>
      </c>
      <c r="W16" s="56">
        <v>9</v>
      </c>
      <c r="X16" s="63">
        <v>11928.69</v>
      </c>
      <c r="Y16" s="130">
        <f t="shared" si="11"/>
        <v>2.5900000000001455</v>
      </c>
      <c r="Z16" s="63">
        <v>12699.46</v>
      </c>
      <c r="AA16" s="130">
        <f t="shared" si="12"/>
        <v>1.9800000000013824</v>
      </c>
      <c r="AB16" s="63">
        <v>9971.9599999999991</v>
      </c>
      <c r="AC16" s="130">
        <f t="shared" si="13"/>
        <v>2.2200000000011642</v>
      </c>
      <c r="AD16" s="63">
        <v>10135.219999999999</v>
      </c>
      <c r="AE16" s="130">
        <f t="shared" si="2"/>
        <v>1.6599999999998545</v>
      </c>
      <c r="AF16" s="125" t="str">
        <f t="shared" si="14"/>
        <v>ME</v>
      </c>
      <c r="AG16" s="56">
        <v>9</v>
      </c>
      <c r="AH16" s="63">
        <v>47672.76</v>
      </c>
      <c r="AI16" s="130">
        <f t="shared" si="15"/>
        <v>13.229999999995925</v>
      </c>
      <c r="AJ16" s="63">
        <v>49843.91</v>
      </c>
      <c r="AK16" s="130">
        <f t="shared" si="16"/>
        <v>10.389999999999418</v>
      </c>
      <c r="AL16" s="63">
        <v>592</v>
      </c>
      <c r="AM16" s="130" t="str">
        <f t="shared" si="17"/>
        <v/>
      </c>
      <c r="AN16" s="63">
        <v>553.17999999999995</v>
      </c>
      <c r="AO16" s="130" t="str">
        <f t="shared" si="3"/>
        <v/>
      </c>
      <c r="AP16" s="125" t="str">
        <f t="shared" si="18"/>
        <v>ME</v>
      </c>
      <c r="AQ16" s="56">
        <v>9</v>
      </c>
      <c r="AR16" s="63">
        <v>6873.75</v>
      </c>
      <c r="AS16" s="130">
        <f t="shared" si="19"/>
        <v>1.3500000000003638</v>
      </c>
      <c r="AT16" s="63">
        <v>7651.86</v>
      </c>
      <c r="AU16" s="130">
        <f t="shared" si="20"/>
        <v>1.5100000000002183</v>
      </c>
      <c r="AV16" s="63">
        <v>259.35000000000002</v>
      </c>
      <c r="AW16" s="130" t="str">
        <f t="shared" si="21"/>
        <v/>
      </c>
      <c r="AX16" s="63">
        <v>245.69</v>
      </c>
      <c r="AY16" s="130" t="str">
        <f t="shared" si="4"/>
        <v/>
      </c>
      <c r="AZ16" s="125" t="str">
        <f t="shared" si="22"/>
        <v>ME</v>
      </c>
      <c r="BA16" s="56">
        <v>9</v>
      </c>
      <c r="BB16" s="64">
        <v>1.4</v>
      </c>
      <c r="BC16" s="62">
        <v>23</v>
      </c>
      <c r="BD16" s="61">
        <v>7</v>
      </c>
      <c r="BE16" s="61">
        <v>21.6</v>
      </c>
      <c r="BF16" s="61">
        <v>16.8</v>
      </c>
      <c r="BG16" s="61">
        <v>7</v>
      </c>
      <c r="BH16" s="64">
        <v>0.21199999999999999</v>
      </c>
      <c r="BI16" s="64">
        <v>0.17599999999999999</v>
      </c>
      <c r="BJ16" s="64">
        <v>7.0000000000000007E-2</v>
      </c>
      <c r="BK16" s="64">
        <v>0.06</v>
      </c>
      <c r="BL16" s="64">
        <v>0.06</v>
      </c>
      <c r="BM16" s="64">
        <v>5.3999999999999999E-2</v>
      </c>
      <c r="BN16" s="65" t="str">
        <f t="shared" si="23"/>
        <v>ME</v>
      </c>
      <c r="BO16" s="56">
        <v>9</v>
      </c>
      <c r="BP16" s="64">
        <v>9.6000000000000002E-2</v>
      </c>
      <c r="BQ16" s="62">
        <v>0</v>
      </c>
      <c r="BR16" s="61">
        <v>7</v>
      </c>
      <c r="BS16" s="61">
        <v>22.3</v>
      </c>
      <c r="BT16" s="61">
        <v>17.399999999999999</v>
      </c>
      <c r="BU16" s="64">
        <v>1.9E-2</v>
      </c>
      <c r="BV16" s="63">
        <v>1.17</v>
      </c>
      <c r="BW16" s="63">
        <v>1.01</v>
      </c>
      <c r="BX16" s="66" t="s">
        <v>245</v>
      </c>
      <c r="BY16" s="172" t="s">
        <v>246</v>
      </c>
      <c r="BZ16" s="67" t="str">
        <f t="shared" si="24"/>
        <v>ME</v>
      </c>
      <c r="CA16" s="56">
        <v>9</v>
      </c>
      <c r="CB16" s="61">
        <v>91.2</v>
      </c>
      <c r="CC16" s="61"/>
      <c r="CD16" s="68">
        <f t="shared" si="25"/>
        <v>1.7999999999999972</v>
      </c>
      <c r="CE16" s="69">
        <f t="shared" si="26"/>
        <v>8.3776769999999878</v>
      </c>
      <c r="CF16" s="69">
        <f t="shared" si="27"/>
        <v>5.7777082758620599</v>
      </c>
      <c r="CG16" s="62">
        <v>92</v>
      </c>
      <c r="CH16" s="62">
        <v>100</v>
      </c>
      <c r="CI16" s="65" t="str">
        <f t="shared" si="28"/>
        <v>ME</v>
      </c>
      <c r="CJ16" s="56">
        <v>9</v>
      </c>
      <c r="CK16" s="61">
        <v>97.1</v>
      </c>
      <c r="CL16" s="61"/>
      <c r="CM16" s="68">
        <f t="shared" si="29"/>
        <v>2.3999999999999915</v>
      </c>
      <c r="CN16" s="68">
        <f t="shared" si="30"/>
        <v>11.17023599999996</v>
      </c>
      <c r="CO16" s="68">
        <f t="shared" si="31"/>
        <v>22.896104873195796</v>
      </c>
      <c r="CP16" s="62">
        <v>66</v>
      </c>
      <c r="CQ16" s="62">
        <v>83</v>
      </c>
      <c r="CR16" s="65" t="str">
        <f t="shared" si="32"/>
        <v>ME</v>
      </c>
      <c r="CS16" s="56">
        <v>9</v>
      </c>
      <c r="CT16" s="61">
        <v>92.1</v>
      </c>
      <c r="CU16" s="61"/>
      <c r="CV16" s="68">
        <f t="shared" si="33"/>
        <v>2</v>
      </c>
      <c r="CW16" s="68">
        <f t="shared" si="34"/>
        <v>13.28848</v>
      </c>
      <c r="CX16" s="69">
        <f t="shared" si="35"/>
        <v>6.8497319587628863E-2</v>
      </c>
      <c r="CY16" s="66" t="s">
        <v>406</v>
      </c>
      <c r="CZ16" s="66" t="s">
        <v>241</v>
      </c>
      <c r="DA16" s="66"/>
      <c r="DB16" s="65" t="str">
        <f t="shared" si="36"/>
        <v>ME</v>
      </c>
      <c r="DC16" s="56">
        <v>9</v>
      </c>
      <c r="DD16" s="61">
        <v>83</v>
      </c>
      <c r="DE16" s="61">
        <v>105.8</v>
      </c>
      <c r="DF16" s="68">
        <f t="shared" si="37"/>
        <v>22.5</v>
      </c>
      <c r="DG16" s="69">
        <f t="shared" si="38"/>
        <v>1.2139026479999999</v>
      </c>
      <c r="DH16" s="68">
        <f t="shared" si="39"/>
        <v>6.2572301443298972</v>
      </c>
      <c r="DI16" s="62">
        <v>112</v>
      </c>
      <c r="DJ16" s="62">
        <v>54</v>
      </c>
      <c r="DK16" s="65" t="str">
        <f t="shared" si="40"/>
        <v>ME</v>
      </c>
      <c r="DL16" s="56">
        <v>9</v>
      </c>
      <c r="DM16" s="63">
        <v>8.56</v>
      </c>
      <c r="DN16" s="64">
        <v>3.2000000000000001E-2</v>
      </c>
      <c r="DO16" s="64">
        <v>3.1E-2</v>
      </c>
      <c r="DP16" s="64">
        <v>6.9000000000000006E-2</v>
      </c>
      <c r="DQ16" s="63">
        <v>6.97</v>
      </c>
      <c r="DR16" s="61">
        <v>22.3</v>
      </c>
      <c r="DS16" s="64">
        <v>1.179</v>
      </c>
      <c r="DT16" s="61">
        <v>85.8</v>
      </c>
      <c r="DU16" s="63">
        <v>4.12</v>
      </c>
      <c r="DV16" s="64">
        <v>0.68700000000000006</v>
      </c>
      <c r="DW16" s="64">
        <v>0.82099999999999995</v>
      </c>
      <c r="DX16" s="66" t="s">
        <v>242</v>
      </c>
      <c r="DY16" s="65" t="str">
        <f t="shared" si="41"/>
        <v>ME</v>
      </c>
      <c r="DZ16" s="128">
        <v>9</v>
      </c>
      <c r="EA16" s="173">
        <f t="shared" si="42"/>
        <v>0.12967914438502673</v>
      </c>
      <c r="EB16" s="173">
        <f t="shared" si="43"/>
        <v>0.1426470588235294</v>
      </c>
      <c r="EC16" s="173">
        <f t="shared" si="44"/>
        <v>0.89690721649484539</v>
      </c>
      <c r="ED16" s="63">
        <v>1.1299999999999999</v>
      </c>
      <c r="EE16" s="63">
        <v>1.24</v>
      </c>
      <c r="EF16" s="63">
        <v>0.05</v>
      </c>
      <c r="EG16" s="63">
        <v>0.06</v>
      </c>
      <c r="EH16" s="127" t="str">
        <f t="shared" si="5"/>
        <v>ME</v>
      </c>
      <c r="EI16" s="56">
        <v>9</v>
      </c>
      <c r="EJ16" s="334"/>
      <c r="EK16" s="334"/>
      <c r="EL16" s="334"/>
      <c r="EM16" s="334"/>
      <c r="EN16" s="334"/>
      <c r="EO16" s="334"/>
      <c r="EP16" s="334"/>
      <c r="EQ16" s="65" t="str">
        <f t="shared" si="45"/>
        <v>ME</v>
      </c>
      <c r="ER16" s="20"/>
      <c r="ES16" s="20"/>
      <c r="ET16" s="20"/>
      <c r="EU16" s="20"/>
      <c r="EV16" s="20"/>
      <c r="EW16" s="20"/>
      <c r="EX16" s="20"/>
    </row>
    <row r="17" spans="1:154" s="3" customFormat="1" ht="17.149999999999999" customHeight="1" x14ac:dyDescent="0.25">
      <c r="A17" s="56">
        <v>2</v>
      </c>
      <c r="B17" s="57">
        <v>902490</v>
      </c>
      <c r="C17" s="58">
        <f t="shared" si="6"/>
        <v>178</v>
      </c>
      <c r="D17" s="167">
        <v>12.15</v>
      </c>
      <c r="E17" s="57">
        <v>806840</v>
      </c>
      <c r="F17" s="58">
        <f t="shared" si="7"/>
        <v>240</v>
      </c>
      <c r="G17" s="168">
        <v>1.57</v>
      </c>
      <c r="H17" s="57">
        <v>762063</v>
      </c>
      <c r="I17" s="58">
        <f t="shared" si="0"/>
        <v>157</v>
      </c>
      <c r="J17" s="60" t="s">
        <v>194</v>
      </c>
      <c r="K17" s="56">
        <v>10</v>
      </c>
      <c r="L17" s="57">
        <v>70577</v>
      </c>
      <c r="M17" s="58" t="str">
        <f t="shared" si="8"/>
        <v/>
      </c>
      <c r="N17" s="57">
        <v>179713</v>
      </c>
      <c r="O17" s="58">
        <f t="shared" si="9"/>
        <v>32</v>
      </c>
      <c r="P17" s="57">
        <v>194749</v>
      </c>
      <c r="Q17" s="169" t="str">
        <f t="shared" si="1"/>
        <v/>
      </c>
      <c r="R17" s="57">
        <v>684</v>
      </c>
      <c r="S17" s="57">
        <v>692</v>
      </c>
      <c r="T17" s="57">
        <v>143</v>
      </c>
      <c r="U17" s="57">
        <v>140</v>
      </c>
      <c r="V17" s="58" t="str">
        <f t="shared" si="10"/>
        <v>ME</v>
      </c>
      <c r="W17" s="56">
        <v>10</v>
      </c>
      <c r="X17" s="63">
        <v>11931.28</v>
      </c>
      <c r="Y17" s="130">
        <f t="shared" si="11"/>
        <v>2.1599999999998545</v>
      </c>
      <c r="Z17" s="63">
        <v>12701.44</v>
      </c>
      <c r="AA17" s="130">
        <f t="shared" si="12"/>
        <v>2.0299999999988358</v>
      </c>
      <c r="AB17" s="63">
        <v>9974.18</v>
      </c>
      <c r="AC17" s="130">
        <f t="shared" si="13"/>
        <v>1.7799999999988358</v>
      </c>
      <c r="AD17" s="63">
        <v>10136.879999999999</v>
      </c>
      <c r="AE17" s="130">
        <f t="shared" si="2"/>
        <v>1.7400000000016007</v>
      </c>
      <c r="AF17" s="125" t="str">
        <f t="shared" si="14"/>
        <v>ME</v>
      </c>
      <c r="AG17" s="56">
        <v>10</v>
      </c>
      <c r="AH17" s="63">
        <v>47685.99</v>
      </c>
      <c r="AI17" s="130">
        <f t="shared" si="15"/>
        <v>13.790000000000873</v>
      </c>
      <c r="AJ17" s="63">
        <v>49854.3</v>
      </c>
      <c r="AK17" s="130">
        <f t="shared" si="16"/>
        <v>13.610000000000582</v>
      </c>
      <c r="AL17" s="63">
        <v>592</v>
      </c>
      <c r="AM17" s="130">
        <f t="shared" si="17"/>
        <v>8.0000000000040927E-2</v>
      </c>
      <c r="AN17" s="63">
        <v>553.17999999999995</v>
      </c>
      <c r="AO17" s="130" t="str">
        <f t="shared" si="3"/>
        <v/>
      </c>
      <c r="AP17" s="125" t="str">
        <f t="shared" si="18"/>
        <v>ME</v>
      </c>
      <c r="AQ17" s="56">
        <v>10</v>
      </c>
      <c r="AR17" s="63">
        <v>6875.1</v>
      </c>
      <c r="AS17" s="130">
        <f t="shared" si="19"/>
        <v>1.9799999999995634</v>
      </c>
      <c r="AT17" s="63">
        <v>7653.37</v>
      </c>
      <c r="AU17" s="130">
        <f t="shared" si="20"/>
        <v>1.4899999999997817</v>
      </c>
      <c r="AV17" s="63">
        <v>259.35000000000002</v>
      </c>
      <c r="AW17" s="130" t="str">
        <f t="shared" si="21"/>
        <v/>
      </c>
      <c r="AX17" s="63">
        <v>245.69</v>
      </c>
      <c r="AY17" s="130" t="str">
        <f t="shared" si="4"/>
        <v/>
      </c>
      <c r="AZ17" s="125" t="str">
        <f t="shared" si="22"/>
        <v>ME</v>
      </c>
      <c r="BA17" s="56">
        <v>10</v>
      </c>
      <c r="BB17" s="64">
        <v>1.54</v>
      </c>
      <c r="BC17" s="62">
        <v>38</v>
      </c>
      <c r="BD17" s="61">
        <v>6.8</v>
      </c>
      <c r="BE17" s="61">
        <v>21.2</v>
      </c>
      <c r="BF17" s="61">
        <v>15.9</v>
      </c>
      <c r="BG17" s="61">
        <v>6.8</v>
      </c>
      <c r="BH17" s="64">
        <v>0.20899999999999999</v>
      </c>
      <c r="BI17" s="64">
        <v>0.186</v>
      </c>
      <c r="BJ17" s="64">
        <v>6.2E-2</v>
      </c>
      <c r="BK17" s="64">
        <v>5.3999999999999999E-2</v>
      </c>
      <c r="BL17" s="64">
        <v>0.06</v>
      </c>
      <c r="BM17" s="64">
        <v>5.3999999999999999E-2</v>
      </c>
      <c r="BN17" s="65" t="str">
        <f t="shared" si="23"/>
        <v>ME</v>
      </c>
      <c r="BO17" s="56">
        <v>10</v>
      </c>
      <c r="BP17" s="64">
        <v>9.5000000000000001E-2</v>
      </c>
      <c r="BQ17" s="62">
        <v>0</v>
      </c>
      <c r="BR17" s="61">
        <v>7.1</v>
      </c>
      <c r="BS17" s="61">
        <v>22.1</v>
      </c>
      <c r="BT17" s="61">
        <v>17.8</v>
      </c>
      <c r="BU17" s="64">
        <v>1.6E-2</v>
      </c>
      <c r="BV17" s="63">
        <v>1.0900000000000001</v>
      </c>
      <c r="BW17" s="63">
        <v>1</v>
      </c>
      <c r="BX17" s="66" t="s">
        <v>245</v>
      </c>
      <c r="BY17" s="172" t="s">
        <v>246</v>
      </c>
      <c r="BZ17" s="67" t="str">
        <f t="shared" si="24"/>
        <v>ME</v>
      </c>
      <c r="CA17" s="56">
        <v>10</v>
      </c>
      <c r="CB17" s="61">
        <v>89.4</v>
      </c>
      <c r="CC17" s="61"/>
      <c r="CD17" s="68">
        <f t="shared" si="25"/>
        <v>1.6000000000000085</v>
      </c>
      <c r="CE17" s="69">
        <f t="shared" si="26"/>
        <v>7.4468240000000403</v>
      </c>
      <c r="CF17" s="69">
        <f t="shared" si="27"/>
        <v>5.6918400000000302</v>
      </c>
      <c r="CG17" s="62">
        <v>92</v>
      </c>
      <c r="CH17" s="62">
        <v>100</v>
      </c>
      <c r="CI17" s="65" t="str">
        <f t="shared" si="28"/>
        <v>ME</v>
      </c>
      <c r="CJ17" s="56">
        <v>10</v>
      </c>
      <c r="CK17" s="61">
        <v>94.7</v>
      </c>
      <c r="CL17" s="61"/>
      <c r="CM17" s="68">
        <f t="shared" si="29"/>
        <v>2.2999999999999972</v>
      </c>
      <c r="CN17" s="68">
        <f t="shared" si="30"/>
        <v>10.704809499999987</v>
      </c>
      <c r="CO17" s="68">
        <f t="shared" si="31"/>
        <v>23.914424144241544</v>
      </c>
      <c r="CP17" s="62">
        <v>66</v>
      </c>
      <c r="CQ17" s="62">
        <v>83</v>
      </c>
      <c r="CR17" s="65" t="str">
        <f t="shared" si="32"/>
        <v>ME</v>
      </c>
      <c r="CS17" s="56">
        <v>10</v>
      </c>
      <c r="CT17" s="61">
        <v>90.1</v>
      </c>
      <c r="CU17" s="61"/>
      <c r="CV17" s="68">
        <f t="shared" si="33"/>
        <v>1.8999999999999915</v>
      </c>
      <c r="CW17" s="68">
        <f t="shared" si="34"/>
        <v>12.624055999999943</v>
      </c>
      <c r="CX17" s="69">
        <f t="shared" si="35"/>
        <v>7.0921662921347994E-2</v>
      </c>
      <c r="CY17" s="66" t="s">
        <v>406</v>
      </c>
      <c r="CZ17" s="66" t="s">
        <v>241</v>
      </c>
      <c r="DA17" s="66"/>
      <c r="DB17" s="65" t="str">
        <f t="shared" si="36"/>
        <v>ME</v>
      </c>
      <c r="DC17" s="56">
        <v>10</v>
      </c>
      <c r="DD17" s="61">
        <v>83.3</v>
      </c>
      <c r="DE17" s="61">
        <v>104.3</v>
      </c>
      <c r="DF17" s="68">
        <f t="shared" si="37"/>
        <v>18.5</v>
      </c>
      <c r="DG17" s="69">
        <f t="shared" si="38"/>
        <v>0.99809773280000014</v>
      </c>
      <c r="DH17" s="68">
        <f t="shared" si="39"/>
        <v>5.6072906337078656</v>
      </c>
      <c r="DI17" s="62">
        <v>112</v>
      </c>
      <c r="DJ17" s="62">
        <v>54</v>
      </c>
      <c r="DK17" s="65" t="str">
        <f t="shared" si="40"/>
        <v>ME</v>
      </c>
      <c r="DL17" s="56">
        <v>10</v>
      </c>
      <c r="DM17" s="63">
        <v>8.17</v>
      </c>
      <c r="DN17" s="64">
        <v>3.1E-2</v>
      </c>
      <c r="DO17" s="64">
        <v>3.1E-2</v>
      </c>
      <c r="DP17" s="64">
        <v>7.0999999999999994E-2</v>
      </c>
      <c r="DQ17" s="63">
        <v>6.99</v>
      </c>
      <c r="DR17" s="61">
        <v>22.1</v>
      </c>
      <c r="DS17" s="64">
        <v>1.1479999999999999</v>
      </c>
      <c r="DT17" s="61">
        <v>84.9</v>
      </c>
      <c r="DU17" s="63">
        <v>4.18</v>
      </c>
      <c r="DV17" s="64">
        <v>0.69299999999999995</v>
      </c>
      <c r="DW17" s="64">
        <v>0.72699999999999998</v>
      </c>
      <c r="DX17" s="66" t="s">
        <v>247</v>
      </c>
      <c r="DY17" s="65" t="str">
        <f t="shared" si="41"/>
        <v>ME</v>
      </c>
      <c r="DZ17" s="128">
        <v>10</v>
      </c>
      <c r="EA17" s="173">
        <f t="shared" si="42"/>
        <v>0.11898395721925134</v>
      </c>
      <c r="EB17" s="173">
        <f t="shared" si="43"/>
        <v>0.17647058823529413</v>
      </c>
      <c r="EC17" s="173">
        <f t="shared" si="44"/>
        <v>0.8820224719101124</v>
      </c>
      <c r="ED17" s="63">
        <v>0.96</v>
      </c>
      <c r="EE17" s="63">
        <v>1.18</v>
      </c>
      <c r="EF17" s="63">
        <v>0.05</v>
      </c>
      <c r="EG17" s="63">
        <v>0.08</v>
      </c>
      <c r="EH17" s="127" t="str">
        <f t="shared" si="5"/>
        <v>ME</v>
      </c>
      <c r="EI17" s="56">
        <v>10</v>
      </c>
      <c r="EJ17" s="334" t="s">
        <v>415</v>
      </c>
      <c r="EK17" s="380"/>
      <c r="EL17" s="380"/>
      <c r="EM17" s="380"/>
      <c r="EN17" s="380"/>
      <c r="EO17" s="380"/>
      <c r="EP17" s="380"/>
      <c r="EQ17" s="65" t="str">
        <f t="shared" si="45"/>
        <v>ME</v>
      </c>
      <c r="ER17" s="20"/>
      <c r="ES17" s="20"/>
      <c r="ET17" s="20"/>
      <c r="EU17" s="20"/>
      <c r="EV17" s="20"/>
      <c r="EW17" s="20"/>
      <c r="EX17" s="20"/>
    </row>
    <row r="18" spans="1:154" s="3" customFormat="1" ht="17.149999999999999" customHeight="1" x14ac:dyDescent="0.25">
      <c r="A18" s="56">
        <v>11</v>
      </c>
      <c r="B18" s="57">
        <v>902668</v>
      </c>
      <c r="C18" s="58">
        <f t="shared" si="6"/>
        <v>250</v>
      </c>
      <c r="D18" s="167">
        <v>11.12</v>
      </c>
      <c r="E18" s="57">
        <v>807080</v>
      </c>
      <c r="F18" s="58">
        <f t="shared" si="7"/>
        <v>194</v>
      </c>
      <c r="G18" s="168">
        <v>2.84</v>
      </c>
      <c r="H18" s="57">
        <v>762220</v>
      </c>
      <c r="I18" s="58">
        <f t="shared" si="0"/>
        <v>170</v>
      </c>
      <c r="J18" s="60" t="s">
        <v>194</v>
      </c>
      <c r="K18" s="56">
        <v>11</v>
      </c>
      <c r="L18" s="57">
        <v>70577</v>
      </c>
      <c r="M18" s="58">
        <f t="shared" si="8"/>
        <v>67</v>
      </c>
      <c r="N18" s="57">
        <v>179745</v>
      </c>
      <c r="O18" s="58">
        <f t="shared" si="9"/>
        <v>44</v>
      </c>
      <c r="P18" s="57">
        <v>194749</v>
      </c>
      <c r="Q18" s="169"/>
      <c r="R18" s="57">
        <v>684</v>
      </c>
      <c r="S18" s="57">
        <v>692</v>
      </c>
      <c r="T18" s="57">
        <v>143</v>
      </c>
      <c r="U18" s="57">
        <v>140</v>
      </c>
      <c r="V18" s="58" t="str">
        <f t="shared" si="10"/>
        <v>ME</v>
      </c>
      <c r="W18" s="56">
        <v>11</v>
      </c>
      <c r="X18" s="63">
        <v>11933.44</v>
      </c>
      <c r="Y18" s="130">
        <f t="shared" si="11"/>
        <v>2.6299999999991996</v>
      </c>
      <c r="Z18" s="63">
        <v>12703.47</v>
      </c>
      <c r="AA18" s="130">
        <f t="shared" si="12"/>
        <v>3.4400000000005093</v>
      </c>
      <c r="AB18" s="63">
        <v>9975.9599999999991</v>
      </c>
      <c r="AC18" s="130">
        <f t="shared" si="13"/>
        <v>2.0900000000001455</v>
      </c>
      <c r="AD18" s="63">
        <v>10138.620000000001</v>
      </c>
      <c r="AE18" s="130">
        <f t="shared" si="2"/>
        <v>1.7199999999993452</v>
      </c>
      <c r="AF18" s="125" t="str">
        <f t="shared" si="14"/>
        <v>ME</v>
      </c>
      <c r="AG18" s="56">
        <v>11</v>
      </c>
      <c r="AH18" s="63">
        <v>47699.78</v>
      </c>
      <c r="AI18" s="130">
        <f t="shared" si="15"/>
        <v>10.220000000001164</v>
      </c>
      <c r="AJ18" s="63">
        <v>49867.91</v>
      </c>
      <c r="AK18" s="130">
        <f t="shared" si="16"/>
        <v>9.2899999999935972</v>
      </c>
      <c r="AL18" s="63">
        <v>592.08000000000004</v>
      </c>
      <c r="AM18" s="130">
        <f t="shared" si="17"/>
        <v>7.999999999992724E-2</v>
      </c>
      <c r="AN18" s="63">
        <v>553.17999999999995</v>
      </c>
      <c r="AO18" s="130">
        <f t="shared" si="3"/>
        <v>8.0000000000040927E-2</v>
      </c>
      <c r="AP18" s="125" t="str">
        <f t="shared" si="18"/>
        <v>ME</v>
      </c>
      <c r="AQ18" s="56">
        <v>11</v>
      </c>
      <c r="AR18" s="63">
        <v>6877.08</v>
      </c>
      <c r="AS18" s="130">
        <f t="shared" si="19"/>
        <v>1.6499999999996362</v>
      </c>
      <c r="AT18" s="63">
        <v>7654.86</v>
      </c>
      <c r="AU18" s="130">
        <f t="shared" si="20"/>
        <v>4.3100000000004002</v>
      </c>
      <c r="AV18" s="63">
        <v>259.35000000000002</v>
      </c>
      <c r="AW18" s="130">
        <f t="shared" si="21"/>
        <v>8.9999999999974989E-2</v>
      </c>
      <c r="AX18" s="63">
        <v>245.69</v>
      </c>
      <c r="AY18" s="130">
        <f t="shared" si="4"/>
        <v>0.33000000000001251</v>
      </c>
      <c r="AZ18" s="125" t="str">
        <f t="shared" si="22"/>
        <v>ME</v>
      </c>
      <c r="BA18" s="56">
        <v>11</v>
      </c>
      <c r="BB18" s="64">
        <v>1.28</v>
      </c>
      <c r="BC18" s="62">
        <v>60</v>
      </c>
      <c r="BD18" s="61">
        <v>7.2</v>
      </c>
      <c r="BE18" s="61">
        <v>20.9</v>
      </c>
      <c r="BF18" s="61">
        <v>14.6</v>
      </c>
      <c r="BG18" s="61">
        <v>7.2</v>
      </c>
      <c r="BH18" s="64">
        <v>0.157</v>
      </c>
      <c r="BI18" s="64">
        <v>0.14000000000000001</v>
      </c>
      <c r="BJ18" s="64">
        <v>6.2E-2</v>
      </c>
      <c r="BK18" s="64">
        <v>6.2E-2</v>
      </c>
      <c r="BL18" s="64">
        <v>5.5E-2</v>
      </c>
      <c r="BM18" s="64">
        <v>5.7000000000000002E-2</v>
      </c>
      <c r="BN18" s="65" t="str">
        <f t="shared" si="23"/>
        <v>ME</v>
      </c>
      <c r="BO18" s="56">
        <v>11</v>
      </c>
      <c r="BP18" s="64">
        <v>0.1</v>
      </c>
      <c r="BQ18" s="62">
        <v>0</v>
      </c>
      <c r="BR18" s="61">
        <v>7.1</v>
      </c>
      <c r="BS18" s="61">
        <v>22.2</v>
      </c>
      <c r="BT18" s="61">
        <v>17.600000000000001</v>
      </c>
      <c r="BU18" s="64">
        <v>0.02</v>
      </c>
      <c r="BV18" s="63">
        <v>1.1200000000000001</v>
      </c>
      <c r="BW18" s="63">
        <v>1.02</v>
      </c>
      <c r="BX18" s="66" t="s">
        <v>245</v>
      </c>
      <c r="BY18" s="172" t="s">
        <v>246</v>
      </c>
      <c r="BZ18" s="67" t="str">
        <f t="shared" si="24"/>
        <v>ME</v>
      </c>
      <c r="CA18" s="56">
        <v>11</v>
      </c>
      <c r="CB18" s="61">
        <v>87.8</v>
      </c>
      <c r="CC18" s="61"/>
      <c r="CD18" s="68">
        <f t="shared" si="25"/>
        <v>2</v>
      </c>
      <c r="CE18" s="69">
        <f t="shared" si="26"/>
        <v>9.3085300000000011</v>
      </c>
      <c r="CF18" s="69">
        <f t="shared" si="27"/>
        <v>6.5707270588235289</v>
      </c>
      <c r="CG18" s="62">
        <v>93</v>
      </c>
      <c r="CH18" s="62">
        <v>100</v>
      </c>
      <c r="CI18" s="65" t="str">
        <f t="shared" si="28"/>
        <v>ME</v>
      </c>
      <c r="CJ18" s="56">
        <v>11</v>
      </c>
      <c r="CK18" s="61">
        <v>92.4</v>
      </c>
      <c r="CL18" s="61"/>
      <c r="CM18" s="68">
        <f t="shared" si="29"/>
        <v>3.2000000000000028</v>
      </c>
      <c r="CN18" s="68">
        <f t="shared" si="30"/>
        <v>14.893648000000013</v>
      </c>
      <c r="CO18" s="68">
        <f t="shared" si="31"/>
        <v>23.689836508800024</v>
      </c>
      <c r="CP18" s="62">
        <v>62</v>
      </c>
      <c r="CQ18" s="62">
        <v>83</v>
      </c>
      <c r="CR18" s="65" t="str">
        <f t="shared" si="32"/>
        <v>ME</v>
      </c>
      <c r="CS18" s="56">
        <v>11</v>
      </c>
      <c r="CT18" s="61">
        <v>88.2</v>
      </c>
      <c r="CU18" s="61"/>
      <c r="CV18" s="68">
        <f t="shared" si="33"/>
        <v>2.5</v>
      </c>
      <c r="CW18" s="68">
        <f t="shared" si="34"/>
        <v>16.610599999999998</v>
      </c>
      <c r="CX18" s="69">
        <f t="shared" si="35"/>
        <v>6.6442399999999999E-2</v>
      </c>
      <c r="CY18" s="66" t="s">
        <v>405</v>
      </c>
      <c r="CZ18" s="66" t="s">
        <v>241</v>
      </c>
      <c r="DA18" s="66"/>
      <c r="DB18" s="65" t="str">
        <f t="shared" si="36"/>
        <v>ME</v>
      </c>
      <c r="DC18" s="56">
        <v>11</v>
      </c>
      <c r="DD18" s="61">
        <v>85.8</v>
      </c>
      <c r="DE18" s="61">
        <v>104</v>
      </c>
      <c r="DF18" s="68">
        <f t="shared" si="37"/>
        <v>29.299999999999997</v>
      </c>
      <c r="DG18" s="69">
        <f t="shared" si="38"/>
        <v>1.58077100384</v>
      </c>
      <c r="DH18" s="68">
        <f t="shared" si="39"/>
        <v>6.3230840153600001</v>
      </c>
      <c r="DI18" s="62">
        <v>107</v>
      </c>
      <c r="DJ18" s="62">
        <v>54</v>
      </c>
      <c r="DK18" s="65" t="str">
        <f t="shared" si="40"/>
        <v>ME</v>
      </c>
      <c r="DL18" s="56">
        <v>11</v>
      </c>
      <c r="DM18" s="63">
        <v>8.27</v>
      </c>
      <c r="DN18" s="64">
        <v>3.2000000000000001E-2</v>
      </c>
      <c r="DO18" s="64">
        <v>0.03</v>
      </c>
      <c r="DP18" s="64">
        <v>6.7000000000000004E-2</v>
      </c>
      <c r="DQ18" s="63">
        <v>7.01</v>
      </c>
      <c r="DR18" s="61">
        <v>22.2</v>
      </c>
      <c r="DS18" s="64">
        <v>1.1259999999999999</v>
      </c>
      <c r="DT18" s="61">
        <v>84.7</v>
      </c>
      <c r="DU18" s="63">
        <v>4.07</v>
      </c>
      <c r="DV18" s="64">
        <v>0.66900000000000004</v>
      </c>
      <c r="DW18" s="64">
        <v>1.04</v>
      </c>
      <c r="DX18" s="66" t="s">
        <v>242</v>
      </c>
      <c r="DY18" s="65" t="str">
        <f t="shared" si="41"/>
        <v>ME</v>
      </c>
      <c r="DZ18" s="128">
        <v>11</v>
      </c>
      <c r="EA18" s="173">
        <f t="shared" si="42"/>
        <v>0.16711229946524064</v>
      </c>
      <c r="EB18" s="173">
        <f t="shared" si="43"/>
        <v>0.1426470588235294</v>
      </c>
      <c r="EC18" s="173">
        <f t="shared" si="44"/>
        <v>0.68</v>
      </c>
      <c r="ED18" s="63">
        <v>0.96</v>
      </c>
      <c r="EE18" s="63">
        <v>1.2</v>
      </c>
      <c r="EF18" s="63">
        <v>0.05</v>
      </c>
      <c r="EG18" s="63">
        <v>0.1</v>
      </c>
      <c r="EH18" s="127" t="str">
        <f t="shared" si="5"/>
        <v>ME</v>
      </c>
      <c r="EI18" s="56">
        <v>11</v>
      </c>
      <c r="EJ18" s="334"/>
      <c r="EK18" s="334"/>
      <c r="EL18" s="334"/>
      <c r="EM18" s="334"/>
      <c r="EN18" s="334"/>
      <c r="EO18" s="334"/>
      <c r="EP18" s="334"/>
      <c r="EQ18" s="65" t="str">
        <f t="shared" si="45"/>
        <v>ME</v>
      </c>
      <c r="ER18" s="20"/>
      <c r="ES18" s="20"/>
      <c r="ET18" s="20"/>
      <c r="EU18" s="20"/>
      <c r="EV18" s="20"/>
      <c r="EW18" s="20"/>
      <c r="EX18" s="20"/>
    </row>
    <row r="19" spans="1:154" s="3" customFormat="1" ht="17.149999999999999" customHeight="1" x14ac:dyDescent="0.25">
      <c r="A19" s="56">
        <v>12</v>
      </c>
      <c r="B19" s="57">
        <v>902918</v>
      </c>
      <c r="C19" s="58">
        <f t="shared" si="6"/>
        <v>212</v>
      </c>
      <c r="D19" s="167">
        <v>11.89</v>
      </c>
      <c r="E19" s="57">
        <v>807274</v>
      </c>
      <c r="F19" s="58">
        <f t="shared" si="7"/>
        <v>179</v>
      </c>
      <c r="G19" s="168">
        <v>1.37</v>
      </c>
      <c r="H19" s="57">
        <v>762390</v>
      </c>
      <c r="I19" s="58">
        <f t="shared" si="0"/>
        <v>194</v>
      </c>
      <c r="J19" s="60" t="s">
        <v>194</v>
      </c>
      <c r="K19" s="56">
        <v>12</v>
      </c>
      <c r="L19" s="57">
        <v>70644</v>
      </c>
      <c r="M19" s="58" t="str">
        <f t="shared" si="8"/>
        <v/>
      </c>
      <c r="N19" s="57">
        <v>179789</v>
      </c>
      <c r="O19" s="58">
        <f t="shared" si="9"/>
        <v>51</v>
      </c>
      <c r="P19" s="57">
        <v>194749</v>
      </c>
      <c r="Q19" s="169" t="str">
        <f t="shared" si="1"/>
        <v/>
      </c>
      <c r="R19" s="57">
        <v>685</v>
      </c>
      <c r="S19" s="57">
        <v>692</v>
      </c>
      <c r="T19" s="57">
        <v>143</v>
      </c>
      <c r="U19" s="57">
        <v>141</v>
      </c>
      <c r="V19" s="58" t="str">
        <f t="shared" si="10"/>
        <v>ME</v>
      </c>
      <c r="W19" s="56">
        <v>12</v>
      </c>
      <c r="X19" s="63">
        <v>11936.07</v>
      </c>
      <c r="Y19" s="130">
        <f t="shared" si="11"/>
        <v>2.8999999999996362</v>
      </c>
      <c r="Z19" s="63">
        <v>12706.91</v>
      </c>
      <c r="AA19" s="130">
        <f t="shared" si="12"/>
        <v>2.069999999999709</v>
      </c>
      <c r="AB19" s="63">
        <v>9978.0499999999993</v>
      </c>
      <c r="AC19" s="130">
        <f t="shared" si="13"/>
        <v>2.5500000000010914</v>
      </c>
      <c r="AD19" s="63">
        <v>10140.34</v>
      </c>
      <c r="AE19" s="130">
        <f t="shared" si="2"/>
        <v>1.7800000000006548</v>
      </c>
      <c r="AF19" s="125" t="str">
        <f t="shared" si="14"/>
        <v>ME</v>
      </c>
      <c r="AG19" s="56">
        <v>12</v>
      </c>
      <c r="AH19" s="63">
        <v>47710</v>
      </c>
      <c r="AI19" s="130">
        <f t="shared" si="15"/>
        <v>7.1100000000005821</v>
      </c>
      <c r="AJ19" s="63">
        <v>49877.2</v>
      </c>
      <c r="AK19" s="130">
        <f t="shared" si="16"/>
        <v>14.720000000001164</v>
      </c>
      <c r="AL19" s="63">
        <v>592.16</v>
      </c>
      <c r="AM19" s="130" t="str">
        <f t="shared" si="17"/>
        <v/>
      </c>
      <c r="AN19" s="63">
        <v>553.26</v>
      </c>
      <c r="AO19" s="130" t="str">
        <f t="shared" si="3"/>
        <v/>
      </c>
      <c r="AP19" s="125" t="str">
        <f t="shared" si="18"/>
        <v>ME</v>
      </c>
      <c r="AQ19" s="56">
        <v>12</v>
      </c>
      <c r="AR19" s="63">
        <v>6878.73</v>
      </c>
      <c r="AS19" s="130">
        <f t="shared" si="19"/>
        <v>2.0700000000006185</v>
      </c>
      <c r="AT19" s="63">
        <v>7659.17</v>
      </c>
      <c r="AU19" s="130">
        <f t="shared" si="20"/>
        <v>2.2600000000002183</v>
      </c>
      <c r="AV19" s="63">
        <v>259.44</v>
      </c>
      <c r="AW19" s="130" t="str">
        <f t="shared" si="21"/>
        <v/>
      </c>
      <c r="AX19" s="63">
        <v>246.02</v>
      </c>
      <c r="AY19" s="130" t="str">
        <f t="shared" si="4"/>
        <v/>
      </c>
      <c r="AZ19" s="125" t="str">
        <f t="shared" si="22"/>
        <v>ME</v>
      </c>
      <c r="BA19" s="56">
        <v>12</v>
      </c>
      <c r="BB19" s="64">
        <v>1.45</v>
      </c>
      <c r="BC19" s="62">
        <v>40</v>
      </c>
      <c r="BD19" s="61">
        <v>7</v>
      </c>
      <c r="BE19" s="61">
        <v>21.2</v>
      </c>
      <c r="BF19" s="61">
        <v>14.9</v>
      </c>
      <c r="BG19" s="61">
        <v>7</v>
      </c>
      <c r="BH19" s="64">
        <v>0.25</v>
      </c>
      <c r="BI19" s="64">
        <v>0.16500000000000001</v>
      </c>
      <c r="BJ19" s="64">
        <v>5.3999999999999999E-2</v>
      </c>
      <c r="BK19" s="64">
        <v>6.2E-2</v>
      </c>
      <c r="BL19" s="64">
        <v>5.8000000000000003E-2</v>
      </c>
      <c r="BM19" s="64">
        <v>6.5000000000000002E-2</v>
      </c>
      <c r="BN19" s="65" t="str">
        <f t="shared" si="23"/>
        <v>ME</v>
      </c>
      <c r="BO19" s="56">
        <v>12</v>
      </c>
      <c r="BP19" s="64">
        <v>9.4E-2</v>
      </c>
      <c r="BQ19" s="62">
        <v>0</v>
      </c>
      <c r="BR19" s="61">
        <v>7.1</v>
      </c>
      <c r="BS19" s="61">
        <v>22.3</v>
      </c>
      <c r="BT19" s="61">
        <v>17.100000000000001</v>
      </c>
      <c r="BU19" s="64">
        <v>1.7999999999999999E-2</v>
      </c>
      <c r="BV19" s="63">
        <v>1.04</v>
      </c>
      <c r="BW19" s="63">
        <v>1.01</v>
      </c>
      <c r="BX19" s="66" t="s">
        <v>245</v>
      </c>
      <c r="BY19" s="172" t="s">
        <v>246</v>
      </c>
      <c r="BZ19" s="67" t="str">
        <f t="shared" si="24"/>
        <v>ME</v>
      </c>
      <c r="CA19" s="56">
        <v>12</v>
      </c>
      <c r="CB19" s="61">
        <v>85.8</v>
      </c>
      <c r="CC19" s="61">
        <v>98.1</v>
      </c>
      <c r="CD19" s="68">
        <f t="shared" si="25"/>
        <v>2.5</v>
      </c>
      <c r="CE19" s="69">
        <f t="shared" si="26"/>
        <v>11.6356625</v>
      </c>
      <c r="CF19" s="69">
        <f t="shared" si="27"/>
        <v>7.1973170103092778</v>
      </c>
      <c r="CG19" s="62">
        <v>92</v>
      </c>
      <c r="CH19" s="62">
        <v>100</v>
      </c>
      <c r="CI19" s="65" t="str">
        <f t="shared" si="28"/>
        <v>ME</v>
      </c>
      <c r="CJ19" s="56">
        <v>12</v>
      </c>
      <c r="CK19" s="61">
        <v>89.2</v>
      </c>
      <c r="CL19" s="61">
        <v>98.5</v>
      </c>
      <c r="CM19" s="68">
        <f t="shared" si="29"/>
        <v>2</v>
      </c>
      <c r="CN19" s="68">
        <f t="shared" si="30"/>
        <v>9.3085300000000011</v>
      </c>
      <c r="CO19" s="68">
        <f t="shared" si="31"/>
        <v>17.460079974056608</v>
      </c>
      <c r="CP19" s="62">
        <v>66</v>
      </c>
      <c r="CQ19" s="62">
        <v>83</v>
      </c>
      <c r="CR19" s="65" t="str">
        <f t="shared" si="32"/>
        <v>ME</v>
      </c>
      <c r="CS19" s="56">
        <v>12</v>
      </c>
      <c r="CT19" s="61">
        <v>85.7</v>
      </c>
      <c r="CU19" s="61">
        <v>110.5</v>
      </c>
      <c r="CV19" s="68">
        <f t="shared" si="33"/>
        <v>2.5</v>
      </c>
      <c r="CW19" s="68">
        <f t="shared" si="34"/>
        <v>16.610599999999998</v>
      </c>
      <c r="CX19" s="69">
        <f t="shared" si="35"/>
        <v>7.8351886792452821E-2</v>
      </c>
      <c r="CY19" s="66" t="s">
        <v>406</v>
      </c>
      <c r="CZ19" s="66" t="s">
        <v>241</v>
      </c>
      <c r="DA19" s="66"/>
      <c r="DB19" s="65" t="str">
        <f t="shared" si="36"/>
        <v>ME</v>
      </c>
      <c r="DC19" s="56">
        <v>12</v>
      </c>
      <c r="DD19" s="61">
        <v>74.7</v>
      </c>
      <c r="DE19" s="61">
        <v>104</v>
      </c>
      <c r="DF19" s="68">
        <f t="shared" si="37"/>
        <v>23.299999999999997</v>
      </c>
      <c r="DG19" s="69">
        <f t="shared" si="38"/>
        <v>1.2570636310400001</v>
      </c>
      <c r="DH19" s="68">
        <f t="shared" si="39"/>
        <v>5.9295454294339622</v>
      </c>
      <c r="DI19" s="62">
        <v>112</v>
      </c>
      <c r="DJ19" s="62">
        <v>54</v>
      </c>
      <c r="DK19" s="65" t="str">
        <f t="shared" si="40"/>
        <v>ME</v>
      </c>
      <c r="DL19" s="56">
        <v>12</v>
      </c>
      <c r="DM19" s="63">
        <v>8.43</v>
      </c>
      <c r="DN19" s="64">
        <v>3.5999999999999997E-2</v>
      </c>
      <c r="DO19" s="64">
        <v>3.2000000000000001E-2</v>
      </c>
      <c r="DP19" s="64">
        <v>7.3999999999999996E-2</v>
      </c>
      <c r="DQ19" s="63">
        <v>7.02</v>
      </c>
      <c r="DR19" s="61">
        <v>22.3</v>
      </c>
      <c r="DS19" s="64">
        <v>1.1060000000000001</v>
      </c>
      <c r="DT19" s="61">
        <v>85.5</v>
      </c>
      <c r="DU19" s="63">
        <v>4.08</v>
      </c>
      <c r="DV19" s="64">
        <v>1.9930000000000001</v>
      </c>
      <c r="DW19" s="64">
        <v>0.84899999999999998</v>
      </c>
      <c r="DX19" s="66" t="s">
        <v>242</v>
      </c>
      <c r="DY19" s="65" t="str">
        <f t="shared" si="41"/>
        <v>ME</v>
      </c>
      <c r="DZ19" s="128">
        <v>12</v>
      </c>
      <c r="EA19" s="173">
        <f t="shared" si="42"/>
        <v>0.14171122994652408</v>
      </c>
      <c r="EB19" s="173">
        <f t="shared" si="43"/>
        <v>0.13161764705882353</v>
      </c>
      <c r="EC19" s="173">
        <f t="shared" si="44"/>
        <v>0.91509433962264153</v>
      </c>
      <c r="ED19" s="63">
        <v>1.0900000000000001</v>
      </c>
      <c r="EE19" s="63">
        <v>1.18</v>
      </c>
      <c r="EF19" s="63">
        <v>0.05</v>
      </c>
      <c r="EG19" s="63">
        <v>0.06</v>
      </c>
      <c r="EH19" s="127" t="str">
        <f t="shared" si="5"/>
        <v>ME</v>
      </c>
      <c r="EI19" s="56">
        <v>12</v>
      </c>
      <c r="EJ19" s="334" t="s">
        <v>417</v>
      </c>
      <c r="EK19" s="334"/>
      <c r="EL19" s="334"/>
      <c r="EM19" s="334"/>
      <c r="EN19" s="334"/>
      <c r="EO19" s="334"/>
      <c r="EP19" s="334"/>
      <c r="EQ19" s="65" t="str">
        <f t="shared" si="45"/>
        <v>ME</v>
      </c>
      <c r="ER19" s="20"/>
      <c r="ES19" s="20"/>
      <c r="ET19" s="20"/>
      <c r="EU19" s="20"/>
      <c r="EV19" s="20"/>
      <c r="EW19" s="20"/>
      <c r="EX19" s="20"/>
    </row>
    <row r="20" spans="1:154" s="3" customFormat="1" ht="17.149999999999999" customHeight="1" x14ac:dyDescent="0.25">
      <c r="A20" s="56">
        <v>13</v>
      </c>
      <c r="B20" s="57">
        <v>903130</v>
      </c>
      <c r="C20" s="58">
        <f t="shared" si="6"/>
        <v>194</v>
      </c>
      <c r="D20" s="167">
        <v>11.95</v>
      </c>
      <c r="E20" s="59">
        <v>807453</v>
      </c>
      <c r="F20" s="58">
        <f t="shared" si="7"/>
        <v>193</v>
      </c>
      <c r="G20" s="168">
        <v>2.2599999999999998</v>
      </c>
      <c r="H20" s="57">
        <v>762584</v>
      </c>
      <c r="I20" s="58">
        <f t="shared" si="0"/>
        <v>172</v>
      </c>
      <c r="J20" s="60" t="s">
        <v>194</v>
      </c>
      <c r="K20" s="56">
        <v>13</v>
      </c>
      <c r="L20" s="57">
        <v>70644</v>
      </c>
      <c r="M20" s="58" t="str">
        <f t="shared" si="8"/>
        <v/>
      </c>
      <c r="N20" s="59">
        <v>179840</v>
      </c>
      <c r="O20" s="58">
        <f t="shared" si="9"/>
        <v>37</v>
      </c>
      <c r="P20" s="57">
        <v>194749</v>
      </c>
      <c r="Q20" s="169" t="str">
        <f t="shared" si="1"/>
        <v/>
      </c>
      <c r="R20" s="57">
        <v>685</v>
      </c>
      <c r="S20" s="57">
        <v>692</v>
      </c>
      <c r="T20" s="57">
        <v>143</v>
      </c>
      <c r="U20" s="57">
        <v>141</v>
      </c>
      <c r="V20" s="58" t="str">
        <f t="shared" si="10"/>
        <v>ME</v>
      </c>
      <c r="W20" s="56">
        <v>13</v>
      </c>
      <c r="X20" s="63">
        <v>11938.97</v>
      </c>
      <c r="Y20" s="130">
        <f t="shared" si="11"/>
        <v>2.3700000000008004</v>
      </c>
      <c r="Z20" s="63">
        <v>12708.98</v>
      </c>
      <c r="AA20" s="130">
        <f t="shared" si="12"/>
        <v>2.180000000000291</v>
      </c>
      <c r="AB20" s="63">
        <v>9980.6</v>
      </c>
      <c r="AC20" s="130">
        <f t="shared" si="13"/>
        <v>2.0100000000002183</v>
      </c>
      <c r="AD20" s="63">
        <v>10142.120000000001</v>
      </c>
      <c r="AE20" s="130">
        <f t="shared" si="2"/>
        <v>1.8499999999985448</v>
      </c>
      <c r="AF20" s="125" t="str">
        <f t="shared" si="14"/>
        <v>ME</v>
      </c>
      <c r="AG20" s="56">
        <v>13</v>
      </c>
      <c r="AH20" s="63">
        <v>47717.11</v>
      </c>
      <c r="AI20" s="130">
        <f t="shared" si="15"/>
        <v>16.889999999999418</v>
      </c>
      <c r="AJ20" s="63">
        <v>49891.92</v>
      </c>
      <c r="AK20" s="130">
        <f t="shared" si="16"/>
        <v>6.3300000000017462</v>
      </c>
      <c r="AL20" s="63">
        <v>592.16</v>
      </c>
      <c r="AM20" s="130" t="str">
        <f t="shared" si="17"/>
        <v/>
      </c>
      <c r="AN20" s="63">
        <v>553.26</v>
      </c>
      <c r="AO20" s="130" t="str">
        <f t="shared" si="3"/>
        <v/>
      </c>
      <c r="AP20" s="125" t="str">
        <f t="shared" si="18"/>
        <v>ME</v>
      </c>
      <c r="AQ20" s="56">
        <v>13</v>
      </c>
      <c r="AR20" s="63">
        <v>6880.8</v>
      </c>
      <c r="AS20" s="130">
        <f t="shared" si="19"/>
        <v>1.8599999999996726</v>
      </c>
      <c r="AT20" s="63">
        <v>7661.43</v>
      </c>
      <c r="AU20" s="130">
        <f t="shared" si="20"/>
        <v>2.2299999999995634</v>
      </c>
      <c r="AV20" s="63">
        <v>259.44</v>
      </c>
      <c r="AW20" s="130" t="str">
        <f t="shared" si="21"/>
        <v/>
      </c>
      <c r="AX20" s="63">
        <v>246.02</v>
      </c>
      <c r="AY20" s="130" t="str">
        <f t="shared" si="4"/>
        <v/>
      </c>
      <c r="AZ20" s="125" t="str">
        <f t="shared" si="22"/>
        <v>ME</v>
      </c>
      <c r="BA20" s="56">
        <v>13</v>
      </c>
      <c r="BB20" s="64"/>
      <c r="BC20" s="62"/>
      <c r="BD20" s="61"/>
      <c r="BE20" s="61"/>
      <c r="BF20" s="61"/>
      <c r="BG20" s="61"/>
      <c r="BH20" s="64"/>
      <c r="BI20" s="64"/>
      <c r="BJ20" s="64"/>
      <c r="BK20" s="64"/>
      <c r="BL20" s="64"/>
      <c r="BM20" s="64"/>
      <c r="BN20" s="65" t="str">
        <f t="shared" si="23"/>
        <v>ME</v>
      </c>
      <c r="BO20" s="56">
        <v>13</v>
      </c>
      <c r="BP20" s="64">
        <v>9.6000000000000002E-2</v>
      </c>
      <c r="BQ20" s="62"/>
      <c r="BR20" s="61"/>
      <c r="BS20" s="61"/>
      <c r="BT20" s="61"/>
      <c r="BU20" s="64"/>
      <c r="BV20" s="63">
        <v>1.08</v>
      </c>
      <c r="BW20" s="63">
        <v>1.02</v>
      </c>
      <c r="BX20" s="66" t="s">
        <v>245</v>
      </c>
      <c r="BY20" s="172" t="s">
        <v>246</v>
      </c>
      <c r="BZ20" s="67" t="str">
        <f t="shared" si="24"/>
        <v>ME</v>
      </c>
      <c r="CA20" s="56">
        <v>13</v>
      </c>
      <c r="CB20" s="61">
        <v>95.6</v>
      </c>
      <c r="CC20" s="61"/>
      <c r="CD20" s="68">
        <f t="shared" si="25"/>
        <v>1.7999999999999972</v>
      </c>
      <c r="CE20" s="69">
        <f t="shared" si="26"/>
        <v>8.3776769999999878</v>
      </c>
      <c r="CF20" s="69">
        <f t="shared" si="27"/>
        <v>5.8448909302325491</v>
      </c>
      <c r="CG20" s="62">
        <v>92</v>
      </c>
      <c r="CH20" s="62">
        <v>100</v>
      </c>
      <c r="CI20" s="65" t="str">
        <f t="shared" si="28"/>
        <v>ME</v>
      </c>
      <c r="CJ20" s="56">
        <v>13</v>
      </c>
      <c r="CK20" s="61">
        <v>96.5</v>
      </c>
      <c r="CL20" s="61"/>
      <c r="CM20" s="68">
        <f t="shared" si="29"/>
        <v>2.2999999999999972</v>
      </c>
      <c r="CN20" s="68">
        <f t="shared" si="30"/>
        <v>10.704809499999987</v>
      </c>
      <c r="CO20" s="68">
        <f t="shared" si="31"/>
        <v>21.942100503479356</v>
      </c>
      <c r="CP20" s="62">
        <v>66</v>
      </c>
      <c r="CQ20" s="62">
        <v>83</v>
      </c>
      <c r="CR20" s="65" t="str">
        <f t="shared" si="32"/>
        <v>ME</v>
      </c>
      <c r="CS20" s="56">
        <v>13</v>
      </c>
      <c r="CT20" s="61">
        <v>108</v>
      </c>
      <c r="CU20" s="61">
        <v>103.5</v>
      </c>
      <c r="CV20" s="68">
        <f t="shared" si="33"/>
        <v>2.2000000000000028</v>
      </c>
      <c r="CW20" s="68">
        <f t="shared" si="34"/>
        <v>14.617328000000018</v>
      </c>
      <c r="CX20" s="69">
        <f t="shared" si="35"/>
        <v>7.5347051546391847E-2</v>
      </c>
      <c r="CY20" s="66" t="s">
        <v>406</v>
      </c>
      <c r="CZ20" s="66" t="s">
        <v>241</v>
      </c>
      <c r="DA20" s="66" t="s">
        <v>242</v>
      </c>
      <c r="DB20" s="65" t="str">
        <f t="shared" si="36"/>
        <v>ME</v>
      </c>
      <c r="DC20" s="56">
        <v>13</v>
      </c>
      <c r="DD20" s="61">
        <v>80.7</v>
      </c>
      <c r="DE20" s="61">
        <v>103.4</v>
      </c>
      <c r="DF20" s="68">
        <f t="shared" si="37"/>
        <v>20.5</v>
      </c>
      <c r="DG20" s="69">
        <f t="shared" si="38"/>
        <v>1.1060001903999999</v>
      </c>
      <c r="DH20" s="68">
        <f t="shared" si="39"/>
        <v>5.7010319092783499</v>
      </c>
      <c r="DI20" s="62">
        <v>112</v>
      </c>
      <c r="DJ20" s="62">
        <v>54</v>
      </c>
      <c r="DK20" s="65" t="str">
        <f t="shared" si="40"/>
        <v>ME</v>
      </c>
      <c r="DL20" s="56">
        <v>13</v>
      </c>
      <c r="DM20" s="63">
        <v>8.3699999999999992</v>
      </c>
      <c r="DN20" s="64">
        <v>3.5999999999999997E-2</v>
      </c>
      <c r="DO20" s="64">
        <v>0.03</v>
      </c>
      <c r="DP20" s="64">
        <v>7.0000000000000007E-2</v>
      </c>
      <c r="DQ20" s="63">
        <v>7.02</v>
      </c>
      <c r="DR20" s="61">
        <v>22</v>
      </c>
      <c r="DS20" s="64">
        <v>1.1120000000000001</v>
      </c>
      <c r="DT20" s="61">
        <v>85.6</v>
      </c>
      <c r="DU20" s="63">
        <v>4.26</v>
      </c>
      <c r="DV20" s="64">
        <v>1.145</v>
      </c>
      <c r="DW20" s="64">
        <v>0.68899999999999995</v>
      </c>
      <c r="DX20" s="66" t="s">
        <v>242</v>
      </c>
      <c r="DY20" s="65" t="str">
        <f t="shared" si="41"/>
        <v>ME</v>
      </c>
      <c r="DZ20" s="128">
        <v>13</v>
      </c>
      <c r="EA20" s="173">
        <f t="shared" si="42"/>
        <v>0.12967914438502673</v>
      </c>
      <c r="EB20" s="173">
        <f t="shared" si="43"/>
        <v>0.14191176470588235</v>
      </c>
      <c r="EC20" s="173">
        <f t="shared" si="44"/>
        <v>0.88659793814432986</v>
      </c>
      <c r="ED20" s="63">
        <v>1.07</v>
      </c>
      <c r="EE20" s="63">
        <v>1.1599999999999999</v>
      </c>
      <c r="EF20" s="63">
        <v>0.05</v>
      </c>
      <c r="EG20" s="63">
        <v>0.06</v>
      </c>
      <c r="EH20" s="303" t="str">
        <f t="shared" si="5"/>
        <v>ME</v>
      </c>
      <c r="EI20" s="56">
        <v>13</v>
      </c>
      <c r="EJ20" s="334"/>
      <c r="EK20" s="334"/>
      <c r="EL20" s="334"/>
      <c r="EM20" s="334"/>
      <c r="EN20" s="334"/>
      <c r="EO20" s="334"/>
      <c r="EP20" s="334"/>
      <c r="EQ20" s="65" t="str">
        <f t="shared" si="45"/>
        <v>ME</v>
      </c>
      <c r="ER20" s="20"/>
      <c r="ES20" s="20"/>
      <c r="ET20" s="20"/>
      <c r="EU20" s="20"/>
      <c r="EV20" s="20"/>
      <c r="EW20" s="20"/>
      <c r="EX20" s="20"/>
    </row>
    <row r="21" spans="1:154" s="3" customFormat="1" ht="17.149999999999999" customHeight="1" x14ac:dyDescent="0.25">
      <c r="A21" s="56">
        <v>14</v>
      </c>
      <c r="B21" s="57">
        <v>903324</v>
      </c>
      <c r="C21" s="58">
        <f t="shared" si="6"/>
        <v>158</v>
      </c>
      <c r="D21" s="167">
        <v>11.98</v>
      </c>
      <c r="E21" s="59">
        <v>807646</v>
      </c>
      <c r="F21" s="58">
        <f t="shared" si="7"/>
        <v>212</v>
      </c>
      <c r="G21" s="168">
        <v>1.45</v>
      </c>
      <c r="H21" s="57">
        <v>762756</v>
      </c>
      <c r="I21" s="58">
        <f t="shared" si="0"/>
        <v>138</v>
      </c>
      <c r="J21" s="60" t="s">
        <v>194</v>
      </c>
      <c r="K21" s="56">
        <v>14</v>
      </c>
      <c r="L21" s="57">
        <v>70644</v>
      </c>
      <c r="M21" s="58" t="str">
        <f t="shared" si="8"/>
        <v/>
      </c>
      <c r="N21" s="59">
        <v>179877</v>
      </c>
      <c r="O21" s="58">
        <f t="shared" si="9"/>
        <v>27</v>
      </c>
      <c r="P21" s="57">
        <v>194749</v>
      </c>
      <c r="Q21" s="169" t="str">
        <f t="shared" si="1"/>
        <v/>
      </c>
      <c r="R21" s="57">
        <v>685</v>
      </c>
      <c r="S21" s="57">
        <v>692</v>
      </c>
      <c r="T21" s="57">
        <v>143</v>
      </c>
      <c r="U21" s="57">
        <v>141</v>
      </c>
      <c r="V21" s="58" t="str">
        <f t="shared" si="10"/>
        <v>ME</v>
      </c>
      <c r="W21" s="56">
        <v>14</v>
      </c>
      <c r="X21" s="63">
        <v>11941.34</v>
      </c>
      <c r="Y21" s="130">
        <f t="shared" si="11"/>
        <v>2.3400000000001455</v>
      </c>
      <c r="Z21" s="63">
        <v>12711.16</v>
      </c>
      <c r="AA21" s="130">
        <f t="shared" si="12"/>
        <v>1.2999999999992724</v>
      </c>
      <c r="AB21" s="63">
        <v>9982.61</v>
      </c>
      <c r="AC21" s="130">
        <f t="shared" si="13"/>
        <v>2.0299999999988358</v>
      </c>
      <c r="AD21" s="63">
        <v>10143.969999999999</v>
      </c>
      <c r="AE21" s="130">
        <f t="shared" si="2"/>
        <v>1.070000000001528</v>
      </c>
      <c r="AF21" s="125" t="str">
        <f t="shared" si="14"/>
        <v>ME</v>
      </c>
      <c r="AG21" s="56">
        <v>14</v>
      </c>
      <c r="AH21" s="63">
        <v>47734</v>
      </c>
      <c r="AI21" s="130">
        <f t="shared" si="15"/>
        <v>7.819999999999709</v>
      </c>
      <c r="AJ21" s="63">
        <v>49898.25</v>
      </c>
      <c r="AK21" s="130">
        <f t="shared" si="16"/>
        <v>17.680000000000291</v>
      </c>
      <c r="AL21" s="63">
        <v>592.16</v>
      </c>
      <c r="AM21" s="130" t="str">
        <f t="shared" si="17"/>
        <v/>
      </c>
      <c r="AN21" s="63">
        <v>553.26</v>
      </c>
      <c r="AO21" s="130" t="str">
        <f t="shared" si="3"/>
        <v/>
      </c>
      <c r="AP21" s="125" t="str">
        <f t="shared" si="18"/>
        <v>ME</v>
      </c>
      <c r="AQ21" s="56">
        <v>14</v>
      </c>
      <c r="AR21" s="63">
        <v>6882.66</v>
      </c>
      <c r="AS21" s="130">
        <f t="shared" si="19"/>
        <v>1.4400000000005093</v>
      </c>
      <c r="AT21" s="63">
        <v>7663.66</v>
      </c>
      <c r="AU21" s="130">
        <f t="shared" si="20"/>
        <v>1.4600000000000364</v>
      </c>
      <c r="AV21" s="63">
        <v>259.44</v>
      </c>
      <c r="AW21" s="130" t="str">
        <f t="shared" si="21"/>
        <v/>
      </c>
      <c r="AX21" s="63">
        <v>246.02</v>
      </c>
      <c r="AY21" s="130" t="str">
        <f t="shared" si="4"/>
        <v/>
      </c>
      <c r="AZ21" s="125" t="str">
        <f t="shared" si="22"/>
        <v>ME</v>
      </c>
      <c r="BA21" s="56">
        <v>14</v>
      </c>
      <c r="BB21" s="64"/>
      <c r="BC21" s="62"/>
      <c r="BD21" s="61"/>
      <c r="BE21" s="61"/>
      <c r="BF21" s="61"/>
      <c r="BG21" s="61"/>
      <c r="BH21" s="64"/>
      <c r="BI21" s="64"/>
      <c r="BJ21" s="64"/>
      <c r="BK21" s="64"/>
      <c r="BL21" s="64"/>
      <c r="BM21" s="64"/>
      <c r="BN21" s="65" t="str">
        <f t="shared" si="23"/>
        <v>ME</v>
      </c>
      <c r="BO21" s="56">
        <v>14</v>
      </c>
      <c r="BP21" s="64">
        <v>9.1999999999999998E-2</v>
      </c>
      <c r="BQ21" s="62"/>
      <c r="BR21" s="61"/>
      <c r="BS21" s="61"/>
      <c r="BT21" s="61"/>
      <c r="BU21" s="64"/>
      <c r="BV21" s="63">
        <v>1.05</v>
      </c>
      <c r="BW21" s="63">
        <v>0.91</v>
      </c>
      <c r="BX21" s="66" t="s">
        <v>418</v>
      </c>
      <c r="BY21" s="172" t="s">
        <v>246</v>
      </c>
      <c r="BZ21" s="67" t="str">
        <f t="shared" si="24"/>
        <v>ME</v>
      </c>
      <c r="CA21" s="56">
        <v>14</v>
      </c>
      <c r="CB21" s="61">
        <v>93.8</v>
      </c>
      <c r="CC21" s="61"/>
      <c r="CD21" s="68">
        <f t="shared" si="25"/>
        <v>2</v>
      </c>
      <c r="CE21" s="69">
        <f t="shared" si="26"/>
        <v>9.3085300000000011</v>
      </c>
      <c r="CF21" s="69">
        <f t="shared" si="27"/>
        <v>8.0943739130434782</v>
      </c>
      <c r="CG21" s="62">
        <v>92</v>
      </c>
      <c r="CH21" s="62">
        <v>100</v>
      </c>
      <c r="CI21" s="65" t="str">
        <f t="shared" si="28"/>
        <v>ME</v>
      </c>
      <c r="CJ21" s="56">
        <v>14</v>
      </c>
      <c r="CK21" s="61">
        <v>94.2</v>
      </c>
      <c r="CL21" s="61"/>
      <c r="CM21" s="68">
        <f t="shared" si="29"/>
        <v>2</v>
      </c>
      <c r="CN21" s="68">
        <f t="shared" si="30"/>
        <v>9.3085300000000011</v>
      </c>
      <c r="CO21" s="68">
        <f t="shared" si="31"/>
        <v>23.427449079113931</v>
      </c>
      <c r="CP21" s="62">
        <v>66</v>
      </c>
      <c r="CQ21" s="62">
        <v>83</v>
      </c>
      <c r="CR21" s="65" t="str">
        <f t="shared" si="32"/>
        <v>ME</v>
      </c>
      <c r="CS21" s="56">
        <v>14</v>
      </c>
      <c r="CT21" s="61">
        <v>101.3</v>
      </c>
      <c r="CU21" s="61"/>
      <c r="CV21" s="68">
        <f t="shared" si="33"/>
        <v>1.7000000000000028</v>
      </c>
      <c r="CW21" s="68">
        <f t="shared" si="34"/>
        <v>11.295208000000018</v>
      </c>
      <c r="CX21" s="69">
        <f t="shared" si="35"/>
        <v>7.1488658227848223E-2</v>
      </c>
      <c r="CY21" s="66" t="s">
        <v>406</v>
      </c>
      <c r="CZ21" s="66" t="s">
        <v>241</v>
      </c>
      <c r="DA21" s="66"/>
      <c r="DB21" s="65" t="str">
        <f t="shared" si="36"/>
        <v>ME</v>
      </c>
      <c r="DC21" s="56">
        <v>14</v>
      </c>
      <c r="DD21" s="61">
        <v>82.9</v>
      </c>
      <c r="DE21" s="61">
        <v>103.9</v>
      </c>
      <c r="DF21" s="68">
        <f t="shared" si="37"/>
        <v>18.100000000000009</v>
      </c>
      <c r="DG21" s="69">
        <f t="shared" si="38"/>
        <v>0.9765172412800005</v>
      </c>
      <c r="DH21" s="68">
        <f t="shared" si="39"/>
        <v>6.1804888688607624</v>
      </c>
      <c r="DI21" s="62">
        <v>112</v>
      </c>
      <c r="DJ21" s="62">
        <v>54</v>
      </c>
      <c r="DK21" s="65" t="str">
        <f t="shared" si="40"/>
        <v>ME</v>
      </c>
      <c r="DL21" s="56">
        <v>14</v>
      </c>
      <c r="DM21" s="63">
        <v>8.24</v>
      </c>
      <c r="DN21" s="64">
        <v>3.3000000000000002E-2</v>
      </c>
      <c r="DO21" s="64">
        <v>2.9000000000000001E-2</v>
      </c>
      <c r="DP21" s="64">
        <v>7.0000000000000007E-2</v>
      </c>
      <c r="DQ21" s="63">
        <v>7.05</v>
      </c>
      <c r="DR21" s="61">
        <v>22</v>
      </c>
      <c r="DS21" s="64">
        <v>1.1000000000000001</v>
      </c>
      <c r="DT21" s="61">
        <v>86.2</v>
      </c>
      <c r="DU21" s="63">
        <v>4.34</v>
      </c>
      <c r="DV21" s="64">
        <v>0.67200000000000004</v>
      </c>
      <c r="DW21" s="64">
        <v>0.83</v>
      </c>
      <c r="DX21" s="66" t="s">
        <v>242</v>
      </c>
      <c r="DY21" s="65" t="str">
        <f t="shared" si="41"/>
        <v>ME</v>
      </c>
      <c r="DZ21" s="128">
        <v>14</v>
      </c>
      <c r="EA21" s="173">
        <f t="shared" si="42"/>
        <v>0.10561497326203209</v>
      </c>
      <c r="EB21" s="173">
        <f t="shared" si="43"/>
        <v>0.15588235294117647</v>
      </c>
      <c r="EC21" s="173">
        <f t="shared" si="44"/>
        <v>0.87341772151898733</v>
      </c>
      <c r="ED21" s="63">
        <v>1.05</v>
      </c>
      <c r="EE21" s="63">
        <v>1.1499999999999999</v>
      </c>
      <c r="EF21" s="63">
        <v>0.05</v>
      </c>
      <c r="EG21" s="63">
        <v>0.08</v>
      </c>
      <c r="EH21" s="303" t="str">
        <f t="shared" si="5"/>
        <v>ME</v>
      </c>
      <c r="EI21" s="56">
        <v>14</v>
      </c>
      <c r="EJ21" s="334"/>
      <c r="EK21" s="334"/>
      <c r="EL21" s="334"/>
      <c r="EM21" s="334"/>
      <c r="EN21" s="334"/>
      <c r="EO21" s="334"/>
      <c r="EP21" s="334"/>
      <c r="EQ21" s="65" t="str">
        <f t="shared" si="45"/>
        <v>ME</v>
      </c>
      <c r="ER21" s="20"/>
      <c r="ES21" s="20"/>
      <c r="ET21" s="20"/>
      <c r="EU21" s="20"/>
      <c r="EV21" s="20"/>
      <c r="EW21" s="20"/>
      <c r="EX21" s="20"/>
    </row>
    <row r="22" spans="1:154" s="3" customFormat="1" ht="17.149999999999999" customHeight="1" x14ac:dyDescent="0.35">
      <c r="A22" s="56">
        <v>15</v>
      </c>
      <c r="B22" s="57">
        <v>903482</v>
      </c>
      <c r="C22" s="58">
        <f t="shared" si="6"/>
        <v>194</v>
      </c>
      <c r="D22" s="167">
        <v>11.88</v>
      </c>
      <c r="E22" s="59">
        <v>807858</v>
      </c>
      <c r="F22" s="58">
        <f t="shared" si="7"/>
        <v>241</v>
      </c>
      <c r="G22" s="168">
        <v>1.68</v>
      </c>
      <c r="H22" s="57">
        <v>762894</v>
      </c>
      <c r="I22" s="58">
        <f t="shared" si="0"/>
        <v>177</v>
      </c>
      <c r="J22" s="60" t="s">
        <v>194</v>
      </c>
      <c r="K22" s="56">
        <v>15</v>
      </c>
      <c r="L22" s="57">
        <v>70644</v>
      </c>
      <c r="M22" s="58" t="str">
        <f t="shared" si="8"/>
        <v/>
      </c>
      <c r="N22" s="59">
        <v>179904</v>
      </c>
      <c r="O22" s="58">
        <f t="shared" si="9"/>
        <v>33</v>
      </c>
      <c r="P22" s="57">
        <v>194749</v>
      </c>
      <c r="Q22" s="169" t="str">
        <f t="shared" si="1"/>
        <v/>
      </c>
      <c r="R22" s="57">
        <v>685</v>
      </c>
      <c r="S22" s="57">
        <v>692</v>
      </c>
      <c r="T22" s="57">
        <v>143</v>
      </c>
      <c r="U22" s="57">
        <v>141</v>
      </c>
      <c r="V22" s="58" t="str">
        <f t="shared" si="10"/>
        <v>ME</v>
      </c>
      <c r="W22" s="56">
        <v>15</v>
      </c>
      <c r="X22" s="63">
        <v>11943.68</v>
      </c>
      <c r="Y22" s="130">
        <f t="shared" si="11"/>
        <v>2.25</v>
      </c>
      <c r="Z22" s="63">
        <v>12712.46</v>
      </c>
      <c r="AA22" s="130">
        <f t="shared" si="12"/>
        <v>2.3400000000001455</v>
      </c>
      <c r="AB22" s="63">
        <v>9984.64</v>
      </c>
      <c r="AC22" s="130">
        <f t="shared" si="13"/>
        <v>1.9500000000007276</v>
      </c>
      <c r="AD22" s="63">
        <v>10145.040000000001</v>
      </c>
      <c r="AE22" s="130">
        <f t="shared" si="2"/>
        <v>1.9899999999997817</v>
      </c>
      <c r="AF22" s="125" t="str">
        <f t="shared" si="14"/>
        <v>ME</v>
      </c>
      <c r="AG22" s="56">
        <v>15</v>
      </c>
      <c r="AH22" s="63">
        <v>47741.82</v>
      </c>
      <c r="AI22" s="130">
        <f t="shared" si="15"/>
        <v>16.190000000002328</v>
      </c>
      <c r="AJ22" s="63">
        <v>49915.93</v>
      </c>
      <c r="AK22" s="130">
        <f t="shared" si="16"/>
        <v>11.330000000001746</v>
      </c>
      <c r="AL22" s="63">
        <v>592.16</v>
      </c>
      <c r="AM22" s="130" t="str">
        <f t="shared" si="17"/>
        <v/>
      </c>
      <c r="AN22" s="63">
        <v>553.26</v>
      </c>
      <c r="AO22" s="130" t="str">
        <f t="shared" si="3"/>
        <v/>
      </c>
      <c r="AP22" s="125" t="str">
        <f t="shared" si="18"/>
        <v>ME</v>
      </c>
      <c r="AQ22" s="56">
        <v>15</v>
      </c>
      <c r="AR22" s="63">
        <v>6884.1</v>
      </c>
      <c r="AS22" s="130">
        <f t="shared" si="19"/>
        <v>1.9899999999997817</v>
      </c>
      <c r="AT22" s="63">
        <v>7665.12</v>
      </c>
      <c r="AU22" s="130">
        <f t="shared" si="20"/>
        <v>1.7100000000000364</v>
      </c>
      <c r="AV22" s="63">
        <v>259.44</v>
      </c>
      <c r="AW22" s="130" t="str">
        <f t="shared" si="21"/>
        <v/>
      </c>
      <c r="AX22" s="63">
        <v>246.02</v>
      </c>
      <c r="AY22" s="130" t="str">
        <f t="shared" si="4"/>
        <v/>
      </c>
      <c r="AZ22" s="125" t="str">
        <f t="shared" si="22"/>
        <v>ME</v>
      </c>
      <c r="BA22" s="56">
        <v>15</v>
      </c>
      <c r="BB22" s="64">
        <v>1.43</v>
      </c>
      <c r="BC22" s="70">
        <v>45</v>
      </c>
      <c r="BD22" s="71">
        <v>7.1</v>
      </c>
      <c r="BE22" s="71">
        <v>21.2</v>
      </c>
      <c r="BF22" s="71">
        <v>14.9</v>
      </c>
      <c r="BG22" s="71">
        <v>7.1</v>
      </c>
      <c r="BH22" s="72">
        <v>0.36</v>
      </c>
      <c r="BI22" s="72">
        <v>0.313</v>
      </c>
      <c r="BJ22" s="72">
        <v>5.1999999999999998E-2</v>
      </c>
      <c r="BK22" s="72">
        <v>4.8000000000000001E-2</v>
      </c>
      <c r="BL22" s="64">
        <v>5.8000000000000003E-2</v>
      </c>
      <c r="BM22" s="64">
        <v>5.6000000000000001E-2</v>
      </c>
      <c r="BN22" s="65" t="str">
        <f t="shared" si="23"/>
        <v>ME</v>
      </c>
      <c r="BO22" s="56">
        <v>15</v>
      </c>
      <c r="BP22" s="64">
        <v>8.3000000000000004E-2</v>
      </c>
      <c r="BQ22" s="62">
        <v>0</v>
      </c>
      <c r="BR22" s="61">
        <v>7.2</v>
      </c>
      <c r="BS22" s="61">
        <v>22.1</v>
      </c>
      <c r="BT22" s="61">
        <v>18.100000000000001</v>
      </c>
      <c r="BU22" s="64">
        <v>2.3E-2</v>
      </c>
      <c r="BV22" s="63">
        <v>1.1599999999999999</v>
      </c>
      <c r="BW22" s="63">
        <v>1.02</v>
      </c>
      <c r="BX22" s="66" t="s">
        <v>245</v>
      </c>
      <c r="BY22" s="172" t="s">
        <v>246</v>
      </c>
      <c r="BZ22" s="67" t="str">
        <f t="shared" si="24"/>
        <v>ME</v>
      </c>
      <c r="CA22" s="56">
        <v>15</v>
      </c>
      <c r="CB22" s="61">
        <v>91.8</v>
      </c>
      <c r="CC22" s="61"/>
      <c r="CD22" s="68">
        <f t="shared" si="25"/>
        <v>2.0999999999999943</v>
      </c>
      <c r="CE22" s="69">
        <f t="shared" si="26"/>
        <v>9.773956499999974</v>
      </c>
      <c r="CF22" s="69">
        <f t="shared" si="27"/>
        <v>6.6264111864406594</v>
      </c>
      <c r="CG22" s="62">
        <v>92</v>
      </c>
      <c r="CH22" s="62">
        <v>100</v>
      </c>
      <c r="CI22" s="65" t="str">
        <f t="shared" si="28"/>
        <v>ME</v>
      </c>
      <c r="CJ22" s="56">
        <v>15</v>
      </c>
      <c r="CK22" s="61">
        <v>92.2</v>
      </c>
      <c r="CL22" s="61"/>
      <c r="CM22" s="68">
        <f t="shared" si="29"/>
        <v>2.4000000000000057</v>
      </c>
      <c r="CN22" s="68">
        <f t="shared" si="30"/>
        <v>11.170236000000028</v>
      </c>
      <c r="CO22" s="68">
        <f t="shared" si="31"/>
        <v>22.896104873195938</v>
      </c>
      <c r="CP22" s="62">
        <v>65</v>
      </c>
      <c r="CQ22" s="62">
        <v>83</v>
      </c>
      <c r="CR22" s="65" t="str">
        <f t="shared" si="32"/>
        <v>ME</v>
      </c>
      <c r="CS22" s="56">
        <v>15</v>
      </c>
      <c r="CT22" s="61">
        <v>99.6</v>
      </c>
      <c r="CU22" s="61"/>
      <c r="CV22" s="68">
        <f t="shared" si="33"/>
        <v>2.2999999999999972</v>
      </c>
      <c r="CW22" s="68">
        <f t="shared" si="34"/>
        <v>15.28175199999998</v>
      </c>
      <c r="CX22" s="69">
        <f t="shared" si="35"/>
        <v>7.8771917525773089E-2</v>
      </c>
      <c r="CY22" s="66" t="s">
        <v>406</v>
      </c>
      <c r="CZ22" s="66" t="s">
        <v>241</v>
      </c>
      <c r="DA22" s="66"/>
      <c r="DB22" s="65" t="str">
        <f t="shared" si="36"/>
        <v>ME</v>
      </c>
      <c r="DC22" s="56">
        <v>15</v>
      </c>
      <c r="DD22" s="61">
        <v>85.8</v>
      </c>
      <c r="DE22" s="61">
        <v>104.6</v>
      </c>
      <c r="DF22" s="68">
        <f t="shared" si="37"/>
        <v>21.399999999999991</v>
      </c>
      <c r="DG22" s="69">
        <f t="shared" si="38"/>
        <v>1.1545562963199996</v>
      </c>
      <c r="DH22" s="68">
        <f t="shared" si="39"/>
        <v>5.9513211150515444</v>
      </c>
      <c r="DI22" s="62">
        <v>112</v>
      </c>
      <c r="DJ22" s="62">
        <v>54</v>
      </c>
      <c r="DK22" s="65" t="str">
        <f t="shared" si="40"/>
        <v>ME</v>
      </c>
      <c r="DL22" s="56">
        <v>15</v>
      </c>
      <c r="DM22" s="63">
        <v>8.39</v>
      </c>
      <c r="DN22" s="64">
        <v>3.4000000000000002E-2</v>
      </c>
      <c r="DO22" s="64">
        <v>2.9000000000000001E-2</v>
      </c>
      <c r="DP22" s="64">
        <v>6.6000000000000003E-2</v>
      </c>
      <c r="DQ22" s="63">
        <v>7.03</v>
      </c>
      <c r="DR22" s="61">
        <v>22.1</v>
      </c>
      <c r="DS22" s="64">
        <v>1.1220000000000001</v>
      </c>
      <c r="DT22" s="61">
        <v>85.5</v>
      </c>
      <c r="DU22" s="63">
        <v>4.25</v>
      </c>
      <c r="DV22" s="64">
        <v>0.67200000000000004</v>
      </c>
      <c r="DW22" s="64">
        <v>0.88800000000000001</v>
      </c>
      <c r="DX22" s="66" t="s">
        <v>242</v>
      </c>
      <c r="DY22" s="65" t="str">
        <f t="shared" si="41"/>
        <v>ME</v>
      </c>
      <c r="DZ22" s="128">
        <v>15</v>
      </c>
      <c r="EA22" s="173">
        <f t="shared" si="42"/>
        <v>0.12967914438502673</v>
      </c>
      <c r="EB22" s="173">
        <f t="shared" si="43"/>
        <v>0.17720588235294119</v>
      </c>
      <c r="EC22" s="173">
        <f t="shared" si="44"/>
        <v>0.91237113402061853</v>
      </c>
      <c r="ED22" s="63">
        <v>0.95</v>
      </c>
      <c r="EE22" s="63">
        <v>1.25</v>
      </c>
      <c r="EF22" s="63">
        <v>0.04</v>
      </c>
      <c r="EG22" s="63">
        <v>7.0000000000000007E-2</v>
      </c>
      <c r="EH22" s="127" t="str">
        <f t="shared" si="5"/>
        <v>ME</v>
      </c>
      <c r="EI22" s="56">
        <v>15</v>
      </c>
      <c r="EJ22" s="334"/>
      <c r="EK22" s="334"/>
      <c r="EL22" s="334"/>
      <c r="EM22" s="334"/>
      <c r="EN22" s="334"/>
      <c r="EO22" s="334"/>
      <c r="EP22" s="334"/>
      <c r="EQ22" s="65" t="str">
        <f t="shared" si="45"/>
        <v>ME</v>
      </c>
      <c r="ER22" s="20"/>
      <c r="ES22" s="20"/>
      <c r="ET22" s="20"/>
      <c r="EU22" s="20"/>
      <c r="EV22" s="20"/>
      <c r="EW22" s="20"/>
      <c r="EX22" s="20"/>
    </row>
    <row r="23" spans="1:154" s="3" customFormat="1" ht="17.149999999999999" customHeight="1" x14ac:dyDescent="0.35">
      <c r="A23" s="56">
        <v>16</v>
      </c>
      <c r="B23" s="57">
        <v>903676</v>
      </c>
      <c r="C23" s="58">
        <f t="shared" si="6"/>
        <v>306</v>
      </c>
      <c r="D23" s="167">
        <v>11.92</v>
      </c>
      <c r="E23" s="59">
        <v>808099</v>
      </c>
      <c r="F23" s="58">
        <f t="shared" si="7"/>
        <v>187</v>
      </c>
      <c r="G23" s="168">
        <v>3.76</v>
      </c>
      <c r="H23" s="57">
        <v>763071</v>
      </c>
      <c r="I23" s="58">
        <f t="shared" si="0"/>
        <v>191</v>
      </c>
      <c r="J23" s="60" t="s">
        <v>194</v>
      </c>
      <c r="K23" s="56">
        <v>16</v>
      </c>
      <c r="L23" s="57">
        <v>70644</v>
      </c>
      <c r="M23" s="58">
        <f t="shared" si="8"/>
        <v>49</v>
      </c>
      <c r="N23" s="59">
        <v>179937</v>
      </c>
      <c r="O23" s="58">
        <f t="shared" si="9"/>
        <v>49</v>
      </c>
      <c r="P23" s="57">
        <v>194749</v>
      </c>
      <c r="Q23" s="169" t="str">
        <f t="shared" si="1"/>
        <v/>
      </c>
      <c r="R23" s="57">
        <v>685</v>
      </c>
      <c r="S23" s="57">
        <v>692</v>
      </c>
      <c r="T23" s="57">
        <v>143</v>
      </c>
      <c r="U23" s="57">
        <v>141</v>
      </c>
      <c r="V23" s="58" t="str">
        <f t="shared" si="10"/>
        <v>ME</v>
      </c>
      <c r="W23" s="56">
        <v>16</v>
      </c>
      <c r="X23" s="63">
        <v>11945.93</v>
      </c>
      <c r="Y23" s="130">
        <f t="shared" si="11"/>
        <v>5.8799999999991996</v>
      </c>
      <c r="Z23" s="63">
        <v>12714.8</v>
      </c>
      <c r="AA23" s="130">
        <f t="shared" si="12"/>
        <v>1.4000000000014552</v>
      </c>
      <c r="AB23" s="63">
        <v>9986.59</v>
      </c>
      <c r="AC23" s="130">
        <f t="shared" si="13"/>
        <v>3.1199999999989814</v>
      </c>
      <c r="AD23" s="63">
        <v>10147.030000000001</v>
      </c>
      <c r="AE23" s="130">
        <f t="shared" si="2"/>
        <v>1.1700000000000728</v>
      </c>
      <c r="AF23" s="125" t="str">
        <f t="shared" si="14"/>
        <v>ME</v>
      </c>
      <c r="AG23" s="56">
        <v>16</v>
      </c>
      <c r="AH23" s="63">
        <v>47758.01</v>
      </c>
      <c r="AI23" s="130">
        <f t="shared" si="15"/>
        <v>9.4000000000014552</v>
      </c>
      <c r="AJ23" s="63">
        <v>49927.26</v>
      </c>
      <c r="AK23" s="130">
        <f t="shared" si="16"/>
        <v>12.669999999998254</v>
      </c>
      <c r="AL23" s="63">
        <v>592.16</v>
      </c>
      <c r="AM23" s="130" t="str">
        <f t="shared" si="17"/>
        <v/>
      </c>
      <c r="AN23" s="63">
        <v>553.26</v>
      </c>
      <c r="AO23" s="130" t="str">
        <f t="shared" si="3"/>
        <v/>
      </c>
      <c r="AP23" s="125" t="str">
        <f t="shared" si="18"/>
        <v>ME</v>
      </c>
      <c r="AQ23" s="56">
        <v>16</v>
      </c>
      <c r="AR23" s="63">
        <v>6886.09</v>
      </c>
      <c r="AS23" s="130">
        <f t="shared" si="19"/>
        <v>1.9499999999998181</v>
      </c>
      <c r="AT23" s="63">
        <v>7666.83</v>
      </c>
      <c r="AU23" s="130">
        <f t="shared" si="20"/>
        <v>1.7600000000002183</v>
      </c>
      <c r="AV23" s="63">
        <v>259.44</v>
      </c>
      <c r="AW23" s="130">
        <f t="shared" si="21"/>
        <v>0.33999999999997499</v>
      </c>
      <c r="AX23" s="63">
        <v>246.02</v>
      </c>
      <c r="AY23" s="130" t="str">
        <f t="shared" si="4"/>
        <v/>
      </c>
      <c r="AZ23" s="125" t="str">
        <f t="shared" si="22"/>
        <v>ME</v>
      </c>
      <c r="BA23" s="56">
        <v>16</v>
      </c>
      <c r="BB23" s="64">
        <v>1.49</v>
      </c>
      <c r="BC23" s="62">
        <v>43</v>
      </c>
      <c r="BD23" s="61">
        <v>7.2</v>
      </c>
      <c r="BE23" s="61">
        <v>21</v>
      </c>
      <c r="BF23" s="61">
        <v>16.899999999999999</v>
      </c>
      <c r="BG23" s="61">
        <v>7.2</v>
      </c>
      <c r="BH23" s="64">
        <v>0.192</v>
      </c>
      <c r="BI23" s="64">
        <v>0.19500000000000001</v>
      </c>
      <c r="BJ23" s="64">
        <v>8.5000000000000006E-2</v>
      </c>
      <c r="BK23" s="64">
        <v>6.6000000000000003E-2</v>
      </c>
      <c r="BL23" s="64">
        <v>5.2999999999999999E-2</v>
      </c>
      <c r="BM23" s="64">
        <v>6.4000000000000001E-2</v>
      </c>
      <c r="BN23" s="65" t="str">
        <f t="shared" si="23"/>
        <v>ME</v>
      </c>
      <c r="BO23" s="56">
        <v>16</v>
      </c>
      <c r="BP23" s="64">
        <v>9.0999999999999998E-2</v>
      </c>
      <c r="BQ23" s="62">
        <v>0</v>
      </c>
      <c r="BR23" s="61">
        <v>7</v>
      </c>
      <c r="BS23" s="61">
        <v>22.1</v>
      </c>
      <c r="BT23" s="61">
        <v>17.899999999999999</v>
      </c>
      <c r="BU23" s="64">
        <v>1.7999999999999999E-2</v>
      </c>
      <c r="BV23" s="63">
        <v>1.1499999999999999</v>
      </c>
      <c r="BW23" s="63">
        <v>1.07</v>
      </c>
      <c r="BX23" s="66" t="s">
        <v>287</v>
      </c>
      <c r="BY23" s="172" t="s">
        <v>246</v>
      </c>
      <c r="BZ23" s="67" t="str">
        <f t="shared" si="24"/>
        <v>ME</v>
      </c>
      <c r="CA23" s="56">
        <v>16</v>
      </c>
      <c r="CB23" s="61">
        <v>89.7</v>
      </c>
      <c r="CC23" s="61"/>
      <c r="CD23" s="68">
        <f t="shared" si="25"/>
        <v>2.1000000000000085</v>
      </c>
      <c r="CE23" s="69">
        <f t="shared" si="26"/>
        <v>9.7739565000000397</v>
      </c>
      <c r="CF23" s="69">
        <f t="shared" si="27"/>
        <v>6.1407056544502874</v>
      </c>
      <c r="CG23" s="62">
        <v>92</v>
      </c>
      <c r="CH23" s="62">
        <v>100</v>
      </c>
      <c r="CI23" s="65" t="str">
        <f t="shared" si="28"/>
        <v>ME</v>
      </c>
      <c r="CJ23" s="56">
        <v>16</v>
      </c>
      <c r="CK23" s="61">
        <v>89.8</v>
      </c>
      <c r="CL23" s="61"/>
      <c r="CM23" s="68">
        <f t="shared" si="29"/>
        <v>3.7999999999999972</v>
      </c>
      <c r="CN23" s="68">
        <f t="shared" si="30"/>
        <v>17.686206999999989</v>
      </c>
      <c r="CO23" s="68">
        <f t="shared" si="31"/>
        <v>22.983399390686262</v>
      </c>
      <c r="CP23" s="62">
        <v>65</v>
      </c>
      <c r="CQ23" s="62">
        <v>83</v>
      </c>
      <c r="CR23" s="65" t="str">
        <f t="shared" si="32"/>
        <v>ME</v>
      </c>
      <c r="CS23" s="56">
        <v>16</v>
      </c>
      <c r="CT23" s="61">
        <v>97.3</v>
      </c>
      <c r="CU23" s="61"/>
      <c r="CV23" s="68">
        <f t="shared" si="33"/>
        <v>3</v>
      </c>
      <c r="CW23" s="68">
        <f t="shared" si="34"/>
        <v>19.93272</v>
      </c>
      <c r="CX23" s="69">
        <f t="shared" si="35"/>
        <v>6.5139607843137257E-2</v>
      </c>
      <c r="CY23" s="66" t="s">
        <v>406</v>
      </c>
      <c r="CZ23" s="66" t="s">
        <v>241</v>
      </c>
      <c r="DA23" s="66"/>
      <c r="DB23" s="65" t="str">
        <f t="shared" si="36"/>
        <v>ME</v>
      </c>
      <c r="DC23" s="56">
        <v>16</v>
      </c>
      <c r="DD23" s="61">
        <v>83.2</v>
      </c>
      <c r="DE23" s="61">
        <v>104</v>
      </c>
      <c r="DF23" s="68">
        <f t="shared" si="37"/>
        <v>32.099999999999994</v>
      </c>
      <c r="DG23" s="69">
        <f t="shared" si="38"/>
        <v>1.7318344444799998</v>
      </c>
      <c r="DH23" s="68">
        <f t="shared" si="39"/>
        <v>5.6595896878431367</v>
      </c>
      <c r="DI23" s="62">
        <v>112</v>
      </c>
      <c r="DJ23" s="62">
        <v>54</v>
      </c>
      <c r="DK23" s="65" t="str">
        <f t="shared" si="40"/>
        <v>ME</v>
      </c>
      <c r="DL23" s="56">
        <v>16</v>
      </c>
      <c r="DM23" s="63">
        <v>8.16</v>
      </c>
      <c r="DN23" s="64">
        <v>3.2000000000000001E-2</v>
      </c>
      <c r="DO23" s="64">
        <v>2.8000000000000001E-2</v>
      </c>
      <c r="DP23" s="64">
        <v>6.8000000000000005E-2</v>
      </c>
      <c r="DQ23" s="63">
        <v>7.03</v>
      </c>
      <c r="DR23" s="61">
        <v>22.2</v>
      </c>
      <c r="DS23" s="64">
        <v>1.159</v>
      </c>
      <c r="DT23" s="61">
        <v>84.7</v>
      </c>
      <c r="DU23" s="63">
        <v>4.18</v>
      </c>
      <c r="DV23" s="64">
        <v>0.69099999999999995</v>
      </c>
      <c r="DW23" s="64">
        <v>0.94699999999999995</v>
      </c>
      <c r="DX23" s="66" t="s">
        <v>247</v>
      </c>
      <c r="DY23" s="65" t="str">
        <f t="shared" si="41"/>
        <v>ME</v>
      </c>
      <c r="DZ23" s="128">
        <v>16</v>
      </c>
      <c r="EA23" s="173">
        <f t="shared" si="42"/>
        <v>0.20454545454545456</v>
      </c>
      <c r="EB23" s="173">
        <f t="shared" si="43"/>
        <v>0.13750000000000001</v>
      </c>
      <c r="EC23" s="173">
        <f t="shared" si="44"/>
        <v>0.62418300653594772</v>
      </c>
      <c r="ED23" s="63">
        <v>1.1100000000000001</v>
      </c>
      <c r="EE23" s="63">
        <v>1.22</v>
      </c>
      <c r="EF23" s="63">
        <v>0.04</v>
      </c>
      <c r="EG23" s="63">
        <v>0.06</v>
      </c>
      <c r="EH23" s="127" t="str">
        <f t="shared" si="5"/>
        <v>ME</v>
      </c>
      <c r="EI23" s="56">
        <v>16</v>
      </c>
      <c r="EJ23" s="334"/>
      <c r="EK23" s="334"/>
      <c r="EL23" s="334"/>
      <c r="EM23" s="334"/>
      <c r="EN23" s="334"/>
      <c r="EO23" s="334"/>
      <c r="EP23" s="334"/>
      <c r="EQ23" s="65" t="str">
        <f t="shared" si="45"/>
        <v>ME</v>
      </c>
      <c r="ER23" s="20"/>
      <c r="ES23" s="20"/>
      <c r="ET23" s="20"/>
      <c r="EU23" s="20"/>
      <c r="EV23" s="20"/>
      <c r="EW23" s="20"/>
      <c r="EX23" s="20"/>
    </row>
    <row r="24" spans="1:154" s="3" customFormat="1" ht="17.149999999999999" customHeight="1" x14ac:dyDescent="0.35">
      <c r="A24" s="56">
        <v>17</v>
      </c>
      <c r="B24" s="57">
        <v>903982</v>
      </c>
      <c r="C24" s="58">
        <f t="shared" si="6"/>
        <v>240</v>
      </c>
      <c r="D24" s="167">
        <v>11.84</v>
      </c>
      <c r="E24" s="59">
        <v>808286</v>
      </c>
      <c r="F24" s="58">
        <f t="shared" si="7"/>
        <v>217</v>
      </c>
      <c r="G24" s="168">
        <v>3.02</v>
      </c>
      <c r="H24" s="57">
        <v>763262</v>
      </c>
      <c r="I24" s="58">
        <f t="shared" si="0"/>
        <v>189</v>
      </c>
      <c r="J24" s="60" t="s">
        <v>194</v>
      </c>
      <c r="K24" s="56">
        <v>17</v>
      </c>
      <c r="L24" s="57">
        <v>70693</v>
      </c>
      <c r="M24" s="58" t="str">
        <f t="shared" si="8"/>
        <v/>
      </c>
      <c r="N24" s="59">
        <v>179986</v>
      </c>
      <c r="O24" s="58">
        <f t="shared" si="9"/>
        <v>49</v>
      </c>
      <c r="P24" s="57">
        <v>194749</v>
      </c>
      <c r="Q24" s="169" t="str">
        <f t="shared" si="1"/>
        <v/>
      </c>
      <c r="R24" s="57">
        <v>685</v>
      </c>
      <c r="S24" s="57">
        <v>693</v>
      </c>
      <c r="T24" s="57">
        <v>143</v>
      </c>
      <c r="U24" s="57">
        <v>141</v>
      </c>
      <c r="V24" s="58" t="str">
        <f t="shared" si="10"/>
        <v>ME</v>
      </c>
      <c r="W24" s="56">
        <v>17</v>
      </c>
      <c r="X24" s="63">
        <v>11951.81</v>
      </c>
      <c r="Y24" s="130">
        <f t="shared" si="11"/>
        <v>2.569999999999709</v>
      </c>
      <c r="Z24" s="63">
        <v>12716.2</v>
      </c>
      <c r="AA24" s="130">
        <f t="shared" si="12"/>
        <v>3.1700000000000728</v>
      </c>
      <c r="AB24" s="63">
        <v>9989.7099999999991</v>
      </c>
      <c r="AC24" s="130">
        <f t="shared" si="13"/>
        <v>2.1900000000005093</v>
      </c>
      <c r="AD24" s="63">
        <v>10148.200000000001</v>
      </c>
      <c r="AE24" s="130">
        <f t="shared" si="2"/>
        <v>2.0599999999994907</v>
      </c>
      <c r="AF24" s="125" t="str">
        <f t="shared" si="14"/>
        <v>ME</v>
      </c>
      <c r="AG24" s="56">
        <v>17</v>
      </c>
      <c r="AH24" s="63">
        <v>47767.41</v>
      </c>
      <c r="AI24" s="130">
        <f t="shared" si="15"/>
        <v>14.609999999993306</v>
      </c>
      <c r="AJ24" s="63">
        <v>49939.93</v>
      </c>
      <c r="AK24" s="130">
        <f t="shared" si="16"/>
        <v>8.9599999999991269</v>
      </c>
      <c r="AL24" s="63">
        <v>592.16</v>
      </c>
      <c r="AM24" s="130">
        <f t="shared" si="17"/>
        <v>4.0000000000077307E-2</v>
      </c>
      <c r="AN24" s="63">
        <v>553.26</v>
      </c>
      <c r="AO24" s="130">
        <f t="shared" si="3"/>
        <v>0.11000000000001364</v>
      </c>
      <c r="AP24" s="125" t="str">
        <f t="shared" si="18"/>
        <v>ME</v>
      </c>
      <c r="AQ24" s="56">
        <v>17</v>
      </c>
      <c r="AR24" s="63">
        <v>6888.04</v>
      </c>
      <c r="AS24" s="130">
        <f t="shared" si="19"/>
        <v>1.5799999999999272</v>
      </c>
      <c r="AT24" s="63">
        <v>7668.59</v>
      </c>
      <c r="AU24" s="130">
        <f t="shared" si="20"/>
        <v>1.5900000000001455</v>
      </c>
      <c r="AV24" s="63">
        <v>259.77999999999997</v>
      </c>
      <c r="AW24" s="130" t="str">
        <f t="shared" si="21"/>
        <v/>
      </c>
      <c r="AX24" s="63">
        <v>246.02</v>
      </c>
      <c r="AY24" s="130" t="str">
        <f t="shared" si="4"/>
        <v/>
      </c>
      <c r="AZ24" s="125" t="str">
        <f t="shared" si="22"/>
        <v>ME</v>
      </c>
      <c r="BA24" s="56">
        <v>17</v>
      </c>
      <c r="BB24" s="64">
        <v>1.22</v>
      </c>
      <c r="BC24" s="62">
        <v>37</v>
      </c>
      <c r="BD24" s="61">
        <v>7</v>
      </c>
      <c r="BE24" s="61">
        <v>21.7</v>
      </c>
      <c r="BF24" s="61">
        <v>15.1</v>
      </c>
      <c r="BG24" s="61">
        <v>7</v>
      </c>
      <c r="BH24" s="64">
        <v>0.34</v>
      </c>
      <c r="BI24" s="64">
        <v>0.35799999999999998</v>
      </c>
      <c r="BJ24" s="64">
        <v>5.5E-2</v>
      </c>
      <c r="BK24" s="64">
        <v>5.6000000000000001E-2</v>
      </c>
      <c r="BL24" s="64">
        <v>5.8999999999999997E-2</v>
      </c>
      <c r="BM24" s="64">
        <v>5.8999999999999997E-2</v>
      </c>
      <c r="BN24" s="65" t="str">
        <f t="shared" si="23"/>
        <v>ME</v>
      </c>
      <c r="BO24" s="56">
        <v>17</v>
      </c>
      <c r="BP24" s="64">
        <v>8.1000000000000003E-2</v>
      </c>
      <c r="BQ24" s="62">
        <v>0</v>
      </c>
      <c r="BR24" s="61">
        <v>7.2</v>
      </c>
      <c r="BS24" s="61">
        <v>21.9</v>
      </c>
      <c r="BT24" s="61">
        <v>17.399999999999999</v>
      </c>
      <c r="BU24" s="64">
        <v>1.4999999999999999E-2</v>
      </c>
      <c r="BV24" s="63">
        <v>1.17</v>
      </c>
      <c r="BW24" s="63">
        <v>1.04</v>
      </c>
      <c r="BX24" s="66" t="s">
        <v>245</v>
      </c>
      <c r="BY24" s="172" t="s">
        <v>246</v>
      </c>
      <c r="BZ24" s="67" t="str">
        <f t="shared" si="24"/>
        <v>ME</v>
      </c>
      <c r="CA24" s="56">
        <v>17</v>
      </c>
      <c r="CB24" s="61">
        <v>87.6</v>
      </c>
      <c r="CC24" s="61"/>
      <c r="CD24" s="68">
        <f t="shared" si="25"/>
        <v>2.0999999999999943</v>
      </c>
      <c r="CE24" s="69">
        <f t="shared" si="26"/>
        <v>9.773956499999974</v>
      </c>
      <c r="CF24" s="69">
        <f t="shared" si="27"/>
        <v>6.205686666666649</v>
      </c>
      <c r="CG24" s="62">
        <v>87</v>
      </c>
      <c r="CH24" s="62">
        <v>100</v>
      </c>
      <c r="CI24" s="65" t="str">
        <f t="shared" si="28"/>
        <v>ME</v>
      </c>
      <c r="CJ24" s="56">
        <v>17</v>
      </c>
      <c r="CK24" s="61">
        <v>86</v>
      </c>
      <c r="CL24" s="61"/>
      <c r="CM24" s="68">
        <f t="shared" si="29"/>
        <v>2.7000000000000028</v>
      </c>
      <c r="CN24" s="68">
        <f t="shared" si="30"/>
        <v>12.566515500000014</v>
      </c>
      <c r="CO24" s="68">
        <f t="shared" si="31"/>
        <v>20.821145369062528</v>
      </c>
      <c r="CP24" s="62">
        <v>64</v>
      </c>
      <c r="CQ24" s="62">
        <v>83</v>
      </c>
      <c r="CR24" s="65" t="str">
        <f t="shared" si="32"/>
        <v>ME</v>
      </c>
      <c r="CS24" s="56">
        <v>17</v>
      </c>
      <c r="CT24" s="61">
        <v>94.3</v>
      </c>
      <c r="CU24" s="61"/>
      <c r="CV24" s="68">
        <f t="shared" si="33"/>
        <v>2.7000000000000028</v>
      </c>
      <c r="CW24" s="68">
        <f t="shared" si="34"/>
        <v>17.93944800000002</v>
      </c>
      <c r="CX24" s="69">
        <f t="shared" si="35"/>
        <v>7.4747700000000084E-2</v>
      </c>
      <c r="CY24" s="66" t="s">
        <v>406</v>
      </c>
      <c r="CZ24" s="66" t="s">
        <v>241</v>
      </c>
      <c r="DA24" s="66"/>
      <c r="DB24" s="65" t="str">
        <f t="shared" si="36"/>
        <v>ME</v>
      </c>
      <c r="DC24" s="56">
        <v>17</v>
      </c>
      <c r="DD24" s="61">
        <v>71.900000000000006</v>
      </c>
      <c r="DE24" s="61">
        <v>103.8</v>
      </c>
      <c r="DF24" s="68">
        <f t="shared" si="37"/>
        <v>27.5</v>
      </c>
      <c r="DG24" s="69">
        <f t="shared" si="38"/>
        <v>1.4836587920000002</v>
      </c>
      <c r="DH24" s="68">
        <f t="shared" si="39"/>
        <v>6.1819116333333337</v>
      </c>
      <c r="DI24" s="62">
        <v>112</v>
      </c>
      <c r="DJ24" s="62">
        <v>54</v>
      </c>
      <c r="DK24" s="65" t="str">
        <f t="shared" si="40"/>
        <v>ME</v>
      </c>
      <c r="DL24" s="56">
        <v>17</v>
      </c>
      <c r="DM24" s="63">
        <v>8.16</v>
      </c>
      <c r="DN24" s="64">
        <v>3.2000000000000001E-2</v>
      </c>
      <c r="DO24" s="64">
        <v>3.2000000000000001E-2</v>
      </c>
      <c r="DP24" s="64">
        <v>6.3E-2</v>
      </c>
      <c r="DQ24" s="63">
        <v>7.01</v>
      </c>
      <c r="DR24" s="61">
        <v>22.1</v>
      </c>
      <c r="DS24" s="64">
        <v>1.1890000000000001</v>
      </c>
      <c r="DT24" s="61">
        <v>84.5</v>
      </c>
      <c r="DU24" s="63">
        <v>4.33</v>
      </c>
      <c r="DV24" s="64">
        <v>2.911</v>
      </c>
      <c r="DW24" s="64">
        <v>0.66900000000000004</v>
      </c>
      <c r="DX24" s="66" t="s">
        <v>242</v>
      </c>
      <c r="DY24" s="65" t="str">
        <f t="shared" si="41"/>
        <v>ME</v>
      </c>
      <c r="DZ24" s="128">
        <v>17</v>
      </c>
      <c r="EA24" s="173">
        <f t="shared" si="42"/>
        <v>0.16042780748663102</v>
      </c>
      <c r="EB24" s="173">
        <f t="shared" si="43"/>
        <v>0.15955882352941175</v>
      </c>
      <c r="EC24" s="173">
        <f t="shared" si="44"/>
        <v>0.78749999999999998</v>
      </c>
      <c r="ED24" s="63">
        <v>0.79</v>
      </c>
      <c r="EE24" s="63">
        <v>1.22</v>
      </c>
      <c r="EF24" s="63">
        <v>0.05</v>
      </c>
      <c r="EG24" s="63">
        <v>0.14000000000000001</v>
      </c>
      <c r="EH24" s="127" t="str">
        <f t="shared" si="5"/>
        <v>ME</v>
      </c>
      <c r="EI24" s="56">
        <v>17</v>
      </c>
      <c r="EJ24" s="334"/>
      <c r="EK24" s="334"/>
      <c r="EL24" s="334"/>
      <c r="EM24" s="334"/>
      <c r="EN24" s="334"/>
      <c r="EO24" s="334"/>
      <c r="EP24" s="334"/>
      <c r="EQ24" s="65" t="str">
        <f t="shared" si="45"/>
        <v>ME</v>
      </c>
      <c r="ER24" s="20"/>
      <c r="ES24" s="20"/>
      <c r="ET24" s="20"/>
      <c r="EU24" s="20"/>
      <c r="EV24" s="20"/>
      <c r="EW24" s="20"/>
      <c r="EX24" s="20"/>
    </row>
    <row r="25" spans="1:154" s="3" customFormat="1" ht="17.149999999999999" customHeight="1" x14ac:dyDescent="0.35">
      <c r="A25" s="56">
        <v>18</v>
      </c>
      <c r="B25" s="57">
        <v>904222</v>
      </c>
      <c r="C25" s="58">
        <f t="shared" si="6"/>
        <v>117</v>
      </c>
      <c r="D25" s="167">
        <v>11.77</v>
      </c>
      <c r="E25" s="59">
        <v>808503</v>
      </c>
      <c r="F25" s="58">
        <f t="shared" si="7"/>
        <v>193</v>
      </c>
      <c r="G25" s="168">
        <v>3.17</v>
      </c>
      <c r="H25" s="57">
        <v>763451</v>
      </c>
      <c r="I25" s="58">
        <f t="shared" si="0"/>
        <v>107</v>
      </c>
      <c r="J25" s="60" t="s">
        <v>194</v>
      </c>
      <c r="K25" s="56">
        <v>18</v>
      </c>
      <c r="L25" s="57">
        <v>70693</v>
      </c>
      <c r="M25" s="58" t="str">
        <f t="shared" si="8"/>
        <v/>
      </c>
      <c r="N25" s="59">
        <v>180035</v>
      </c>
      <c r="O25" s="58">
        <f t="shared" si="9"/>
        <v>51</v>
      </c>
      <c r="P25" s="57">
        <v>194749</v>
      </c>
      <c r="Q25" s="169" t="str">
        <f t="shared" si="1"/>
        <v/>
      </c>
      <c r="R25" s="57">
        <v>685</v>
      </c>
      <c r="S25" s="57">
        <v>693</v>
      </c>
      <c r="T25" s="57">
        <v>143</v>
      </c>
      <c r="U25" s="57">
        <v>141</v>
      </c>
      <c r="V25" s="58" t="str">
        <f t="shared" si="10"/>
        <v>ME</v>
      </c>
      <c r="W25" s="56">
        <v>18</v>
      </c>
      <c r="X25" s="63">
        <v>11954.38</v>
      </c>
      <c r="Y25" s="130">
        <f t="shared" si="11"/>
        <v>2.7400000000016007</v>
      </c>
      <c r="Z25" s="63">
        <v>12719.37</v>
      </c>
      <c r="AA25" s="130" t="str">
        <f t="shared" si="12"/>
        <v/>
      </c>
      <c r="AB25" s="63">
        <v>9991.9</v>
      </c>
      <c r="AC25" s="130">
        <f t="shared" si="13"/>
        <v>2.3900000000012369</v>
      </c>
      <c r="AD25" s="63">
        <v>10150.26</v>
      </c>
      <c r="AE25" s="130" t="str">
        <f t="shared" si="2"/>
        <v/>
      </c>
      <c r="AF25" s="125" t="str">
        <f t="shared" si="14"/>
        <v>ME</v>
      </c>
      <c r="AG25" s="56">
        <v>18</v>
      </c>
      <c r="AH25" s="63">
        <v>47782.02</v>
      </c>
      <c r="AI25" s="130">
        <f t="shared" si="15"/>
        <v>8.3500000000058208</v>
      </c>
      <c r="AJ25" s="63">
        <v>49948.89</v>
      </c>
      <c r="AK25" s="130">
        <f t="shared" si="16"/>
        <v>15.05000000000291</v>
      </c>
      <c r="AL25" s="63">
        <v>592.20000000000005</v>
      </c>
      <c r="AM25" s="130" t="str">
        <f t="shared" si="17"/>
        <v/>
      </c>
      <c r="AN25" s="63">
        <v>553.37</v>
      </c>
      <c r="AO25" s="130" t="str">
        <f t="shared" si="3"/>
        <v/>
      </c>
      <c r="AP25" s="125" t="str">
        <f t="shared" si="18"/>
        <v>ME</v>
      </c>
      <c r="AQ25" s="56">
        <v>18</v>
      </c>
      <c r="AR25" s="63">
        <v>6889.62</v>
      </c>
      <c r="AS25" s="130">
        <f t="shared" si="19"/>
        <v>2.1000000000003638</v>
      </c>
      <c r="AT25" s="63">
        <v>7670.18</v>
      </c>
      <c r="AU25" s="130">
        <f t="shared" si="20"/>
        <v>2.3999999999996362</v>
      </c>
      <c r="AV25" s="63">
        <v>259.77999999999997</v>
      </c>
      <c r="AW25" s="130" t="str">
        <f t="shared" si="21"/>
        <v/>
      </c>
      <c r="AX25" s="63">
        <v>246.02</v>
      </c>
      <c r="AY25" s="251" t="str">
        <f t="shared" si="4"/>
        <v/>
      </c>
      <c r="AZ25" s="125" t="str">
        <f t="shared" si="22"/>
        <v>ME</v>
      </c>
      <c r="BA25" s="56">
        <v>18</v>
      </c>
      <c r="BB25" s="258">
        <v>1.37</v>
      </c>
      <c r="BC25" s="62">
        <v>41</v>
      </c>
      <c r="BD25" s="61">
        <v>7.1</v>
      </c>
      <c r="BE25" s="61">
        <v>21.7</v>
      </c>
      <c r="BF25" s="61">
        <v>16.899999999999999</v>
      </c>
      <c r="BG25" s="61">
        <v>7.1</v>
      </c>
      <c r="BH25" s="64">
        <v>0.46500000000000002</v>
      </c>
      <c r="BI25" s="64">
        <v>0.48099999999999998</v>
      </c>
      <c r="BJ25" s="64">
        <v>7.5999999999999998E-2</v>
      </c>
      <c r="BK25" s="64">
        <v>5.6000000000000001E-2</v>
      </c>
      <c r="BL25" s="64">
        <v>6.0999999999999999E-2</v>
      </c>
      <c r="BM25" s="64">
        <v>5.5E-2</v>
      </c>
      <c r="BN25" s="65" t="str">
        <f t="shared" si="23"/>
        <v>ME</v>
      </c>
      <c r="BO25" s="56">
        <v>18</v>
      </c>
      <c r="BP25" s="64">
        <v>9.2999999999999999E-2</v>
      </c>
      <c r="BQ25" s="62">
        <v>0</v>
      </c>
      <c r="BR25" s="61">
        <v>7</v>
      </c>
      <c r="BS25" s="61">
        <v>22</v>
      </c>
      <c r="BT25" s="61">
        <v>18.7</v>
      </c>
      <c r="BU25" s="64">
        <v>2.1000000000000001E-2</v>
      </c>
      <c r="BV25" s="63">
        <v>1.1499999999999999</v>
      </c>
      <c r="BW25" s="63">
        <v>1.01</v>
      </c>
      <c r="BX25" s="66" t="s">
        <v>253</v>
      </c>
      <c r="BY25" s="172" t="s">
        <v>246</v>
      </c>
      <c r="BZ25" s="67" t="str">
        <f t="shared" si="24"/>
        <v>ME</v>
      </c>
      <c r="CA25" s="56">
        <v>18</v>
      </c>
      <c r="CB25" s="61">
        <v>85.5</v>
      </c>
      <c r="CC25" s="61"/>
      <c r="CD25" s="68">
        <f t="shared" si="25"/>
        <v>1.2000000000000028</v>
      </c>
      <c r="CE25" s="69">
        <f t="shared" si="26"/>
        <v>5.5851180000000138</v>
      </c>
      <c r="CF25" s="69">
        <f t="shared" si="27"/>
        <v>6.2636837383177726</v>
      </c>
      <c r="CG25" s="62">
        <v>93</v>
      </c>
      <c r="CH25" s="62">
        <v>100</v>
      </c>
      <c r="CI25" s="65" t="str">
        <f t="shared" si="28"/>
        <v>ME</v>
      </c>
      <c r="CJ25" s="56">
        <v>18</v>
      </c>
      <c r="CK25" s="61">
        <v>83.3</v>
      </c>
      <c r="CL25" s="61"/>
      <c r="CM25" s="68">
        <f t="shared" si="29"/>
        <v>1.5999999999999943</v>
      </c>
      <c r="CN25" s="68">
        <f t="shared" si="30"/>
        <v>7.4468239999999746</v>
      </c>
      <c r="CO25" s="68">
        <f t="shared" si="31"/>
        <v>25.309654389743507</v>
      </c>
      <c r="CP25" s="62">
        <v>65</v>
      </c>
      <c r="CQ25" s="62">
        <v>83</v>
      </c>
      <c r="CR25" s="65" t="str">
        <f t="shared" si="32"/>
        <v>ME</v>
      </c>
      <c r="CS25" s="56">
        <v>18</v>
      </c>
      <c r="CT25" s="61">
        <v>91.6</v>
      </c>
      <c r="CU25" s="61"/>
      <c r="CV25" s="68">
        <f t="shared" si="33"/>
        <v>1.1999999999999886</v>
      </c>
      <c r="CW25" s="68">
        <f t="shared" si="34"/>
        <v>7.9730879999999242</v>
      </c>
      <c r="CX25" s="69">
        <f t="shared" si="35"/>
        <v>6.8146051282050632E-2</v>
      </c>
      <c r="CY25" s="66" t="s">
        <v>406</v>
      </c>
      <c r="CZ25" s="66" t="s">
        <v>241</v>
      </c>
      <c r="DA25" s="66"/>
      <c r="DB25" s="65" t="str">
        <f t="shared" si="36"/>
        <v>ME</v>
      </c>
      <c r="DC25" s="56">
        <v>18</v>
      </c>
      <c r="DD25" s="61">
        <v>76.3</v>
      </c>
      <c r="DE25" s="61">
        <v>104.6</v>
      </c>
      <c r="DF25" s="68">
        <f t="shared" si="37"/>
        <v>13.399999999999991</v>
      </c>
      <c r="DG25" s="69">
        <f t="shared" si="38"/>
        <v>0.72294646591999945</v>
      </c>
      <c r="DH25" s="68">
        <f t="shared" si="39"/>
        <v>6.1790296232478585</v>
      </c>
      <c r="DI25" s="62">
        <v>112</v>
      </c>
      <c r="DJ25" s="62">
        <v>54</v>
      </c>
      <c r="DK25" s="65" t="str">
        <f t="shared" si="40"/>
        <v>ME</v>
      </c>
      <c r="DL25" s="56">
        <v>18</v>
      </c>
      <c r="DM25" s="63">
        <v>8.0399999999999991</v>
      </c>
      <c r="DN25" s="64">
        <v>3.4000000000000002E-2</v>
      </c>
      <c r="DO25" s="64">
        <v>3.4000000000000002E-2</v>
      </c>
      <c r="DP25" s="64">
        <v>7.1999999999999995E-2</v>
      </c>
      <c r="DQ25" s="63">
        <v>7.01</v>
      </c>
      <c r="DR25" s="61">
        <v>22.1</v>
      </c>
      <c r="DS25" s="64">
        <v>1.135</v>
      </c>
      <c r="DT25" s="61">
        <v>87.1</v>
      </c>
      <c r="DU25" s="63">
        <v>4.37</v>
      </c>
      <c r="DV25" s="64">
        <v>2.0259999999999998</v>
      </c>
      <c r="DW25" s="64">
        <v>1.24</v>
      </c>
      <c r="DX25" s="66" t="s">
        <v>242</v>
      </c>
      <c r="DY25" s="65" t="str">
        <f t="shared" si="41"/>
        <v>ME</v>
      </c>
      <c r="DZ25" s="128">
        <v>18</v>
      </c>
      <c r="EA25" s="173">
        <f t="shared" si="42"/>
        <v>7.8208556149732614E-2</v>
      </c>
      <c r="EB25" s="173">
        <f t="shared" si="43"/>
        <v>0.14191176470588235</v>
      </c>
      <c r="EC25" s="173">
        <f t="shared" si="44"/>
        <v>0.9145299145299145</v>
      </c>
      <c r="ED25" s="63">
        <v>1.1000000000000001</v>
      </c>
      <c r="EE25" s="63">
        <v>1.18</v>
      </c>
      <c r="EF25" s="63">
        <v>0.05</v>
      </c>
      <c r="EG25" s="63">
        <v>0.06</v>
      </c>
      <c r="EH25" s="127" t="str">
        <f t="shared" si="5"/>
        <v>ME</v>
      </c>
      <c r="EI25" s="56">
        <v>18</v>
      </c>
      <c r="EJ25" s="334"/>
      <c r="EK25" s="334"/>
      <c r="EL25" s="334"/>
      <c r="EM25" s="334"/>
      <c r="EN25" s="334"/>
      <c r="EO25" s="334"/>
      <c r="EP25" s="334"/>
      <c r="EQ25" s="65" t="str">
        <f t="shared" si="45"/>
        <v>ME</v>
      </c>
      <c r="ER25" s="20"/>
      <c r="ES25" s="20"/>
      <c r="ET25" s="20"/>
      <c r="EU25" s="20"/>
      <c r="EV25" s="20"/>
      <c r="EW25" s="20"/>
      <c r="EX25" s="20"/>
    </row>
    <row r="26" spans="1:154" s="3" customFormat="1" ht="17.149999999999999" customHeight="1" x14ac:dyDescent="0.35">
      <c r="A26" s="56">
        <v>19</v>
      </c>
      <c r="B26" s="57">
        <v>904339</v>
      </c>
      <c r="C26" s="58">
        <f t="shared" si="6"/>
        <v>295</v>
      </c>
      <c r="D26" s="167">
        <v>11.64</v>
      </c>
      <c r="E26" s="59">
        <v>808696</v>
      </c>
      <c r="F26" s="58">
        <f t="shared" si="7"/>
        <v>268</v>
      </c>
      <c r="G26" s="168">
        <v>3.26</v>
      </c>
      <c r="H26" s="57">
        <v>763558</v>
      </c>
      <c r="I26" s="58">
        <f t="shared" si="0"/>
        <v>261</v>
      </c>
      <c r="J26" s="60" t="s">
        <v>338</v>
      </c>
      <c r="K26" s="56">
        <v>19</v>
      </c>
      <c r="L26" s="57">
        <v>70693</v>
      </c>
      <c r="M26" s="58">
        <f t="shared" si="8"/>
        <v>7</v>
      </c>
      <c r="N26" s="59">
        <v>180086</v>
      </c>
      <c r="O26" s="58">
        <f t="shared" si="9"/>
        <v>50</v>
      </c>
      <c r="P26" s="57">
        <v>194749</v>
      </c>
      <c r="Q26" s="169" t="str">
        <f t="shared" si="1"/>
        <v/>
      </c>
      <c r="R26" s="57">
        <v>685</v>
      </c>
      <c r="S26" s="57">
        <v>693</v>
      </c>
      <c r="T26" s="57">
        <v>143</v>
      </c>
      <c r="U26" s="57">
        <v>141</v>
      </c>
      <c r="V26" s="58" t="str">
        <f t="shared" si="10"/>
        <v>SA</v>
      </c>
      <c r="W26" s="56">
        <v>19</v>
      </c>
      <c r="X26" s="63">
        <v>11957.12</v>
      </c>
      <c r="Y26" s="130">
        <f t="shared" si="11"/>
        <v>2.2299999999995634</v>
      </c>
      <c r="Z26" s="63">
        <v>12719.37</v>
      </c>
      <c r="AA26" s="130">
        <f t="shared" si="12"/>
        <v>4.3999999999996362</v>
      </c>
      <c r="AB26" s="63">
        <v>9994.2900000000009</v>
      </c>
      <c r="AC26" s="130">
        <f t="shared" si="13"/>
        <v>1.7599999999983993</v>
      </c>
      <c r="AD26" s="63">
        <v>10150.26</v>
      </c>
      <c r="AE26" s="130">
        <f t="shared" si="2"/>
        <v>4.0799999999999272</v>
      </c>
      <c r="AF26" s="125" t="str">
        <f t="shared" si="14"/>
        <v>SA</v>
      </c>
      <c r="AG26" s="56">
        <v>19</v>
      </c>
      <c r="AH26" s="63">
        <v>47790.37</v>
      </c>
      <c r="AI26" s="130">
        <f t="shared" si="15"/>
        <v>15.649999999994179</v>
      </c>
      <c r="AJ26" s="63">
        <v>49963.94</v>
      </c>
      <c r="AK26" s="130">
        <f t="shared" si="16"/>
        <v>12.94999999999709</v>
      </c>
      <c r="AL26" s="63">
        <v>592.20000000000005</v>
      </c>
      <c r="AM26" s="130" t="str">
        <f t="shared" si="17"/>
        <v/>
      </c>
      <c r="AN26" s="63">
        <v>553.37</v>
      </c>
      <c r="AO26" s="130" t="str">
        <f t="shared" si="3"/>
        <v/>
      </c>
      <c r="AP26" s="125" t="str">
        <f t="shared" si="18"/>
        <v>SA</v>
      </c>
      <c r="AQ26" s="56">
        <v>19</v>
      </c>
      <c r="AR26" s="63">
        <v>6891.72</v>
      </c>
      <c r="AS26" s="130">
        <f t="shared" si="19"/>
        <v>3.1599999999998545</v>
      </c>
      <c r="AT26" s="63">
        <v>7672.58</v>
      </c>
      <c r="AU26" s="130">
        <f t="shared" si="20"/>
        <v>2.7799999999997453</v>
      </c>
      <c r="AV26" s="63">
        <v>259.77999999999997</v>
      </c>
      <c r="AW26" s="130" t="str">
        <f t="shared" si="21"/>
        <v/>
      </c>
      <c r="AX26" s="63">
        <v>246.02</v>
      </c>
      <c r="AY26" s="130">
        <f t="shared" si="4"/>
        <v>9.0000000000003411E-2</v>
      </c>
      <c r="AZ26" s="125" t="str">
        <f t="shared" si="22"/>
        <v>SA</v>
      </c>
      <c r="BA26" s="56">
        <v>19</v>
      </c>
      <c r="BB26" s="64">
        <v>1.41</v>
      </c>
      <c r="BC26" s="62">
        <v>39</v>
      </c>
      <c r="BD26" s="61">
        <v>7.1</v>
      </c>
      <c r="BE26" s="61">
        <v>21.5</v>
      </c>
      <c r="BF26" s="61">
        <v>14.9</v>
      </c>
      <c r="BG26" s="61">
        <v>7.1</v>
      </c>
      <c r="BH26" s="64">
        <v>0.36</v>
      </c>
      <c r="BI26" s="64">
        <v>0.39400000000000002</v>
      </c>
      <c r="BJ26" s="64">
        <v>6.4000000000000001E-2</v>
      </c>
      <c r="BK26" s="64">
        <v>6.6000000000000003E-2</v>
      </c>
      <c r="BL26" s="64">
        <v>7.6999999999999999E-2</v>
      </c>
      <c r="BM26" s="64">
        <v>8.1000000000000003E-2</v>
      </c>
      <c r="BN26" s="65" t="str">
        <f t="shared" si="23"/>
        <v>SA</v>
      </c>
      <c r="BO26" s="56">
        <v>19</v>
      </c>
      <c r="BP26" s="64">
        <v>9.1999999999999998E-2</v>
      </c>
      <c r="BQ26" s="62">
        <v>0</v>
      </c>
      <c r="BR26" s="61">
        <v>7.2</v>
      </c>
      <c r="BS26" s="61">
        <v>22.2</v>
      </c>
      <c r="BT26" s="61">
        <v>18.5</v>
      </c>
      <c r="BU26" s="64">
        <v>1.7999999999999999E-2</v>
      </c>
      <c r="BV26" s="63">
        <v>1.1200000000000001</v>
      </c>
      <c r="BW26" s="63">
        <v>0.74</v>
      </c>
      <c r="BX26" s="66" t="s">
        <v>312</v>
      </c>
      <c r="BY26" s="172" t="s">
        <v>409</v>
      </c>
      <c r="BZ26" s="67" t="str">
        <f t="shared" si="24"/>
        <v>SA</v>
      </c>
      <c r="CA26" s="56">
        <v>19</v>
      </c>
      <c r="CB26" s="61">
        <v>84.3</v>
      </c>
      <c r="CC26" s="61"/>
      <c r="CD26" s="68">
        <f t="shared" si="25"/>
        <v>3</v>
      </c>
      <c r="CE26" s="69">
        <f t="shared" si="26"/>
        <v>13.962795000000002</v>
      </c>
      <c r="CF26" s="69">
        <f t="shared" si="27"/>
        <v>6.4196758620689662</v>
      </c>
      <c r="CG26" s="62">
        <v>93</v>
      </c>
      <c r="CH26" s="62">
        <v>100</v>
      </c>
      <c r="CI26" s="65" t="str">
        <f t="shared" si="28"/>
        <v>SA</v>
      </c>
      <c r="CJ26" s="56">
        <v>19</v>
      </c>
      <c r="CK26" s="61">
        <v>81.7</v>
      </c>
      <c r="CL26" s="61"/>
      <c r="CM26" s="68">
        <f t="shared" si="29"/>
        <v>3.7999999999999972</v>
      </c>
      <c r="CN26" s="68">
        <f t="shared" si="30"/>
        <v>17.686206999999989</v>
      </c>
      <c r="CO26" s="68">
        <f t="shared" si="31"/>
        <v>23.840407503559309</v>
      </c>
      <c r="CP26" s="62">
        <v>65</v>
      </c>
      <c r="CQ26" s="62">
        <v>83</v>
      </c>
      <c r="CR26" s="65" t="str">
        <f t="shared" si="32"/>
        <v>SA</v>
      </c>
      <c r="CS26" s="56">
        <v>19</v>
      </c>
      <c r="CT26" s="61">
        <v>90.4</v>
      </c>
      <c r="CU26" s="61"/>
      <c r="CV26" s="68">
        <f t="shared" si="33"/>
        <v>3.2000000000000028</v>
      </c>
      <c r="CW26" s="68">
        <f t="shared" si="34"/>
        <v>21.261568000000018</v>
      </c>
      <c r="CX26" s="69">
        <f t="shared" si="35"/>
        <v>7.2073111864406847E-2</v>
      </c>
      <c r="CY26" s="66" t="s">
        <v>406</v>
      </c>
      <c r="CZ26" s="66" t="s">
        <v>241</v>
      </c>
      <c r="DA26" s="66"/>
      <c r="DB26" s="65" t="str">
        <f t="shared" si="36"/>
        <v>SA</v>
      </c>
      <c r="DC26" s="56">
        <v>19</v>
      </c>
      <c r="DD26" s="61">
        <v>91.2</v>
      </c>
      <c r="DE26" s="61">
        <v>105.7</v>
      </c>
      <c r="DF26" s="68">
        <f t="shared" si="37"/>
        <v>30.799999999999997</v>
      </c>
      <c r="DG26" s="69">
        <f t="shared" si="38"/>
        <v>1.6616978470399999</v>
      </c>
      <c r="DH26" s="68">
        <f t="shared" si="39"/>
        <v>5.6328740577627121</v>
      </c>
      <c r="DI26" s="62">
        <v>112</v>
      </c>
      <c r="DJ26" s="62">
        <v>54</v>
      </c>
      <c r="DK26" s="65" t="str">
        <f t="shared" si="40"/>
        <v>SA</v>
      </c>
      <c r="DL26" s="56">
        <v>19</v>
      </c>
      <c r="DM26" s="63">
        <v>8.0399999999999991</v>
      </c>
      <c r="DN26" s="64">
        <v>3.1E-2</v>
      </c>
      <c r="DO26" s="64">
        <v>3.1E-2</v>
      </c>
      <c r="DP26" s="64">
        <v>7.0999999999999994E-2</v>
      </c>
      <c r="DQ26" s="63">
        <v>7.04</v>
      </c>
      <c r="DR26" s="61">
        <v>22.2</v>
      </c>
      <c r="DS26" s="64">
        <v>1.115</v>
      </c>
      <c r="DT26" s="61">
        <v>84.6</v>
      </c>
      <c r="DU26" s="63">
        <v>4.2300000000000004</v>
      </c>
      <c r="DV26" s="64">
        <v>0.93100000000000005</v>
      </c>
      <c r="DW26" s="64">
        <v>0.55100000000000005</v>
      </c>
      <c r="DX26" s="66" t="s">
        <v>242</v>
      </c>
      <c r="DY26" s="65" t="str">
        <f t="shared" si="41"/>
        <v>SA</v>
      </c>
      <c r="DZ26" s="128">
        <v>19</v>
      </c>
      <c r="EA26" s="173">
        <f t="shared" si="42"/>
        <v>0.19719251336898397</v>
      </c>
      <c r="EB26" s="173">
        <f t="shared" si="43"/>
        <v>0.19705882352941176</v>
      </c>
      <c r="EC26" s="173">
        <f t="shared" si="44"/>
        <v>0.88474576271186445</v>
      </c>
      <c r="ED26" s="63">
        <v>1.05</v>
      </c>
      <c r="EE26" s="63">
        <v>1.1599999999999999</v>
      </c>
      <c r="EF26" s="63">
        <v>0.05</v>
      </c>
      <c r="EG26" s="63">
        <v>0.08</v>
      </c>
      <c r="EH26" s="127" t="str">
        <f t="shared" si="5"/>
        <v>SA</v>
      </c>
      <c r="EI26" s="56">
        <v>19</v>
      </c>
      <c r="EJ26" s="334"/>
      <c r="EK26" s="334"/>
      <c r="EL26" s="334"/>
      <c r="EM26" s="334"/>
      <c r="EN26" s="334"/>
      <c r="EO26" s="334"/>
      <c r="EP26" s="334"/>
      <c r="EQ26" s="65" t="str">
        <f t="shared" si="45"/>
        <v>SA</v>
      </c>
      <c r="ER26" s="20"/>
      <c r="ES26" s="20"/>
      <c r="ET26" s="20"/>
      <c r="EU26" s="20"/>
      <c r="EV26" s="20"/>
      <c r="EW26" s="20"/>
      <c r="EX26" s="20"/>
    </row>
    <row r="27" spans="1:154" s="3" customFormat="1" ht="17.149999999999999" customHeight="1" x14ac:dyDescent="0.35">
      <c r="A27" s="56">
        <v>20</v>
      </c>
      <c r="B27" s="57">
        <v>904634</v>
      </c>
      <c r="C27" s="58">
        <f t="shared" si="6"/>
        <v>128</v>
      </c>
      <c r="D27" s="167">
        <v>11.78</v>
      </c>
      <c r="E27" s="59">
        <v>808964</v>
      </c>
      <c r="F27" s="58">
        <f t="shared" si="7"/>
        <v>175</v>
      </c>
      <c r="G27" s="168">
        <v>3.6</v>
      </c>
      <c r="H27" s="57">
        <v>763819</v>
      </c>
      <c r="I27" s="58">
        <f t="shared" si="0"/>
        <v>65</v>
      </c>
      <c r="J27" s="60" t="s">
        <v>338</v>
      </c>
      <c r="K27" s="56">
        <v>20</v>
      </c>
      <c r="L27" s="57">
        <v>70700</v>
      </c>
      <c r="M27" s="58">
        <f t="shared" si="8"/>
        <v>48</v>
      </c>
      <c r="N27" s="59">
        <v>180136</v>
      </c>
      <c r="O27" s="58">
        <f t="shared" si="9"/>
        <v>52</v>
      </c>
      <c r="P27" s="57">
        <v>194749</v>
      </c>
      <c r="Q27" s="169" t="str">
        <f t="shared" si="1"/>
        <v/>
      </c>
      <c r="R27" s="57">
        <v>685</v>
      </c>
      <c r="S27" s="57">
        <v>693</v>
      </c>
      <c r="T27" s="57">
        <v>144</v>
      </c>
      <c r="U27" s="57">
        <v>141</v>
      </c>
      <c r="V27" s="58" t="str">
        <f t="shared" si="10"/>
        <v>SA</v>
      </c>
      <c r="W27" s="56">
        <v>20</v>
      </c>
      <c r="X27" s="63">
        <v>11959.35</v>
      </c>
      <c r="Y27" s="130">
        <f t="shared" si="11"/>
        <v>1.6900000000005093</v>
      </c>
      <c r="Z27" s="63">
        <v>12723.77</v>
      </c>
      <c r="AA27" s="130">
        <f t="shared" si="12"/>
        <v>1.7600000000002183</v>
      </c>
      <c r="AB27" s="63">
        <v>9996.0499999999993</v>
      </c>
      <c r="AC27" s="130">
        <f t="shared" si="13"/>
        <v>1.4400000000005093</v>
      </c>
      <c r="AD27" s="63">
        <v>10154.34</v>
      </c>
      <c r="AE27" s="130">
        <f t="shared" si="2"/>
        <v>3.9999999999054126E-2</v>
      </c>
      <c r="AF27" s="125" t="str">
        <f t="shared" si="14"/>
        <v>SA</v>
      </c>
      <c r="AG27" s="56">
        <v>20</v>
      </c>
      <c r="AH27" s="63">
        <v>47806.02</v>
      </c>
      <c r="AI27" s="130">
        <f t="shared" si="15"/>
        <v>11.150000000001455</v>
      </c>
      <c r="AJ27" s="63">
        <v>49976.89</v>
      </c>
      <c r="AK27" s="130">
        <f t="shared" si="16"/>
        <v>11.059999999997672</v>
      </c>
      <c r="AL27" s="63">
        <v>592.20000000000005</v>
      </c>
      <c r="AM27" s="130" t="str">
        <f t="shared" si="17"/>
        <v/>
      </c>
      <c r="AN27" s="63">
        <v>553.37</v>
      </c>
      <c r="AO27" s="130" t="str">
        <f t="shared" si="3"/>
        <v/>
      </c>
      <c r="AP27" s="125" t="str">
        <f t="shared" si="18"/>
        <v>SA</v>
      </c>
      <c r="AQ27" s="56">
        <v>20</v>
      </c>
      <c r="AR27" s="63">
        <v>6894.88</v>
      </c>
      <c r="AS27" s="130">
        <f t="shared" si="19"/>
        <v>1.75</v>
      </c>
      <c r="AT27" s="63">
        <v>7675.36</v>
      </c>
      <c r="AU27" s="130">
        <f t="shared" si="20"/>
        <v>1.9900000000006912</v>
      </c>
      <c r="AV27" s="63">
        <v>259.77999999999997</v>
      </c>
      <c r="AW27" s="130">
        <f t="shared" si="21"/>
        <v>0.34000000000003183</v>
      </c>
      <c r="AX27" s="63">
        <v>246.11</v>
      </c>
      <c r="AY27" s="130" t="str">
        <f t="shared" si="4"/>
        <v/>
      </c>
      <c r="AZ27" s="125" t="str">
        <f t="shared" si="22"/>
        <v>SA</v>
      </c>
      <c r="BA27" s="56">
        <v>20</v>
      </c>
      <c r="BB27" s="64"/>
      <c r="BC27" s="62"/>
      <c r="BD27" s="61"/>
      <c r="BE27" s="61"/>
      <c r="BF27" s="61"/>
      <c r="BG27" s="61"/>
      <c r="BH27" s="64"/>
      <c r="BI27" s="64"/>
      <c r="BJ27" s="64"/>
      <c r="BK27" s="64"/>
      <c r="BL27" s="64"/>
      <c r="BM27" s="64"/>
      <c r="BN27" s="65" t="str">
        <f t="shared" si="23"/>
        <v>SA</v>
      </c>
      <c r="BO27" s="56">
        <v>20</v>
      </c>
      <c r="BP27" s="64">
        <v>0.10299999999999999</v>
      </c>
      <c r="BQ27" s="62">
        <v>0</v>
      </c>
      <c r="BR27" s="61">
        <v>7.2</v>
      </c>
      <c r="BS27" s="61">
        <v>22.2</v>
      </c>
      <c r="BT27" s="61">
        <v>13.8</v>
      </c>
      <c r="BU27" s="64">
        <v>1.7999999999999999E-2</v>
      </c>
      <c r="BV27" s="63">
        <v>1.1399999999999999</v>
      </c>
      <c r="BW27" s="63">
        <v>0.86</v>
      </c>
      <c r="BX27" s="66" t="s">
        <v>420</v>
      </c>
      <c r="BY27" s="172" t="s">
        <v>409</v>
      </c>
      <c r="BZ27" s="67" t="str">
        <f t="shared" si="24"/>
        <v>SA</v>
      </c>
      <c r="CA27" s="56">
        <v>20</v>
      </c>
      <c r="CB27" s="61">
        <v>81.3</v>
      </c>
      <c r="CC27" s="61"/>
      <c r="CD27" s="68">
        <f t="shared" si="25"/>
        <v>0.70000000000000284</v>
      </c>
      <c r="CE27" s="69">
        <f t="shared" si="26"/>
        <v>3.2579855000000135</v>
      </c>
      <c r="CF27" s="69">
        <f t="shared" si="27"/>
        <v>6.0147424615384857</v>
      </c>
      <c r="CG27" s="62">
        <v>93</v>
      </c>
      <c r="CH27" s="62">
        <v>100</v>
      </c>
      <c r="CI27" s="65" t="str">
        <f t="shared" si="28"/>
        <v>SA</v>
      </c>
      <c r="CJ27" s="56">
        <v>20</v>
      </c>
      <c r="CK27" s="61">
        <v>77.900000000000006</v>
      </c>
      <c r="CL27" s="61"/>
      <c r="CM27" s="68">
        <f t="shared" si="29"/>
        <v>1.4000000000000057</v>
      </c>
      <c r="CN27" s="68">
        <f t="shared" si="30"/>
        <v>6.515971000000027</v>
      </c>
      <c r="CO27" s="68">
        <f t="shared" si="31"/>
        <v>20.242780219921961</v>
      </c>
      <c r="CP27" s="62">
        <v>65</v>
      </c>
      <c r="CQ27" s="62">
        <v>83</v>
      </c>
      <c r="CR27" s="65" t="str">
        <f t="shared" si="32"/>
        <v>SA</v>
      </c>
      <c r="CS27" s="56">
        <v>20</v>
      </c>
      <c r="CT27" s="61">
        <v>87.2</v>
      </c>
      <c r="CU27" s="61"/>
      <c r="CV27" s="68">
        <f t="shared" si="33"/>
        <v>1.1000000000000085</v>
      </c>
      <c r="CW27" s="68">
        <f t="shared" si="34"/>
        <v>7.3086640000000562</v>
      </c>
      <c r="CX27" s="69">
        <f t="shared" si="35"/>
        <v>5.7098937500000439E-2</v>
      </c>
      <c r="CY27" s="66" t="s">
        <v>406</v>
      </c>
      <c r="CZ27" s="66" t="s">
        <v>241</v>
      </c>
      <c r="DA27" s="66"/>
      <c r="DB27" s="65" t="str">
        <f t="shared" si="36"/>
        <v>SA</v>
      </c>
      <c r="DC27" s="56">
        <v>20</v>
      </c>
      <c r="DD27" s="61">
        <v>74.900000000000006</v>
      </c>
      <c r="DE27" s="61">
        <v>104.3</v>
      </c>
      <c r="DF27" s="68">
        <f t="shared" si="37"/>
        <v>11.399999999999991</v>
      </c>
      <c r="DG27" s="69">
        <f t="shared" si="38"/>
        <v>0.6150440083199995</v>
      </c>
      <c r="DH27" s="68">
        <f t="shared" si="39"/>
        <v>4.8050313149999964</v>
      </c>
      <c r="DI27" s="62">
        <v>112</v>
      </c>
      <c r="DJ27" s="62">
        <v>54</v>
      </c>
      <c r="DK27" s="65" t="str">
        <f t="shared" si="40"/>
        <v>SA</v>
      </c>
      <c r="DL27" s="56">
        <v>20</v>
      </c>
      <c r="DM27" s="63">
        <v>7.99</v>
      </c>
      <c r="DN27" s="64">
        <v>2.8000000000000001E-2</v>
      </c>
      <c r="DO27" s="64">
        <v>3.1E-2</v>
      </c>
      <c r="DP27" s="64">
        <v>6.0999999999999999E-2</v>
      </c>
      <c r="DQ27" s="63">
        <v>6.98</v>
      </c>
      <c r="DR27" s="61">
        <v>22.2</v>
      </c>
      <c r="DS27" s="64">
        <v>1.147</v>
      </c>
      <c r="DT27" s="61">
        <v>86.8</v>
      </c>
      <c r="DU27" s="63">
        <v>4.38</v>
      </c>
      <c r="DV27" s="64">
        <v>0.85699999999999998</v>
      </c>
      <c r="DW27" s="64">
        <v>1.82</v>
      </c>
      <c r="DX27" s="66" t="s">
        <v>242</v>
      </c>
      <c r="DY27" s="65" t="str">
        <f t="shared" si="41"/>
        <v>SA</v>
      </c>
      <c r="DZ27" s="128">
        <v>20</v>
      </c>
      <c r="EA27" s="173">
        <f t="shared" si="42"/>
        <v>8.5561497326203204E-2</v>
      </c>
      <c r="EB27" s="173">
        <f t="shared" si="43"/>
        <v>0.12867647058823528</v>
      </c>
      <c r="EC27" s="173">
        <f t="shared" si="44"/>
        <v>0.5078125</v>
      </c>
      <c r="ED27" s="63">
        <v>1.06</v>
      </c>
      <c r="EE27" s="63">
        <v>1.1299999999999999</v>
      </c>
      <c r="EF27" s="63">
        <v>0.05</v>
      </c>
      <c r="EG27" s="63">
        <v>0.08</v>
      </c>
      <c r="EH27" s="127" t="str">
        <f t="shared" si="5"/>
        <v>SA</v>
      </c>
      <c r="EI27" s="56">
        <v>20</v>
      </c>
      <c r="EJ27" s="334" t="s">
        <v>421</v>
      </c>
      <c r="EK27" s="334"/>
      <c r="EL27" s="334"/>
      <c r="EM27" s="334"/>
      <c r="EN27" s="334"/>
      <c r="EO27" s="334"/>
      <c r="EP27" s="334"/>
      <c r="EQ27" s="65" t="str">
        <f t="shared" si="45"/>
        <v>SA</v>
      </c>
      <c r="ER27" s="20"/>
      <c r="ES27" s="20"/>
      <c r="ET27" s="20"/>
      <c r="EU27" s="20"/>
      <c r="EV27" s="20"/>
      <c r="EW27" s="20"/>
      <c r="EX27" s="20"/>
    </row>
    <row r="28" spans="1:154" s="3" customFormat="1" ht="17.149999999999999" customHeight="1" x14ac:dyDescent="0.35">
      <c r="A28" s="56">
        <v>21</v>
      </c>
      <c r="B28" s="57">
        <v>904762</v>
      </c>
      <c r="C28" s="58">
        <f t="shared" si="6"/>
        <v>196</v>
      </c>
      <c r="D28" s="167">
        <v>12.48</v>
      </c>
      <c r="E28" s="59">
        <v>809139</v>
      </c>
      <c r="F28" s="58">
        <f t="shared" si="7"/>
        <v>213</v>
      </c>
      <c r="G28" s="168">
        <v>3.72</v>
      </c>
      <c r="H28" s="57">
        <v>763884</v>
      </c>
      <c r="I28" s="58">
        <f t="shared" si="0"/>
        <v>180</v>
      </c>
      <c r="J28" s="60" t="s">
        <v>338</v>
      </c>
      <c r="K28" s="56">
        <v>21</v>
      </c>
      <c r="L28" s="57">
        <v>70748</v>
      </c>
      <c r="M28" s="58" t="str">
        <f t="shared" si="8"/>
        <v/>
      </c>
      <c r="N28" s="59">
        <v>180188</v>
      </c>
      <c r="O28" s="58">
        <f t="shared" si="9"/>
        <v>44</v>
      </c>
      <c r="P28" s="57">
        <v>194749</v>
      </c>
      <c r="Q28" s="169" t="str">
        <f t="shared" si="1"/>
        <v/>
      </c>
      <c r="R28" s="57">
        <v>686</v>
      </c>
      <c r="S28" s="57">
        <v>693</v>
      </c>
      <c r="T28" s="57">
        <v>144</v>
      </c>
      <c r="U28" s="57">
        <v>141</v>
      </c>
      <c r="V28" s="58" t="str">
        <f t="shared" si="10"/>
        <v>SA</v>
      </c>
      <c r="W28" s="56">
        <v>21</v>
      </c>
      <c r="X28" s="63">
        <v>11961.04</v>
      </c>
      <c r="Y28" s="130">
        <f t="shared" si="11"/>
        <v>2.2399999999997817</v>
      </c>
      <c r="Z28" s="63">
        <v>12725.53</v>
      </c>
      <c r="AA28" s="275">
        <f t="shared" si="12"/>
        <v>2.3699999999989814</v>
      </c>
      <c r="AB28" s="63">
        <v>9997.49</v>
      </c>
      <c r="AC28" s="275">
        <f t="shared" si="13"/>
        <v>1.9699999999993452</v>
      </c>
      <c r="AD28" s="63">
        <v>10154.379999999999</v>
      </c>
      <c r="AE28" s="275">
        <f t="shared" si="2"/>
        <v>2</v>
      </c>
      <c r="AF28" s="125" t="str">
        <f t="shared" si="14"/>
        <v>SA</v>
      </c>
      <c r="AG28" s="56">
        <v>21</v>
      </c>
      <c r="AH28" s="63">
        <v>47817.17</v>
      </c>
      <c r="AI28" s="275">
        <f t="shared" si="15"/>
        <v>12.860000000000582</v>
      </c>
      <c r="AJ28" s="63">
        <v>49987.95</v>
      </c>
      <c r="AK28" s="275">
        <f t="shared" si="16"/>
        <v>11.590000000003783</v>
      </c>
      <c r="AL28" s="63">
        <v>592.20000000000005</v>
      </c>
      <c r="AM28" s="130" t="str">
        <f t="shared" si="17"/>
        <v/>
      </c>
      <c r="AN28" s="63">
        <v>553.37</v>
      </c>
      <c r="AO28" s="130" t="str">
        <f t="shared" si="3"/>
        <v/>
      </c>
      <c r="AP28" s="125" t="str">
        <f t="shared" si="18"/>
        <v>SA</v>
      </c>
      <c r="AQ28" s="56">
        <v>21</v>
      </c>
      <c r="AR28" s="63">
        <v>6896.63</v>
      </c>
      <c r="AS28" s="275">
        <f t="shared" si="19"/>
        <v>2.3000000000001819</v>
      </c>
      <c r="AT28" s="63">
        <v>7677.35</v>
      </c>
      <c r="AU28" s="275">
        <f t="shared" si="20"/>
        <v>2.3899999999994179</v>
      </c>
      <c r="AV28" s="63">
        <v>260.12</v>
      </c>
      <c r="AW28" s="130" t="str">
        <f t="shared" si="21"/>
        <v/>
      </c>
      <c r="AX28" s="63">
        <v>246.11</v>
      </c>
      <c r="AY28" s="130" t="str">
        <f t="shared" si="4"/>
        <v/>
      </c>
      <c r="AZ28" s="125" t="str">
        <f t="shared" si="22"/>
        <v>SA</v>
      </c>
      <c r="BA28" s="56">
        <v>21</v>
      </c>
      <c r="BB28" s="64"/>
      <c r="BC28" s="62"/>
      <c r="BD28" s="61"/>
      <c r="BE28" s="61"/>
      <c r="BF28" s="61"/>
      <c r="BG28" s="61"/>
      <c r="BH28" s="64"/>
      <c r="BI28" s="64"/>
      <c r="BJ28" s="64"/>
      <c r="BK28" s="64"/>
      <c r="BL28" s="64"/>
      <c r="BM28" s="64"/>
      <c r="BN28" s="65" t="str">
        <f t="shared" si="23"/>
        <v>SA</v>
      </c>
      <c r="BO28" s="56">
        <v>21</v>
      </c>
      <c r="BP28" s="64">
        <v>0.10100000000000001</v>
      </c>
      <c r="BQ28" s="62">
        <v>0</v>
      </c>
      <c r="BR28" s="61">
        <v>7.1</v>
      </c>
      <c r="BS28" s="61">
        <v>22</v>
      </c>
      <c r="BT28" s="61">
        <v>16.899999999999999</v>
      </c>
      <c r="BU28" s="64">
        <v>1.7999999999999999E-2</v>
      </c>
      <c r="BV28" s="63">
        <v>1.1000000000000001</v>
      </c>
      <c r="BW28" s="63">
        <v>0.86</v>
      </c>
      <c r="BX28" s="66" t="s">
        <v>312</v>
      </c>
      <c r="BY28" s="172" t="s">
        <v>409</v>
      </c>
      <c r="BZ28" s="67" t="str">
        <f t="shared" si="24"/>
        <v>SA</v>
      </c>
      <c r="CA28" s="56">
        <v>21</v>
      </c>
      <c r="CB28" s="61">
        <v>80.599999999999994</v>
      </c>
      <c r="CC28" s="61"/>
      <c r="CD28" s="68">
        <f t="shared" si="25"/>
        <v>1.8999999999999915</v>
      </c>
      <c r="CE28" s="69">
        <f t="shared" si="26"/>
        <v>8.8431034999999607</v>
      </c>
      <c r="CF28" s="69">
        <f t="shared" si="27"/>
        <v>5.8954023333333074</v>
      </c>
      <c r="CG28" s="62">
        <v>93</v>
      </c>
      <c r="CH28" s="62">
        <v>100</v>
      </c>
      <c r="CI28" s="65" t="str">
        <f t="shared" si="28"/>
        <v>SA</v>
      </c>
      <c r="CJ28" s="56">
        <v>21</v>
      </c>
      <c r="CK28" s="61">
        <v>76.5</v>
      </c>
      <c r="CL28" s="61"/>
      <c r="CM28" s="68">
        <f t="shared" si="29"/>
        <v>2</v>
      </c>
      <c r="CN28" s="68">
        <f t="shared" si="30"/>
        <v>9.3085300000000011</v>
      </c>
      <c r="CO28" s="68">
        <f t="shared" si="31"/>
        <v>18.885392625000005</v>
      </c>
      <c r="CP28" s="62">
        <v>65</v>
      </c>
      <c r="CQ28" s="62">
        <v>83</v>
      </c>
      <c r="CR28" s="65" t="str">
        <f t="shared" si="32"/>
        <v>SA</v>
      </c>
      <c r="CS28" s="56">
        <v>21</v>
      </c>
      <c r="CT28" s="61">
        <v>86.1</v>
      </c>
      <c r="CU28" s="61">
        <v>83.7</v>
      </c>
      <c r="CV28" s="68">
        <f t="shared" si="33"/>
        <v>2</v>
      </c>
      <c r="CW28" s="68">
        <f t="shared" si="34"/>
        <v>13.28848</v>
      </c>
      <c r="CX28" s="69">
        <f t="shared" si="35"/>
        <v>6.7798367346938782E-2</v>
      </c>
      <c r="CY28" s="66" t="s">
        <v>406</v>
      </c>
      <c r="CZ28" s="66" t="s">
        <v>241</v>
      </c>
      <c r="DA28" s="66" t="s">
        <v>242</v>
      </c>
      <c r="DB28" s="65" t="str">
        <f t="shared" si="36"/>
        <v>SA</v>
      </c>
      <c r="DC28" s="56">
        <v>21</v>
      </c>
      <c r="DD28" s="61">
        <v>92.9</v>
      </c>
      <c r="DE28" s="61">
        <v>105.9</v>
      </c>
      <c r="DF28" s="68">
        <f t="shared" si="37"/>
        <v>19.700000000000003</v>
      </c>
      <c r="DG28" s="69">
        <f t="shared" si="38"/>
        <v>1.0628392073600004</v>
      </c>
      <c r="DH28" s="68">
        <f t="shared" si="39"/>
        <v>5.4226490171428585</v>
      </c>
      <c r="DI28" s="62">
        <v>112</v>
      </c>
      <c r="DJ28" s="62">
        <v>54</v>
      </c>
      <c r="DK28" s="65" t="str">
        <f t="shared" si="40"/>
        <v>SA</v>
      </c>
      <c r="DL28" s="56">
        <v>21</v>
      </c>
      <c r="DM28" s="63">
        <v>7.95</v>
      </c>
      <c r="DN28" s="64">
        <v>3.3000000000000002E-2</v>
      </c>
      <c r="DO28" s="64">
        <v>0.03</v>
      </c>
      <c r="DP28" s="64">
        <v>7.0000000000000007E-2</v>
      </c>
      <c r="DQ28" s="63">
        <v>7.03</v>
      </c>
      <c r="DR28" s="61">
        <v>22</v>
      </c>
      <c r="DS28" s="64">
        <v>1.095</v>
      </c>
      <c r="DT28" s="61">
        <v>85.5</v>
      </c>
      <c r="DU28" s="63">
        <v>4.1500000000000004</v>
      </c>
      <c r="DV28" s="64">
        <v>1.3740000000000001</v>
      </c>
      <c r="DW28" s="64">
        <v>0.78800000000000003</v>
      </c>
      <c r="DX28" s="66" t="s">
        <v>242</v>
      </c>
      <c r="DY28" s="65" t="str">
        <f t="shared" si="41"/>
        <v>SA</v>
      </c>
      <c r="DZ28" s="128">
        <v>21</v>
      </c>
      <c r="EA28" s="173">
        <f t="shared" si="42"/>
        <v>0.13101604278074866</v>
      </c>
      <c r="EB28" s="173">
        <f t="shared" si="43"/>
        <v>0.15661764705882353</v>
      </c>
      <c r="EC28" s="173">
        <f t="shared" si="44"/>
        <v>0.91836734693877553</v>
      </c>
      <c r="ED28" s="63">
        <v>0.96</v>
      </c>
      <c r="EE28" s="63">
        <v>1.17</v>
      </c>
      <c r="EF28" s="63">
        <v>0.05</v>
      </c>
      <c r="EG28" s="63">
        <v>0.05</v>
      </c>
      <c r="EH28" s="127" t="str">
        <f t="shared" si="5"/>
        <v>SA</v>
      </c>
      <c r="EI28" s="56">
        <v>21</v>
      </c>
      <c r="EJ28" s="334" t="s">
        <v>200</v>
      </c>
      <c r="EK28" s="334"/>
      <c r="EL28" s="334"/>
      <c r="EM28" s="334"/>
      <c r="EN28" s="334"/>
      <c r="EO28" s="334"/>
      <c r="EP28" s="334"/>
      <c r="EQ28" s="65" t="str">
        <f t="shared" si="45"/>
        <v>SA</v>
      </c>
      <c r="ER28" s="20"/>
      <c r="ES28" s="20"/>
      <c r="ET28" s="20"/>
      <c r="EU28" s="20"/>
      <c r="EV28" s="20"/>
      <c r="EW28" s="20"/>
      <c r="EX28" s="20"/>
    </row>
    <row r="29" spans="1:154" s="3" customFormat="1" ht="17.149999999999999" customHeight="1" x14ac:dyDescent="0.35">
      <c r="A29" s="56">
        <v>22</v>
      </c>
      <c r="B29" s="57">
        <v>904958</v>
      </c>
      <c r="C29" s="58">
        <f t="shared" si="6"/>
        <v>188</v>
      </c>
      <c r="D29" s="167">
        <v>11.83</v>
      </c>
      <c r="E29" s="59">
        <v>809352</v>
      </c>
      <c r="F29" s="58">
        <f t="shared" si="7"/>
        <v>218</v>
      </c>
      <c r="G29" s="168">
        <v>2.68</v>
      </c>
      <c r="H29" s="57">
        <v>764064</v>
      </c>
      <c r="I29" s="58">
        <f t="shared" si="0"/>
        <v>166</v>
      </c>
      <c r="J29" s="60" t="s">
        <v>194</v>
      </c>
      <c r="K29" s="56">
        <v>22</v>
      </c>
      <c r="L29" s="57">
        <v>70748</v>
      </c>
      <c r="M29" s="58" t="str">
        <f t="shared" si="8"/>
        <v/>
      </c>
      <c r="N29" s="59">
        <v>180232</v>
      </c>
      <c r="O29" s="58">
        <f t="shared" si="9"/>
        <v>28</v>
      </c>
      <c r="P29" s="57">
        <v>194749</v>
      </c>
      <c r="Q29" s="169" t="str">
        <f t="shared" si="1"/>
        <v/>
      </c>
      <c r="R29" s="57">
        <v>686</v>
      </c>
      <c r="S29" s="57">
        <v>693</v>
      </c>
      <c r="T29" s="57">
        <v>144</v>
      </c>
      <c r="U29" s="57">
        <v>141</v>
      </c>
      <c r="V29" s="58" t="str">
        <f t="shared" si="10"/>
        <v>ME</v>
      </c>
      <c r="W29" s="56">
        <v>22</v>
      </c>
      <c r="X29" s="63">
        <v>11963.28</v>
      </c>
      <c r="Y29" s="275">
        <f t="shared" si="11"/>
        <v>2.2399999999997817</v>
      </c>
      <c r="Z29" s="63">
        <v>12727.9</v>
      </c>
      <c r="AA29" s="130">
        <f t="shared" si="12"/>
        <v>2.1599999999998545</v>
      </c>
      <c r="AB29" s="63">
        <v>9999.4599999999991</v>
      </c>
      <c r="AC29" s="130">
        <f t="shared" si="13"/>
        <v>1.9000000000014552</v>
      </c>
      <c r="AD29" s="63">
        <v>10156.379999999999</v>
      </c>
      <c r="AE29" s="130">
        <f t="shared" si="2"/>
        <v>1.8100000000013097</v>
      </c>
      <c r="AF29" s="125" t="str">
        <f t="shared" si="14"/>
        <v>ME</v>
      </c>
      <c r="AG29" s="56">
        <v>22</v>
      </c>
      <c r="AH29" s="63">
        <v>47830.03</v>
      </c>
      <c r="AI29" s="130">
        <f t="shared" si="15"/>
        <v>11.209999999999127</v>
      </c>
      <c r="AJ29" s="63">
        <v>49999.54</v>
      </c>
      <c r="AK29" s="275">
        <f t="shared" si="16"/>
        <v>12.409999999996217</v>
      </c>
      <c r="AL29" s="63">
        <v>592.20000000000005</v>
      </c>
      <c r="AM29" s="130" t="str">
        <f t="shared" si="17"/>
        <v/>
      </c>
      <c r="AN29" s="63">
        <v>553.37</v>
      </c>
      <c r="AO29" s="130" t="str">
        <f t="shared" si="3"/>
        <v/>
      </c>
      <c r="AP29" s="125" t="str">
        <f t="shared" si="18"/>
        <v>ME</v>
      </c>
      <c r="AQ29" s="56">
        <v>22</v>
      </c>
      <c r="AR29" s="63">
        <v>6898.93</v>
      </c>
      <c r="AS29" s="130">
        <f t="shared" si="19"/>
        <v>1.3400000000001455</v>
      </c>
      <c r="AT29" s="63">
        <v>7679.74</v>
      </c>
      <c r="AU29" s="130">
        <f t="shared" si="20"/>
        <v>1.680000000000291</v>
      </c>
      <c r="AV29" s="63">
        <v>260.12</v>
      </c>
      <c r="AW29" s="130" t="str">
        <f t="shared" si="21"/>
        <v/>
      </c>
      <c r="AX29" s="63">
        <v>246.11</v>
      </c>
      <c r="AY29" s="130" t="str">
        <f t="shared" si="4"/>
        <v/>
      </c>
      <c r="AZ29" s="125" t="str">
        <f t="shared" si="22"/>
        <v>ME</v>
      </c>
      <c r="BA29" s="56">
        <v>22</v>
      </c>
      <c r="BB29" s="64">
        <v>1.85</v>
      </c>
      <c r="BC29" s="62">
        <v>58</v>
      </c>
      <c r="BD29" s="61">
        <v>7.2</v>
      </c>
      <c r="BE29" s="61">
        <v>20.3</v>
      </c>
      <c r="BF29" s="61">
        <v>17.7</v>
      </c>
      <c r="BG29" s="61">
        <v>7.2</v>
      </c>
      <c r="BH29" s="64">
        <v>0.314</v>
      </c>
      <c r="BI29" s="64">
        <v>0.22700000000000001</v>
      </c>
      <c r="BJ29" s="64">
        <v>7.1999999999999995E-2</v>
      </c>
      <c r="BK29" s="64">
        <v>6.7000000000000004E-2</v>
      </c>
      <c r="BL29" s="64">
        <v>5.5E-2</v>
      </c>
      <c r="BM29" s="64">
        <v>6.3E-2</v>
      </c>
      <c r="BN29" s="65" t="str">
        <f t="shared" si="23"/>
        <v>ME</v>
      </c>
      <c r="BO29" s="56">
        <v>22</v>
      </c>
      <c r="BP29" s="64">
        <v>9.7000000000000003E-2</v>
      </c>
      <c r="BQ29" s="62">
        <v>0</v>
      </c>
      <c r="BR29" s="61">
        <v>7.1</v>
      </c>
      <c r="BS29" s="61">
        <v>21.8</v>
      </c>
      <c r="BT29" s="61">
        <v>20.3</v>
      </c>
      <c r="BU29" s="64">
        <v>0.02</v>
      </c>
      <c r="BV29" s="63">
        <v>1.0900000000000001</v>
      </c>
      <c r="BW29" s="63">
        <v>1.06</v>
      </c>
      <c r="BX29" s="66" t="s">
        <v>245</v>
      </c>
      <c r="BY29" s="172" t="s">
        <v>246</v>
      </c>
      <c r="BZ29" s="67" t="str">
        <f t="shared" si="24"/>
        <v>ME</v>
      </c>
      <c r="CA29" s="56">
        <v>22</v>
      </c>
      <c r="CB29" s="61">
        <v>78.7</v>
      </c>
      <c r="CC29" s="61">
        <v>98.3</v>
      </c>
      <c r="CD29" s="68">
        <f t="shared" si="25"/>
        <v>2</v>
      </c>
      <c r="CE29" s="69">
        <f t="shared" si="26"/>
        <v>9.3085300000000011</v>
      </c>
      <c r="CF29" s="69">
        <f t="shared" si="27"/>
        <v>6.7290578313253011</v>
      </c>
      <c r="CG29" s="62">
        <v>92</v>
      </c>
      <c r="CH29" s="62">
        <v>100</v>
      </c>
      <c r="CI29" s="65" t="str">
        <f t="shared" si="28"/>
        <v>ME</v>
      </c>
      <c r="CJ29" s="56">
        <v>22</v>
      </c>
      <c r="CK29" s="61">
        <v>74.5</v>
      </c>
      <c r="CL29" s="61">
        <v>99.5</v>
      </c>
      <c r="CM29" s="68">
        <f t="shared" si="29"/>
        <v>2.2999999999999972</v>
      </c>
      <c r="CN29" s="68">
        <f t="shared" si="30"/>
        <v>10.704809499999987</v>
      </c>
      <c r="CO29" s="68">
        <f t="shared" si="31"/>
        <v>22.642380306781888</v>
      </c>
      <c r="CP29" s="62">
        <v>67</v>
      </c>
      <c r="CQ29" s="62">
        <v>83</v>
      </c>
      <c r="CR29" s="65" t="str">
        <f t="shared" si="32"/>
        <v>ME</v>
      </c>
      <c r="CS29" s="56">
        <v>22</v>
      </c>
      <c r="CT29" s="61">
        <v>81.7</v>
      </c>
      <c r="CU29" s="61">
        <v>106.1</v>
      </c>
      <c r="CV29" s="68">
        <f t="shared" si="33"/>
        <v>1.7999999999999972</v>
      </c>
      <c r="CW29" s="68">
        <f t="shared" si="34"/>
        <v>11.959631999999981</v>
      </c>
      <c r="CX29" s="69">
        <f t="shared" si="35"/>
        <v>6.3615063829787141E-2</v>
      </c>
      <c r="CY29" s="66" t="s">
        <v>406</v>
      </c>
      <c r="CZ29" s="66" t="s">
        <v>241</v>
      </c>
      <c r="DA29" s="66"/>
      <c r="DB29" s="65" t="str">
        <f t="shared" si="36"/>
        <v>ME</v>
      </c>
      <c r="DC29" s="56">
        <v>22</v>
      </c>
      <c r="DD29" s="61">
        <v>86.2</v>
      </c>
      <c r="DE29" s="61">
        <v>103.9</v>
      </c>
      <c r="DF29" s="68">
        <f t="shared" si="37"/>
        <v>20.400000000000006</v>
      </c>
      <c r="DG29" s="69">
        <f t="shared" si="38"/>
        <v>1.1006050675200003</v>
      </c>
      <c r="DH29" s="68">
        <f t="shared" si="39"/>
        <v>5.8542822740425553</v>
      </c>
      <c r="DI29" s="62">
        <v>111</v>
      </c>
      <c r="DJ29" s="62">
        <v>54</v>
      </c>
      <c r="DK29" s="65" t="str">
        <f t="shared" si="40"/>
        <v>ME</v>
      </c>
      <c r="DL29" s="56">
        <v>22</v>
      </c>
      <c r="DM29" s="63">
        <v>8.07</v>
      </c>
      <c r="DN29" s="64">
        <v>3.4000000000000002E-2</v>
      </c>
      <c r="DO29" s="64">
        <v>3.1E-2</v>
      </c>
      <c r="DP29" s="64">
        <v>7.1999999999999995E-2</v>
      </c>
      <c r="DQ29" s="63">
        <v>7.06</v>
      </c>
      <c r="DR29" s="61">
        <v>22</v>
      </c>
      <c r="DS29" s="64">
        <v>1.085</v>
      </c>
      <c r="DT29" s="61">
        <v>87</v>
      </c>
      <c r="DU29" s="63">
        <v>4.17</v>
      </c>
      <c r="DV29" s="64">
        <v>0.71099999999999997</v>
      </c>
      <c r="DW29" s="64">
        <v>1.1599999999999999</v>
      </c>
      <c r="DX29" s="66" t="s">
        <v>247</v>
      </c>
      <c r="DY29" s="65" t="str">
        <f t="shared" si="41"/>
        <v>ME</v>
      </c>
      <c r="DZ29" s="128">
        <v>22</v>
      </c>
      <c r="EA29" s="173">
        <f t="shared" si="42"/>
        <v>0.12566844919786097</v>
      </c>
      <c r="EB29" s="173">
        <f t="shared" si="43"/>
        <v>0.16029411764705884</v>
      </c>
      <c r="EC29" s="173">
        <f t="shared" si="44"/>
        <v>0.88297872340425532</v>
      </c>
      <c r="ED29" s="63">
        <v>1.05</v>
      </c>
      <c r="EE29" s="63">
        <v>1.1399999999999999</v>
      </c>
      <c r="EF29" s="63">
        <v>0.05</v>
      </c>
      <c r="EG29" s="63">
        <v>7.0000000000000007E-2</v>
      </c>
      <c r="EH29" s="127" t="str">
        <f t="shared" si="5"/>
        <v>ME</v>
      </c>
      <c r="EI29" s="56">
        <v>22</v>
      </c>
      <c r="EJ29" s="334" t="s">
        <v>422</v>
      </c>
      <c r="EK29" s="334"/>
      <c r="EL29" s="334"/>
      <c r="EM29" s="334"/>
      <c r="EN29" s="334"/>
      <c r="EO29" s="334"/>
      <c r="EP29" s="334"/>
      <c r="EQ29" s="65" t="str">
        <f t="shared" si="45"/>
        <v>ME</v>
      </c>
      <c r="ER29" s="20"/>
      <c r="ES29" s="20"/>
      <c r="ET29" s="20"/>
      <c r="EU29" s="20"/>
      <c r="EV29" s="20"/>
      <c r="EW29" s="20"/>
      <c r="EX29" s="20"/>
    </row>
    <row r="30" spans="1:154" s="3" customFormat="1" ht="17.149999999999999" customHeight="1" x14ac:dyDescent="0.35">
      <c r="A30" s="56">
        <v>23</v>
      </c>
      <c r="B30" s="57">
        <v>905146</v>
      </c>
      <c r="C30" s="58">
        <f t="shared" si="6"/>
        <v>175</v>
      </c>
      <c r="D30" s="167">
        <v>11.63</v>
      </c>
      <c r="E30" s="59">
        <v>809570</v>
      </c>
      <c r="F30" s="58">
        <f t="shared" si="7"/>
        <v>164</v>
      </c>
      <c r="G30" s="168">
        <v>1.88</v>
      </c>
      <c r="H30" s="57">
        <v>764230</v>
      </c>
      <c r="I30" s="58">
        <f t="shared" si="0"/>
        <v>159</v>
      </c>
      <c r="J30" s="60" t="s">
        <v>194</v>
      </c>
      <c r="K30" s="56">
        <v>23</v>
      </c>
      <c r="L30" s="57">
        <v>70748</v>
      </c>
      <c r="M30" s="58"/>
      <c r="N30" s="59">
        <v>180260</v>
      </c>
      <c r="O30" s="58">
        <f t="shared" si="9"/>
        <v>25</v>
      </c>
      <c r="P30" s="57">
        <v>194749</v>
      </c>
      <c r="Q30" s="169" t="str">
        <f t="shared" si="1"/>
        <v/>
      </c>
      <c r="R30" s="57">
        <v>686</v>
      </c>
      <c r="S30" s="57">
        <v>693</v>
      </c>
      <c r="T30" s="57">
        <v>144</v>
      </c>
      <c r="U30" s="57">
        <v>141</v>
      </c>
      <c r="V30" s="58" t="str">
        <f t="shared" si="10"/>
        <v>ME</v>
      </c>
      <c r="W30" s="56">
        <v>23</v>
      </c>
      <c r="X30" s="63">
        <v>11965.52</v>
      </c>
      <c r="Y30" s="275">
        <f t="shared" si="11"/>
        <v>1.6899999999986903</v>
      </c>
      <c r="Z30" s="63">
        <v>12730.06</v>
      </c>
      <c r="AA30" s="130">
        <f t="shared" si="12"/>
        <v>2.4099999999998545</v>
      </c>
      <c r="AB30" s="63">
        <v>10001.36</v>
      </c>
      <c r="AC30" s="130">
        <f t="shared" si="13"/>
        <v>1.4099999999998545</v>
      </c>
      <c r="AD30" s="63">
        <v>10158.19</v>
      </c>
      <c r="AE30" s="130">
        <f t="shared" si="2"/>
        <v>2.1899999999986903</v>
      </c>
      <c r="AF30" s="125" t="str">
        <f t="shared" si="14"/>
        <v>ME</v>
      </c>
      <c r="AG30" s="56">
        <v>23</v>
      </c>
      <c r="AH30" s="63">
        <v>47841.24</v>
      </c>
      <c r="AI30" s="130">
        <f t="shared" si="15"/>
        <v>12.790000000000873</v>
      </c>
      <c r="AJ30" s="63">
        <v>50011.95</v>
      </c>
      <c r="AK30" s="275">
        <f t="shared" si="16"/>
        <v>7.069999999999709</v>
      </c>
      <c r="AL30" s="63">
        <v>592.20000000000005</v>
      </c>
      <c r="AM30" s="130" t="str">
        <f t="shared" si="17"/>
        <v/>
      </c>
      <c r="AN30" s="63">
        <v>553.37</v>
      </c>
      <c r="AO30" s="130" t="str">
        <f t="shared" si="3"/>
        <v/>
      </c>
      <c r="AP30" s="125" t="str">
        <f t="shared" si="18"/>
        <v>ME</v>
      </c>
      <c r="AQ30" s="56">
        <v>23</v>
      </c>
      <c r="AR30" s="63">
        <v>6900.27</v>
      </c>
      <c r="AS30" s="130">
        <f t="shared" si="19"/>
        <v>1.3899999999994179</v>
      </c>
      <c r="AT30" s="63">
        <v>7681.42</v>
      </c>
      <c r="AU30" s="130">
        <f t="shared" si="20"/>
        <v>1.4600000000000364</v>
      </c>
      <c r="AV30" s="63">
        <v>260.12</v>
      </c>
      <c r="AW30" s="130" t="str">
        <f t="shared" si="21"/>
        <v/>
      </c>
      <c r="AX30" s="63">
        <v>246.11</v>
      </c>
      <c r="AY30" s="130" t="str">
        <f t="shared" si="4"/>
        <v/>
      </c>
      <c r="AZ30" s="125" t="str">
        <f t="shared" si="22"/>
        <v>ME</v>
      </c>
      <c r="BA30" s="56">
        <v>23</v>
      </c>
      <c r="BB30" s="64">
        <v>1.59</v>
      </c>
      <c r="BC30" s="62">
        <v>42</v>
      </c>
      <c r="BD30" s="61">
        <v>7</v>
      </c>
      <c r="BE30" s="61">
        <v>20.6</v>
      </c>
      <c r="BF30" s="61">
        <v>16.5</v>
      </c>
      <c r="BG30" s="61">
        <v>7</v>
      </c>
      <c r="BH30" s="64">
        <v>0.307</v>
      </c>
      <c r="BI30" s="64">
        <v>0.186</v>
      </c>
      <c r="BJ30" s="64">
        <v>9.8000000000000004E-2</v>
      </c>
      <c r="BK30" s="64">
        <v>8.7999999999999995E-2</v>
      </c>
      <c r="BL30" s="64">
        <v>6.3E-2</v>
      </c>
      <c r="BM30" s="64">
        <v>6.3E-2</v>
      </c>
      <c r="BN30" s="65" t="str">
        <f t="shared" si="23"/>
        <v>ME</v>
      </c>
      <c r="BO30" s="56">
        <v>23</v>
      </c>
      <c r="BP30" s="64">
        <v>9.5000000000000001E-2</v>
      </c>
      <c r="BQ30" s="62">
        <v>0</v>
      </c>
      <c r="BR30" s="61">
        <v>7.2</v>
      </c>
      <c r="BS30" s="61">
        <v>21.9</v>
      </c>
      <c r="BT30" s="61">
        <v>18.5</v>
      </c>
      <c r="BU30" s="64">
        <v>1.9E-2</v>
      </c>
      <c r="BV30" s="63">
        <v>1.0900000000000001</v>
      </c>
      <c r="BW30" s="63">
        <v>0.88</v>
      </c>
      <c r="BX30" s="66" t="s">
        <v>245</v>
      </c>
      <c r="BY30" s="172" t="s">
        <v>246</v>
      </c>
      <c r="BZ30" s="67" t="str">
        <f t="shared" si="24"/>
        <v>ME</v>
      </c>
      <c r="CA30" s="56">
        <v>23</v>
      </c>
      <c r="CB30" s="61">
        <v>96.3</v>
      </c>
      <c r="CC30" s="61"/>
      <c r="CD30" s="68">
        <f t="shared" si="25"/>
        <v>1.5</v>
      </c>
      <c r="CE30" s="69">
        <f t="shared" si="26"/>
        <v>6.9813975000000008</v>
      </c>
      <c r="CF30" s="69">
        <f t="shared" si="27"/>
        <v>5.2689792452830195</v>
      </c>
      <c r="CG30" s="62">
        <v>93</v>
      </c>
      <c r="CH30" s="62">
        <v>100</v>
      </c>
      <c r="CI30" s="65" t="str">
        <f t="shared" si="28"/>
        <v>ME</v>
      </c>
      <c r="CJ30" s="56">
        <v>23</v>
      </c>
      <c r="CK30" s="61">
        <v>97.2</v>
      </c>
      <c r="CL30" s="61"/>
      <c r="CM30" s="68">
        <f t="shared" si="29"/>
        <v>2.2000000000000028</v>
      </c>
      <c r="CN30" s="68">
        <f t="shared" si="30"/>
        <v>10.239383000000014</v>
      </c>
      <c r="CO30" s="68">
        <f t="shared" si="31"/>
        <v>23.266803714000034</v>
      </c>
      <c r="CP30" s="62">
        <v>65</v>
      </c>
      <c r="CQ30" s="62">
        <v>83</v>
      </c>
      <c r="CR30" s="65" t="str">
        <f t="shared" si="32"/>
        <v>ME</v>
      </c>
      <c r="CS30" s="56">
        <v>23</v>
      </c>
      <c r="CT30" s="61">
        <v>104.3</v>
      </c>
      <c r="CU30" s="61">
        <v>99.7</v>
      </c>
      <c r="CV30" s="68">
        <f t="shared" si="33"/>
        <v>1.7999999999999972</v>
      </c>
      <c r="CW30" s="68">
        <f t="shared" si="34"/>
        <v>11.959631999999981</v>
      </c>
      <c r="CX30" s="69">
        <f t="shared" si="35"/>
        <v>6.8340754285714178E-2</v>
      </c>
      <c r="CY30" s="66" t="s">
        <v>406</v>
      </c>
      <c r="CZ30" s="66" t="s">
        <v>241</v>
      </c>
      <c r="DA30" s="66" t="s">
        <v>242</v>
      </c>
      <c r="DB30" s="65" t="str">
        <f t="shared" si="36"/>
        <v>ME</v>
      </c>
      <c r="DC30" s="56">
        <v>23</v>
      </c>
      <c r="DD30" s="61">
        <v>83.5</v>
      </c>
      <c r="DE30" s="61">
        <v>103.5</v>
      </c>
      <c r="DF30" s="68">
        <f t="shared" si="37"/>
        <v>17.900000000000006</v>
      </c>
      <c r="DG30" s="69">
        <f t="shared" si="38"/>
        <v>0.96572699552000041</v>
      </c>
      <c r="DH30" s="68">
        <f t="shared" si="39"/>
        <v>5.5184399744000023</v>
      </c>
      <c r="DI30" s="62">
        <v>112</v>
      </c>
      <c r="DJ30" s="62">
        <v>54</v>
      </c>
      <c r="DK30" s="65" t="str">
        <f t="shared" si="40"/>
        <v>ME</v>
      </c>
      <c r="DL30" s="56">
        <v>23</v>
      </c>
      <c r="DM30" s="63">
        <v>8.19</v>
      </c>
      <c r="DN30" s="64">
        <v>3.4000000000000002E-2</v>
      </c>
      <c r="DO30" s="64">
        <v>0.03</v>
      </c>
      <c r="DP30" s="64">
        <v>6.9000000000000006E-2</v>
      </c>
      <c r="DQ30" s="63">
        <v>7.01</v>
      </c>
      <c r="DR30" s="61">
        <v>21.9</v>
      </c>
      <c r="DS30" s="64">
        <v>1.075</v>
      </c>
      <c r="DT30" s="61">
        <v>86.6</v>
      </c>
      <c r="DU30" s="63">
        <v>4.1500000000000004</v>
      </c>
      <c r="DV30" s="64">
        <v>0.66500000000000004</v>
      </c>
      <c r="DW30" s="64">
        <v>0.68899999999999995</v>
      </c>
      <c r="DX30" s="66" t="s">
        <v>242</v>
      </c>
      <c r="DY30" s="65" t="str">
        <f t="shared" si="41"/>
        <v>ME</v>
      </c>
      <c r="DZ30" s="128">
        <v>23</v>
      </c>
      <c r="EA30" s="173">
        <f t="shared" si="42"/>
        <v>0.11697860962566844</v>
      </c>
      <c r="EB30" s="173">
        <f t="shared" si="43"/>
        <v>0.12058823529411765</v>
      </c>
      <c r="EC30" s="173">
        <f t="shared" si="44"/>
        <v>0.90857142857142859</v>
      </c>
      <c r="ED30" s="63">
        <v>1</v>
      </c>
      <c r="EE30" s="63">
        <v>1.1299999999999999</v>
      </c>
      <c r="EF30" s="63">
        <v>0.05</v>
      </c>
      <c r="EG30" s="63">
        <v>0.05</v>
      </c>
      <c r="EH30" s="127" t="str">
        <f t="shared" si="5"/>
        <v>ME</v>
      </c>
      <c r="EI30" s="56">
        <v>23</v>
      </c>
      <c r="EQ30" s="65" t="str">
        <f t="shared" si="45"/>
        <v>ME</v>
      </c>
      <c r="ER30" s="20"/>
      <c r="ES30" s="20"/>
      <c r="ET30" s="20"/>
      <c r="EU30" s="20"/>
      <c r="EV30" s="20"/>
      <c r="EW30" s="20"/>
      <c r="EX30" s="20"/>
    </row>
    <row r="31" spans="1:154" s="3" customFormat="1" ht="17.149999999999999" customHeight="1" x14ac:dyDescent="0.35">
      <c r="A31" s="56">
        <v>24</v>
      </c>
      <c r="B31" s="57">
        <v>905321</v>
      </c>
      <c r="C31" s="58">
        <f t="shared" si="6"/>
        <v>234</v>
      </c>
      <c r="D31" s="167">
        <v>11.74</v>
      </c>
      <c r="E31" s="59">
        <v>809734</v>
      </c>
      <c r="F31" s="58">
        <f t="shared" si="7"/>
        <v>241</v>
      </c>
      <c r="G31" s="168">
        <v>3.87</v>
      </c>
      <c r="H31" s="57">
        <v>764389</v>
      </c>
      <c r="I31" s="58">
        <f t="shared" si="0"/>
        <v>161</v>
      </c>
      <c r="J31" s="60" t="s">
        <v>194</v>
      </c>
      <c r="K31" s="56">
        <v>24</v>
      </c>
      <c r="L31" s="57">
        <v>70748</v>
      </c>
      <c r="M31" s="58">
        <f t="shared" si="8"/>
        <v>49</v>
      </c>
      <c r="N31" s="59">
        <v>180285</v>
      </c>
      <c r="O31" s="58">
        <f t="shared" si="9"/>
        <v>49</v>
      </c>
      <c r="P31" s="57">
        <v>194749</v>
      </c>
      <c r="Q31" s="169" t="str">
        <f t="shared" si="1"/>
        <v/>
      </c>
      <c r="R31" s="57">
        <v>686</v>
      </c>
      <c r="S31" s="57">
        <v>693</v>
      </c>
      <c r="T31" s="57">
        <v>144</v>
      </c>
      <c r="U31" s="57">
        <v>141</v>
      </c>
      <c r="V31" s="58" t="str">
        <f t="shared" si="10"/>
        <v>ME</v>
      </c>
      <c r="W31" s="56">
        <v>24</v>
      </c>
      <c r="X31" s="63">
        <v>11967.21</v>
      </c>
      <c r="Y31" s="130">
        <f t="shared" si="11"/>
        <v>4.0500000000010914</v>
      </c>
      <c r="Z31" s="63">
        <v>12732.47</v>
      </c>
      <c r="AA31" s="130">
        <f t="shared" si="12"/>
        <v>1.6300000000010186</v>
      </c>
      <c r="AB31" s="63">
        <v>10002.77</v>
      </c>
      <c r="AC31" s="130">
        <f t="shared" si="13"/>
        <v>2.3500000000003638</v>
      </c>
      <c r="AD31" s="63">
        <v>10160.379999999999</v>
      </c>
      <c r="AE31" s="130">
        <f t="shared" si="2"/>
        <v>1.2100000000009459</v>
      </c>
      <c r="AF31" s="125" t="str">
        <f t="shared" si="14"/>
        <v>ME</v>
      </c>
      <c r="AG31" s="56">
        <v>24</v>
      </c>
      <c r="AH31" s="63">
        <v>47854.03</v>
      </c>
      <c r="AI31" s="257">
        <f t="shared" si="15"/>
        <v>10.870000000002619</v>
      </c>
      <c r="AJ31" s="63">
        <v>50019.02</v>
      </c>
      <c r="AK31" s="130">
        <f t="shared" si="16"/>
        <v>16.940000000002328</v>
      </c>
      <c r="AL31" s="63">
        <v>592.20000000000005</v>
      </c>
      <c r="AM31" s="130" t="str">
        <f t="shared" si="17"/>
        <v/>
      </c>
      <c r="AN31" s="63">
        <v>553.37</v>
      </c>
      <c r="AO31" s="130" t="str">
        <f t="shared" si="3"/>
        <v/>
      </c>
      <c r="AP31" s="125" t="str">
        <f t="shared" si="18"/>
        <v>ME</v>
      </c>
      <c r="AQ31" s="56">
        <v>24</v>
      </c>
      <c r="AR31" s="63">
        <v>6901.66</v>
      </c>
      <c r="AS31" s="130">
        <f t="shared" si="19"/>
        <v>2.3100000000004002</v>
      </c>
      <c r="AT31" s="63">
        <v>7682.88</v>
      </c>
      <c r="AU31" s="130">
        <f t="shared" si="20"/>
        <v>1.8699999999998909</v>
      </c>
      <c r="AV31" s="63">
        <v>260.12</v>
      </c>
      <c r="AW31" s="130" t="str">
        <f t="shared" si="21"/>
        <v/>
      </c>
      <c r="AX31" s="63">
        <v>246.11</v>
      </c>
      <c r="AY31" s="130">
        <f t="shared" si="4"/>
        <v>0.33999999999997499</v>
      </c>
      <c r="AZ31" s="125" t="str">
        <f t="shared" si="22"/>
        <v>ME</v>
      </c>
      <c r="BA31" s="56">
        <v>24</v>
      </c>
      <c r="BB31" s="64">
        <v>1.4</v>
      </c>
      <c r="BC31" s="62">
        <v>58</v>
      </c>
      <c r="BD31" s="61">
        <v>7</v>
      </c>
      <c r="BE31" s="61">
        <v>21.2</v>
      </c>
      <c r="BF31" s="61">
        <v>15</v>
      </c>
      <c r="BG31" s="61">
        <v>7</v>
      </c>
      <c r="BH31" s="64">
        <v>0.371</v>
      </c>
      <c r="BI31" s="64">
        <v>0.216</v>
      </c>
      <c r="BJ31" s="64">
        <v>6.3E-2</v>
      </c>
      <c r="BK31" s="64">
        <v>6.2E-2</v>
      </c>
      <c r="BL31" s="64">
        <v>5.2999999999999999E-2</v>
      </c>
      <c r="BM31" s="64">
        <v>5.8000000000000003E-2</v>
      </c>
      <c r="BN31" s="65" t="str">
        <f t="shared" si="23"/>
        <v>ME</v>
      </c>
      <c r="BO31" s="56">
        <v>24</v>
      </c>
      <c r="BP31" s="64">
        <v>9.5000000000000001E-2</v>
      </c>
      <c r="BQ31" s="62">
        <v>0</v>
      </c>
      <c r="BR31" s="61">
        <v>7.2</v>
      </c>
      <c r="BS31" s="61">
        <v>22</v>
      </c>
      <c r="BT31" s="61">
        <v>18.100000000000001</v>
      </c>
      <c r="BU31" s="64">
        <v>0.02</v>
      </c>
      <c r="BV31" s="63">
        <v>1.05</v>
      </c>
      <c r="BW31" s="63">
        <v>0.97</v>
      </c>
      <c r="BX31" s="66" t="s">
        <v>245</v>
      </c>
      <c r="BY31" s="172" t="s">
        <v>246</v>
      </c>
      <c r="BZ31" s="67" t="str">
        <f t="shared" si="24"/>
        <v>ME</v>
      </c>
      <c r="CA31" s="56">
        <v>24</v>
      </c>
      <c r="CB31" s="61">
        <v>94.8</v>
      </c>
      <c r="CC31" s="61"/>
      <c r="CD31" s="68">
        <f t="shared" si="25"/>
        <v>3.7999999999999972</v>
      </c>
      <c r="CE31" s="69">
        <f t="shared" si="26"/>
        <v>17.686206999999989</v>
      </c>
      <c r="CF31" s="69">
        <f t="shared" si="27"/>
        <v>13.182266086956512</v>
      </c>
      <c r="CG31" s="62">
        <v>93</v>
      </c>
      <c r="CH31" s="62">
        <v>100</v>
      </c>
      <c r="CI31" s="65" t="str">
        <f t="shared" si="28"/>
        <v>ME</v>
      </c>
      <c r="CJ31" s="56">
        <v>24</v>
      </c>
      <c r="CK31" s="61">
        <v>95</v>
      </c>
      <c r="CL31" s="61"/>
      <c r="CM31" s="68">
        <f t="shared" si="29"/>
        <v>3.2000000000000028</v>
      </c>
      <c r="CN31" s="68">
        <f t="shared" si="30"/>
        <v>14.893648000000013</v>
      </c>
      <c r="CO31" s="68">
        <f t="shared" si="31"/>
        <v>25.309654389743617</v>
      </c>
      <c r="CP31" s="62">
        <v>65</v>
      </c>
      <c r="CQ31" s="62">
        <v>83</v>
      </c>
      <c r="CR31" s="65" t="str">
        <f t="shared" si="32"/>
        <v>ME</v>
      </c>
      <c r="CS31" s="56">
        <v>24</v>
      </c>
      <c r="CT31" s="61">
        <v>97.9</v>
      </c>
      <c r="CU31" s="61"/>
      <c r="CV31" s="68">
        <f t="shared" si="33"/>
        <v>2.5</v>
      </c>
      <c r="CW31" s="68">
        <f t="shared" si="34"/>
        <v>16.610599999999998</v>
      </c>
      <c r="CX31" s="69">
        <f t="shared" si="35"/>
        <v>7.098547008547007E-2</v>
      </c>
      <c r="CY31" s="66" t="s">
        <v>425</v>
      </c>
      <c r="CZ31" s="66" t="s">
        <v>241</v>
      </c>
      <c r="DA31" s="66"/>
      <c r="DB31" s="65" t="str">
        <f t="shared" si="36"/>
        <v>ME</v>
      </c>
      <c r="DC31" s="56">
        <v>24</v>
      </c>
      <c r="DD31" s="61">
        <v>85.6</v>
      </c>
      <c r="DE31" s="61">
        <v>103.4</v>
      </c>
      <c r="DF31" s="68">
        <f t="shared" si="37"/>
        <v>26.900000000000006</v>
      </c>
      <c r="DG31" s="69">
        <f t="shared" si="38"/>
        <v>1.4512880547200004</v>
      </c>
      <c r="DH31" s="68">
        <f t="shared" si="39"/>
        <v>6.2020857039316262</v>
      </c>
      <c r="DI31" s="62">
        <v>111</v>
      </c>
      <c r="DJ31" s="62">
        <v>54</v>
      </c>
      <c r="DK31" s="65" t="str">
        <f t="shared" si="40"/>
        <v>ME</v>
      </c>
      <c r="DL31" s="56">
        <v>24</v>
      </c>
      <c r="DM31" s="63">
        <v>8.15</v>
      </c>
      <c r="DN31" s="64">
        <v>3.4000000000000002E-2</v>
      </c>
      <c r="DO31" s="64">
        <v>3.1E-2</v>
      </c>
      <c r="DP31" s="64">
        <v>7.0000000000000007E-2</v>
      </c>
      <c r="DQ31" s="63">
        <v>7.04</v>
      </c>
      <c r="DR31" s="61">
        <v>22</v>
      </c>
      <c r="DS31" s="64">
        <v>1.06</v>
      </c>
      <c r="DT31" s="61">
        <v>86.2</v>
      </c>
      <c r="DU31" s="63">
        <v>4.2300000000000004</v>
      </c>
      <c r="DV31" s="64">
        <v>0.73199999999999998</v>
      </c>
      <c r="DW31" s="64">
        <v>0.56299999999999994</v>
      </c>
      <c r="DX31" s="66" t="s">
        <v>242</v>
      </c>
      <c r="DY31" s="65" t="str">
        <f t="shared" si="41"/>
        <v>ME</v>
      </c>
      <c r="DZ31" s="128">
        <v>24</v>
      </c>
      <c r="EA31" s="173">
        <f t="shared" si="42"/>
        <v>0.15641711229946523</v>
      </c>
      <c r="EB31" s="173">
        <f t="shared" si="43"/>
        <v>0.17720588235294119</v>
      </c>
      <c r="EC31" s="173">
        <f t="shared" si="44"/>
        <v>0.68803418803418803</v>
      </c>
      <c r="ED31" s="63">
        <v>1</v>
      </c>
      <c r="EE31" s="63">
        <v>1.28</v>
      </c>
      <c r="EF31" s="63">
        <v>0.04</v>
      </c>
      <c r="EG31" s="63">
        <v>0.06</v>
      </c>
      <c r="EH31" s="127" t="str">
        <f t="shared" si="5"/>
        <v>ME</v>
      </c>
      <c r="EI31" s="56">
        <v>24</v>
      </c>
      <c r="EJ31" s="334"/>
      <c r="EK31" s="334"/>
      <c r="EL31" s="334"/>
      <c r="EM31" s="334"/>
      <c r="EN31" s="334"/>
      <c r="EO31" s="334"/>
      <c r="EP31" s="334"/>
      <c r="EQ31" s="65" t="str">
        <f t="shared" si="45"/>
        <v>ME</v>
      </c>
      <c r="ER31" s="20"/>
      <c r="ES31" s="20"/>
      <c r="ET31" s="20"/>
      <c r="EU31" s="20"/>
      <c r="EV31" s="20"/>
      <c r="EW31" s="20"/>
      <c r="EX31" s="20"/>
    </row>
    <row r="32" spans="1:154" s="3" customFormat="1" ht="17.149999999999999" customHeight="1" x14ac:dyDescent="0.35">
      <c r="A32" s="56">
        <v>25</v>
      </c>
      <c r="B32" s="57">
        <v>905555</v>
      </c>
      <c r="C32" s="58">
        <f t="shared" si="6"/>
        <v>193</v>
      </c>
      <c r="D32" s="167">
        <v>12.01</v>
      </c>
      <c r="E32" s="59">
        <v>809975</v>
      </c>
      <c r="F32" s="58">
        <f t="shared" si="7"/>
        <v>181</v>
      </c>
      <c r="G32" s="168">
        <v>1.35</v>
      </c>
      <c r="H32" s="57">
        <v>764550</v>
      </c>
      <c r="I32" s="58">
        <f t="shared" si="0"/>
        <v>172</v>
      </c>
      <c r="J32" s="60" t="s">
        <v>194</v>
      </c>
      <c r="K32" s="56">
        <v>25</v>
      </c>
      <c r="L32" s="57">
        <v>70797</v>
      </c>
      <c r="M32" s="58" t="str">
        <f t="shared" si="8"/>
        <v/>
      </c>
      <c r="N32" s="59">
        <v>180334</v>
      </c>
      <c r="O32" s="58">
        <f t="shared" si="9"/>
        <v>50</v>
      </c>
      <c r="P32" s="57">
        <v>194749</v>
      </c>
      <c r="Q32" s="169" t="str">
        <f t="shared" si="1"/>
        <v/>
      </c>
      <c r="R32" s="57">
        <v>686</v>
      </c>
      <c r="S32" s="57">
        <v>694</v>
      </c>
      <c r="T32" s="57">
        <v>144</v>
      </c>
      <c r="U32" s="57">
        <v>141</v>
      </c>
      <c r="V32" s="58" t="str">
        <f t="shared" si="10"/>
        <v>ME</v>
      </c>
      <c r="W32" s="56">
        <v>25</v>
      </c>
      <c r="X32" s="63">
        <v>11971.26</v>
      </c>
      <c r="Y32" s="130">
        <f t="shared" si="11"/>
        <v>2.1199999999989814</v>
      </c>
      <c r="Z32" s="63">
        <v>12734.1</v>
      </c>
      <c r="AA32" s="130">
        <f t="shared" si="12"/>
        <v>2.430000000000291</v>
      </c>
      <c r="AB32" s="63">
        <v>10005.120000000001</v>
      </c>
      <c r="AC32" s="130">
        <f t="shared" si="13"/>
        <v>1.7899999999990541</v>
      </c>
      <c r="AD32" s="63">
        <v>10161.59</v>
      </c>
      <c r="AE32" s="130">
        <f t="shared" si="2"/>
        <v>2.0599999999994907</v>
      </c>
      <c r="AF32" s="125" t="str">
        <f t="shared" si="14"/>
        <v>ME</v>
      </c>
      <c r="AG32" s="56">
        <v>25</v>
      </c>
      <c r="AH32" s="63">
        <v>47864.9</v>
      </c>
      <c r="AI32" s="257">
        <f t="shared" si="15"/>
        <v>13.139999999999418</v>
      </c>
      <c r="AJ32" s="63">
        <v>50035.96</v>
      </c>
      <c r="AK32" s="130">
        <f t="shared" si="16"/>
        <v>10.160000000003492</v>
      </c>
      <c r="AL32" s="63">
        <v>592.20000000000005</v>
      </c>
      <c r="AM32" s="130" t="str">
        <f t="shared" si="17"/>
        <v/>
      </c>
      <c r="AN32" s="63">
        <v>553.37</v>
      </c>
      <c r="AO32" s="130" t="str">
        <f t="shared" si="3"/>
        <v/>
      </c>
      <c r="AP32" s="125" t="str">
        <f t="shared" si="18"/>
        <v>ME</v>
      </c>
      <c r="AQ32" s="56">
        <v>25</v>
      </c>
      <c r="AR32" s="63">
        <v>6903.97</v>
      </c>
      <c r="AS32" s="130">
        <f t="shared" si="19"/>
        <v>2.25</v>
      </c>
      <c r="AT32" s="63">
        <v>7684.75</v>
      </c>
      <c r="AU32" s="130">
        <f t="shared" si="20"/>
        <v>2.4899999999997817</v>
      </c>
      <c r="AV32" s="63">
        <v>260.12</v>
      </c>
      <c r="AW32" s="130" t="str">
        <f t="shared" si="21"/>
        <v/>
      </c>
      <c r="AX32" s="63">
        <v>246.45</v>
      </c>
      <c r="AY32" s="130" t="str">
        <f t="shared" si="4"/>
        <v/>
      </c>
      <c r="AZ32" s="125" t="str">
        <f t="shared" si="22"/>
        <v>ME</v>
      </c>
      <c r="BA32" s="56">
        <v>25</v>
      </c>
      <c r="BB32" s="64">
        <v>2.2599999999999998</v>
      </c>
      <c r="BC32" s="62">
        <v>52</v>
      </c>
      <c r="BD32" s="61">
        <v>7.1</v>
      </c>
      <c r="BE32" s="61">
        <v>20.9</v>
      </c>
      <c r="BF32" s="61">
        <v>16.8</v>
      </c>
      <c r="BG32" s="61">
        <v>7.1</v>
      </c>
      <c r="BH32" s="64">
        <v>0.224</v>
      </c>
      <c r="BI32" s="64">
        <v>0.23799999999999999</v>
      </c>
      <c r="BJ32" s="64">
        <v>0.09</v>
      </c>
      <c r="BK32" s="64">
        <v>6.9000000000000006E-2</v>
      </c>
      <c r="BL32" s="64">
        <v>6.2E-2</v>
      </c>
      <c r="BM32" s="64">
        <v>7.0999999999999994E-2</v>
      </c>
      <c r="BN32" s="65" t="str">
        <f t="shared" si="23"/>
        <v>ME</v>
      </c>
      <c r="BO32" s="56">
        <v>25</v>
      </c>
      <c r="BP32" s="64">
        <v>9.7000000000000003E-2</v>
      </c>
      <c r="BQ32" s="62">
        <v>0</v>
      </c>
      <c r="BR32" s="61">
        <v>7</v>
      </c>
      <c r="BS32" s="61">
        <v>21.7</v>
      </c>
      <c r="BT32" s="61">
        <v>18.2</v>
      </c>
      <c r="BU32" s="64">
        <v>2.1000000000000001E-2</v>
      </c>
      <c r="BV32" s="63">
        <v>1.07</v>
      </c>
      <c r="BW32" s="63">
        <v>1.02</v>
      </c>
      <c r="BX32" s="66" t="s">
        <v>253</v>
      </c>
      <c r="BY32" s="172" t="s">
        <v>246</v>
      </c>
      <c r="BZ32" s="67" t="str">
        <f t="shared" si="24"/>
        <v>ME</v>
      </c>
      <c r="CA32" s="56">
        <v>25</v>
      </c>
      <c r="CB32" s="61">
        <v>91</v>
      </c>
      <c r="CC32" s="61"/>
      <c r="CD32" s="68">
        <f t="shared" si="25"/>
        <v>2.2000000000000028</v>
      </c>
      <c r="CE32" s="69">
        <f t="shared" si="26"/>
        <v>10.239383000000014</v>
      </c>
      <c r="CF32" s="69">
        <f t="shared" si="27"/>
        <v>7.143755581395359</v>
      </c>
      <c r="CG32" s="62">
        <v>92</v>
      </c>
      <c r="CH32" s="62">
        <v>100</v>
      </c>
      <c r="CI32" s="65" t="str">
        <f t="shared" si="28"/>
        <v>ME</v>
      </c>
      <c r="CJ32" s="56">
        <v>25</v>
      </c>
      <c r="CK32" s="61">
        <v>91.8</v>
      </c>
      <c r="CL32" s="61"/>
      <c r="CM32" s="68">
        <f t="shared" si="29"/>
        <v>2.2999999999999972</v>
      </c>
      <c r="CN32" s="68">
        <f t="shared" si="30"/>
        <v>10.704809499999987</v>
      </c>
      <c r="CO32" s="68">
        <f t="shared" si="31"/>
        <v>22.055790143393757</v>
      </c>
      <c r="CP32" s="62">
        <v>67</v>
      </c>
      <c r="CQ32" s="62">
        <v>83</v>
      </c>
      <c r="CR32" s="65" t="str">
        <f t="shared" si="32"/>
        <v>ME</v>
      </c>
      <c r="CS32" s="56">
        <v>25</v>
      </c>
      <c r="CT32" s="61">
        <v>95.4</v>
      </c>
      <c r="CU32" s="61"/>
      <c r="CV32" s="68">
        <f t="shared" si="33"/>
        <v>2</v>
      </c>
      <c r="CW32" s="68">
        <f t="shared" si="34"/>
        <v>13.28848</v>
      </c>
      <c r="CX32" s="69">
        <f t="shared" si="35"/>
        <v>6.8852227979274608E-2</v>
      </c>
      <c r="CY32" s="66" t="s">
        <v>406</v>
      </c>
      <c r="CZ32" s="66" t="s">
        <v>241</v>
      </c>
      <c r="DA32" s="66"/>
      <c r="DB32" s="65" t="str">
        <f t="shared" si="36"/>
        <v>ME</v>
      </c>
      <c r="DC32" s="56">
        <v>25</v>
      </c>
      <c r="DD32" s="61">
        <v>76.5</v>
      </c>
      <c r="DE32" s="61">
        <v>103.2</v>
      </c>
      <c r="DF32" s="68">
        <f t="shared" si="37"/>
        <v>23.900000000000006</v>
      </c>
      <c r="DG32" s="69">
        <f t="shared" si="38"/>
        <v>1.2894343683200005</v>
      </c>
      <c r="DH32" s="68">
        <f t="shared" si="39"/>
        <v>6.6810070897409348</v>
      </c>
      <c r="DI32" s="62">
        <v>112</v>
      </c>
      <c r="DJ32" s="62">
        <v>54</v>
      </c>
      <c r="DK32" s="65" t="str">
        <f t="shared" si="40"/>
        <v>ME</v>
      </c>
      <c r="DL32" s="56">
        <v>25</v>
      </c>
      <c r="DM32" s="63">
        <v>8.01</v>
      </c>
      <c r="DN32" s="64">
        <v>3.3000000000000002E-2</v>
      </c>
      <c r="DO32" s="64">
        <v>3.3000000000000002E-2</v>
      </c>
      <c r="DP32" s="64">
        <v>7.0999999999999994E-2</v>
      </c>
      <c r="DQ32" s="63">
        <v>7.05</v>
      </c>
      <c r="DR32" s="61">
        <v>21.9</v>
      </c>
      <c r="DS32" s="64">
        <v>1.1839999999999999</v>
      </c>
      <c r="DT32" s="61">
        <v>85.6</v>
      </c>
      <c r="DU32" s="63">
        <v>4.1399999999999997</v>
      </c>
      <c r="DV32" s="64">
        <v>1.724</v>
      </c>
      <c r="DW32" s="64">
        <v>0.70399999999999996</v>
      </c>
      <c r="DX32" s="66" t="s">
        <v>242</v>
      </c>
      <c r="DY32" s="65" t="str">
        <f t="shared" si="41"/>
        <v>ME</v>
      </c>
      <c r="DZ32" s="128">
        <v>25</v>
      </c>
      <c r="EA32" s="173">
        <f t="shared" si="42"/>
        <v>0.12901069518716576</v>
      </c>
      <c r="EB32" s="173">
        <f t="shared" si="43"/>
        <v>0.13308823529411765</v>
      </c>
      <c r="EC32" s="173">
        <f t="shared" si="44"/>
        <v>0.89119170984455953</v>
      </c>
      <c r="ED32" s="63">
        <v>1.04</v>
      </c>
      <c r="EE32" s="63">
        <v>1.35</v>
      </c>
      <c r="EF32" s="63">
        <v>0.05</v>
      </c>
      <c r="EG32" s="63">
        <v>0.06</v>
      </c>
      <c r="EH32" s="127" t="str">
        <f t="shared" si="5"/>
        <v>ME</v>
      </c>
      <c r="EI32" s="56">
        <v>25</v>
      </c>
      <c r="EJ32" s="334"/>
      <c r="EK32" s="334"/>
      <c r="EL32" s="334"/>
      <c r="EM32" s="334"/>
      <c r="EN32" s="334"/>
      <c r="EO32" s="334"/>
      <c r="EP32" s="334"/>
      <c r="EQ32" s="65" t="str">
        <f t="shared" si="45"/>
        <v>ME</v>
      </c>
      <c r="ER32" s="20"/>
      <c r="ES32" s="20"/>
      <c r="ET32" s="20"/>
      <c r="EU32" s="20"/>
      <c r="EV32" s="20"/>
      <c r="EW32" s="20"/>
      <c r="EX32" s="20"/>
    </row>
    <row r="33" spans="1:154" s="3" customFormat="1" ht="17.149999999999999" customHeight="1" x14ac:dyDescent="0.35">
      <c r="A33" s="56">
        <v>26</v>
      </c>
      <c r="B33" s="57">
        <v>905748</v>
      </c>
      <c r="C33" s="58">
        <f t="shared" si="6"/>
        <v>151</v>
      </c>
      <c r="D33" s="167">
        <v>11.64</v>
      </c>
      <c r="E33" s="59">
        <v>810156</v>
      </c>
      <c r="F33" s="58">
        <f t="shared" si="7"/>
        <v>168</v>
      </c>
      <c r="G33" s="168">
        <v>3.23</v>
      </c>
      <c r="H33" s="57">
        <v>764722</v>
      </c>
      <c r="I33" s="58">
        <f t="shared" si="0"/>
        <v>131</v>
      </c>
      <c r="J33" s="60" t="s">
        <v>194</v>
      </c>
      <c r="K33" s="56">
        <v>26</v>
      </c>
      <c r="L33" s="57">
        <v>70797</v>
      </c>
      <c r="M33" s="58" t="str">
        <f t="shared" si="8"/>
        <v/>
      </c>
      <c r="N33" s="59">
        <v>180384</v>
      </c>
      <c r="O33" s="58">
        <f t="shared" si="9"/>
        <v>34</v>
      </c>
      <c r="P33" s="57">
        <v>194749</v>
      </c>
      <c r="Q33" s="169" t="str">
        <f t="shared" si="1"/>
        <v/>
      </c>
      <c r="R33" s="57">
        <v>686</v>
      </c>
      <c r="S33" s="57">
        <v>694</v>
      </c>
      <c r="T33" s="57">
        <v>144</v>
      </c>
      <c r="U33" s="57">
        <v>141</v>
      </c>
      <c r="V33" s="58" t="str">
        <f t="shared" si="10"/>
        <v>ME</v>
      </c>
      <c r="W33" s="56">
        <v>26</v>
      </c>
      <c r="X33" s="63">
        <v>11973.38</v>
      </c>
      <c r="Y33" s="130">
        <f t="shared" si="11"/>
        <v>2.1900000000005093</v>
      </c>
      <c r="Z33" s="63">
        <v>12736.53</v>
      </c>
      <c r="AA33" s="130">
        <f t="shared" si="12"/>
        <v>1.3499999999985448</v>
      </c>
      <c r="AB33" s="63">
        <v>10006.91</v>
      </c>
      <c r="AC33" s="130">
        <f t="shared" si="13"/>
        <v>1.8600000000005821</v>
      </c>
      <c r="AD33" s="63">
        <v>10163.65</v>
      </c>
      <c r="AE33" s="130">
        <f t="shared" si="2"/>
        <v>1.0900000000001455</v>
      </c>
      <c r="AF33" s="125" t="str">
        <f t="shared" si="14"/>
        <v>ME</v>
      </c>
      <c r="AG33" s="56">
        <v>26</v>
      </c>
      <c r="AH33" s="63">
        <v>47878.04</v>
      </c>
      <c r="AI33" s="257">
        <f t="shared" si="15"/>
        <v>7.9499999999970896</v>
      </c>
      <c r="AJ33" s="63">
        <v>50046.12</v>
      </c>
      <c r="AK33" s="130">
        <f t="shared" si="16"/>
        <v>13.849999999998545</v>
      </c>
      <c r="AL33" s="63">
        <v>592.20000000000005</v>
      </c>
      <c r="AM33" s="130" t="str">
        <f t="shared" si="17"/>
        <v/>
      </c>
      <c r="AN33" s="63">
        <v>553.37</v>
      </c>
      <c r="AO33" s="130" t="str">
        <f t="shared" si="3"/>
        <v/>
      </c>
      <c r="AP33" s="125" t="str">
        <f t="shared" si="18"/>
        <v>ME</v>
      </c>
      <c r="AQ33" s="56">
        <v>26</v>
      </c>
      <c r="AR33" s="63">
        <v>6906.22</v>
      </c>
      <c r="AS33" s="130">
        <f t="shared" si="19"/>
        <v>1.9200000000000728</v>
      </c>
      <c r="AT33" s="63">
        <v>7687.24</v>
      </c>
      <c r="AU33" s="130">
        <f t="shared" si="20"/>
        <v>1.8800000000001091</v>
      </c>
      <c r="AV33" s="63">
        <v>260.12</v>
      </c>
      <c r="AW33" s="130" t="str">
        <f t="shared" si="21"/>
        <v/>
      </c>
      <c r="AX33" s="63">
        <v>246.45</v>
      </c>
      <c r="AY33" s="130" t="str">
        <f t="shared" si="4"/>
        <v/>
      </c>
      <c r="AZ33" s="125" t="str">
        <f t="shared" si="22"/>
        <v>ME</v>
      </c>
      <c r="BA33" s="56">
        <v>26</v>
      </c>
      <c r="BB33" s="64">
        <v>2.2000000000000002</v>
      </c>
      <c r="BC33" s="62">
        <v>40</v>
      </c>
      <c r="BD33" s="61">
        <v>7</v>
      </c>
      <c r="BE33" s="61">
        <v>20.7</v>
      </c>
      <c r="BF33" s="61">
        <v>16.5</v>
      </c>
      <c r="BG33" s="61">
        <v>7</v>
      </c>
      <c r="BH33" s="64">
        <v>0.247</v>
      </c>
      <c r="BI33" s="64">
        <v>0.17399999999999999</v>
      </c>
      <c r="BJ33" s="64">
        <v>6.3E-2</v>
      </c>
      <c r="BK33" s="64">
        <v>6.9000000000000006E-2</v>
      </c>
      <c r="BL33" s="64">
        <v>5.8000000000000003E-2</v>
      </c>
      <c r="BM33" s="64">
        <v>6.2E-2</v>
      </c>
      <c r="BN33" s="65" t="str">
        <f t="shared" si="23"/>
        <v>ME</v>
      </c>
      <c r="BO33" s="56">
        <v>26</v>
      </c>
      <c r="BP33" s="64">
        <v>9.5000000000000001E-2</v>
      </c>
      <c r="BQ33" s="62">
        <v>0</v>
      </c>
      <c r="BR33" s="61">
        <v>7.2</v>
      </c>
      <c r="BS33" s="61">
        <v>21.5</v>
      </c>
      <c r="BT33" s="61">
        <v>18.100000000000001</v>
      </c>
      <c r="BU33" s="64">
        <v>2.1999999999999999E-2</v>
      </c>
      <c r="BV33" s="63">
        <v>1.1499999999999999</v>
      </c>
      <c r="BW33" s="63">
        <v>1.02</v>
      </c>
      <c r="BX33" s="66" t="s">
        <v>286</v>
      </c>
      <c r="BY33" s="172" t="s">
        <v>246</v>
      </c>
      <c r="BZ33" s="67" t="str">
        <f t="shared" si="24"/>
        <v>ME</v>
      </c>
      <c r="CA33" s="56">
        <v>26</v>
      </c>
      <c r="CB33" s="61">
        <v>88.8</v>
      </c>
      <c r="CC33" s="61"/>
      <c r="CD33" s="68">
        <f t="shared" si="25"/>
        <v>1.3999999999999915</v>
      </c>
      <c r="CE33" s="69">
        <f t="shared" si="26"/>
        <v>6.5159709999999604</v>
      </c>
      <c r="CF33" s="69">
        <f t="shared" si="27"/>
        <v>5.9688283969465283</v>
      </c>
      <c r="CG33" s="62">
        <v>92</v>
      </c>
      <c r="CH33" s="62">
        <v>100</v>
      </c>
      <c r="CI33" s="65" t="str">
        <f t="shared" si="28"/>
        <v>ME</v>
      </c>
      <c r="CJ33" s="56">
        <v>26</v>
      </c>
      <c r="CK33" s="61">
        <v>89.5</v>
      </c>
      <c r="CL33" s="61"/>
      <c r="CM33" s="68">
        <f t="shared" si="29"/>
        <v>1.7999999999999972</v>
      </c>
      <c r="CN33" s="68">
        <f t="shared" si="30"/>
        <v>8.3776769999999878</v>
      </c>
      <c r="CO33" s="68">
        <f t="shared" si="31"/>
        <v>22.062140788410566</v>
      </c>
      <c r="CP33" s="62">
        <v>66</v>
      </c>
      <c r="CQ33" s="62">
        <v>83</v>
      </c>
      <c r="CR33" s="65" t="str">
        <f t="shared" si="32"/>
        <v>ME</v>
      </c>
      <c r="CS33" s="56">
        <v>26</v>
      </c>
      <c r="CT33" s="61">
        <v>93.4</v>
      </c>
      <c r="CU33" s="61"/>
      <c r="CV33" s="68">
        <f t="shared" si="33"/>
        <v>1.7000000000000028</v>
      </c>
      <c r="CW33" s="68">
        <f t="shared" si="34"/>
        <v>11.295208000000018</v>
      </c>
      <c r="CX33" s="69">
        <f t="shared" si="35"/>
        <v>7.4802701986755094E-2</v>
      </c>
      <c r="CY33" s="66" t="s">
        <v>406</v>
      </c>
      <c r="CZ33" s="66" t="s">
        <v>241</v>
      </c>
      <c r="DA33" s="66"/>
      <c r="DB33" s="65" t="str">
        <f t="shared" si="36"/>
        <v>ME</v>
      </c>
      <c r="DC33" s="56">
        <v>26</v>
      </c>
      <c r="DD33" s="61">
        <v>79.3</v>
      </c>
      <c r="DE33" s="61">
        <v>104.3</v>
      </c>
      <c r="DF33" s="68">
        <f t="shared" si="37"/>
        <v>16.299999999999997</v>
      </c>
      <c r="DG33" s="69">
        <f t="shared" si="38"/>
        <v>0.87940502943999987</v>
      </c>
      <c r="DH33" s="68">
        <f t="shared" si="39"/>
        <v>5.8238743671523174</v>
      </c>
      <c r="DI33" s="62">
        <v>112</v>
      </c>
      <c r="DJ33" s="62">
        <v>54</v>
      </c>
      <c r="DK33" s="65" t="str">
        <f t="shared" si="40"/>
        <v>ME</v>
      </c>
      <c r="DL33" s="56">
        <v>26</v>
      </c>
      <c r="DM33" s="63">
        <v>7.76</v>
      </c>
      <c r="DN33" s="64">
        <v>0.03</v>
      </c>
      <c r="DO33" s="64">
        <v>3.1E-2</v>
      </c>
      <c r="DP33" s="64">
        <v>7.1999999999999995E-2</v>
      </c>
      <c r="DQ33" s="63">
        <v>7.08</v>
      </c>
      <c r="DR33" s="61">
        <v>21.8</v>
      </c>
      <c r="DS33" s="64">
        <v>1.274</v>
      </c>
      <c r="DT33" s="61">
        <v>85.3</v>
      </c>
      <c r="DU33" s="63">
        <v>4.26</v>
      </c>
      <c r="DV33" s="64">
        <v>0.93400000000000005</v>
      </c>
      <c r="DW33" s="64">
        <v>0.88800000000000001</v>
      </c>
      <c r="DX33" s="66" t="s">
        <v>242</v>
      </c>
      <c r="DY33" s="65" t="str">
        <f t="shared" si="41"/>
        <v>ME</v>
      </c>
      <c r="DZ33" s="128">
        <v>26</v>
      </c>
      <c r="EA33" s="173">
        <f t="shared" si="42"/>
        <v>0.10093582887700535</v>
      </c>
      <c r="EB33" s="173">
        <f t="shared" si="43"/>
        <v>0.12352941176470589</v>
      </c>
      <c r="EC33" s="173">
        <f t="shared" si="44"/>
        <v>0.86754966887417218</v>
      </c>
      <c r="ED33" s="63">
        <v>1.1299999999999999</v>
      </c>
      <c r="EE33" s="63">
        <v>1.39</v>
      </c>
      <c r="EF33" s="63">
        <v>0.05</v>
      </c>
      <c r="EG33" s="63">
        <v>7.0000000000000007E-2</v>
      </c>
      <c r="EH33" s="127" t="str">
        <f t="shared" si="5"/>
        <v>ME</v>
      </c>
      <c r="EI33" s="56">
        <v>26</v>
      </c>
      <c r="EJ33" s="334"/>
      <c r="EK33" s="334"/>
      <c r="EL33" s="334"/>
      <c r="EM33" s="334"/>
      <c r="EN33" s="334"/>
      <c r="EO33" s="334"/>
      <c r="EP33" s="334"/>
      <c r="EQ33" s="65" t="str">
        <f t="shared" si="45"/>
        <v>ME</v>
      </c>
      <c r="ER33" s="20"/>
      <c r="ES33" s="20"/>
      <c r="ET33" s="20"/>
      <c r="EU33" s="20"/>
      <c r="EV33" s="20"/>
      <c r="EW33" s="20"/>
      <c r="EX33" s="20"/>
    </row>
    <row r="34" spans="1:154" s="3" customFormat="1" ht="17.149999999999999" customHeight="1" x14ac:dyDescent="0.35">
      <c r="A34" s="56">
        <v>27</v>
      </c>
      <c r="B34" s="57">
        <v>905899</v>
      </c>
      <c r="C34" s="58">
        <f t="shared" si="6"/>
        <v>173</v>
      </c>
      <c r="D34" s="167">
        <v>11.7</v>
      </c>
      <c r="E34" s="59">
        <v>810324</v>
      </c>
      <c r="F34" s="58">
        <f t="shared" si="7"/>
        <v>189</v>
      </c>
      <c r="G34" s="168">
        <v>2.58</v>
      </c>
      <c r="H34" s="57">
        <v>764853</v>
      </c>
      <c r="I34" s="58">
        <f t="shared" si="0"/>
        <v>154</v>
      </c>
      <c r="J34" s="60" t="s">
        <v>194</v>
      </c>
      <c r="K34" s="56">
        <v>27</v>
      </c>
      <c r="L34" s="57">
        <v>70797</v>
      </c>
      <c r="M34" s="58" t="str">
        <f t="shared" si="8"/>
        <v/>
      </c>
      <c r="N34" s="59">
        <v>180418</v>
      </c>
      <c r="O34" s="58">
        <f t="shared" si="9"/>
        <v>27</v>
      </c>
      <c r="P34" s="57">
        <v>194749</v>
      </c>
      <c r="Q34" s="169" t="str">
        <f t="shared" si="1"/>
        <v/>
      </c>
      <c r="R34" s="57">
        <v>686</v>
      </c>
      <c r="S34" s="57">
        <v>694</v>
      </c>
      <c r="T34" s="57">
        <v>144</v>
      </c>
      <c r="U34" s="57">
        <v>141</v>
      </c>
      <c r="V34" s="58" t="str">
        <f t="shared" si="10"/>
        <v>ME</v>
      </c>
      <c r="W34" s="56">
        <v>27</v>
      </c>
      <c r="X34" s="63">
        <v>11975.57</v>
      </c>
      <c r="Y34" s="130">
        <f t="shared" si="11"/>
        <v>0.2000000000007276</v>
      </c>
      <c r="Z34" s="63">
        <v>12737.88</v>
      </c>
      <c r="AA34" s="130">
        <f t="shared" si="12"/>
        <v>3.8700000000008004</v>
      </c>
      <c r="AB34" s="63">
        <v>10008.77</v>
      </c>
      <c r="AC34" s="130">
        <f t="shared" si="13"/>
        <v>1.8099999999994907</v>
      </c>
      <c r="AD34" s="63">
        <v>10164.74</v>
      </c>
      <c r="AE34" s="130">
        <f t="shared" si="2"/>
        <v>1.6300000000010186</v>
      </c>
      <c r="AF34" s="125" t="str">
        <f t="shared" si="14"/>
        <v>ME</v>
      </c>
      <c r="AG34" s="56">
        <v>27</v>
      </c>
      <c r="AH34" s="63">
        <v>47885.99</v>
      </c>
      <c r="AI34" s="130">
        <f t="shared" si="15"/>
        <v>16.060000000004948</v>
      </c>
      <c r="AJ34" s="63">
        <v>50059.97</v>
      </c>
      <c r="AK34" s="130">
        <f t="shared" si="16"/>
        <v>7.9199999999982538</v>
      </c>
      <c r="AL34" s="63">
        <v>592.20000000000005</v>
      </c>
      <c r="AM34" s="130" t="str">
        <f t="shared" si="17"/>
        <v/>
      </c>
      <c r="AN34" s="63">
        <v>553.37</v>
      </c>
      <c r="AO34" s="130" t="str">
        <f t="shared" si="3"/>
        <v/>
      </c>
      <c r="AP34" s="125" t="str">
        <f t="shared" si="18"/>
        <v>ME</v>
      </c>
      <c r="AQ34" s="56">
        <v>27</v>
      </c>
      <c r="AR34" s="63">
        <v>6908.14</v>
      </c>
      <c r="AS34" s="130">
        <f t="shared" si="19"/>
        <v>1.3800000000001091</v>
      </c>
      <c r="AT34" s="63">
        <v>7689.12</v>
      </c>
      <c r="AU34" s="130">
        <f t="shared" si="20"/>
        <v>1.5299999999997453</v>
      </c>
      <c r="AV34" s="63">
        <v>260.12</v>
      </c>
      <c r="AW34" s="130" t="str">
        <f t="shared" si="21"/>
        <v/>
      </c>
      <c r="AX34" s="63">
        <v>246.45</v>
      </c>
      <c r="AY34" s="130" t="str">
        <f t="shared" si="4"/>
        <v/>
      </c>
      <c r="AZ34" s="125" t="str">
        <f t="shared" si="22"/>
        <v>ME</v>
      </c>
      <c r="BA34" s="56">
        <v>27</v>
      </c>
      <c r="BB34" s="64"/>
      <c r="BC34" s="62"/>
      <c r="BD34" s="61"/>
      <c r="BE34" s="61"/>
      <c r="BF34" s="61"/>
      <c r="BG34" s="61"/>
      <c r="BH34" s="64"/>
      <c r="BI34" s="64"/>
      <c r="BJ34" s="64"/>
      <c r="BK34" s="64"/>
      <c r="BL34" s="64"/>
      <c r="BM34" s="64"/>
      <c r="BN34" s="65" t="str">
        <f t="shared" si="23"/>
        <v>ME</v>
      </c>
      <c r="BO34" s="56">
        <v>27</v>
      </c>
      <c r="BP34" s="64">
        <v>9.8000000000000004E-2</v>
      </c>
      <c r="BQ34" s="62"/>
      <c r="BR34" s="61"/>
      <c r="BS34" s="61"/>
      <c r="BT34" s="61"/>
      <c r="BU34" s="64"/>
      <c r="BV34" s="63">
        <v>1.19</v>
      </c>
      <c r="BW34" s="63">
        <v>1</v>
      </c>
      <c r="BX34" s="66" t="s">
        <v>426</v>
      </c>
      <c r="BY34" s="172" t="s">
        <v>246</v>
      </c>
      <c r="BZ34" s="67" t="str">
        <f t="shared" si="24"/>
        <v>ME</v>
      </c>
      <c r="CA34" s="56">
        <v>27</v>
      </c>
      <c r="CB34" s="61">
        <v>87.4</v>
      </c>
      <c r="CC34" s="61"/>
      <c r="CD34" s="68">
        <f t="shared" si="25"/>
        <v>1.9000000000000057</v>
      </c>
      <c r="CE34" s="69">
        <f t="shared" si="26"/>
        <v>8.8431035000000264</v>
      </c>
      <c r="CF34" s="69">
        <f t="shared" si="27"/>
        <v>6.8907300000000209</v>
      </c>
      <c r="CG34" s="62">
        <v>92</v>
      </c>
      <c r="CH34" s="62">
        <v>100</v>
      </c>
      <c r="CI34" s="65" t="str">
        <f t="shared" si="28"/>
        <v>ME</v>
      </c>
      <c r="CJ34" s="56">
        <v>27</v>
      </c>
      <c r="CK34" s="61">
        <v>87.7</v>
      </c>
      <c r="CL34" s="61"/>
      <c r="CM34" s="68">
        <f t="shared" si="29"/>
        <v>2.2000000000000028</v>
      </c>
      <c r="CN34" s="68">
        <f t="shared" si="30"/>
        <v>10.239383000000014</v>
      </c>
      <c r="CO34" s="68">
        <f t="shared" si="31"/>
        <v>23.535784103757258</v>
      </c>
      <c r="CP34" s="62">
        <v>66</v>
      </c>
      <c r="CQ34" s="62">
        <v>83</v>
      </c>
      <c r="CR34" s="65" t="str">
        <f t="shared" si="32"/>
        <v>ME</v>
      </c>
      <c r="CS34" s="56">
        <v>27</v>
      </c>
      <c r="CT34" s="61">
        <v>91.7</v>
      </c>
      <c r="CU34" s="61"/>
      <c r="CV34" s="68">
        <f t="shared" si="33"/>
        <v>1.9000000000000057</v>
      </c>
      <c r="CW34" s="68">
        <f t="shared" si="34"/>
        <v>12.624056000000037</v>
      </c>
      <c r="CX34" s="69">
        <f t="shared" si="35"/>
        <v>7.2971421965318126E-2</v>
      </c>
      <c r="CY34" s="66" t="s">
        <v>406</v>
      </c>
      <c r="CZ34" s="66" t="s">
        <v>241</v>
      </c>
      <c r="DA34" s="66"/>
      <c r="DB34" s="65" t="str">
        <f t="shared" si="36"/>
        <v>ME</v>
      </c>
      <c r="DC34" s="56">
        <v>27</v>
      </c>
      <c r="DD34" s="61">
        <v>88</v>
      </c>
      <c r="DE34" s="61">
        <v>104</v>
      </c>
      <c r="DF34" s="68">
        <f t="shared" si="37"/>
        <v>21.400000000000006</v>
      </c>
      <c r="DG34" s="69">
        <f t="shared" si="38"/>
        <v>1.1545562963200002</v>
      </c>
      <c r="DH34" s="68">
        <f t="shared" si="39"/>
        <v>6.6737358168786143</v>
      </c>
      <c r="DI34" s="62">
        <v>112</v>
      </c>
      <c r="DJ34" s="62">
        <v>54</v>
      </c>
      <c r="DK34" s="65" t="str">
        <f t="shared" si="40"/>
        <v>ME</v>
      </c>
      <c r="DL34" s="56">
        <v>27</v>
      </c>
      <c r="DM34" s="63">
        <v>8</v>
      </c>
      <c r="DN34" s="64">
        <v>0.03</v>
      </c>
      <c r="DO34" s="64">
        <v>2.9000000000000001E-2</v>
      </c>
      <c r="DP34" s="64">
        <v>7.3999999999999996E-2</v>
      </c>
      <c r="DQ34" s="63">
        <v>7.1</v>
      </c>
      <c r="DR34" s="61">
        <v>21.9</v>
      </c>
      <c r="DS34" s="64">
        <v>1.3109999999999999</v>
      </c>
      <c r="DT34" s="61">
        <v>86.8</v>
      </c>
      <c r="DU34" s="63">
        <v>4.28</v>
      </c>
      <c r="DV34" s="64">
        <v>0.67100000000000004</v>
      </c>
      <c r="DW34" s="64">
        <v>0.94099999999999995</v>
      </c>
      <c r="DX34" s="66" t="s">
        <v>242</v>
      </c>
      <c r="DY34" s="65" t="str">
        <f t="shared" si="41"/>
        <v>ME</v>
      </c>
      <c r="DZ34" s="128">
        <v>27</v>
      </c>
      <c r="EA34" s="173">
        <f t="shared" si="42"/>
        <v>0.11564171122994653</v>
      </c>
      <c r="EB34" s="173">
        <f t="shared" si="43"/>
        <v>0.13897058823529412</v>
      </c>
      <c r="EC34" s="173">
        <f t="shared" si="44"/>
        <v>0.89017341040462428</v>
      </c>
      <c r="ED34" s="63">
        <v>1.17</v>
      </c>
      <c r="EE34" s="63">
        <v>1.38</v>
      </c>
      <c r="EF34" s="63">
        <v>0.04</v>
      </c>
      <c r="EG34" s="63">
        <v>7.0000000000000007E-2</v>
      </c>
      <c r="EH34" s="127" t="str">
        <f t="shared" si="5"/>
        <v>ME</v>
      </c>
      <c r="EI34" s="56">
        <v>27</v>
      </c>
      <c r="EJ34" s="334" t="s">
        <v>427</v>
      </c>
      <c r="EK34" s="334"/>
      <c r="EL34" s="334"/>
      <c r="EM34" s="334"/>
      <c r="EN34" s="334"/>
      <c r="EO34" s="334"/>
      <c r="EP34" s="334"/>
      <c r="EQ34" s="65" t="str">
        <f t="shared" si="45"/>
        <v>ME</v>
      </c>
      <c r="ER34" s="20"/>
      <c r="ES34" s="20"/>
      <c r="ET34" s="20"/>
      <c r="EU34" s="20"/>
      <c r="EV34" s="20"/>
      <c r="EW34" s="20"/>
      <c r="EX34" s="20"/>
    </row>
    <row r="35" spans="1:154" s="3" customFormat="1" ht="17.149999999999999" customHeight="1" x14ac:dyDescent="0.35">
      <c r="A35" s="56">
        <v>28</v>
      </c>
      <c r="B35" s="57">
        <v>906072</v>
      </c>
      <c r="C35" s="58">
        <f t="shared" si="6"/>
        <v>172</v>
      </c>
      <c r="D35" s="167">
        <v>11.98</v>
      </c>
      <c r="E35" s="59">
        <v>810513</v>
      </c>
      <c r="F35" s="58">
        <f t="shared" si="7"/>
        <v>231</v>
      </c>
      <c r="G35" s="168">
        <v>1.2</v>
      </c>
      <c r="H35" s="57">
        <v>765007</v>
      </c>
      <c r="I35" s="58">
        <f t="shared" si="0"/>
        <v>151</v>
      </c>
      <c r="J35" s="60" t="s">
        <v>194</v>
      </c>
      <c r="K35" s="56">
        <v>28</v>
      </c>
      <c r="L35" s="57">
        <v>70797</v>
      </c>
      <c r="M35" s="58" t="str">
        <f t="shared" si="8"/>
        <v/>
      </c>
      <c r="N35" s="59">
        <v>180445</v>
      </c>
      <c r="O35" s="58">
        <f t="shared" si="9"/>
        <v>27</v>
      </c>
      <c r="P35" s="57">
        <v>194749</v>
      </c>
      <c r="Q35" s="169" t="str">
        <f t="shared" si="1"/>
        <v/>
      </c>
      <c r="R35" s="57">
        <v>686</v>
      </c>
      <c r="S35" s="57">
        <v>694</v>
      </c>
      <c r="T35" s="57">
        <v>144</v>
      </c>
      <c r="U35" s="57">
        <v>141</v>
      </c>
      <c r="V35" s="58" t="str">
        <f t="shared" si="10"/>
        <v>ME</v>
      </c>
      <c r="W35" s="56">
        <v>28</v>
      </c>
      <c r="X35" s="63">
        <v>11975.77</v>
      </c>
      <c r="Y35" s="130">
        <f t="shared" si="11"/>
        <v>1.9399999999986903</v>
      </c>
      <c r="Z35" s="63">
        <v>12741.75</v>
      </c>
      <c r="AA35" s="130">
        <f t="shared" si="12"/>
        <v>2.1100000000005821</v>
      </c>
      <c r="AB35" s="63">
        <v>10010.58</v>
      </c>
      <c r="AC35" s="130">
        <f t="shared" si="13"/>
        <v>1.7700000000004366</v>
      </c>
      <c r="AD35" s="63">
        <v>10166.370000000001</v>
      </c>
      <c r="AE35" s="130">
        <f t="shared" si="2"/>
        <v>1.6199999999989814</v>
      </c>
      <c r="AF35" s="125" t="str">
        <f t="shared" si="14"/>
        <v>ME</v>
      </c>
      <c r="AG35" s="56">
        <v>28</v>
      </c>
      <c r="AH35" s="63">
        <v>47902.05</v>
      </c>
      <c r="AI35" s="130">
        <f t="shared" si="15"/>
        <v>11.509999999994761</v>
      </c>
      <c r="AJ35" s="63">
        <v>50067.89</v>
      </c>
      <c r="AK35" s="130">
        <f t="shared" si="16"/>
        <v>16.080000000001746</v>
      </c>
      <c r="AL35" s="63">
        <v>592.20000000000005</v>
      </c>
      <c r="AM35" s="130" t="str">
        <f t="shared" si="17"/>
        <v/>
      </c>
      <c r="AN35" s="63">
        <v>553.37</v>
      </c>
      <c r="AO35" s="130" t="str">
        <f t="shared" si="3"/>
        <v/>
      </c>
      <c r="AP35" s="125" t="str">
        <f t="shared" si="18"/>
        <v>ME</v>
      </c>
      <c r="AQ35" s="56">
        <v>28</v>
      </c>
      <c r="AR35" s="63">
        <v>6909.52</v>
      </c>
      <c r="AS35" s="130">
        <f t="shared" si="19"/>
        <v>1.1999999999998181</v>
      </c>
      <c r="AT35" s="63">
        <v>7690.65</v>
      </c>
      <c r="AU35" s="130">
        <f t="shared" si="20"/>
        <v>7.5200000000004366</v>
      </c>
      <c r="AV35" s="63">
        <v>260.12</v>
      </c>
      <c r="AW35" s="130" t="str">
        <f t="shared" si="21"/>
        <v/>
      </c>
      <c r="AX35" s="63">
        <v>246.45</v>
      </c>
      <c r="AY35" s="130" t="str">
        <f t="shared" si="4"/>
        <v/>
      </c>
      <c r="AZ35" s="125" t="str">
        <f t="shared" si="22"/>
        <v>ME</v>
      </c>
      <c r="BA35" s="56">
        <v>28</v>
      </c>
      <c r="BB35" s="64"/>
      <c r="BC35" s="62"/>
      <c r="BD35" s="61"/>
      <c r="BE35" s="61"/>
      <c r="BF35" s="61"/>
      <c r="BG35" s="61"/>
      <c r="BH35" s="64"/>
      <c r="BI35" s="64"/>
      <c r="BJ35" s="64"/>
      <c r="BK35" s="64"/>
      <c r="BL35" s="64"/>
      <c r="BM35" s="64"/>
      <c r="BN35" s="65" t="str">
        <f t="shared" si="23"/>
        <v>ME</v>
      </c>
      <c r="BO35" s="56">
        <v>28</v>
      </c>
      <c r="BP35" s="64">
        <v>9.8000000000000004E-2</v>
      </c>
      <c r="BQ35" s="62"/>
      <c r="BR35" s="61"/>
      <c r="BS35" s="61"/>
      <c r="BT35" s="61"/>
      <c r="BU35" s="64"/>
      <c r="BV35" s="63">
        <v>1.21</v>
      </c>
      <c r="BW35" s="63">
        <v>0.98</v>
      </c>
      <c r="BX35" s="66" t="s">
        <v>253</v>
      </c>
      <c r="BY35" s="172" t="s">
        <v>246</v>
      </c>
      <c r="BZ35" s="67" t="str">
        <f t="shared" si="24"/>
        <v>ME</v>
      </c>
      <c r="CA35" s="56">
        <v>28</v>
      </c>
      <c r="CB35" s="61">
        <v>85.5</v>
      </c>
      <c r="CC35" s="61"/>
      <c r="CD35" s="68">
        <f t="shared" si="25"/>
        <v>1.5</v>
      </c>
      <c r="CE35" s="69">
        <f t="shared" si="26"/>
        <v>6.9813975000000008</v>
      </c>
      <c r="CF35" s="69">
        <f t="shared" si="27"/>
        <v>5.5481304635761592</v>
      </c>
      <c r="CG35" s="62">
        <v>92</v>
      </c>
      <c r="CH35" s="62">
        <v>100</v>
      </c>
      <c r="CI35" s="65" t="str">
        <f t="shared" si="28"/>
        <v>ME</v>
      </c>
      <c r="CJ35" s="56">
        <v>28</v>
      </c>
      <c r="CK35" s="61">
        <v>85.5</v>
      </c>
      <c r="CL35" s="61"/>
      <c r="CM35" s="68">
        <f t="shared" si="29"/>
        <v>2.0999999999999943</v>
      </c>
      <c r="CN35" s="68">
        <f t="shared" si="30"/>
        <v>9.773956499999974</v>
      </c>
      <c r="CO35" s="68">
        <f t="shared" si="31"/>
        <v>22.596591873401106</v>
      </c>
      <c r="CP35" s="62">
        <v>67</v>
      </c>
      <c r="CQ35" s="62">
        <v>83</v>
      </c>
      <c r="CR35" s="65" t="str">
        <f t="shared" si="32"/>
        <v>ME</v>
      </c>
      <c r="CS35" s="56">
        <v>28</v>
      </c>
      <c r="CT35" s="61">
        <v>89.8</v>
      </c>
      <c r="CU35" s="61"/>
      <c r="CV35" s="68">
        <f t="shared" si="33"/>
        <v>1.7999999999999972</v>
      </c>
      <c r="CW35" s="68">
        <f t="shared" si="34"/>
        <v>11.959631999999981</v>
      </c>
      <c r="CX35" s="69">
        <f t="shared" si="35"/>
        <v>6.9532744186046408E-2</v>
      </c>
      <c r="CY35" s="66" t="s">
        <v>406</v>
      </c>
      <c r="CZ35" s="66" t="s">
        <v>241</v>
      </c>
      <c r="DA35" s="66"/>
      <c r="DB35" s="65" t="str">
        <f t="shared" si="36"/>
        <v>ME</v>
      </c>
      <c r="DC35" s="56">
        <v>28</v>
      </c>
      <c r="DD35" s="61">
        <v>82.6</v>
      </c>
      <c r="DE35" s="61">
        <v>104.7</v>
      </c>
      <c r="DF35" s="68">
        <f t="shared" si="37"/>
        <v>20</v>
      </c>
      <c r="DG35" s="69">
        <f t="shared" si="38"/>
        <v>1.0790245760000001</v>
      </c>
      <c r="DH35" s="68">
        <f t="shared" si="39"/>
        <v>6.2733986976744189</v>
      </c>
      <c r="DI35" s="62">
        <v>112</v>
      </c>
      <c r="DJ35" s="62">
        <v>54</v>
      </c>
      <c r="DK35" s="65" t="str">
        <f t="shared" si="40"/>
        <v>ME</v>
      </c>
      <c r="DL35" s="56">
        <v>28</v>
      </c>
      <c r="DM35" s="63">
        <v>8.1</v>
      </c>
      <c r="DN35" s="64">
        <v>3.1E-2</v>
      </c>
      <c r="DO35" s="64">
        <v>3.1E-2</v>
      </c>
      <c r="DP35" s="64">
        <v>7.2999999999999995E-2</v>
      </c>
      <c r="DQ35" s="63">
        <v>7.11</v>
      </c>
      <c r="DR35" s="61">
        <v>21.5</v>
      </c>
      <c r="DS35" s="64">
        <v>1.1779999999999999</v>
      </c>
      <c r="DT35" s="61">
        <v>87.7</v>
      </c>
      <c r="DU35" s="63">
        <v>4.3</v>
      </c>
      <c r="DV35" s="64">
        <v>0.69299999999999995</v>
      </c>
      <c r="DW35" s="64">
        <v>0.57599999999999996</v>
      </c>
      <c r="DX35" s="66" t="s">
        <v>242</v>
      </c>
      <c r="DY35" s="65" t="str">
        <f t="shared" si="41"/>
        <v>ME</v>
      </c>
      <c r="DZ35" s="128">
        <v>28</v>
      </c>
      <c r="EA35" s="173">
        <f t="shared" si="42"/>
        <v>0.11497326203208556</v>
      </c>
      <c r="EB35" s="173">
        <f t="shared" si="43"/>
        <v>0.1698529411764706</v>
      </c>
      <c r="EC35" s="173">
        <f t="shared" si="44"/>
        <v>0.87790697674418605</v>
      </c>
      <c r="ED35" s="63">
        <v>1.1399999999999999</v>
      </c>
      <c r="EE35" s="63">
        <v>1.24</v>
      </c>
      <c r="EF35" s="63">
        <v>0.05</v>
      </c>
      <c r="EG35" s="63">
        <v>0.05</v>
      </c>
      <c r="EH35" s="127" t="str">
        <f t="shared" si="5"/>
        <v>ME</v>
      </c>
      <c r="EI35" s="56">
        <v>28</v>
      </c>
      <c r="EJ35" s="334"/>
      <c r="EK35" s="334"/>
      <c r="EL35" s="334"/>
      <c r="EM35" s="334"/>
      <c r="EN35" s="334"/>
      <c r="EO35" s="334"/>
      <c r="EP35" s="334"/>
      <c r="EQ35" s="65" t="str">
        <f t="shared" si="45"/>
        <v>ME</v>
      </c>
      <c r="ER35" s="20"/>
      <c r="ES35" s="20"/>
      <c r="ET35" s="20"/>
      <c r="EU35" s="20"/>
      <c r="EV35" s="20"/>
      <c r="EW35" s="20"/>
      <c r="EX35" s="20"/>
    </row>
    <row r="36" spans="1:154" s="3" customFormat="1" ht="17.149999999999999" customHeight="1" x14ac:dyDescent="0.35">
      <c r="A36" s="56">
        <v>29</v>
      </c>
      <c r="B36" s="57">
        <v>906244</v>
      </c>
      <c r="C36" s="58">
        <f t="shared" si="6"/>
        <v>209</v>
      </c>
      <c r="D36" s="167">
        <v>11.87</v>
      </c>
      <c r="E36" s="59">
        <v>810744</v>
      </c>
      <c r="F36" s="58">
        <f t="shared" si="7"/>
        <v>197</v>
      </c>
      <c r="G36" s="168">
        <v>1.52</v>
      </c>
      <c r="H36" s="57">
        <v>765158</v>
      </c>
      <c r="I36" s="58">
        <f t="shared" si="0"/>
        <v>142</v>
      </c>
      <c r="J36" s="60" t="s">
        <v>194</v>
      </c>
      <c r="K36" s="56">
        <v>29</v>
      </c>
      <c r="L36" s="57">
        <v>70797</v>
      </c>
      <c r="M36" s="58">
        <f t="shared" si="8"/>
        <v>48</v>
      </c>
      <c r="N36" s="59">
        <v>180472</v>
      </c>
      <c r="O36" s="58">
        <f t="shared" si="9"/>
        <v>40</v>
      </c>
      <c r="P36" s="57">
        <v>194749</v>
      </c>
      <c r="Q36" s="169" t="str">
        <f t="shared" si="1"/>
        <v/>
      </c>
      <c r="R36" s="57">
        <v>686</v>
      </c>
      <c r="S36" s="57">
        <v>694</v>
      </c>
      <c r="T36" s="57">
        <v>144</v>
      </c>
      <c r="U36" s="57">
        <v>141</v>
      </c>
      <c r="V36" s="58" t="str">
        <f t="shared" si="10"/>
        <v>ME</v>
      </c>
      <c r="W36" s="56">
        <v>29</v>
      </c>
      <c r="X36" s="63">
        <v>11977.71</v>
      </c>
      <c r="Y36" s="130">
        <f t="shared" si="11"/>
        <v>1.6200000000008004</v>
      </c>
      <c r="Z36" s="63">
        <v>12743.86</v>
      </c>
      <c r="AA36" s="130">
        <f t="shared" si="12"/>
        <v>3.4799999999995634</v>
      </c>
      <c r="AB36" s="63">
        <v>10012.35</v>
      </c>
      <c r="AC36" s="130">
        <f t="shared" si="13"/>
        <v>1.8799999999991996</v>
      </c>
      <c r="AD36" s="63">
        <v>10167.99</v>
      </c>
      <c r="AE36" s="130">
        <f t="shared" si="2"/>
        <v>1.2900000000008731</v>
      </c>
      <c r="AF36" s="125" t="str">
        <f t="shared" si="14"/>
        <v>ME</v>
      </c>
      <c r="AG36" s="56">
        <v>29</v>
      </c>
      <c r="AH36" s="63">
        <v>47913.56</v>
      </c>
      <c r="AI36" s="130">
        <f t="shared" si="15"/>
        <v>12.490000000005239</v>
      </c>
      <c r="AJ36" s="63">
        <v>50083.97</v>
      </c>
      <c r="AK36" s="130">
        <f t="shared" si="16"/>
        <v>10.779999999998836</v>
      </c>
      <c r="AL36" s="63">
        <v>592.20000000000005</v>
      </c>
      <c r="AM36" s="130" t="str">
        <f t="shared" si="17"/>
        <v/>
      </c>
      <c r="AN36" s="63">
        <v>553.37</v>
      </c>
      <c r="AO36" s="130" t="str">
        <f t="shared" si="3"/>
        <v/>
      </c>
      <c r="AP36" s="125" t="str">
        <f t="shared" si="18"/>
        <v>ME</v>
      </c>
      <c r="AQ36" s="56">
        <v>29</v>
      </c>
      <c r="AR36" s="63">
        <v>6910.72</v>
      </c>
      <c r="AS36" s="130">
        <f t="shared" si="19"/>
        <v>1.9600000000000364</v>
      </c>
      <c r="AT36" s="63">
        <v>7698.17</v>
      </c>
      <c r="AU36" s="130">
        <f t="shared" si="20"/>
        <v>1.7799999999997453</v>
      </c>
      <c r="AV36" s="63">
        <v>260.12</v>
      </c>
      <c r="AW36" s="130">
        <f t="shared" si="21"/>
        <v>0.33999999999997499</v>
      </c>
      <c r="AX36" s="63">
        <v>246.45</v>
      </c>
      <c r="AY36" s="130" t="str">
        <f t="shared" si="4"/>
        <v/>
      </c>
      <c r="AZ36" s="125" t="str">
        <f t="shared" si="22"/>
        <v>ME</v>
      </c>
      <c r="BA36" s="56">
        <v>29</v>
      </c>
      <c r="BB36" s="64">
        <v>1.91</v>
      </c>
      <c r="BC36" s="62">
        <v>50</v>
      </c>
      <c r="BD36" s="61">
        <v>6.8</v>
      </c>
      <c r="BE36" s="61">
        <v>20.2</v>
      </c>
      <c r="BF36" s="61">
        <v>16.399999999999999</v>
      </c>
      <c r="BG36" s="61">
        <v>6.8</v>
      </c>
      <c r="BH36" s="64">
        <v>0.23599999999999999</v>
      </c>
      <c r="BI36" s="64">
        <v>0.184</v>
      </c>
      <c r="BJ36" s="64">
        <v>5.7000000000000002E-2</v>
      </c>
      <c r="BK36" s="64">
        <v>6.0999999999999999E-2</v>
      </c>
      <c r="BL36" s="64">
        <v>6.5000000000000002E-2</v>
      </c>
      <c r="BM36" s="64">
        <v>7.0999999999999994E-2</v>
      </c>
      <c r="BN36" s="65" t="str">
        <f t="shared" si="23"/>
        <v>ME</v>
      </c>
      <c r="BO36" s="56">
        <v>29</v>
      </c>
      <c r="BP36" s="64">
        <v>9.9000000000000005E-2</v>
      </c>
      <c r="BQ36" s="62">
        <v>0</v>
      </c>
      <c r="BR36" s="61">
        <v>7</v>
      </c>
      <c r="BS36" s="61">
        <v>21.8</v>
      </c>
      <c r="BT36" s="61">
        <v>19.899999999999999</v>
      </c>
      <c r="BU36" s="64">
        <v>1.7999999999999999E-2</v>
      </c>
      <c r="BV36" s="63">
        <v>1.19</v>
      </c>
      <c r="BW36" s="63">
        <v>0.96</v>
      </c>
      <c r="BX36" s="66" t="s">
        <v>253</v>
      </c>
      <c r="BY36" s="172" t="s">
        <v>246</v>
      </c>
      <c r="BZ36" s="67" t="str">
        <f t="shared" si="24"/>
        <v>ME</v>
      </c>
      <c r="CA36" s="56">
        <v>29</v>
      </c>
      <c r="CB36" s="61">
        <v>84</v>
      </c>
      <c r="CC36" s="61">
        <v>95.4</v>
      </c>
      <c r="CD36" s="68">
        <f t="shared" si="25"/>
        <v>1.6000000000000085</v>
      </c>
      <c r="CE36" s="69">
        <f t="shared" si="26"/>
        <v>7.4468240000000403</v>
      </c>
      <c r="CF36" s="69">
        <f t="shared" si="27"/>
        <v>6.2930907042253859</v>
      </c>
      <c r="CG36" s="62">
        <v>92</v>
      </c>
      <c r="CH36" s="62">
        <v>100</v>
      </c>
      <c r="CI36" s="65" t="str">
        <f t="shared" si="28"/>
        <v>ME</v>
      </c>
      <c r="CJ36" s="56">
        <v>29</v>
      </c>
      <c r="CK36" s="61">
        <v>83.4</v>
      </c>
      <c r="CL36" s="61">
        <v>100</v>
      </c>
      <c r="CM36" s="68">
        <f t="shared" si="29"/>
        <v>1.2999999999999972</v>
      </c>
      <c r="CN36" s="68">
        <f t="shared" si="30"/>
        <v>6.0505444999999876</v>
      </c>
      <c r="CO36" s="68">
        <f t="shared" si="31"/>
        <v>11.511957035526294</v>
      </c>
      <c r="CP36" s="62">
        <v>67</v>
      </c>
      <c r="CQ36" s="62">
        <v>83</v>
      </c>
      <c r="CR36" s="65" t="str">
        <f t="shared" si="32"/>
        <v>ME</v>
      </c>
      <c r="CS36" s="56">
        <v>29</v>
      </c>
      <c r="CT36" s="61">
        <v>88</v>
      </c>
      <c r="CU36" s="61">
        <v>113.1</v>
      </c>
      <c r="CV36" s="68">
        <f t="shared" si="33"/>
        <v>2.1999999999999886</v>
      </c>
      <c r="CW36" s="68">
        <f t="shared" si="34"/>
        <v>14.617327999999922</v>
      </c>
      <c r="CX36" s="69">
        <f t="shared" si="35"/>
        <v>6.9939368421052264E-2</v>
      </c>
      <c r="CY36" s="66" t="s">
        <v>406</v>
      </c>
      <c r="CZ36" s="66" t="s">
        <v>241</v>
      </c>
      <c r="DA36" s="66"/>
      <c r="DB36" s="65" t="str">
        <f t="shared" si="36"/>
        <v>ME</v>
      </c>
      <c r="DC36" s="56">
        <v>29</v>
      </c>
      <c r="DD36" s="61">
        <v>84.7</v>
      </c>
      <c r="DE36" s="61">
        <v>104.4</v>
      </c>
      <c r="DF36" s="68">
        <f t="shared" si="37"/>
        <v>23.300000000000011</v>
      </c>
      <c r="DG36" s="69">
        <f t="shared" si="38"/>
        <v>1.2570636310400007</v>
      </c>
      <c r="DH36" s="68">
        <f t="shared" si="39"/>
        <v>6.0146585217224917</v>
      </c>
      <c r="DI36" s="62">
        <v>112</v>
      </c>
      <c r="DJ36" s="62">
        <v>54</v>
      </c>
      <c r="DK36" s="65" t="str">
        <f t="shared" si="40"/>
        <v>ME</v>
      </c>
      <c r="DL36" s="56">
        <v>29</v>
      </c>
      <c r="DM36" s="63">
        <v>8.0399999999999991</v>
      </c>
      <c r="DN36" s="64">
        <v>0.03</v>
      </c>
      <c r="DO36" s="64">
        <v>0.03</v>
      </c>
      <c r="DP36" s="64">
        <v>7.1999999999999995E-2</v>
      </c>
      <c r="DQ36" s="63">
        <v>7.09</v>
      </c>
      <c r="DR36" s="61">
        <v>21.8</v>
      </c>
      <c r="DS36" s="64">
        <v>1.155</v>
      </c>
      <c r="DT36" s="61">
        <v>86.7</v>
      </c>
      <c r="DU36" s="63">
        <v>4.22</v>
      </c>
      <c r="DV36" s="64">
        <v>0.71099999999999997</v>
      </c>
      <c r="DW36" s="64">
        <v>0.49199999999999999</v>
      </c>
      <c r="DX36" s="66" t="s">
        <v>247</v>
      </c>
      <c r="DY36" s="65" t="str">
        <f t="shared" si="41"/>
        <v>ME</v>
      </c>
      <c r="DZ36" s="128">
        <v>29</v>
      </c>
      <c r="EA36" s="173">
        <f t="shared" si="42"/>
        <v>0.13970588235294118</v>
      </c>
      <c r="EB36" s="173">
        <f t="shared" si="43"/>
        <v>0.1448529411764706</v>
      </c>
      <c r="EC36" s="173">
        <f t="shared" si="44"/>
        <v>0.67942583732057416</v>
      </c>
      <c r="ED36" s="63">
        <v>1.1100000000000001</v>
      </c>
      <c r="EE36" s="63">
        <v>1.21</v>
      </c>
      <c r="EF36" s="63">
        <v>0.05</v>
      </c>
      <c r="EG36" s="63">
        <v>0.08</v>
      </c>
      <c r="EH36" s="127" t="str">
        <f t="shared" si="5"/>
        <v>ME</v>
      </c>
      <c r="EI36" s="56">
        <v>29</v>
      </c>
      <c r="EJ36" s="334"/>
      <c r="EK36" s="334"/>
      <c r="EL36" s="334"/>
      <c r="EM36" s="334"/>
      <c r="EN36" s="334"/>
      <c r="EO36" s="334"/>
      <c r="EP36" s="334"/>
      <c r="EQ36" s="65" t="str">
        <f t="shared" si="45"/>
        <v>ME</v>
      </c>
      <c r="ER36" s="20"/>
      <c r="ES36" s="20"/>
      <c r="ET36" s="20"/>
      <c r="EU36" s="20"/>
      <c r="EV36" s="20"/>
      <c r="EW36" s="20"/>
      <c r="EX36" s="20"/>
    </row>
    <row r="37" spans="1:154" s="3" customFormat="1" ht="17.149999999999999" customHeight="1" x14ac:dyDescent="0.35">
      <c r="A37" s="56">
        <v>30</v>
      </c>
      <c r="B37" s="57">
        <v>906453</v>
      </c>
      <c r="C37" s="58">
        <f t="shared" si="6"/>
        <v>179</v>
      </c>
      <c r="D37" s="167">
        <v>11.53</v>
      </c>
      <c r="E37" s="59">
        <v>810941</v>
      </c>
      <c r="F37" s="58">
        <f t="shared" si="7"/>
        <v>190</v>
      </c>
      <c r="G37" s="168">
        <v>1.7</v>
      </c>
      <c r="H37" s="57">
        <v>765300</v>
      </c>
      <c r="I37" s="58">
        <f t="shared" si="0"/>
        <v>159</v>
      </c>
      <c r="J37" s="60" t="s">
        <v>194</v>
      </c>
      <c r="K37" s="56">
        <v>30</v>
      </c>
      <c r="L37" s="57">
        <v>70845</v>
      </c>
      <c r="M37" s="58" t="str">
        <f t="shared" si="8"/>
        <v/>
      </c>
      <c r="N37" s="59">
        <v>180512</v>
      </c>
      <c r="O37" s="58">
        <f t="shared" si="9"/>
        <v>41</v>
      </c>
      <c r="P37" s="57">
        <v>194749</v>
      </c>
      <c r="Q37" s="169" t="str">
        <f t="shared" si="1"/>
        <v/>
      </c>
      <c r="R37" s="57">
        <v>687</v>
      </c>
      <c r="S37" s="57">
        <v>694</v>
      </c>
      <c r="T37" s="57">
        <v>144</v>
      </c>
      <c r="U37" s="57">
        <v>141</v>
      </c>
      <c r="V37" s="58" t="str">
        <f t="shared" si="10"/>
        <v>ME</v>
      </c>
      <c r="W37" s="56">
        <v>30</v>
      </c>
      <c r="X37" s="63">
        <v>11979.33</v>
      </c>
      <c r="Y37" s="130">
        <f t="shared" si="11"/>
        <v>1.9400000000005093</v>
      </c>
      <c r="Z37" s="63">
        <v>12747.34</v>
      </c>
      <c r="AA37" s="130">
        <f t="shared" si="12"/>
        <v>2.2800000000006548</v>
      </c>
      <c r="AB37" s="63">
        <v>10014.23</v>
      </c>
      <c r="AC37" s="130">
        <f t="shared" si="13"/>
        <v>1.9500000000007276</v>
      </c>
      <c r="AD37" s="63">
        <v>10169.280000000001</v>
      </c>
      <c r="AE37" s="130">
        <f t="shared" si="2"/>
        <v>1.6199999999989814</v>
      </c>
      <c r="AF37" s="125" t="str">
        <f t="shared" si="14"/>
        <v>ME</v>
      </c>
      <c r="AG37" s="56">
        <v>30</v>
      </c>
      <c r="AH37" s="63">
        <v>47926.05</v>
      </c>
      <c r="AI37" s="130">
        <f t="shared" si="15"/>
        <v>8.8799999999973807</v>
      </c>
      <c r="AJ37" s="63">
        <v>50094.75</v>
      </c>
      <c r="AK37" s="130">
        <f t="shared" si="16"/>
        <v>13.230000000003201</v>
      </c>
      <c r="AL37" s="63">
        <v>592.20000000000005</v>
      </c>
      <c r="AM37" s="130" t="str">
        <f t="shared" si="17"/>
        <v/>
      </c>
      <c r="AN37" s="63">
        <v>553.37</v>
      </c>
      <c r="AO37" s="130" t="str">
        <f t="shared" si="3"/>
        <v/>
      </c>
      <c r="AP37" s="125" t="str">
        <f t="shared" si="18"/>
        <v>ME</v>
      </c>
      <c r="AQ37" s="56">
        <v>30</v>
      </c>
      <c r="AR37" s="63">
        <v>6912.68</v>
      </c>
      <c r="AS37" s="130">
        <f t="shared" si="19"/>
        <v>1.6199999999998909</v>
      </c>
      <c r="AT37" s="63">
        <v>7699.95</v>
      </c>
      <c r="AU37" s="130">
        <f t="shared" si="20"/>
        <v>1.7200000000002547</v>
      </c>
      <c r="AV37" s="63">
        <v>260.45999999999998</v>
      </c>
      <c r="AW37" s="130" t="str">
        <f t="shared" si="21"/>
        <v/>
      </c>
      <c r="AX37" s="63">
        <v>246.45</v>
      </c>
      <c r="AY37" s="130" t="str">
        <f t="shared" si="4"/>
        <v/>
      </c>
      <c r="AZ37" s="125" t="str">
        <f t="shared" si="22"/>
        <v>ME</v>
      </c>
      <c r="BA37" s="56">
        <v>30</v>
      </c>
      <c r="BB37" s="64">
        <v>1.74</v>
      </c>
      <c r="BC37" s="62">
        <v>54</v>
      </c>
      <c r="BD37" s="61">
        <v>7</v>
      </c>
      <c r="BE37" s="61">
        <v>20</v>
      </c>
      <c r="BF37" s="61">
        <v>16.8</v>
      </c>
      <c r="BG37" s="61">
        <v>7</v>
      </c>
      <c r="BH37" s="64">
        <v>0.189</v>
      </c>
      <c r="BI37" s="64">
        <v>0.16300000000000001</v>
      </c>
      <c r="BJ37" s="64">
        <v>7.6999999999999999E-2</v>
      </c>
      <c r="BK37" s="64">
        <v>5.8999999999999997E-2</v>
      </c>
      <c r="BL37" s="64">
        <v>5.3999999999999999E-2</v>
      </c>
      <c r="BM37" s="64">
        <v>7.0000000000000007E-2</v>
      </c>
      <c r="BN37" s="65" t="str">
        <f t="shared" si="23"/>
        <v>ME</v>
      </c>
      <c r="BO37" s="56">
        <v>30</v>
      </c>
      <c r="BP37" s="64">
        <v>9.9000000000000005E-2</v>
      </c>
      <c r="BQ37" s="62">
        <v>0</v>
      </c>
      <c r="BR37" s="61">
        <v>7</v>
      </c>
      <c r="BS37" s="61">
        <v>21.6</v>
      </c>
      <c r="BT37" s="61">
        <v>18.5</v>
      </c>
      <c r="BU37" s="64">
        <v>2.1000000000000001E-2</v>
      </c>
      <c r="BV37" s="63">
        <v>1.2</v>
      </c>
      <c r="BW37" s="63">
        <v>1.03</v>
      </c>
      <c r="BX37" s="66" t="s">
        <v>269</v>
      </c>
      <c r="BY37" s="172" t="s">
        <v>246</v>
      </c>
      <c r="BZ37" s="67" t="str">
        <f t="shared" si="24"/>
        <v>ME</v>
      </c>
      <c r="CA37" s="56">
        <v>30</v>
      </c>
      <c r="CB37" s="61">
        <v>93.8</v>
      </c>
      <c r="CC37" s="61"/>
      <c r="CD37" s="68">
        <f t="shared" si="25"/>
        <v>1.7999999999999972</v>
      </c>
      <c r="CE37" s="69">
        <f t="shared" si="26"/>
        <v>8.3776769999999878</v>
      </c>
      <c r="CF37" s="69">
        <f t="shared" si="27"/>
        <v>6.3227750943396126</v>
      </c>
      <c r="CG37" s="62">
        <v>92</v>
      </c>
      <c r="CH37" s="62">
        <v>100</v>
      </c>
      <c r="CI37" s="65" t="str">
        <f t="shared" si="28"/>
        <v>ME</v>
      </c>
      <c r="CJ37" s="56">
        <v>30</v>
      </c>
      <c r="CK37" s="61">
        <v>98.7</v>
      </c>
      <c r="CL37" s="61"/>
      <c r="CM37" s="68">
        <f t="shared" si="29"/>
        <v>2.2000000000000028</v>
      </c>
      <c r="CN37" s="68">
        <f t="shared" si="30"/>
        <v>10.239383000000014</v>
      </c>
      <c r="CO37" s="68">
        <f t="shared" si="31"/>
        <v>22.746875139385509</v>
      </c>
      <c r="CP37" s="62">
        <v>67</v>
      </c>
      <c r="CQ37" s="62">
        <v>83</v>
      </c>
      <c r="CR37" s="65" t="str">
        <f t="shared" si="32"/>
        <v>ME</v>
      </c>
      <c r="CS37" s="56">
        <v>30</v>
      </c>
      <c r="CT37" s="61">
        <v>110.9</v>
      </c>
      <c r="CU37" s="61">
        <v>106.3</v>
      </c>
      <c r="CV37" s="68">
        <f t="shared" si="33"/>
        <v>1.8999999999999915</v>
      </c>
      <c r="CW37" s="68">
        <f t="shared" si="34"/>
        <v>12.624055999999943</v>
      </c>
      <c r="CX37" s="69">
        <f t="shared" si="35"/>
        <v>7.0525452513966164E-2</v>
      </c>
      <c r="CY37" s="66" t="s">
        <v>406</v>
      </c>
      <c r="CZ37" s="66" t="s">
        <v>241</v>
      </c>
      <c r="DA37" s="66"/>
      <c r="DB37" s="65" t="str">
        <f t="shared" si="36"/>
        <v>ME</v>
      </c>
      <c r="DC37" s="56">
        <v>30</v>
      </c>
      <c r="DD37" s="61">
        <v>81.099999999999994</v>
      </c>
      <c r="DE37" s="61">
        <v>104</v>
      </c>
      <c r="DF37" s="68">
        <f t="shared" si="37"/>
        <v>24.200000000000003</v>
      </c>
      <c r="DG37" s="69">
        <f t="shared" si="38"/>
        <v>1.3056197369600002</v>
      </c>
      <c r="DH37" s="68">
        <f t="shared" si="39"/>
        <v>7.293965010949722</v>
      </c>
      <c r="DI37" s="62">
        <v>112</v>
      </c>
      <c r="DJ37" s="62">
        <v>54</v>
      </c>
      <c r="DK37" s="65" t="str">
        <f t="shared" si="40"/>
        <v>ME</v>
      </c>
      <c r="DL37" s="56">
        <v>30</v>
      </c>
      <c r="DM37" s="63">
        <v>8.11</v>
      </c>
      <c r="DN37" s="64">
        <v>3.1E-2</v>
      </c>
      <c r="DO37" s="64">
        <v>3.1E-2</v>
      </c>
      <c r="DP37" s="64">
        <v>7.1999999999999995E-2</v>
      </c>
      <c r="DQ37" s="63">
        <v>7.09</v>
      </c>
      <c r="DR37" s="61">
        <v>21.6</v>
      </c>
      <c r="DS37" s="64">
        <v>1.133</v>
      </c>
      <c r="DT37" s="61">
        <v>86.1</v>
      </c>
      <c r="DU37" s="63">
        <v>4.1900000000000004</v>
      </c>
      <c r="DV37" s="64">
        <v>1.8779999999999999</v>
      </c>
      <c r="DW37" s="64">
        <v>0.59599999999999997</v>
      </c>
      <c r="DX37" s="66" t="s">
        <v>242</v>
      </c>
      <c r="DY37" s="65" t="str">
        <f t="shared" si="41"/>
        <v>ME</v>
      </c>
      <c r="DZ37" s="128">
        <v>30</v>
      </c>
      <c r="EA37" s="173">
        <f t="shared" si="42"/>
        <v>0.11965240641711231</v>
      </c>
      <c r="EB37" s="173">
        <f t="shared" si="43"/>
        <v>0.13970588235294118</v>
      </c>
      <c r="EC37" s="173">
        <f t="shared" si="44"/>
        <v>0.88826815642458101</v>
      </c>
      <c r="ED37" s="63">
        <v>1.1200000000000001</v>
      </c>
      <c r="EE37" s="63">
        <v>1.19</v>
      </c>
      <c r="EF37" s="63">
        <v>0.05</v>
      </c>
      <c r="EG37" s="63">
        <v>0.08</v>
      </c>
      <c r="EH37" s="127" t="str">
        <f t="shared" si="5"/>
        <v>ME</v>
      </c>
      <c r="EI37" s="56">
        <v>30</v>
      </c>
      <c r="EJ37" s="334"/>
      <c r="EK37" s="334"/>
      <c r="EL37" s="334"/>
      <c r="EM37" s="334"/>
      <c r="EN37" s="334"/>
      <c r="EO37" s="334"/>
      <c r="EP37" s="334"/>
      <c r="EQ37" s="65" t="str">
        <f t="shared" si="45"/>
        <v>ME</v>
      </c>
      <c r="ER37" s="20"/>
      <c r="ES37" s="20"/>
      <c r="ET37" s="20"/>
      <c r="EU37" s="20"/>
      <c r="EV37" s="20"/>
      <c r="EW37" s="20"/>
      <c r="EX37" s="20"/>
    </row>
    <row r="38" spans="1:154" s="3" customFormat="1" ht="17.149999999999999" customHeight="1" thickBot="1" x14ac:dyDescent="0.4">
      <c r="A38" s="56">
        <v>31</v>
      </c>
      <c r="B38" s="57">
        <v>906632</v>
      </c>
      <c r="C38" s="58">
        <f>IF(Sept.!B8="","",IF(Sept.!B8=B38,"",(Sept.!B8-B38)))</f>
        <v>161</v>
      </c>
      <c r="D38" s="167">
        <v>9.67</v>
      </c>
      <c r="E38" s="59">
        <v>811131</v>
      </c>
      <c r="F38" s="58">
        <f>IF(Sept.!E8="","",IF(Sept.!E8=E38,"",(Sept.!E8-E38)))</f>
        <v>214</v>
      </c>
      <c r="G38" s="168">
        <v>2.14</v>
      </c>
      <c r="H38" s="57">
        <v>765459</v>
      </c>
      <c r="I38" s="58">
        <f>IF(Sept.!H8="","",IF(Sept.!H8=H38,"",(Sept.!H8-H38)))</f>
        <v>141</v>
      </c>
      <c r="J38" s="60" t="s">
        <v>194</v>
      </c>
      <c r="K38" s="56">
        <v>31</v>
      </c>
      <c r="L38" s="57">
        <v>70845</v>
      </c>
      <c r="M38" s="58" t="str">
        <f>IF(Sept.!L8="","",IF(Sept.!L8=L38,"",(Sept.!L8-L38)))</f>
        <v/>
      </c>
      <c r="N38" s="59">
        <v>180553</v>
      </c>
      <c r="O38" s="58">
        <f>IF(Sept.!N8="","",IF(Sept.!N8=N38,"",(Sept.!N8-N38)))</f>
        <v>49</v>
      </c>
      <c r="P38" s="57">
        <v>194749</v>
      </c>
      <c r="Q38" s="58" t="str">
        <f>IF(Sept.!P8="","",IF(Sept.!P8=P38,"",(Sept.!P8-P38)))</f>
        <v/>
      </c>
      <c r="R38" s="57">
        <v>687</v>
      </c>
      <c r="S38" s="57">
        <v>694</v>
      </c>
      <c r="T38" s="57">
        <v>144</v>
      </c>
      <c r="U38" s="57">
        <v>141</v>
      </c>
      <c r="V38" s="58" t="str">
        <f t="shared" si="10"/>
        <v>ME</v>
      </c>
      <c r="W38" s="56">
        <v>31</v>
      </c>
      <c r="X38" s="63">
        <v>11981.27</v>
      </c>
      <c r="Y38" s="130">
        <f>IF(Sept.!X8="","",IF(Sept.!X8=X38,"",Sept.!X8-X38))</f>
        <v>1.8899999999994179</v>
      </c>
      <c r="Z38" s="63">
        <v>12749.62</v>
      </c>
      <c r="AA38" s="130">
        <f>IF(Sept.!Z8="","",IF(Sept.!Z8=Z38,"",Sept.!Z8-Z38))</f>
        <v>2.6199999999989814</v>
      </c>
      <c r="AB38" s="63">
        <v>10016.18</v>
      </c>
      <c r="AC38" s="130">
        <f>IF(Sept.!AB8="","",IF(Sept.!AB8=AB38,"",Sept.!AB8-AB38))</f>
        <v>2.1999999999989086</v>
      </c>
      <c r="AD38" s="63">
        <v>10170.9</v>
      </c>
      <c r="AE38" s="130">
        <f>IF(Sept.!AD8="","",IF(Sept.!AD8=AD38,"",Sept.!AD8-AD38))</f>
        <v>1.5599999999994907</v>
      </c>
      <c r="AF38" s="125" t="str">
        <f t="shared" si="14"/>
        <v>ME</v>
      </c>
      <c r="AG38" s="56">
        <v>31</v>
      </c>
      <c r="AH38" s="63">
        <v>47934.93</v>
      </c>
      <c r="AI38" s="130">
        <f>IF(Sept.!AH8="","",IF(Sept.!AH8=AH38,"",Sept.!AH8-AH38))</f>
        <v>15.129999999997381</v>
      </c>
      <c r="AJ38" s="63">
        <v>50107.98</v>
      </c>
      <c r="AK38" s="130">
        <f>IF(Sept.!AJ8="","",IF(Sept.!AJ8=AJ38,"",Sept.!AJ8-AJ38))</f>
        <v>13.399999999994179</v>
      </c>
      <c r="AL38" s="63">
        <v>592.20000000000005</v>
      </c>
      <c r="AM38" s="130" t="str">
        <f>IF(Sept.!AL8="","",IF(Sept.!AL8=AL38,"",Sept.!AL8-AL38))</f>
        <v/>
      </c>
      <c r="AN38" s="63">
        <v>553.37</v>
      </c>
      <c r="AO38" s="130" t="str">
        <f>IF(Sept.!AN8="","",IF(Sept.!AN8=AN38,"",Sept.!AN8-AN38))</f>
        <v/>
      </c>
      <c r="AP38" s="125" t="str">
        <f t="shared" si="18"/>
        <v>ME</v>
      </c>
      <c r="AQ38" s="56">
        <v>31</v>
      </c>
      <c r="AR38" s="63">
        <v>6914.3</v>
      </c>
      <c r="AS38" s="130">
        <f>IF(Sept.!AR8="","",IF(Sept.!AR8=AR38,"",Sept.!AR8-AR38))</f>
        <v>2.5399999999999636</v>
      </c>
      <c r="AT38" s="63">
        <v>7701.67</v>
      </c>
      <c r="AU38" s="130">
        <f>IF(Sept.!AT8="","",IF(Sept.!AT8=AT38,"",Sept.!AT8-AT38))</f>
        <v>2.4799999999995634</v>
      </c>
      <c r="AV38" s="63">
        <v>260.45999999999998</v>
      </c>
      <c r="AW38" s="130" t="str">
        <f>IF(Sept.!AV8="","",IF(Sept.!AV8=AV38,"",Sept.!AV8-AV38))</f>
        <v/>
      </c>
      <c r="AX38" s="63">
        <v>246.45</v>
      </c>
      <c r="AY38" s="130" t="str">
        <f>IF(Sept.!AX8="","",IF(Sept.!AX8=AX38,"",Sept.!AX8-AX38))</f>
        <v/>
      </c>
      <c r="AZ38" s="125" t="str">
        <f t="shared" si="22"/>
        <v>ME</v>
      </c>
      <c r="BA38" s="56">
        <v>31</v>
      </c>
      <c r="BB38" s="64">
        <v>1.81</v>
      </c>
      <c r="BC38" s="62">
        <v>61</v>
      </c>
      <c r="BD38" s="61">
        <v>6.9</v>
      </c>
      <c r="BE38" s="61">
        <v>19.7</v>
      </c>
      <c r="BF38" s="61">
        <v>15.1</v>
      </c>
      <c r="BG38" s="61">
        <v>6.9</v>
      </c>
      <c r="BH38" s="64">
        <v>0.20100000000000001</v>
      </c>
      <c r="BI38" s="64">
        <v>0.161</v>
      </c>
      <c r="BJ38" s="64">
        <v>6.2E-2</v>
      </c>
      <c r="BK38" s="64">
        <v>5.8999999999999997E-2</v>
      </c>
      <c r="BL38" s="64">
        <v>6.8000000000000005E-2</v>
      </c>
      <c r="BM38" s="64">
        <v>6.3E-2</v>
      </c>
      <c r="BN38" s="65" t="str">
        <f t="shared" si="23"/>
        <v>ME</v>
      </c>
      <c r="BO38" s="56">
        <v>31</v>
      </c>
      <c r="BP38" s="64">
        <v>9.7000000000000003E-2</v>
      </c>
      <c r="BQ38" s="62">
        <v>0</v>
      </c>
      <c r="BR38" s="61">
        <v>7</v>
      </c>
      <c r="BS38" s="61">
        <v>21.3</v>
      </c>
      <c r="BT38" s="61">
        <v>19.899999999999999</v>
      </c>
      <c r="BU38" s="64">
        <v>1.7000000000000001E-2</v>
      </c>
      <c r="BV38" s="63">
        <v>1.1599999999999999</v>
      </c>
      <c r="BW38" s="63">
        <v>1.04</v>
      </c>
      <c r="BX38" s="66" t="s">
        <v>285</v>
      </c>
      <c r="BY38" s="172" t="s">
        <v>246</v>
      </c>
      <c r="BZ38" s="67" t="str">
        <f t="shared" si="24"/>
        <v>ME</v>
      </c>
      <c r="CA38" s="56">
        <v>31</v>
      </c>
      <c r="CB38" s="61">
        <v>92</v>
      </c>
      <c r="CC38" s="61"/>
      <c r="CD38" s="68">
        <f>IF(Sept.!CB8="","",IF(CC38="",IF(CB38=Sept.!CB8,"",(CB38-Sept.!CB8)),IF(CC38=Sept.!CB8,"",(CC38-Sept.!CB8))))</f>
        <v>1.5999999999999943</v>
      </c>
      <c r="CE38" s="69">
        <f t="shared" si="26"/>
        <v>7.4468239999999746</v>
      </c>
      <c r="CF38" s="69">
        <f t="shared" si="27"/>
        <v>6.3377225531914672</v>
      </c>
      <c r="CG38" s="62">
        <v>73</v>
      </c>
      <c r="CH38" s="62">
        <v>100</v>
      </c>
      <c r="CI38" s="65" t="str">
        <f t="shared" si="28"/>
        <v>ME</v>
      </c>
      <c r="CJ38" s="56">
        <v>31</v>
      </c>
      <c r="CK38" s="61">
        <v>96.5</v>
      </c>
      <c r="CL38" s="61"/>
      <c r="CM38" s="68">
        <f>IF(Sept.!CK8="","",IF(CL38="",IF(CK38=Sept.!CK8,"",(CK38-Sept.!CK8)),IF(CL38=Sept.!CK8,"",(CL38-Sept.!CK8))))</f>
        <v>1.7000000000000028</v>
      </c>
      <c r="CN38" s="68">
        <f t="shared" si="30"/>
        <v>7.9122505000000141</v>
      </c>
      <c r="CO38" s="68">
        <f t="shared" si="31"/>
        <v>19.542275846739166</v>
      </c>
      <c r="CP38" s="62">
        <v>55</v>
      </c>
      <c r="CQ38" s="62">
        <v>83</v>
      </c>
      <c r="CR38" s="65" t="str">
        <f t="shared" si="32"/>
        <v>ME</v>
      </c>
      <c r="CS38" s="56">
        <v>31</v>
      </c>
      <c r="CT38" s="61">
        <v>104.4</v>
      </c>
      <c r="CU38" s="61"/>
      <c r="CV38" s="68">
        <f>IF(Sept.!CT8="","",IF(CU38="",IF(CT38=Sept.!CT8,"",(CT38-Sept.!CT8)),IF(CU38=Sept.!CT8,"",(CU38-Sept.!CT8))))</f>
        <v>1.8000000000000114</v>
      </c>
      <c r="CW38" s="68">
        <f t="shared" si="34"/>
        <v>11.959632000000076</v>
      </c>
      <c r="CX38" s="69">
        <f t="shared" si="35"/>
        <v>7.4283428571429042E-2</v>
      </c>
      <c r="CY38" s="66" t="s">
        <v>240</v>
      </c>
      <c r="CZ38" s="66" t="s">
        <v>241</v>
      </c>
      <c r="DA38" s="66"/>
      <c r="DB38" s="65" t="str">
        <f t="shared" si="36"/>
        <v>ME</v>
      </c>
      <c r="DC38" s="56">
        <v>31</v>
      </c>
      <c r="DD38" s="61">
        <v>79.8</v>
      </c>
      <c r="DE38" s="61">
        <v>104.4</v>
      </c>
      <c r="DF38" s="68">
        <f>IF(Sept.!DD8="","",IF(DE38="",IF(DD38=Sept.!DD8,"",(DD38-Sept.!DD8)),IF(DE38=Sept.!DD8,"",(DE38-Sept.!DD8))))</f>
        <v>18.200000000000003</v>
      </c>
      <c r="DG38" s="69">
        <f t="shared" si="38"/>
        <v>0.98191236416000027</v>
      </c>
      <c r="DH38" s="68">
        <f t="shared" si="39"/>
        <v>6.098834560000002</v>
      </c>
      <c r="DI38" s="62">
        <v>91</v>
      </c>
      <c r="DJ38" s="62">
        <v>54</v>
      </c>
      <c r="DK38" s="65" t="str">
        <f t="shared" si="40"/>
        <v>ME</v>
      </c>
      <c r="DL38" s="56">
        <v>31</v>
      </c>
      <c r="DM38" s="63">
        <v>8.11</v>
      </c>
      <c r="DN38" s="64">
        <v>3.5000000000000003E-2</v>
      </c>
      <c r="DO38" s="64">
        <v>3.1E-2</v>
      </c>
      <c r="DP38" s="64">
        <v>7.0999999999999994E-2</v>
      </c>
      <c r="DQ38" s="63">
        <v>7.08</v>
      </c>
      <c r="DR38" s="61">
        <v>21.5</v>
      </c>
      <c r="DS38" s="64">
        <v>1.119</v>
      </c>
      <c r="DT38" s="61">
        <v>86.5</v>
      </c>
      <c r="DU38" s="63">
        <v>4.2300000000000004</v>
      </c>
      <c r="DV38" s="64">
        <v>1.3819999999999999</v>
      </c>
      <c r="DW38" s="64">
        <v>0.84699999999999998</v>
      </c>
      <c r="DX38" s="66" t="s">
        <v>242</v>
      </c>
      <c r="DY38" s="65" t="str">
        <f t="shared" si="41"/>
        <v>ME</v>
      </c>
      <c r="DZ38" s="128">
        <v>31</v>
      </c>
      <c r="EA38" s="173">
        <f t="shared" si="42"/>
        <v>0.10762032085561497</v>
      </c>
      <c r="EB38" s="173">
        <f t="shared" si="43"/>
        <v>0.15735294117647058</v>
      </c>
      <c r="EC38" s="173">
        <f t="shared" si="44"/>
        <v>0.87577639751552794</v>
      </c>
      <c r="ED38" s="63">
        <v>1.1000000000000001</v>
      </c>
      <c r="EE38" s="63">
        <v>1.18</v>
      </c>
      <c r="EF38" s="63">
        <v>0.05</v>
      </c>
      <c r="EG38" s="63">
        <v>0.06</v>
      </c>
      <c r="EH38" s="127" t="str">
        <f t="shared" si="5"/>
        <v>ME</v>
      </c>
      <c r="EI38" s="56">
        <v>31</v>
      </c>
      <c r="EJ38" s="334"/>
      <c r="EK38" s="334"/>
      <c r="EL38" s="334"/>
      <c r="EM38" s="334"/>
      <c r="EN38" s="334"/>
      <c r="EO38" s="334"/>
      <c r="EP38" s="334"/>
      <c r="EQ38" s="65" t="str">
        <f t="shared" si="45"/>
        <v>ME</v>
      </c>
      <c r="ER38" s="20"/>
      <c r="ES38" s="20"/>
      <c r="ET38" s="20"/>
      <c r="EU38" s="20"/>
      <c r="EV38" s="20"/>
      <c r="EW38" s="20"/>
      <c r="EX38" s="20"/>
    </row>
    <row r="39" spans="1:154" s="3" customFormat="1" ht="18.649999999999999" customHeight="1" thickBot="1" x14ac:dyDescent="0.4">
      <c r="A39" s="73"/>
      <c r="B39" s="74"/>
      <c r="C39" s="74"/>
      <c r="D39" s="75"/>
      <c r="E39" s="74"/>
      <c r="F39" s="74"/>
      <c r="G39" s="75"/>
      <c r="H39" s="74"/>
      <c r="I39" s="74"/>
      <c r="J39" s="73"/>
      <c r="K39" s="73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3"/>
      <c r="W39" s="73"/>
      <c r="X39" s="75"/>
      <c r="Y39" s="75"/>
      <c r="Z39" s="75"/>
      <c r="AA39" s="75"/>
      <c r="AB39" s="75"/>
      <c r="AC39" s="75"/>
      <c r="AD39" s="75"/>
      <c r="AE39" s="75"/>
      <c r="AF39" s="73"/>
      <c r="AG39" s="73"/>
      <c r="AH39" s="75"/>
      <c r="AI39" s="75"/>
      <c r="AJ39" s="75"/>
      <c r="AK39" s="75"/>
      <c r="AL39" s="75"/>
      <c r="AM39" s="75"/>
      <c r="AN39" s="75"/>
      <c r="AO39" s="75"/>
      <c r="AP39" s="73"/>
      <c r="AQ39" s="73"/>
      <c r="AR39" s="75"/>
      <c r="AS39" s="75"/>
      <c r="AT39" s="75"/>
      <c r="AU39" s="75"/>
      <c r="AV39" s="75"/>
      <c r="AW39" s="75"/>
      <c r="AX39" s="75"/>
      <c r="AY39" s="75"/>
      <c r="AZ39" s="73"/>
      <c r="BA39" s="73"/>
      <c r="BB39" s="124"/>
      <c r="BC39" s="74"/>
      <c r="BD39" s="73"/>
      <c r="BE39" s="73"/>
      <c r="BF39" s="73"/>
      <c r="BG39" s="73"/>
      <c r="BH39" s="124"/>
      <c r="BI39" s="124"/>
      <c r="BJ39" s="124"/>
      <c r="BK39" s="124"/>
      <c r="BL39" s="124"/>
      <c r="BM39" s="124"/>
      <c r="BN39" s="73"/>
      <c r="BO39" s="73"/>
      <c r="BP39" s="124"/>
      <c r="BQ39" s="74"/>
      <c r="BR39" s="73"/>
      <c r="BS39" s="73"/>
      <c r="BT39" s="73"/>
      <c r="BU39" s="124"/>
      <c r="BV39" s="75"/>
      <c r="BW39" s="75"/>
      <c r="BX39" s="73"/>
      <c r="BY39" s="73"/>
      <c r="BZ39" s="73"/>
      <c r="CA39" s="73"/>
      <c r="CB39" s="73"/>
      <c r="CC39" s="73"/>
      <c r="CD39" s="73"/>
      <c r="CE39" s="75"/>
      <c r="CF39" s="75"/>
      <c r="CG39" s="74"/>
      <c r="CH39" s="74"/>
      <c r="CI39" s="73"/>
      <c r="CJ39" s="73"/>
      <c r="CK39" s="73"/>
      <c r="CL39" s="73"/>
      <c r="CM39" s="73"/>
      <c r="CN39" s="73"/>
      <c r="CO39" s="73"/>
      <c r="CP39" s="74"/>
      <c r="CQ39" s="74"/>
      <c r="CR39" s="73"/>
      <c r="CS39" s="73"/>
      <c r="CT39" s="73"/>
      <c r="CU39" s="73"/>
      <c r="CV39" s="73"/>
      <c r="CW39" s="73"/>
      <c r="CX39" s="75"/>
      <c r="CY39" s="74"/>
      <c r="CZ39" s="74"/>
      <c r="DA39" s="74"/>
      <c r="DB39" s="73"/>
      <c r="DC39" s="73"/>
      <c r="DD39" s="73"/>
      <c r="DE39" s="73"/>
      <c r="DF39" s="73"/>
      <c r="DG39" s="75"/>
      <c r="DH39" s="73"/>
      <c r="DI39" s="74"/>
      <c r="DJ39" s="74"/>
      <c r="DK39" s="73"/>
      <c r="DL39" s="73"/>
      <c r="DM39" s="75"/>
      <c r="DN39" s="124"/>
      <c r="DO39" s="124"/>
      <c r="DP39" s="124"/>
      <c r="DQ39" s="75"/>
      <c r="DR39" s="73"/>
      <c r="DS39" s="124"/>
      <c r="DT39" s="73"/>
      <c r="DU39" s="75"/>
      <c r="DV39" s="124"/>
      <c r="DW39" s="124"/>
      <c r="DX39" s="124"/>
      <c r="DY39" s="73"/>
      <c r="DZ39" s="195" t="s">
        <v>199</v>
      </c>
      <c r="EA39" s="198">
        <f>IF(COUNT(EA7:EA37)=0,"",AVERAGE(EA7:EA37))*100</f>
        <v>13.531639928698752</v>
      </c>
      <c r="EB39" s="199">
        <f>IF(COUNT(EB7:EB37)=0,"",AVERAGE(EB7:EB37))*100</f>
        <v>15.433823529411764</v>
      </c>
      <c r="EC39" s="200">
        <f>IF(COUNT(EC7:EC37)=0,"",AVERAGE(EC7:EC37))*100</f>
        <v>82.946482481170293</v>
      </c>
      <c r="ED39" s="75"/>
      <c r="EE39" s="75"/>
      <c r="EF39" s="75"/>
      <c r="EG39" s="75"/>
      <c r="EH39" s="73"/>
      <c r="EI39" s="73"/>
      <c r="EJ39" s="351"/>
      <c r="EK39" s="351"/>
      <c r="EL39" s="351"/>
      <c r="EM39" s="351"/>
      <c r="EN39" s="351"/>
      <c r="EO39" s="351"/>
      <c r="EP39" s="351"/>
      <c r="EQ39" s="73"/>
      <c r="ER39" s="20"/>
      <c r="ES39" s="20"/>
      <c r="ET39" s="20"/>
      <c r="EU39" s="20"/>
      <c r="EV39" s="20"/>
      <c r="EW39" s="20"/>
      <c r="EX39" s="20"/>
    </row>
    <row r="40" spans="1:154" s="3" customFormat="1" ht="18.649999999999999" customHeight="1" x14ac:dyDescent="0.35">
      <c r="A40" s="56" t="s">
        <v>2</v>
      </c>
      <c r="B40" s="77"/>
      <c r="C40" s="78">
        <f>IF(COUNT(C8:C38)=0,"",SUM(C8:C38))</f>
        <v>6234</v>
      </c>
      <c r="D40" s="75"/>
      <c r="E40" s="74"/>
      <c r="F40" s="78">
        <f>IF(COUNT(F8:F38)=0,"",SUM(F8:F38))</f>
        <v>6511</v>
      </c>
      <c r="G40" s="81"/>
      <c r="H40" s="74"/>
      <c r="I40" s="78">
        <f>IF(COUNT(I8:I38)=0,"",SUM(I8:I38))</f>
        <v>5152</v>
      </c>
      <c r="J40" s="79"/>
      <c r="K40" s="56" t="s">
        <v>2</v>
      </c>
      <c r="L40" s="77"/>
      <c r="M40" s="78">
        <f>IF(COUNT(M8:M38)=0,"",SUM(M8:M38))</f>
        <v>366</v>
      </c>
      <c r="N40" s="74"/>
      <c r="O40" s="78">
        <f>IF(COUNT(O8:O38)=0,"",SUM(O8:O38))</f>
        <v>1321</v>
      </c>
      <c r="P40" s="74"/>
      <c r="Q40" s="78" t="str">
        <f>IF(COUNT(Q8:Q38)=0,"",SUM(Q8:Q38))</f>
        <v/>
      </c>
      <c r="R40" s="77"/>
      <c r="S40" s="77"/>
      <c r="T40" s="77"/>
      <c r="U40" s="77"/>
      <c r="V40" s="79"/>
      <c r="W40" s="56" t="s">
        <v>2</v>
      </c>
      <c r="X40" s="81"/>
      <c r="Y40" s="82">
        <f>IF(COUNT(Y8:Y38)=0,"",SUM(Y8:Y38))</f>
        <v>74.959999999999127</v>
      </c>
      <c r="Z40" s="75"/>
      <c r="AA40" s="82">
        <f>IF(COUNT(AA8:AA38)=0,"",SUM(AA8:AA38))</f>
        <v>73.459999999999127</v>
      </c>
      <c r="AB40" s="75"/>
      <c r="AC40" s="82">
        <f>IF(COUNT(AC8:AC38)=0,"",SUM(AC8:AC38))</f>
        <v>55.489999999999782</v>
      </c>
      <c r="AD40" s="75"/>
      <c r="AE40" s="82">
        <f>IF(COUNT(AE8:AE38)=0,"",SUM(AE8:AE38))</f>
        <v>60.479999999999563</v>
      </c>
      <c r="AF40" s="79"/>
      <c r="AG40" s="56" t="s">
        <v>2</v>
      </c>
      <c r="AH40" s="81"/>
      <c r="AI40" s="82">
        <f>IF(COUNT(AI8:AI38)=0,"",SUM(AI8:AI38))</f>
        <v>365.37999999999738</v>
      </c>
      <c r="AJ40" s="75"/>
      <c r="AK40" s="82">
        <f>IF(COUNT(AK8:AK38)=0,"",SUM(AK8:AK38))</f>
        <v>384.63999999999942</v>
      </c>
      <c r="AL40" s="75"/>
      <c r="AM40" s="82">
        <f>IF(COUNT(AM8:AM38)=0,"",SUM(AM8:AM38))</f>
        <v>0.97000000000002728</v>
      </c>
      <c r="AN40" s="75"/>
      <c r="AO40" s="82">
        <f>IF(COUNT(AO8:AO38)=0,"",SUM(AO8:AO38))</f>
        <v>1.2699999999999818</v>
      </c>
      <c r="AP40" s="79"/>
      <c r="AQ40" s="56" t="s">
        <v>2</v>
      </c>
      <c r="AR40" s="81"/>
      <c r="AS40" s="82">
        <f>IF(COUNT(AS8:AS38)=0,"",SUM(AS8:AS38))</f>
        <v>61.569999999999709</v>
      </c>
      <c r="AT40" s="75"/>
      <c r="AU40" s="82">
        <f>IF(COUNT(AU8:AU38)=0,"",SUM(AU8:AU38))</f>
        <v>71.229999999999563</v>
      </c>
      <c r="AV40" s="75"/>
      <c r="AW40" s="82">
        <f>IF(COUNT(AW8:AW38)=0,"",SUM(AW8:AW38))</f>
        <v>1.4399999999999977</v>
      </c>
      <c r="AX40" s="75"/>
      <c r="AY40" s="82">
        <f>IF(COUNT(AY8:AY38)=0,"",SUM(AY8:AY38))</f>
        <v>1.0999999999999943</v>
      </c>
      <c r="AZ40" s="79"/>
      <c r="BA40" s="264" t="s">
        <v>2</v>
      </c>
      <c r="BB40" s="265">
        <f>COUNTA(BB8:BB38)</f>
        <v>22</v>
      </c>
      <c r="BC40" s="265">
        <f t="shared" ref="BC40:BM40" si="46">COUNTA(BC8:BC38)</f>
        <v>22</v>
      </c>
      <c r="BD40" s="265">
        <f t="shared" si="46"/>
        <v>22</v>
      </c>
      <c r="BE40" s="265">
        <f t="shared" si="46"/>
        <v>22</v>
      </c>
      <c r="BF40" s="265">
        <f t="shared" si="46"/>
        <v>22</v>
      </c>
      <c r="BG40" s="265">
        <f t="shared" si="46"/>
        <v>22</v>
      </c>
      <c r="BH40" s="265">
        <f t="shared" si="46"/>
        <v>22</v>
      </c>
      <c r="BI40" s="265">
        <f t="shared" si="46"/>
        <v>22</v>
      </c>
      <c r="BJ40" s="265">
        <f t="shared" si="46"/>
        <v>22</v>
      </c>
      <c r="BK40" s="265">
        <f t="shared" si="46"/>
        <v>22</v>
      </c>
      <c r="BL40" s="265">
        <f t="shared" si="46"/>
        <v>22</v>
      </c>
      <c r="BM40" s="265">
        <f t="shared" si="46"/>
        <v>22</v>
      </c>
      <c r="BN40" s="266" t="s">
        <v>208</v>
      </c>
      <c r="BO40" s="264" t="s">
        <v>2</v>
      </c>
      <c r="BP40" s="265">
        <f t="shared" ref="BP40:BW40" si="47">COUNTA(BP8:BP38)</f>
        <v>31</v>
      </c>
      <c r="BQ40" s="265">
        <f t="shared" si="47"/>
        <v>26</v>
      </c>
      <c r="BR40" s="265">
        <f t="shared" si="47"/>
        <v>26</v>
      </c>
      <c r="BS40" s="265">
        <f t="shared" si="47"/>
        <v>26</v>
      </c>
      <c r="BT40" s="265">
        <f t="shared" si="47"/>
        <v>26</v>
      </c>
      <c r="BU40" s="265">
        <f t="shared" si="47"/>
        <v>26</v>
      </c>
      <c r="BV40" s="265">
        <f t="shared" si="47"/>
        <v>31</v>
      </c>
      <c r="BW40" s="265">
        <f t="shared" si="47"/>
        <v>31</v>
      </c>
      <c r="BX40" s="267" t="s">
        <v>208</v>
      </c>
      <c r="BY40" s="83"/>
      <c r="BZ40" s="73"/>
      <c r="CA40" s="56" t="s">
        <v>2</v>
      </c>
      <c r="CB40" s="73"/>
      <c r="CC40" s="73"/>
      <c r="CD40" s="80">
        <f>IF(COUNT(CD8:CD38)=0,"",SUM(CD8:CD38))</f>
        <v>61.400000000000006</v>
      </c>
      <c r="CE40" s="82">
        <f>IF(COUNT(CE8:CE38)=0,"",SUM(CE8:CE38))</f>
        <v>285.77187100000009</v>
      </c>
      <c r="CF40" s="75"/>
      <c r="CG40" s="74"/>
      <c r="CH40" s="74"/>
      <c r="CI40" s="73"/>
      <c r="CJ40" s="56" t="s">
        <v>2</v>
      </c>
      <c r="CK40" s="73"/>
      <c r="CL40" s="73"/>
      <c r="CM40" s="80">
        <f>IF(COUNT(CM8:CM38)=0,"",SUM(CM8:CM38))</f>
        <v>74.7</v>
      </c>
      <c r="CN40" s="80">
        <f>IF(COUNT(CN8:CN38)=0,"",SUM(CN8:CN38))</f>
        <v>347.67359550000015</v>
      </c>
      <c r="CO40" s="73"/>
      <c r="CP40" s="74"/>
      <c r="CQ40" s="74"/>
      <c r="CR40" s="73"/>
      <c r="CS40" s="56" t="s">
        <v>2</v>
      </c>
      <c r="CT40" s="73"/>
      <c r="CU40" s="73"/>
      <c r="CV40" s="80">
        <f>IF(COUNT(CV8:CV38)=0,"",SUM(CV8:CV38))</f>
        <v>66.5</v>
      </c>
      <c r="CW40" s="80">
        <f>IF(COUNT(CW8:CW38)=0,"",SUM(CW8:CW38))</f>
        <v>441.84195999999997</v>
      </c>
      <c r="CX40" s="75"/>
      <c r="CY40" s="74"/>
      <c r="CZ40" s="74"/>
      <c r="DA40" s="74"/>
      <c r="DB40" s="73"/>
      <c r="DC40" s="56" t="s">
        <v>2</v>
      </c>
      <c r="DD40" s="73"/>
      <c r="DE40" s="73"/>
      <c r="DF40" s="80">
        <f>IF(COUNT(DF8:DF38)=0,"",SUM(DF8:DF38))</f>
        <v>656.39999999999986</v>
      </c>
      <c r="DG40" s="82">
        <f>IF(COUNT(DG8:DG38)=0,"",SUM(DG8:DG38))</f>
        <v>35.413586584319994</v>
      </c>
      <c r="DH40" s="73"/>
      <c r="DI40" s="74"/>
      <c r="DJ40" s="74"/>
      <c r="DK40" s="73"/>
      <c r="DL40" s="56" t="s">
        <v>2</v>
      </c>
      <c r="DM40" s="75"/>
      <c r="DN40" s="124"/>
      <c r="DO40" s="124"/>
      <c r="DP40" s="124"/>
      <c r="DQ40" s="75"/>
      <c r="DR40" s="73"/>
      <c r="DS40" s="124"/>
      <c r="DT40" s="73">
        <v>1.1000000000000001</v>
      </c>
      <c r="DU40" s="75"/>
      <c r="DV40" s="124"/>
      <c r="DW40" s="124"/>
      <c r="DX40" s="124"/>
      <c r="DY40" s="73"/>
      <c r="DZ40" s="84" t="s">
        <v>27</v>
      </c>
      <c r="EA40" s="82">
        <f>IF(COUNT(EA8:EA38)=0,"",MIN(EA8:EA38))*100</f>
        <v>7.8208556149732615</v>
      </c>
      <c r="EB40" s="82">
        <f>IF(COUNT(EB8:EB38)=0,"",MIN(EB8:EB38))*100</f>
        <v>12.058823529411764</v>
      </c>
      <c r="EC40" s="82">
        <f>IF(COUNT(EC8:EC38)=0,"",MIN(EC8:EC38))*100</f>
        <v>50.78125</v>
      </c>
      <c r="ED40" s="82">
        <f>IF(COUNT(ED8:ED38)=0,"",MIN(ED8:ED38))</f>
        <v>0</v>
      </c>
      <c r="EE40" s="75"/>
      <c r="EF40" s="75"/>
      <c r="EG40" s="75"/>
      <c r="EH40" s="73"/>
      <c r="EI40" s="73"/>
      <c r="EJ40" s="351"/>
      <c r="EK40" s="351"/>
      <c r="EL40" s="351"/>
      <c r="EM40" s="351"/>
      <c r="EN40" s="351"/>
      <c r="EO40" s="351"/>
      <c r="EP40" s="351"/>
      <c r="EQ40" s="73"/>
      <c r="ER40" s="20"/>
      <c r="ES40" s="20"/>
      <c r="ET40" s="20"/>
      <c r="EU40" s="20"/>
      <c r="EV40" s="20"/>
      <c r="EW40" s="20"/>
      <c r="EX40" s="20"/>
    </row>
    <row r="41" spans="1:154" s="3" customFormat="1" ht="18" customHeight="1" x14ac:dyDescent="0.35">
      <c r="A41" s="56" t="s">
        <v>7</v>
      </c>
      <c r="B41" s="77"/>
      <c r="C41" s="78">
        <f>IF(COUNT(C8:C38)=0,"",AVERAGE(C8:C38))</f>
        <v>201.09677419354838</v>
      </c>
      <c r="D41" s="75"/>
      <c r="E41" s="74"/>
      <c r="F41" s="78">
        <f>IF(COUNT(F8:F38)=0,"",AVERAGE(F8:F38))</f>
        <v>210.03225806451613</v>
      </c>
      <c r="G41" s="81"/>
      <c r="H41" s="74"/>
      <c r="I41" s="78">
        <f>IF(COUNT(I8:I38)=0,"",AVERAGE(I8:I38))</f>
        <v>166.19354838709677</v>
      </c>
      <c r="J41" s="79"/>
      <c r="K41" s="56" t="s">
        <v>7</v>
      </c>
      <c r="L41" s="77"/>
      <c r="M41" s="78">
        <f>IF(COUNT(M8:M38)=0,"",AVERAGE(M8:M38))</f>
        <v>45.75</v>
      </c>
      <c r="N41" s="74"/>
      <c r="O41" s="78">
        <f>IF(COUNT(O8:O38)=0,"",AVERAGE(O8:O38))</f>
        <v>42.612903225806448</v>
      </c>
      <c r="P41" s="74"/>
      <c r="Q41" s="78" t="str">
        <f>IF(COUNT(Q8:Q38)=0,"",AVERAGE(Q8:Q38))</f>
        <v/>
      </c>
      <c r="R41" s="77"/>
      <c r="S41" s="77"/>
      <c r="T41" s="77"/>
      <c r="U41" s="77"/>
      <c r="V41" s="79"/>
      <c r="W41" s="56" t="s">
        <v>7</v>
      </c>
      <c r="X41" s="75"/>
      <c r="Y41" s="75"/>
      <c r="Z41" s="75"/>
      <c r="AA41" s="75"/>
      <c r="AB41" s="75"/>
      <c r="AC41" s="75"/>
      <c r="AD41" s="75"/>
      <c r="AE41" s="75"/>
      <c r="AF41" s="79"/>
      <c r="AG41" s="56" t="s">
        <v>7</v>
      </c>
      <c r="AH41" s="75"/>
      <c r="AI41" s="75"/>
      <c r="AJ41" s="75"/>
      <c r="AK41" s="75"/>
      <c r="AL41" s="75"/>
      <c r="AM41" s="75"/>
      <c r="AN41" s="75"/>
      <c r="AO41" s="75"/>
      <c r="AP41" s="79"/>
      <c r="AQ41" s="56" t="s">
        <v>7</v>
      </c>
      <c r="AR41" s="75"/>
      <c r="AS41" s="75"/>
      <c r="AT41" s="75"/>
      <c r="AU41" s="75"/>
      <c r="AV41" s="75"/>
      <c r="AW41" s="75"/>
      <c r="AX41" s="75"/>
      <c r="AY41" s="75"/>
      <c r="AZ41" s="79"/>
      <c r="BA41" s="56" t="s">
        <v>7</v>
      </c>
      <c r="BB41" s="84">
        <f>IF(COUNT(BB8:BB38)=0,"",AVERAGE(BB8:BB38))</f>
        <v>1.5845454545454545</v>
      </c>
      <c r="BC41" s="78">
        <f t="shared" ref="BC41:BM41" si="48">IF(COUNT(BC8:BC38)=0,"",AVERAGE(BC8:BC38))</f>
        <v>46.18181818181818</v>
      </c>
      <c r="BD41" s="80">
        <f t="shared" si="48"/>
        <v>7.040909090909091</v>
      </c>
      <c r="BE41" s="80">
        <f t="shared" si="48"/>
        <v>21.159090909090907</v>
      </c>
      <c r="BF41" s="80">
        <f t="shared" si="48"/>
        <v>15.904545454545456</v>
      </c>
      <c r="BG41" s="80">
        <f t="shared" si="48"/>
        <v>7.040909090909091</v>
      </c>
      <c r="BH41" s="84">
        <f t="shared" si="48"/>
        <v>0.25377272727272726</v>
      </c>
      <c r="BI41" s="84">
        <f t="shared" si="48"/>
        <v>0.22327272727272732</v>
      </c>
      <c r="BJ41" s="84">
        <f t="shared" si="48"/>
        <v>7.0318181818181821E-2</v>
      </c>
      <c r="BK41" s="84">
        <f t="shared" si="48"/>
        <v>6.5318181818181817E-2</v>
      </c>
      <c r="BL41" s="84">
        <f t="shared" si="48"/>
        <v>6.2181818181818199E-2</v>
      </c>
      <c r="BM41" s="84">
        <f t="shared" si="48"/>
        <v>6.3772727272727273E-2</v>
      </c>
      <c r="BN41" s="73"/>
      <c r="BO41" s="56" t="s">
        <v>7</v>
      </c>
      <c r="BP41" s="84">
        <f>IF(COUNT(BP8:BP38)=0,"",AVERAGE(BP8:BP38))</f>
        <v>9.7290322580645197E-2</v>
      </c>
      <c r="BQ41" s="78">
        <f t="shared" ref="BQ41:BW41" si="49">IF(COUNT(BQ8:BQ38)=0,"",AVERAGE(BQ8:BQ38))</f>
        <v>0</v>
      </c>
      <c r="BR41" s="80">
        <f t="shared" si="49"/>
        <v>7.1307692307692285</v>
      </c>
      <c r="BS41" s="80">
        <f t="shared" si="49"/>
        <v>21.876923076923074</v>
      </c>
      <c r="BT41" s="80">
        <f t="shared" si="49"/>
        <v>18.126923076923077</v>
      </c>
      <c r="BU41" s="84">
        <f t="shared" si="49"/>
        <v>1.8269230769230777E-2</v>
      </c>
      <c r="BV41" s="82">
        <f t="shared" si="49"/>
        <v>1.1270967741935483</v>
      </c>
      <c r="BW41" s="82">
        <f t="shared" si="49"/>
        <v>0.95290322580645148</v>
      </c>
      <c r="BX41" s="75"/>
      <c r="BY41" s="83"/>
      <c r="BZ41" s="73"/>
      <c r="CA41" s="56" t="s">
        <v>7</v>
      </c>
      <c r="CB41" s="73"/>
      <c r="CC41" s="73"/>
      <c r="CD41" s="80">
        <f>IF(COUNT(CD8:CD38)=0,"",AVERAGE(CD8:CD38))</f>
        <v>1.9806451612903229</v>
      </c>
      <c r="CE41" s="82">
        <f>IF(COUNT(CE8:CE38)=0,"",AVERAGE(CE8:CE38))</f>
        <v>9.2184474516129065</v>
      </c>
      <c r="CF41" s="82">
        <f>IF(COUNT(CF8:CF38)=0,"",AVERAGE(CF8:CF38))</f>
        <v>6.6416760266847579</v>
      </c>
      <c r="CG41" s="74"/>
      <c r="CH41" s="74"/>
      <c r="CI41" s="73"/>
      <c r="CJ41" s="56" t="s">
        <v>7</v>
      </c>
      <c r="CK41" s="73"/>
      <c r="CL41" s="73"/>
      <c r="CM41" s="80">
        <f>IF(COUNT(CM8:CM38)=0,"",AVERAGE(CM8:CM38))</f>
        <v>2.4096774193548387</v>
      </c>
      <c r="CN41" s="80">
        <f>IF(COUNT(CN8:CN38)=0,"",AVERAGE(CN8:CN38))</f>
        <v>11.215277274193554</v>
      </c>
      <c r="CO41" s="80">
        <f>IF(COUNT(CO8:CO38)=0,"",AVERAGE(CO8:CO38))</f>
        <v>22.185579921654856</v>
      </c>
      <c r="CP41" s="74"/>
      <c r="CQ41" s="74"/>
      <c r="CR41" s="73"/>
      <c r="CS41" s="56" t="s">
        <v>7</v>
      </c>
      <c r="CT41" s="73"/>
      <c r="CU41" s="73"/>
      <c r="CV41" s="80">
        <f>IF(COUNT(CV8:CV38)=0,"",AVERAGE(CV8:CV38))</f>
        <v>2.1451612903225805</v>
      </c>
      <c r="CW41" s="80">
        <f>IF(COUNT(CW8:CW38)=0,"",AVERAGE(CW8:CW38))</f>
        <v>14.252966451612902</v>
      </c>
      <c r="CX41" s="82">
        <f>IF(COUNT(CX8:CX38)=0,"",AVERAGE(CX8:CX38))</f>
        <v>7.0827639106284701E-2</v>
      </c>
      <c r="CY41" s="74"/>
      <c r="CZ41" s="74"/>
      <c r="DA41" s="74"/>
      <c r="DB41" s="73"/>
      <c r="DC41" s="56" t="s">
        <v>7</v>
      </c>
      <c r="DD41" s="73"/>
      <c r="DE41" s="73"/>
      <c r="DF41" s="80">
        <f>IF(COUNT(DF8:DF38)=0,"",AVERAGE(DF8:DF38))</f>
        <v>21.174193548387091</v>
      </c>
      <c r="DG41" s="82">
        <f>IF(COUNT(DG8:DG38)=0,"",AVERAGE(DG8:DG38))</f>
        <v>1.1423737607845159</v>
      </c>
      <c r="DH41" s="80">
        <f>IF(COUNT(DH8:DH38)=0,"",AVERAGE(DH8:DH38))</f>
        <v>5.7016386935454513</v>
      </c>
      <c r="DI41" s="74"/>
      <c r="DJ41" s="74"/>
      <c r="DK41" s="73"/>
      <c r="DL41" s="56" t="s">
        <v>7</v>
      </c>
      <c r="DM41" s="82">
        <f t="shared" ref="DM41:DW41" si="50">IF(COUNT(DM8:DM38)=0,"",AVERAGE(DM8:DM38))</f>
        <v>8.1883870967741927</v>
      </c>
      <c r="DN41" s="84">
        <f t="shared" si="50"/>
        <v>3.3032258064516144E-2</v>
      </c>
      <c r="DO41" s="84">
        <f t="shared" si="50"/>
        <v>3.1645161290322604E-2</v>
      </c>
      <c r="DP41" s="84">
        <f t="shared" si="50"/>
        <v>7.0870967741935492E-2</v>
      </c>
      <c r="DQ41" s="82">
        <f t="shared" si="50"/>
        <v>7.0277419354838715</v>
      </c>
      <c r="DR41" s="80">
        <f t="shared" si="50"/>
        <v>21.893548387096772</v>
      </c>
      <c r="DS41" s="84">
        <f t="shared" si="50"/>
        <v>1.1443225806451611</v>
      </c>
      <c r="DT41" s="80">
        <f t="shared" si="50"/>
        <v>85.564516129032242</v>
      </c>
      <c r="DU41" s="82">
        <f t="shared" si="50"/>
        <v>4.2258064516129039</v>
      </c>
      <c r="DV41" s="84">
        <f t="shared" si="50"/>
        <v>1.1687741935483869</v>
      </c>
      <c r="DW41" s="84">
        <f t="shared" si="50"/>
        <v>1.338870967741935</v>
      </c>
      <c r="DX41" s="124"/>
      <c r="DY41" s="73"/>
      <c r="DZ41" s="84" t="s">
        <v>28</v>
      </c>
      <c r="EA41" s="82">
        <f>IF(COUNT(EA8:EA38)=0,"",MAX(EA8:EA38))*100</f>
        <v>20.454545454545457</v>
      </c>
      <c r="EB41" s="82">
        <f>IF(COUNT(EB8:EB38)=0,"",MAX(EB8:EB38))*100</f>
        <v>21.25</v>
      </c>
      <c r="EC41" s="82">
        <f>IF(COUNT(EC8:EC38)=0,"",MAX(EC8:EC38))*100</f>
        <v>91.83673469387756</v>
      </c>
      <c r="ED41" s="75"/>
      <c r="EE41" s="82">
        <f>IF(COUNT(EE8:EE38)=0,"",MAX(EE8:EE38))</f>
        <v>5.63</v>
      </c>
      <c r="EF41" s="82">
        <f>IF(COUNT(EF8:EF38)=0,"",MAX(EF8:EF38))</f>
        <v>0.06</v>
      </c>
      <c r="EG41" s="82">
        <f>IF(COUNT(EG8:EG38)=0,"",MAX(EG8:EG38))</f>
        <v>0.14000000000000001</v>
      </c>
      <c r="EH41" s="73"/>
      <c r="EI41" s="73"/>
      <c r="EJ41" s="351"/>
      <c r="EK41" s="351"/>
      <c r="EL41" s="351"/>
      <c r="EM41" s="351"/>
      <c r="EN41" s="351"/>
      <c r="EO41" s="351"/>
      <c r="EP41" s="351"/>
      <c r="EQ41" s="73"/>
      <c r="ER41" s="20"/>
      <c r="ES41" s="20"/>
      <c r="ET41" s="20"/>
      <c r="EU41" s="20"/>
      <c r="EV41" s="20"/>
      <c r="EW41" s="20"/>
      <c r="EX41" s="20"/>
    </row>
    <row r="42" spans="1:154" ht="25.5" customHeight="1" x14ac:dyDescent="0.5">
      <c r="A42" s="314" t="s">
        <v>450</v>
      </c>
      <c r="B42" s="314"/>
      <c r="C42" s="314"/>
      <c r="D42" s="314"/>
      <c r="E42" s="314"/>
      <c r="F42" s="315" t="s">
        <v>115</v>
      </c>
      <c r="G42" s="315"/>
      <c r="H42" s="315"/>
      <c r="I42" s="315"/>
      <c r="J42" s="315"/>
      <c r="K42" s="314" t="str">
        <f>IF(A42="","",A42)</f>
        <v xml:space="preserve"> Drinking Water System</v>
      </c>
      <c r="L42" s="314"/>
      <c r="M42" s="314"/>
      <c r="N42" s="314"/>
      <c r="O42" s="315" t="s">
        <v>125</v>
      </c>
      <c r="P42" s="315"/>
      <c r="Q42" s="315"/>
      <c r="R42" s="315"/>
      <c r="S42" s="315"/>
      <c r="T42" s="315"/>
      <c r="U42" s="315"/>
      <c r="V42" s="315"/>
      <c r="W42" s="314" t="str">
        <f>IF(A42="","",A42)</f>
        <v xml:space="preserve"> Drinking Water System</v>
      </c>
      <c r="X42" s="314"/>
      <c r="Y42" s="314"/>
      <c r="Z42" s="314"/>
      <c r="AA42" s="314"/>
      <c r="AB42" s="315" t="s">
        <v>129</v>
      </c>
      <c r="AC42" s="315"/>
      <c r="AD42" s="315"/>
      <c r="AE42" s="315"/>
      <c r="AF42" s="315"/>
      <c r="AG42" s="314" t="str">
        <f>IF(A42="","",A42)</f>
        <v xml:space="preserve"> Drinking Water System</v>
      </c>
      <c r="AH42" s="314"/>
      <c r="AI42" s="314"/>
      <c r="AJ42" s="314"/>
      <c r="AK42" s="314"/>
      <c r="AL42" s="315" t="s">
        <v>93</v>
      </c>
      <c r="AM42" s="315"/>
      <c r="AN42" s="315"/>
      <c r="AO42" s="315"/>
      <c r="AP42" s="315"/>
      <c r="AQ42" s="314" t="str">
        <f>IF(A42="","",A42)</f>
        <v xml:space="preserve"> Drinking Water System</v>
      </c>
      <c r="AR42" s="314"/>
      <c r="AS42" s="314"/>
      <c r="AT42" s="314"/>
      <c r="AU42" s="314"/>
      <c r="AV42" s="315" t="s">
        <v>135</v>
      </c>
      <c r="AW42" s="315"/>
      <c r="AX42" s="315"/>
      <c r="AY42" s="315"/>
      <c r="AZ42" s="315"/>
      <c r="BA42" s="314" t="str">
        <f>IF(A42="","",A42)</f>
        <v xml:space="preserve"> Drinking Water System</v>
      </c>
      <c r="BB42" s="314"/>
      <c r="BC42" s="314"/>
      <c r="BD42" s="314"/>
      <c r="BE42" s="314"/>
      <c r="BF42" s="352" t="s">
        <v>145</v>
      </c>
      <c r="BG42" s="352"/>
      <c r="BH42" s="352"/>
      <c r="BI42" s="352"/>
      <c r="BJ42" s="352"/>
      <c r="BK42" s="352"/>
      <c r="BL42" s="352"/>
      <c r="BM42" s="352"/>
      <c r="BN42" s="352"/>
      <c r="BO42" s="314" t="str">
        <f>IF(A42="","",A42)</f>
        <v xml:space="preserve"> Drinking Water System</v>
      </c>
      <c r="BP42" s="314"/>
      <c r="BQ42" s="314"/>
      <c r="BR42" s="314"/>
      <c r="BS42" s="314"/>
      <c r="BT42" s="315" t="s">
        <v>100</v>
      </c>
      <c r="BU42" s="315"/>
      <c r="BV42" s="315"/>
      <c r="BW42" s="315"/>
      <c r="BX42" s="315"/>
      <c r="BY42" s="315"/>
      <c r="BZ42" s="315"/>
      <c r="CA42" s="314" t="str">
        <f>IF(A42="","",A42)</f>
        <v xml:space="preserve"> Drinking Water System</v>
      </c>
      <c r="CB42" s="314"/>
      <c r="CC42" s="314"/>
      <c r="CD42" s="314"/>
      <c r="CE42" s="315" t="s">
        <v>154</v>
      </c>
      <c r="CF42" s="315"/>
      <c r="CG42" s="315"/>
      <c r="CH42" s="315"/>
      <c r="CI42" s="315"/>
      <c r="CJ42" s="314" t="str">
        <f>IF(A42="","",A42)</f>
        <v xml:space="preserve"> Drinking Water System</v>
      </c>
      <c r="CK42" s="314"/>
      <c r="CL42" s="314"/>
      <c r="CM42" s="314"/>
      <c r="CN42" s="315" t="s">
        <v>155</v>
      </c>
      <c r="CO42" s="315"/>
      <c r="CP42" s="315"/>
      <c r="CQ42" s="315"/>
      <c r="CR42" s="315"/>
      <c r="CS42" s="314" t="str">
        <f>IF(A42="","",A42)</f>
        <v xml:space="preserve"> Drinking Water System</v>
      </c>
      <c r="CT42" s="314"/>
      <c r="CU42" s="314"/>
      <c r="CV42" s="314"/>
      <c r="CW42" s="315" t="s">
        <v>101</v>
      </c>
      <c r="CX42" s="315"/>
      <c r="CY42" s="315"/>
      <c r="CZ42" s="315"/>
      <c r="DA42" s="315"/>
      <c r="DB42" s="315"/>
      <c r="DC42" s="314" t="str">
        <f>IF(A42="","",A42)</f>
        <v xml:space="preserve"> Drinking Water System</v>
      </c>
      <c r="DD42" s="314"/>
      <c r="DE42" s="314"/>
      <c r="DF42" s="314"/>
      <c r="DG42" s="315" t="s">
        <v>159</v>
      </c>
      <c r="DH42" s="315"/>
      <c r="DI42" s="315"/>
      <c r="DJ42" s="315"/>
      <c r="DK42" s="315"/>
      <c r="DL42" s="324" t="str">
        <f>IF(A42="","",A42)</f>
        <v xml:space="preserve"> Drinking Water System</v>
      </c>
      <c r="DM42" s="324"/>
      <c r="DN42" s="324"/>
      <c r="DO42" s="324"/>
      <c r="DP42" s="324"/>
      <c r="DQ42" s="325" t="s">
        <v>168</v>
      </c>
      <c r="DR42" s="325"/>
      <c r="DS42" s="325"/>
      <c r="DT42" s="325"/>
      <c r="DU42" s="325"/>
      <c r="DV42" s="325"/>
      <c r="DW42" s="325"/>
      <c r="DX42" s="325"/>
      <c r="DY42" s="325"/>
      <c r="DZ42" s="324" t="str">
        <f>IF(A42="","",A42)</f>
        <v xml:space="preserve"> Drinking Water System</v>
      </c>
      <c r="EA42" s="324"/>
      <c r="EB42" s="324"/>
      <c r="EC42" s="324"/>
      <c r="ED42" s="324"/>
      <c r="EE42" s="324"/>
      <c r="EF42" s="325" t="s">
        <v>91</v>
      </c>
      <c r="EG42" s="325"/>
      <c r="EH42" s="325"/>
      <c r="EI42" s="314" t="str">
        <f>IF(A42="","",A42)</f>
        <v xml:space="preserve"> Drinking Water System</v>
      </c>
      <c r="EJ42" s="314"/>
      <c r="EK42" s="314"/>
      <c r="EL42" s="314"/>
      <c r="EM42" s="315" t="s">
        <v>33</v>
      </c>
      <c r="EN42" s="315"/>
      <c r="EO42" s="315"/>
      <c r="EP42" s="315"/>
      <c r="EQ42" s="315"/>
    </row>
    <row r="43" spans="1:154" ht="14.15" customHeight="1" x14ac:dyDescent="0.35"/>
    <row r="44" spans="1:154" s="10" customFormat="1" ht="14.15" customHeight="1" x14ac:dyDescent="0.35">
      <c r="A44" s="20"/>
      <c r="B44" s="5"/>
      <c r="C44" s="5"/>
      <c r="D44" s="23"/>
      <c r="E44" s="5"/>
      <c r="F44" s="5"/>
      <c r="G44" s="23"/>
      <c r="H44" s="5"/>
      <c r="I44" s="5"/>
      <c r="J44" s="20"/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3"/>
      <c r="Y44" s="23"/>
      <c r="Z44" s="23"/>
      <c r="AA44" s="23"/>
      <c r="AB44" s="23"/>
      <c r="AC44" s="23"/>
      <c r="AD44" s="23"/>
      <c r="AE44" s="23"/>
      <c r="AF44" s="22"/>
      <c r="AG44" s="20"/>
      <c r="AH44" s="20"/>
      <c r="AI44" s="5"/>
      <c r="AJ44" s="5"/>
      <c r="AK44" s="5"/>
      <c r="AL44" s="5"/>
      <c r="AM44" s="5"/>
      <c r="AN44" s="5"/>
      <c r="AO44" s="22"/>
      <c r="AP44" s="5"/>
      <c r="AQ44" s="5"/>
      <c r="AR44" s="23"/>
      <c r="AS44" s="23"/>
      <c r="AT44" s="23"/>
      <c r="AU44" s="23"/>
      <c r="AV44" s="23"/>
      <c r="AW44" s="23"/>
      <c r="AX44" s="23"/>
      <c r="AY44" s="23"/>
      <c r="AZ44" s="5"/>
      <c r="BA44" s="38"/>
      <c r="BB44" s="38"/>
      <c r="BC44" s="11"/>
      <c r="BD44" s="12"/>
      <c r="BE44" s="12"/>
      <c r="BF44" s="12"/>
      <c r="BG44" s="12"/>
      <c r="BH44" s="38"/>
      <c r="BI44" s="38"/>
      <c r="BJ44" s="38"/>
      <c r="BK44" s="38"/>
      <c r="BL44" s="38"/>
      <c r="BM44" s="38"/>
      <c r="BN44" s="12"/>
      <c r="BO44" s="13"/>
      <c r="BP44" s="38"/>
      <c r="BQ44" s="11"/>
      <c r="BR44" s="12"/>
      <c r="BS44" s="12"/>
      <c r="BT44" s="12"/>
      <c r="BU44" s="38"/>
      <c r="BV44" s="13"/>
      <c r="BW44" s="13"/>
      <c r="BX44" s="12"/>
      <c r="BY44" s="11"/>
      <c r="BZ44" s="11"/>
      <c r="CB44" s="12"/>
      <c r="CC44" s="12"/>
      <c r="CD44" s="12"/>
      <c r="CE44" s="13"/>
      <c r="CF44" s="13"/>
      <c r="CG44" s="11"/>
      <c r="CH44" s="11"/>
      <c r="CI44" s="12"/>
      <c r="CJ44" s="13"/>
      <c r="CK44" s="12"/>
      <c r="CL44" s="12"/>
      <c r="CM44" s="12"/>
      <c r="CN44" s="12"/>
      <c r="CO44" s="12"/>
      <c r="CU44" s="13"/>
      <c r="CV44" s="11"/>
      <c r="CW44" s="12"/>
      <c r="CX44" s="13"/>
      <c r="CY44" s="12"/>
      <c r="CZ44" s="12"/>
      <c r="DA44" s="38"/>
      <c r="DB44" s="12"/>
      <c r="DC44" s="38"/>
      <c r="DD44" s="12"/>
      <c r="DE44" s="12"/>
      <c r="DF44" s="12"/>
      <c r="DG44" s="13"/>
      <c r="DH44" s="12"/>
      <c r="DI44" s="11"/>
      <c r="DJ44" s="11"/>
      <c r="DK44" s="38"/>
      <c r="DM44" s="13"/>
      <c r="DN44" s="38"/>
      <c r="DO44" s="38"/>
      <c r="DP44" s="38"/>
      <c r="DQ44" s="13"/>
      <c r="DR44" s="12"/>
      <c r="DS44" s="38"/>
      <c r="DT44" s="12"/>
      <c r="DU44" s="13"/>
      <c r="DV44" s="38"/>
      <c r="DW44" s="38"/>
      <c r="EB44" s="55"/>
      <c r="EC44" s="55"/>
      <c r="ED44" s="13"/>
      <c r="EE44" s="13"/>
      <c r="EF44" s="13"/>
      <c r="EG44" s="13"/>
    </row>
    <row r="45" spans="1:154" ht="22.5" customHeight="1" x14ac:dyDescent="0.35"/>
  </sheetData>
  <sheetProtection selectLockedCells="1"/>
  <mergeCells count="280">
    <mergeCell ref="A3:E3"/>
    <mergeCell ref="F3:J3"/>
    <mergeCell ref="K3:N3"/>
    <mergeCell ref="O3:V3"/>
    <mergeCell ref="W3:AA3"/>
    <mergeCell ref="AB3:AF3"/>
    <mergeCell ref="AG3:AK3"/>
    <mergeCell ref="AL3:AP3"/>
    <mergeCell ref="BO1:BZ2"/>
    <mergeCell ref="A1:J2"/>
    <mergeCell ref="K1:V2"/>
    <mergeCell ref="W1:AF2"/>
    <mergeCell ref="AG1:AP2"/>
    <mergeCell ref="AQ1:AZ2"/>
    <mergeCell ref="BA1:BN2"/>
    <mergeCell ref="BA3:BE3"/>
    <mergeCell ref="BF3:BN3"/>
    <mergeCell ref="BO3:BS3"/>
    <mergeCell ref="BT3:BZ3"/>
    <mergeCell ref="EI1:EQ2"/>
    <mergeCell ref="CA1:CI2"/>
    <mergeCell ref="CJ1:CR2"/>
    <mergeCell ref="CS1:DB2"/>
    <mergeCell ref="DC1:DK2"/>
    <mergeCell ref="DL1:DP2"/>
    <mergeCell ref="DZ1:EA2"/>
    <mergeCell ref="EB1:EG2"/>
    <mergeCell ref="EI3:EL3"/>
    <mergeCell ref="EM3:EQ3"/>
    <mergeCell ref="DG3:DK3"/>
    <mergeCell ref="DL3:DP3"/>
    <mergeCell ref="DQ3:DY3"/>
    <mergeCell ref="DZ3:EE3"/>
    <mergeCell ref="EF3:EH3"/>
    <mergeCell ref="BF5:BF7"/>
    <mergeCell ref="BH5:BH7"/>
    <mergeCell ref="A4:A7"/>
    <mergeCell ref="B4:D4"/>
    <mergeCell ref="E4:G4"/>
    <mergeCell ref="H4:I4"/>
    <mergeCell ref="J4:J7"/>
    <mergeCell ref="K4:K7"/>
    <mergeCell ref="G5:G7"/>
    <mergeCell ref="H5:H7"/>
    <mergeCell ref="I5:I7"/>
    <mergeCell ref="P5:P7"/>
    <mergeCell ref="Q5:Q7"/>
    <mergeCell ref="P4:Q4"/>
    <mergeCell ref="R4:U4"/>
    <mergeCell ref="V4:V7"/>
    <mergeCell ref="W4:W7"/>
    <mergeCell ref="X4:AA4"/>
    <mergeCell ref="AB4:AE4"/>
    <mergeCell ref="R5:R7"/>
    <mergeCell ref="S5:S7"/>
    <mergeCell ref="T5:T7"/>
    <mergeCell ref="U5:U7"/>
    <mergeCell ref="X5:Y5"/>
    <mergeCell ref="BX5:BX7"/>
    <mergeCell ref="BY5:BY7"/>
    <mergeCell ref="L4:M4"/>
    <mergeCell ref="N4:O4"/>
    <mergeCell ref="DC3:DF3"/>
    <mergeCell ref="CA3:CD3"/>
    <mergeCell ref="CE3:CI3"/>
    <mergeCell ref="CJ3:CM3"/>
    <mergeCell ref="CN3:CR3"/>
    <mergeCell ref="CS3:CV3"/>
    <mergeCell ref="CW3:DB3"/>
    <mergeCell ref="AQ3:AU3"/>
    <mergeCell ref="AV3:AZ3"/>
    <mergeCell ref="AZ4:AZ7"/>
    <mergeCell ref="BA4:BA7"/>
    <mergeCell ref="BB4:BF4"/>
    <mergeCell ref="BG4:BG7"/>
    <mergeCell ref="BH4:BI4"/>
    <mergeCell ref="AV5:AW5"/>
    <mergeCell ref="AX5:AY5"/>
    <mergeCell ref="BB5:BB7"/>
    <mergeCell ref="BC5:BC7"/>
    <mergeCell ref="BD5:BD7"/>
    <mergeCell ref="BE5:BE7"/>
    <mergeCell ref="CA4:CA7"/>
    <mergeCell ref="CB4:CB7"/>
    <mergeCell ref="CC4:CC7"/>
    <mergeCell ref="CD4:CD7"/>
    <mergeCell ref="CE4:CE7"/>
    <mergeCell ref="BI5:BI7"/>
    <mergeCell ref="BJ4:BK4"/>
    <mergeCell ref="BL4:BM4"/>
    <mergeCell ref="BJ5:BJ7"/>
    <mergeCell ref="BN4:BN7"/>
    <mergeCell ref="BO4:BO7"/>
    <mergeCell ref="BP4:BV4"/>
    <mergeCell ref="BW4:BY4"/>
    <mergeCell ref="BK5:BK7"/>
    <mergeCell ref="BL5:BL7"/>
    <mergeCell ref="BM5:BM7"/>
    <mergeCell ref="BP5:BP7"/>
    <mergeCell ref="BQ5:BQ7"/>
    <mergeCell ref="BR5:BR7"/>
    <mergeCell ref="BS5:BS7"/>
    <mergeCell ref="BT5:BT7"/>
    <mergeCell ref="BU5:BU7"/>
    <mergeCell ref="BV5:BV7"/>
    <mergeCell ref="BW5:BW7"/>
    <mergeCell ref="EQ4:EQ7"/>
    <mergeCell ref="B5:B7"/>
    <mergeCell ref="C5:C7"/>
    <mergeCell ref="D5:D7"/>
    <mergeCell ref="E5:E7"/>
    <mergeCell ref="F5:F7"/>
    <mergeCell ref="CL4:CL7"/>
    <mergeCell ref="CM4:CM7"/>
    <mergeCell ref="CN4:CN7"/>
    <mergeCell ref="CO4:CO7"/>
    <mergeCell ref="DY4:DY7"/>
    <mergeCell ref="DZ4:DZ7"/>
    <mergeCell ref="EA4:EC4"/>
    <mergeCell ref="ED4:EE4"/>
    <mergeCell ref="EH4:EH7"/>
    <mergeCell ref="EI4:EI7"/>
    <mergeCell ref="EB5:EB7"/>
    <mergeCell ref="EC5:EC7"/>
    <mergeCell ref="ED5:EE5"/>
    <mergeCell ref="EF5:EF7"/>
    <mergeCell ref="L5:L7"/>
    <mergeCell ref="M5:M7"/>
    <mergeCell ref="N5:N7"/>
    <mergeCell ref="O5:O7"/>
    <mergeCell ref="Z5:AA5"/>
    <mergeCell ref="AB5:AC5"/>
    <mergeCell ref="AD5:AE5"/>
    <mergeCell ref="AH5:AI5"/>
    <mergeCell ref="AF4:AF7"/>
    <mergeCell ref="AG4:AG7"/>
    <mergeCell ref="AH4:AO4"/>
    <mergeCell ref="AJ5:AK5"/>
    <mergeCell ref="AI6:AI7"/>
    <mergeCell ref="AJ6:AJ7"/>
    <mergeCell ref="AK6:AK7"/>
    <mergeCell ref="AL6:AL7"/>
    <mergeCell ref="AM6:AM7"/>
    <mergeCell ref="AL5:AM5"/>
    <mergeCell ref="X6:X7"/>
    <mergeCell ref="Y6:Y7"/>
    <mergeCell ref="Z6:Z7"/>
    <mergeCell ref="AA6:AA7"/>
    <mergeCell ref="AB6:AB7"/>
    <mergeCell ref="AC6:AC7"/>
    <mergeCell ref="AD6:AD7"/>
    <mergeCell ref="AE6:AE7"/>
    <mergeCell ref="AH6:AH7"/>
    <mergeCell ref="AR6:AR7"/>
    <mergeCell ref="AS6:AS7"/>
    <mergeCell ref="AT6:AT7"/>
    <mergeCell ref="AU6:AU7"/>
    <mergeCell ref="AN6:AN7"/>
    <mergeCell ref="AP4:AP7"/>
    <mergeCell ref="AQ4:AQ7"/>
    <mergeCell ref="AR4:AU4"/>
    <mergeCell ref="AR5:AS5"/>
    <mergeCell ref="AT5:AU5"/>
    <mergeCell ref="AN5:AO5"/>
    <mergeCell ref="AO6:AO7"/>
    <mergeCell ref="AV6:AV7"/>
    <mergeCell ref="CX4:CX7"/>
    <mergeCell ref="CY4:CY7"/>
    <mergeCell ref="CZ4:CZ7"/>
    <mergeCell ref="DA4:DA7"/>
    <mergeCell ref="DB4:DB7"/>
    <mergeCell ref="AW6:AW7"/>
    <mergeCell ref="AX6:AX7"/>
    <mergeCell ref="AY6:AY7"/>
    <mergeCell ref="CV4:CV7"/>
    <mergeCell ref="CU4:CU7"/>
    <mergeCell ref="AV4:AY4"/>
    <mergeCell ref="CP4:CP7"/>
    <mergeCell ref="CQ4:CQ7"/>
    <mergeCell ref="CR4:CR7"/>
    <mergeCell ref="CS4:CS7"/>
    <mergeCell ref="CT4:CT7"/>
    <mergeCell ref="CF4:CF7"/>
    <mergeCell ref="CG4:CG7"/>
    <mergeCell ref="CH4:CH7"/>
    <mergeCell ref="CI4:CI7"/>
    <mergeCell ref="CJ4:CJ7"/>
    <mergeCell ref="CK4:CK7"/>
    <mergeCell ref="BZ4:BZ7"/>
    <mergeCell ref="DP5:DP7"/>
    <mergeCell ref="DP4:DU4"/>
    <mergeCell ref="CW4:CW7"/>
    <mergeCell ref="DM5:DM7"/>
    <mergeCell ref="DN5:DN7"/>
    <mergeCell ref="DQ5:DQ7"/>
    <mergeCell ref="DR5:DR7"/>
    <mergeCell ref="DS5:DS7"/>
    <mergeCell ref="DD4:DD7"/>
    <mergeCell ref="DI4:DI7"/>
    <mergeCell ref="DO5:DO7"/>
    <mergeCell ref="DJ4:DJ7"/>
    <mergeCell ref="DK4:DK7"/>
    <mergeCell ref="DL4:DL7"/>
    <mergeCell ref="DN4:DO4"/>
    <mergeCell ref="DE4:DE7"/>
    <mergeCell ref="DF4:DF7"/>
    <mergeCell ref="DG4:DG7"/>
    <mergeCell ref="DH4:DH7"/>
    <mergeCell ref="DC4:DC7"/>
    <mergeCell ref="DT5:DT7"/>
    <mergeCell ref="DU5:DU7"/>
    <mergeCell ref="DV5:DV7"/>
    <mergeCell ref="DW5:DW7"/>
    <mergeCell ref="DX5:DX7"/>
    <mergeCell ref="ED6:ED7"/>
    <mergeCell ref="EE6:EE7"/>
    <mergeCell ref="EJ21:EP21"/>
    <mergeCell ref="EJ22:EP22"/>
    <mergeCell ref="EA5:EA7"/>
    <mergeCell ref="EJ9:EP9"/>
    <mergeCell ref="EJ10:EP10"/>
    <mergeCell ref="EJ11:EP11"/>
    <mergeCell ref="EJ12:EP12"/>
    <mergeCell ref="EJ13:EP13"/>
    <mergeCell ref="EJ4:EP7"/>
    <mergeCell ref="EJ15:EP15"/>
    <mergeCell ref="EJ16:EP16"/>
    <mergeCell ref="EJ17:EP17"/>
    <mergeCell ref="EJ18:EP18"/>
    <mergeCell ref="EJ19:EP19"/>
    <mergeCell ref="EJ20:EP20"/>
    <mergeCell ref="DV4:DX4"/>
    <mergeCell ref="EJ14:EP14"/>
    <mergeCell ref="EG5:EG7"/>
    <mergeCell ref="EJ27:EP27"/>
    <mergeCell ref="EJ28:EP28"/>
    <mergeCell ref="EJ29:EP29"/>
    <mergeCell ref="EJ31:EP31"/>
    <mergeCell ref="EJ32:EP32"/>
    <mergeCell ref="DL42:DP42"/>
    <mergeCell ref="DQ42:DY42"/>
    <mergeCell ref="DZ42:EE42"/>
    <mergeCell ref="EJ23:EP23"/>
    <mergeCell ref="EJ24:EP24"/>
    <mergeCell ref="EJ25:EP25"/>
    <mergeCell ref="EJ26:EP26"/>
    <mergeCell ref="BF42:BN42"/>
    <mergeCell ref="BO42:BS42"/>
    <mergeCell ref="DC42:DF42"/>
    <mergeCell ref="DG42:DK42"/>
    <mergeCell ref="EJ33:EP33"/>
    <mergeCell ref="EJ34:EP34"/>
    <mergeCell ref="EJ35:EP35"/>
    <mergeCell ref="EJ36:EP36"/>
    <mergeCell ref="EJ37:EP37"/>
    <mergeCell ref="EJ38:EP38"/>
    <mergeCell ref="A42:E42"/>
    <mergeCell ref="F42:J42"/>
    <mergeCell ref="K42:N42"/>
    <mergeCell ref="O42:V42"/>
    <mergeCell ref="W42:AA42"/>
    <mergeCell ref="AB42:AF42"/>
    <mergeCell ref="CE42:CI42"/>
    <mergeCell ref="EJ39:EP39"/>
    <mergeCell ref="EJ40:EP40"/>
    <mergeCell ref="EJ41:EP41"/>
    <mergeCell ref="EF42:EH42"/>
    <mergeCell ref="EI42:EL42"/>
    <mergeCell ref="AG42:AK42"/>
    <mergeCell ref="BT42:BZ42"/>
    <mergeCell ref="CA42:CD42"/>
    <mergeCell ref="EM42:EQ42"/>
    <mergeCell ref="CW42:DB42"/>
    <mergeCell ref="CJ42:CM42"/>
    <mergeCell ref="CN42:CR42"/>
    <mergeCell ref="CS42:CV42"/>
    <mergeCell ref="AL42:AP42"/>
    <mergeCell ref="AQ42:AU42"/>
    <mergeCell ref="AV42:AZ42"/>
    <mergeCell ref="BA42:BE42"/>
  </mergeCells>
  <pageMargins left="0.23622047244094491" right="0.23622047244094491" top="0.31496062992125984" bottom="0.74803149606299213" header="0.31496062992125984" footer="0.31496062992125984"/>
  <pageSetup pageOrder="overThenDown" orientation="portrait" r:id="rId1"/>
  <headerFooter>
    <evenHeader>&amp;L&amp;28Red Lake WPCP&amp;R&amp;28New Plant</even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EX45"/>
  <sheetViews>
    <sheetView showGridLines="0" view="pageBreakPreview" zoomScaleNormal="100" zoomScaleSheetLayoutView="100" workbookViewId="0">
      <selection activeCell="H33" sqref="H33"/>
    </sheetView>
  </sheetViews>
  <sheetFormatPr defaultColWidth="9.1796875" defaultRowHeight="14.5" x14ac:dyDescent="0.35"/>
  <cols>
    <col min="1" max="1" width="6" style="20" customWidth="1"/>
    <col min="2" max="2" width="14" style="5" customWidth="1"/>
    <col min="3" max="3" width="8.54296875" style="5" customWidth="1"/>
    <col min="4" max="4" width="9.7265625" style="23" customWidth="1"/>
    <col min="5" max="5" width="14" style="5" customWidth="1"/>
    <col min="6" max="6" width="8.54296875" style="5" customWidth="1"/>
    <col min="7" max="7" width="9.7265625" style="23" customWidth="1"/>
    <col min="8" max="8" width="14" style="5" customWidth="1"/>
    <col min="9" max="9" width="8.54296875" style="5" customWidth="1"/>
    <col min="10" max="10" width="8.26953125" style="20" customWidth="1"/>
    <col min="11" max="11" width="5.54296875" style="20" customWidth="1"/>
    <col min="12" max="12" width="11.453125" style="5" customWidth="1"/>
    <col min="13" max="13" width="8" style="5" customWidth="1"/>
    <col min="14" max="14" width="11.453125" style="5" customWidth="1"/>
    <col min="15" max="15" width="8" style="5" customWidth="1"/>
    <col min="16" max="16" width="11.453125" style="5" customWidth="1"/>
    <col min="17" max="17" width="8" style="5" customWidth="1"/>
    <col min="18" max="21" width="7.453125" style="5" customWidth="1"/>
    <col min="22" max="22" width="7.7265625" style="5" customWidth="1"/>
    <col min="23" max="23" width="6" style="5" customWidth="1"/>
    <col min="24" max="24" width="12.7265625" style="23" customWidth="1"/>
    <col min="25" max="25" width="9" style="23" customWidth="1"/>
    <col min="26" max="26" width="12.7265625" style="23" customWidth="1"/>
    <col min="27" max="27" width="9" style="23" customWidth="1"/>
    <col min="28" max="28" width="12.7265625" style="23" customWidth="1"/>
    <col min="29" max="29" width="9" style="23" customWidth="1"/>
    <col min="30" max="30" width="12.7265625" style="23" customWidth="1"/>
    <col min="31" max="31" width="9" style="23" customWidth="1"/>
    <col min="32" max="32" width="8" style="22" customWidth="1"/>
    <col min="33" max="33" width="6" style="20" customWidth="1"/>
    <col min="34" max="34" width="12.7265625" style="20" customWidth="1"/>
    <col min="35" max="35" width="9" style="5" customWidth="1"/>
    <col min="36" max="36" width="12.7265625" style="5" customWidth="1"/>
    <col min="37" max="37" width="9" style="5" customWidth="1"/>
    <col min="38" max="38" width="12.7265625" style="5" customWidth="1"/>
    <col min="39" max="39" width="9" style="5" customWidth="1"/>
    <col min="40" max="40" width="12.7265625" style="5" customWidth="1"/>
    <col min="41" max="41" width="9" style="22" customWidth="1"/>
    <col min="42" max="42" width="8" style="5" customWidth="1"/>
    <col min="43" max="43" width="6" style="5" customWidth="1"/>
    <col min="44" max="44" width="12.7265625" style="23" customWidth="1"/>
    <col min="45" max="45" width="9" style="23" customWidth="1"/>
    <col min="46" max="46" width="12.7265625" style="23" customWidth="1"/>
    <col min="47" max="47" width="9" style="23" customWidth="1"/>
    <col min="48" max="48" width="12.7265625" style="23" customWidth="1"/>
    <col min="49" max="49" width="9" style="23" customWidth="1"/>
    <col min="50" max="50" width="12.7265625" style="23" customWidth="1"/>
    <col min="51" max="51" width="9" style="23" customWidth="1"/>
    <col min="52" max="52" width="8" style="5" customWidth="1"/>
    <col min="53" max="53" width="5.7265625" style="21" customWidth="1"/>
    <col min="54" max="54" width="7.1796875" style="23" customWidth="1"/>
    <col min="55" max="55" width="6.7265625" style="5" customWidth="1"/>
    <col min="56" max="57" width="6.7265625" style="22" customWidth="1"/>
    <col min="58" max="58" width="7.1796875" style="22" customWidth="1"/>
    <col min="59" max="59" width="6.7265625" style="22" customWidth="1"/>
    <col min="60" max="65" width="8" style="21" customWidth="1"/>
    <col min="66" max="66" width="6.81640625" style="22" customWidth="1"/>
    <col min="67" max="67" width="5.7265625" style="23" customWidth="1"/>
    <col min="68" max="68" width="8.54296875" style="21" customWidth="1"/>
    <col min="69" max="69" width="6.81640625" style="5" customWidth="1"/>
    <col min="70" max="70" width="6.7265625" style="22" customWidth="1"/>
    <col min="71" max="71" width="7.1796875" style="22" customWidth="1"/>
    <col min="72" max="72" width="8" style="22" customWidth="1"/>
    <col min="73" max="73" width="8.453125" style="21" customWidth="1"/>
    <col min="74" max="75" width="8.26953125" style="23" customWidth="1"/>
    <col min="76" max="76" width="8" style="22" customWidth="1"/>
    <col min="77" max="77" width="18.1796875" style="5" customWidth="1"/>
    <col min="78" max="78" width="7.453125" style="5" customWidth="1"/>
    <col min="79" max="79" width="7.1796875" style="20" customWidth="1"/>
    <col min="80" max="82" width="12" style="22" customWidth="1"/>
    <col min="83" max="84" width="12" style="23" customWidth="1"/>
    <col min="85" max="86" width="12" style="5" customWidth="1"/>
    <col min="87" max="87" width="9.1796875" style="22" customWidth="1"/>
    <col min="88" max="88" width="7.1796875" style="23" customWidth="1"/>
    <col min="89" max="93" width="12" style="22" customWidth="1"/>
    <col min="94" max="95" width="12" style="20" customWidth="1"/>
    <col min="96" max="96" width="9.1796875" style="20" customWidth="1"/>
    <col min="97" max="97" width="6.26953125" style="20" customWidth="1"/>
    <col min="98" max="98" width="9.453125" style="20" customWidth="1"/>
    <col min="99" max="99" width="13.81640625" style="23" customWidth="1"/>
    <col min="100" max="100" width="9.7265625" style="5" customWidth="1"/>
    <col min="101" max="101" width="9.7265625" style="22" customWidth="1"/>
    <col min="102" max="102" width="10" style="23" customWidth="1"/>
    <col min="103" max="104" width="12" style="22" customWidth="1"/>
    <col min="105" max="105" width="10.54296875" style="21" customWidth="1"/>
    <col min="106" max="106" width="8" style="22" customWidth="1"/>
    <col min="107" max="107" width="7.1796875" style="21" customWidth="1"/>
    <col min="108" max="110" width="12" style="22" customWidth="1"/>
    <col min="111" max="111" width="12" style="23" customWidth="1"/>
    <col min="112" max="112" width="12" style="22" customWidth="1"/>
    <col min="113" max="114" width="12" style="5" customWidth="1"/>
    <col min="115" max="115" width="9.1796875" style="21" customWidth="1"/>
    <col min="116" max="116" width="4.81640625" style="20" customWidth="1"/>
    <col min="117" max="117" width="6.453125" style="23" customWidth="1"/>
    <col min="118" max="120" width="7.7265625" style="21" customWidth="1"/>
    <col min="121" max="121" width="6.81640625" style="23" customWidth="1"/>
    <col min="122" max="122" width="6.81640625" style="22" customWidth="1"/>
    <col min="123" max="123" width="7.7265625" style="21" customWidth="1"/>
    <col min="124" max="124" width="7.1796875" style="22" customWidth="1"/>
    <col min="125" max="125" width="7.453125" style="23" customWidth="1"/>
    <col min="126" max="127" width="8.54296875" style="21" customWidth="1"/>
    <col min="128" max="128" width="7.1796875" style="20" customWidth="1"/>
    <col min="129" max="129" width="6.81640625" style="20" customWidth="1"/>
    <col min="130" max="130" width="6.54296875" style="20" customWidth="1"/>
    <col min="131" max="131" width="14.7265625" style="20" customWidth="1"/>
    <col min="132" max="133" width="13" style="54" customWidth="1"/>
    <col min="134" max="137" width="10" style="23" customWidth="1"/>
    <col min="138" max="138" width="11.453125" style="20" customWidth="1"/>
    <col min="139" max="139" width="7.26953125" style="20" customWidth="1"/>
    <col min="140" max="146" width="12" style="20" customWidth="1"/>
    <col min="147" max="16384" width="9.1796875" style="20"/>
  </cols>
  <sheetData>
    <row r="1" spans="1:154" ht="15" customHeight="1" x14ac:dyDescent="0.35">
      <c r="A1" s="373" t="s">
        <v>233</v>
      </c>
      <c r="B1" s="373"/>
      <c r="C1" s="373"/>
      <c r="D1" s="373"/>
      <c r="E1" s="373"/>
      <c r="F1" s="373"/>
      <c r="G1" s="373"/>
      <c r="H1" s="373"/>
      <c r="I1" s="373"/>
      <c r="J1" s="373"/>
      <c r="K1" s="345" t="str">
        <f>IF(A1="","",A1)</f>
        <v>September 2016</v>
      </c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 t="str">
        <f>IF(A1="","",A1)</f>
        <v>September 2016</v>
      </c>
      <c r="X1" s="345"/>
      <c r="Y1" s="345"/>
      <c r="Z1" s="345"/>
      <c r="AA1" s="345"/>
      <c r="AB1" s="345"/>
      <c r="AC1" s="345"/>
      <c r="AD1" s="345"/>
      <c r="AE1" s="345"/>
      <c r="AF1" s="345"/>
      <c r="AG1" s="345" t="str">
        <f>IF(A1="","",A1)</f>
        <v>September 2016</v>
      </c>
      <c r="AH1" s="345"/>
      <c r="AI1" s="345"/>
      <c r="AJ1" s="345"/>
      <c r="AK1" s="345"/>
      <c r="AL1" s="345"/>
      <c r="AM1" s="345"/>
      <c r="AN1" s="345"/>
      <c r="AO1" s="345"/>
      <c r="AP1" s="345"/>
      <c r="AQ1" s="345" t="str">
        <f>IF(A1="","",A1)</f>
        <v>September 2016</v>
      </c>
      <c r="AR1" s="345"/>
      <c r="AS1" s="345"/>
      <c r="AT1" s="345"/>
      <c r="AU1" s="345"/>
      <c r="AV1" s="345"/>
      <c r="AW1" s="345"/>
      <c r="AX1" s="345"/>
      <c r="AY1" s="345"/>
      <c r="AZ1" s="345"/>
      <c r="BA1" s="371" t="str">
        <f>IF(A1="","",A1)</f>
        <v>September 2016</v>
      </c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07" t="str">
        <f>IF(A1="","",A1)</f>
        <v>September 2016</v>
      </c>
      <c r="BP1" s="307"/>
      <c r="BQ1" s="307"/>
      <c r="BR1" s="307"/>
      <c r="BS1" s="307"/>
      <c r="BT1" s="307"/>
      <c r="BU1" s="307"/>
      <c r="BV1" s="307"/>
      <c r="BW1" s="307"/>
      <c r="BX1" s="307"/>
      <c r="BY1" s="307"/>
      <c r="BZ1" s="307"/>
      <c r="CA1" s="372" t="str">
        <f>IF(A1="","",A1)</f>
        <v>September 2016</v>
      </c>
      <c r="CB1" s="372"/>
      <c r="CC1" s="372"/>
      <c r="CD1" s="372"/>
      <c r="CE1" s="372"/>
      <c r="CF1" s="372"/>
      <c r="CG1" s="372"/>
      <c r="CH1" s="372"/>
      <c r="CI1" s="372"/>
      <c r="CJ1" s="372" t="str">
        <f>IF(A1="","",A1)</f>
        <v>September 2016</v>
      </c>
      <c r="CK1" s="372"/>
      <c r="CL1" s="372"/>
      <c r="CM1" s="372"/>
      <c r="CN1" s="372"/>
      <c r="CO1" s="372"/>
      <c r="CP1" s="372"/>
      <c r="CQ1" s="372"/>
      <c r="CR1" s="372"/>
      <c r="CS1" s="372" t="str">
        <f>IF(A1="","",A1)</f>
        <v>September 2016</v>
      </c>
      <c r="CT1" s="372"/>
      <c r="CU1" s="372"/>
      <c r="CV1" s="372"/>
      <c r="CW1" s="372"/>
      <c r="CX1" s="372"/>
      <c r="CY1" s="372"/>
      <c r="CZ1" s="372"/>
      <c r="DA1" s="372"/>
      <c r="DB1" s="372"/>
      <c r="DC1" s="372" t="str">
        <f>IF(A1="","",A1)</f>
        <v>September 2016</v>
      </c>
      <c r="DD1" s="372"/>
      <c r="DE1" s="372"/>
      <c r="DF1" s="372"/>
      <c r="DG1" s="372"/>
      <c r="DH1" s="372"/>
      <c r="DI1" s="372"/>
      <c r="DJ1" s="372"/>
      <c r="DK1" s="372"/>
      <c r="DL1" s="307" t="str">
        <f>IF(A1="","",A1)</f>
        <v>September 2016</v>
      </c>
      <c r="DM1" s="307"/>
      <c r="DN1" s="307"/>
      <c r="DO1" s="307"/>
      <c r="DP1" s="307"/>
      <c r="DQ1" s="53"/>
      <c r="DR1" s="85"/>
      <c r="DS1" s="39"/>
      <c r="DT1" s="85"/>
      <c r="DU1" s="53"/>
      <c r="DV1" s="39"/>
      <c r="DW1" s="39"/>
      <c r="DX1" s="39"/>
      <c r="DY1" s="126"/>
      <c r="DZ1" s="307" t="str">
        <f>IF(A1="","",A1)</f>
        <v>September 2016</v>
      </c>
      <c r="EA1" s="307"/>
      <c r="EB1" s="308" t="s">
        <v>196</v>
      </c>
      <c r="EC1" s="309"/>
      <c r="ED1" s="309"/>
      <c r="EE1" s="309"/>
      <c r="EF1" s="309"/>
      <c r="EG1" s="310"/>
      <c r="EH1" s="189"/>
      <c r="EI1" s="307" t="str">
        <f>IF(A1="","",A1)</f>
        <v>September 2016</v>
      </c>
      <c r="EJ1" s="307"/>
      <c r="EK1" s="307"/>
      <c r="EL1" s="307"/>
      <c r="EM1" s="307"/>
      <c r="EN1" s="307"/>
      <c r="EO1" s="307"/>
      <c r="EP1" s="307"/>
      <c r="EQ1" s="307"/>
    </row>
    <row r="2" spans="1:154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07"/>
      <c r="BP2" s="307"/>
      <c r="BQ2" s="307"/>
      <c r="BR2" s="307"/>
      <c r="BS2" s="307"/>
      <c r="BT2" s="307"/>
      <c r="BU2" s="307"/>
      <c r="BV2" s="307"/>
      <c r="BW2" s="307"/>
      <c r="BX2" s="307"/>
      <c r="BY2" s="307"/>
      <c r="BZ2" s="307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  <c r="CL2" s="372"/>
      <c r="CM2" s="372"/>
      <c r="CN2" s="372"/>
      <c r="CO2" s="372"/>
      <c r="CP2" s="372"/>
      <c r="CQ2" s="372"/>
      <c r="CR2" s="372"/>
      <c r="CS2" s="372"/>
      <c r="CT2" s="372"/>
      <c r="CU2" s="372"/>
      <c r="CV2" s="372"/>
      <c r="CW2" s="372"/>
      <c r="CX2" s="372"/>
      <c r="CY2" s="372"/>
      <c r="CZ2" s="372"/>
      <c r="DA2" s="372"/>
      <c r="DB2" s="372"/>
      <c r="DC2" s="372"/>
      <c r="DD2" s="372"/>
      <c r="DE2" s="372"/>
      <c r="DF2" s="372"/>
      <c r="DG2" s="372"/>
      <c r="DH2" s="372"/>
      <c r="DI2" s="372"/>
      <c r="DJ2" s="372"/>
      <c r="DK2" s="372"/>
      <c r="DL2" s="307"/>
      <c r="DM2" s="307"/>
      <c r="DN2" s="307"/>
      <c r="DO2" s="307"/>
      <c r="DP2" s="307"/>
      <c r="DQ2" s="53"/>
      <c r="DR2" s="85"/>
      <c r="DS2" s="39"/>
      <c r="DT2" s="85"/>
      <c r="DU2" s="53"/>
      <c r="DV2" s="39"/>
      <c r="DW2" s="39"/>
      <c r="DX2" s="39"/>
      <c r="DY2" s="126"/>
      <c r="DZ2" s="307"/>
      <c r="EA2" s="307"/>
      <c r="EB2" s="311"/>
      <c r="EC2" s="312"/>
      <c r="ED2" s="312"/>
      <c r="EE2" s="312"/>
      <c r="EF2" s="312"/>
      <c r="EG2" s="313"/>
      <c r="EH2" s="189"/>
      <c r="EI2" s="307"/>
      <c r="EJ2" s="307"/>
      <c r="EK2" s="307"/>
      <c r="EL2" s="307"/>
      <c r="EM2" s="307"/>
      <c r="EN2" s="307"/>
      <c r="EO2" s="307"/>
      <c r="EP2" s="307"/>
      <c r="EQ2" s="307"/>
    </row>
    <row r="3" spans="1:154" ht="25.5" customHeight="1" x14ac:dyDescent="0.25">
      <c r="A3" s="314" t="s">
        <v>449</v>
      </c>
      <c r="B3" s="314"/>
      <c r="C3" s="314"/>
      <c r="D3" s="314"/>
      <c r="E3" s="314"/>
      <c r="F3" s="315" t="s">
        <v>114</v>
      </c>
      <c r="G3" s="315"/>
      <c r="H3" s="315"/>
      <c r="I3" s="315"/>
      <c r="J3" s="315"/>
      <c r="K3" s="314" t="str">
        <f>IF(A3="","",A3)</f>
        <v>Drinking Water System</v>
      </c>
      <c r="L3" s="314"/>
      <c r="M3" s="314"/>
      <c r="N3" s="314"/>
      <c r="O3" s="315" t="s">
        <v>125</v>
      </c>
      <c r="P3" s="315"/>
      <c r="Q3" s="315"/>
      <c r="R3" s="315"/>
      <c r="S3" s="315"/>
      <c r="T3" s="315"/>
      <c r="U3" s="315"/>
      <c r="V3" s="315"/>
      <c r="W3" s="314" t="str">
        <f>IF(A3="","",A3)</f>
        <v>Drinking Water System</v>
      </c>
      <c r="X3" s="314"/>
      <c r="Y3" s="314"/>
      <c r="Z3" s="314"/>
      <c r="AA3" s="314"/>
      <c r="AB3" s="350" t="s">
        <v>129</v>
      </c>
      <c r="AC3" s="315"/>
      <c r="AD3" s="315"/>
      <c r="AE3" s="315"/>
      <c r="AF3" s="315"/>
      <c r="AG3" s="314" t="str">
        <f>IF(A3="","",A3)</f>
        <v>Drinking Water System</v>
      </c>
      <c r="AH3" s="314"/>
      <c r="AI3" s="314"/>
      <c r="AJ3" s="314"/>
      <c r="AK3" s="314"/>
      <c r="AL3" s="315" t="s">
        <v>93</v>
      </c>
      <c r="AM3" s="315"/>
      <c r="AN3" s="315"/>
      <c r="AO3" s="315"/>
      <c r="AP3" s="315"/>
      <c r="AQ3" s="314" t="str">
        <f>IF(A3="","",A3)</f>
        <v>Drinking Water System</v>
      </c>
      <c r="AR3" s="314"/>
      <c r="AS3" s="314"/>
      <c r="AT3" s="314"/>
      <c r="AU3" s="314"/>
      <c r="AV3" s="315" t="s">
        <v>135</v>
      </c>
      <c r="AW3" s="315"/>
      <c r="AX3" s="315"/>
      <c r="AY3" s="315"/>
      <c r="AZ3" s="315"/>
      <c r="BA3" s="314" t="str">
        <f>IF(A3="","",A3)</f>
        <v>Drinking Water System</v>
      </c>
      <c r="BB3" s="314"/>
      <c r="BC3" s="314"/>
      <c r="BD3" s="314"/>
      <c r="BE3" s="314"/>
      <c r="BF3" s="369" t="s">
        <v>145</v>
      </c>
      <c r="BG3" s="369"/>
      <c r="BH3" s="369"/>
      <c r="BI3" s="369"/>
      <c r="BJ3" s="369"/>
      <c r="BK3" s="369"/>
      <c r="BL3" s="369"/>
      <c r="BM3" s="369"/>
      <c r="BN3" s="369"/>
      <c r="BO3" s="314" t="str">
        <f>IF(A3="","",A3)</f>
        <v>Drinking Water System</v>
      </c>
      <c r="BP3" s="314"/>
      <c r="BQ3" s="314"/>
      <c r="BR3" s="314"/>
      <c r="BS3" s="314"/>
      <c r="BT3" s="315" t="s">
        <v>100</v>
      </c>
      <c r="BU3" s="315"/>
      <c r="BV3" s="315"/>
      <c r="BW3" s="315"/>
      <c r="BX3" s="315"/>
      <c r="BY3" s="315"/>
      <c r="BZ3" s="315"/>
      <c r="CA3" s="314" t="str">
        <f>IF(A3="","",A3)</f>
        <v>Drinking Water System</v>
      </c>
      <c r="CB3" s="314"/>
      <c r="CC3" s="314"/>
      <c r="CD3" s="314"/>
      <c r="CE3" s="315" t="s">
        <v>154</v>
      </c>
      <c r="CF3" s="315"/>
      <c r="CG3" s="315"/>
      <c r="CH3" s="315"/>
      <c r="CI3" s="315"/>
      <c r="CJ3" s="314" t="str">
        <f>IF(A3="","",A3)</f>
        <v>Drinking Water System</v>
      </c>
      <c r="CK3" s="314"/>
      <c r="CL3" s="314"/>
      <c r="CM3" s="314"/>
      <c r="CN3" s="315" t="s">
        <v>155</v>
      </c>
      <c r="CO3" s="315"/>
      <c r="CP3" s="315"/>
      <c r="CQ3" s="315"/>
      <c r="CR3" s="315"/>
      <c r="CS3" s="314" t="str">
        <f>IF(A3="","",A3)</f>
        <v>Drinking Water System</v>
      </c>
      <c r="CT3" s="314"/>
      <c r="CU3" s="314"/>
      <c r="CV3" s="314"/>
      <c r="CW3" s="315" t="s">
        <v>101</v>
      </c>
      <c r="CX3" s="315"/>
      <c r="CY3" s="315"/>
      <c r="CZ3" s="315"/>
      <c r="DA3" s="315"/>
      <c r="DB3" s="315"/>
      <c r="DC3" s="314" t="str">
        <f>IF(A3="","",A3)</f>
        <v>Drinking Water System</v>
      </c>
      <c r="DD3" s="314"/>
      <c r="DE3" s="314"/>
      <c r="DF3" s="314"/>
      <c r="DG3" s="315" t="s">
        <v>159</v>
      </c>
      <c r="DH3" s="315"/>
      <c r="DI3" s="315"/>
      <c r="DJ3" s="315"/>
      <c r="DK3" s="315"/>
      <c r="DL3" s="329" t="str">
        <f>IF(A3="","",A3)</f>
        <v>Drinking Water System</v>
      </c>
      <c r="DM3" s="329"/>
      <c r="DN3" s="329"/>
      <c r="DO3" s="329"/>
      <c r="DP3" s="329"/>
      <c r="DQ3" s="370" t="s">
        <v>168</v>
      </c>
      <c r="DR3" s="370"/>
      <c r="DS3" s="370"/>
      <c r="DT3" s="370"/>
      <c r="DU3" s="370"/>
      <c r="DV3" s="370"/>
      <c r="DW3" s="370"/>
      <c r="DX3" s="370"/>
      <c r="DY3" s="370"/>
      <c r="DZ3" s="329" t="str">
        <f>IF(A3="","",A3)</f>
        <v>Drinking Water System</v>
      </c>
      <c r="EA3" s="329"/>
      <c r="EB3" s="329"/>
      <c r="EC3" s="329"/>
      <c r="ED3" s="329"/>
      <c r="EE3" s="329"/>
      <c r="EF3" s="370" t="s">
        <v>91</v>
      </c>
      <c r="EG3" s="370"/>
      <c r="EH3" s="370"/>
      <c r="EI3" s="314" t="str">
        <f>IF(A3="","",A3)</f>
        <v>Drinking Water System</v>
      </c>
      <c r="EJ3" s="314"/>
      <c r="EK3" s="314"/>
      <c r="EL3" s="314"/>
      <c r="EM3" s="315" t="s">
        <v>33</v>
      </c>
      <c r="EN3" s="315"/>
      <c r="EO3" s="315"/>
      <c r="EP3" s="315"/>
      <c r="EQ3" s="315"/>
    </row>
    <row r="4" spans="1:154" ht="17.149999999999999" customHeight="1" x14ac:dyDescent="0.35">
      <c r="A4" s="359" t="s">
        <v>1</v>
      </c>
      <c r="B4" s="359" t="s">
        <v>38</v>
      </c>
      <c r="C4" s="359"/>
      <c r="D4" s="359"/>
      <c r="E4" s="317" t="s">
        <v>24</v>
      </c>
      <c r="F4" s="317"/>
      <c r="G4" s="317"/>
      <c r="H4" s="358" t="s">
        <v>112</v>
      </c>
      <c r="I4" s="358"/>
      <c r="J4" s="360" t="s">
        <v>0</v>
      </c>
      <c r="K4" s="359" t="s">
        <v>1</v>
      </c>
      <c r="L4" s="358" t="s">
        <v>117</v>
      </c>
      <c r="M4" s="358"/>
      <c r="N4" s="358" t="s">
        <v>118</v>
      </c>
      <c r="O4" s="358"/>
      <c r="P4" s="358" t="s">
        <v>119</v>
      </c>
      <c r="Q4" s="358"/>
      <c r="R4" s="362" t="s">
        <v>120</v>
      </c>
      <c r="S4" s="363"/>
      <c r="T4" s="363"/>
      <c r="U4" s="364"/>
      <c r="V4" s="360" t="s">
        <v>0</v>
      </c>
      <c r="W4" s="346" t="s">
        <v>1</v>
      </c>
      <c r="X4" s="344" t="s">
        <v>63</v>
      </c>
      <c r="Y4" s="344"/>
      <c r="Z4" s="344"/>
      <c r="AA4" s="344"/>
      <c r="AB4" s="344" t="s">
        <v>126</v>
      </c>
      <c r="AC4" s="344"/>
      <c r="AD4" s="344"/>
      <c r="AE4" s="344"/>
      <c r="AF4" s="342" t="s">
        <v>0</v>
      </c>
      <c r="AG4" s="346" t="s">
        <v>1</v>
      </c>
      <c r="AH4" s="330" t="s">
        <v>93</v>
      </c>
      <c r="AI4" s="331"/>
      <c r="AJ4" s="331"/>
      <c r="AK4" s="331"/>
      <c r="AL4" s="331"/>
      <c r="AM4" s="331"/>
      <c r="AN4" s="331"/>
      <c r="AO4" s="332"/>
      <c r="AP4" s="342" t="s">
        <v>0</v>
      </c>
      <c r="AQ4" s="346" t="s">
        <v>1</v>
      </c>
      <c r="AR4" s="344" t="s">
        <v>132</v>
      </c>
      <c r="AS4" s="344"/>
      <c r="AT4" s="344"/>
      <c r="AU4" s="344"/>
      <c r="AV4" s="344" t="s">
        <v>94</v>
      </c>
      <c r="AW4" s="344"/>
      <c r="AX4" s="344"/>
      <c r="AY4" s="344"/>
      <c r="AZ4" s="342" t="s">
        <v>0</v>
      </c>
      <c r="BA4" s="317" t="s">
        <v>1</v>
      </c>
      <c r="BB4" s="317" t="s">
        <v>38</v>
      </c>
      <c r="BC4" s="317"/>
      <c r="BD4" s="317"/>
      <c r="BE4" s="317"/>
      <c r="BF4" s="317"/>
      <c r="BG4" s="326" t="s">
        <v>146</v>
      </c>
      <c r="BH4" s="316" t="s">
        <v>136</v>
      </c>
      <c r="BI4" s="316"/>
      <c r="BJ4" s="316" t="s">
        <v>139</v>
      </c>
      <c r="BK4" s="316"/>
      <c r="BL4" s="316" t="s">
        <v>142</v>
      </c>
      <c r="BM4" s="316"/>
      <c r="BN4" s="347" t="s">
        <v>0</v>
      </c>
      <c r="BO4" s="317" t="s">
        <v>1</v>
      </c>
      <c r="BP4" s="344" t="s">
        <v>147</v>
      </c>
      <c r="BQ4" s="344"/>
      <c r="BR4" s="344"/>
      <c r="BS4" s="344"/>
      <c r="BT4" s="344"/>
      <c r="BU4" s="344"/>
      <c r="BV4" s="344"/>
      <c r="BW4" s="344" t="s">
        <v>148</v>
      </c>
      <c r="BX4" s="344"/>
      <c r="BY4" s="344"/>
      <c r="BZ4" s="347" t="s">
        <v>0</v>
      </c>
      <c r="CA4" s="317" t="s">
        <v>1</v>
      </c>
      <c r="CB4" s="318" t="s">
        <v>150</v>
      </c>
      <c r="CC4" s="318" t="s">
        <v>151</v>
      </c>
      <c r="CD4" s="318" t="s">
        <v>78</v>
      </c>
      <c r="CE4" s="321" t="s">
        <v>79</v>
      </c>
      <c r="CF4" s="321" t="s">
        <v>77</v>
      </c>
      <c r="CG4" s="336" t="s">
        <v>152</v>
      </c>
      <c r="CH4" s="336" t="s">
        <v>153</v>
      </c>
      <c r="CI4" s="342" t="s">
        <v>0</v>
      </c>
      <c r="CJ4" s="317" t="s">
        <v>1</v>
      </c>
      <c r="CK4" s="318" t="s">
        <v>150</v>
      </c>
      <c r="CL4" s="318" t="s">
        <v>151</v>
      </c>
      <c r="CM4" s="318" t="s">
        <v>78</v>
      </c>
      <c r="CN4" s="318" t="s">
        <v>79</v>
      </c>
      <c r="CO4" s="318" t="s">
        <v>77</v>
      </c>
      <c r="CP4" s="336" t="s">
        <v>152</v>
      </c>
      <c r="CQ4" s="336" t="s">
        <v>153</v>
      </c>
      <c r="CR4" s="342" t="s">
        <v>0</v>
      </c>
      <c r="CS4" s="317" t="s">
        <v>1</v>
      </c>
      <c r="CT4" s="318" t="s">
        <v>150</v>
      </c>
      <c r="CU4" s="318" t="s">
        <v>157</v>
      </c>
      <c r="CV4" s="318" t="s">
        <v>78</v>
      </c>
      <c r="CW4" s="318" t="s">
        <v>158</v>
      </c>
      <c r="CX4" s="321" t="s">
        <v>77</v>
      </c>
      <c r="CY4" s="336" t="s">
        <v>152</v>
      </c>
      <c r="CZ4" s="336" t="s">
        <v>153</v>
      </c>
      <c r="DA4" s="339" t="s">
        <v>156</v>
      </c>
      <c r="DB4" s="342" t="s">
        <v>0</v>
      </c>
      <c r="DC4" s="317" t="s">
        <v>1</v>
      </c>
      <c r="DD4" s="318" t="s">
        <v>150</v>
      </c>
      <c r="DE4" s="318" t="s">
        <v>151</v>
      </c>
      <c r="DF4" s="318" t="s">
        <v>78</v>
      </c>
      <c r="DG4" s="321" t="s">
        <v>160</v>
      </c>
      <c r="DH4" s="318" t="s">
        <v>77</v>
      </c>
      <c r="DI4" s="336" t="s">
        <v>152</v>
      </c>
      <c r="DJ4" s="336" t="s">
        <v>153</v>
      </c>
      <c r="DK4" s="342" t="s">
        <v>0</v>
      </c>
      <c r="DL4" s="317" t="s">
        <v>1</v>
      </c>
      <c r="DM4" s="129" t="s">
        <v>37</v>
      </c>
      <c r="DN4" s="316" t="s">
        <v>76</v>
      </c>
      <c r="DO4" s="316"/>
      <c r="DP4" s="316" t="s">
        <v>92</v>
      </c>
      <c r="DQ4" s="316"/>
      <c r="DR4" s="316"/>
      <c r="DS4" s="316"/>
      <c r="DT4" s="316"/>
      <c r="DU4" s="316"/>
      <c r="DV4" s="316" t="s">
        <v>165</v>
      </c>
      <c r="DW4" s="316"/>
      <c r="DX4" s="316"/>
      <c r="DY4" s="347" t="s">
        <v>0</v>
      </c>
      <c r="DZ4" s="368" t="s">
        <v>1</v>
      </c>
      <c r="EA4" s="344" t="s">
        <v>170</v>
      </c>
      <c r="EB4" s="344"/>
      <c r="EC4" s="344"/>
      <c r="ED4" s="344" t="s">
        <v>104</v>
      </c>
      <c r="EE4" s="344"/>
      <c r="EF4" s="132" t="s">
        <v>121</v>
      </c>
      <c r="EG4" s="132" t="s">
        <v>122</v>
      </c>
      <c r="EH4" s="367" t="s">
        <v>0</v>
      </c>
      <c r="EI4" s="346" t="s">
        <v>1</v>
      </c>
      <c r="EJ4" s="361" t="s">
        <v>34</v>
      </c>
      <c r="EK4" s="361"/>
      <c r="EL4" s="361"/>
      <c r="EM4" s="361"/>
      <c r="EN4" s="361"/>
      <c r="EO4" s="361"/>
      <c r="EP4" s="361"/>
      <c r="EQ4" s="365" t="s">
        <v>0</v>
      </c>
    </row>
    <row r="5" spans="1:154" ht="17.149999999999999" customHeight="1" x14ac:dyDescent="0.35">
      <c r="A5" s="359"/>
      <c r="B5" s="357" t="s">
        <v>83</v>
      </c>
      <c r="C5" s="357" t="s">
        <v>111</v>
      </c>
      <c r="D5" s="356" t="s">
        <v>32</v>
      </c>
      <c r="E5" s="357" t="s">
        <v>83</v>
      </c>
      <c r="F5" s="357" t="s">
        <v>110</v>
      </c>
      <c r="G5" s="356" t="s">
        <v>32</v>
      </c>
      <c r="H5" s="357" t="s">
        <v>83</v>
      </c>
      <c r="I5" s="357" t="s">
        <v>109</v>
      </c>
      <c r="J5" s="360"/>
      <c r="K5" s="359"/>
      <c r="L5" s="357" t="s">
        <v>83</v>
      </c>
      <c r="M5" s="357" t="s">
        <v>116</v>
      </c>
      <c r="N5" s="357" t="s">
        <v>83</v>
      </c>
      <c r="O5" s="357" t="s">
        <v>66</v>
      </c>
      <c r="P5" s="357" t="s">
        <v>83</v>
      </c>
      <c r="Q5" s="357" t="s">
        <v>116</v>
      </c>
      <c r="R5" s="336" t="s">
        <v>121</v>
      </c>
      <c r="S5" s="336" t="s">
        <v>122</v>
      </c>
      <c r="T5" s="336" t="s">
        <v>123</v>
      </c>
      <c r="U5" s="336" t="s">
        <v>124</v>
      </c>
      <c r="V5" s="360"/>
      <c r="W5" s="346"/>
      <c r="X5" s="333" t="s">
        <v>20</v>
      </c>
      <c r="Y5" s="333"/>
      <c r="Z5" s="333" t="s">
        <v>21</v>
      </c>
      <c r="AA5" s="333"/>
      <c r="AB5" s="333" t="s">
        <v>127</v>
      </c>
      <c r="AC5" s="333"/>
      <c r="AD5" s="333" t="s">
        <v>128</v>
      </c>
      <c r="AE5" s="333"/>
      <c r="AF5" s="342"/>
      <c r="AG5" s="346"/>
      <c r="AH5" s="333" t="s">
        <v>130</v>
      </c>
      <c r="AI5" s="333"/>
      <c r="AJ5" s="333" t="s">
        <v>131</v>
      </c>
      <c r="AK5" s="333"/>
      <c r="AL5" s="333" t="s">
        <v>65</v>
      </c>
      <c r="AM5" s="333"/>
      <c r="AN5" s="333" t="s">
        <v>75</v>
      </c>
      <c r="AO5" s="333"/>
      <c r="AP5" s="342"/>
      <c r="AQ5" s="346"/>
      <c r="AR5" s="333" t="s">
        <v>133</v>
      </c>
      <c r="AS5" s="333"/>
      <c r="AT5" s="333" t="s">
        <v>134</v>
      </c>
      <c r="AU5" s="333"/>
      <c r="AV5" s="333" t="s">
        <v>95</v>
      </c>
      <c r="AW5" s="333"/>
      <c r="AX5" s="333" t="s">
        <v>96</v>
      </c>
      <c r="AY5" s="333"/>
      <c r="AZ5" s="342"/>
      <c r="BA5" s="317"/>
      <c r="BB5" s="353" t="s">
        <v>25</v>
      </c>
      <c r="BC5" s="366" t="s">
        <v>29</v>
      </c>
      <c r="BD5" s="335" t="s">
        <v>4</v>
      </c>
      <c r="BE5" s="335" t="s">
        <v>80</v>
      </c>
      <c r="BF5" s="335" t="s">
        <v>81</v>
      </c>
      <c r="BG5" s="326"/>
      <c r="BH5" s="343" t="s">
        <v>137</v>
      </c>
      <c r="BI5" s="343" t="s">
        <v>138</v>
      </c>
      <c r="BJ5" s="343" t="s">
        <v>140</v>
      </c>
      <c r="BK5" s="343" t="s">
        <v>141</v>
      </c>
      <c r="BL5" s="343" t="s">
        <v>143</v>
      </c>
      <c r="BM5" s="343" t="s">
        <v>144</v>
      </c>
      <c r="BN5" s="347"/>
      <c r="BO5" s="317"/>
      <c r="BP5" s="328" t="s">
        <v>31</v>
      </c>
      <c r="BQ5" s="354" t="s">
        <v>22</v>
      </c>
      <c r="BR5" s="326" t="s">
        <v>4</v>
      </c>
      <c r="BS5" s="326" t="s">
        <v>82</v>
      </c>
      <c r="BT5" s="326" t="s">
        <v>149</v>
      </c>
      <c r="BU5" s="328" t="s">
        <v>23</v>
      </c>
      <c r="BV5" s="327" t="s">
        <v>99</v>
      </c>
      <c r="BW5" s="327" t="s">
        <v>98</v>
      </c>
      <c r="BX5" s="355" t="s">
        <v>26</v>
      </c>
      <c r="BY5" s="355" t="s">
        <v>97</v>
      </c>
      <c r="BZ5" s="347"/>
      <c r="CA5" s="317"/>
      <c r="CB5" s="319"/>
      <c r="CC5" s="319"/>
      <c r="CD5" s="319"/>
      <c r="CE5" s="322"/>
      <c r="CF5" s="322"/>
      <c r="CG5" s="337"/>
      <c r="CH5" s="337"/>
      <c r="CI5" s="342"/>
      <c r="CJ5" s="317"/>
      <c r="CK5" s="319"/>
      <c r="CL5" s="319"/>
      <c r="CM5" s="319"/>
      <c r="CN5" s="319"/>
      <c r="CO5" s="319"/>
      <c r="CP5" s="337"/>
      <c r="CQ5" s="337"/>
      <c r="CR5" s="342"/>
      <c r="CS5" s="317"/>
      <c r="CT5" s="319"/>
      <c r="CU5" s="319"/>
      <c r="CV5" s="319"/>
      <c r="CW5" s="319"/>
      <c r="CX5" s="322"/>
      <c r="CY5" s="337"/>
      <c r="CZ5" s="337"/>
      <c r="DA5" s="340"/>
      <c r="DB5" s="342"/>
      <c r="DC5" s="317"/>
      <c r="DD5" s="319"/>
      <c r="DE5" s="319"/>
      <c r="DF5" s="319"/>
      <c r="DG5" s="322"/>
      <c r="DH5" s="319"/>
      <c r="DI5" s="337"/>
      <c r="DJ5" s="337"/>
      <c r="DK5" s="342"/>
      <c r="DL5" s="317"/>
      <c r="DM5" s="327" t="s">
        <v>4</v>
      </c>
      <c r="DN5" s="328" t="s">
        <v>161</v>
      </c>
      <c r="DO5" s="328" t="s">
        <v>162</v>
      </c>
      <c r="DP5" s="328" t="s">
        <v>85</v>
      </c>
      <c r="DQ5" s="327" t="s">
        <v>4</v>
      </c>
      <c r="DR5" s="326" t="s">
        <v>82</v>
      </c>
      <c r="DS5" s="328" t="s">
        <v>163</v>
      </c>
      <c r="DT5" s="326" t="s">
        <v>164</v>
      </c>
      <c r="DU5" s="327" t="s">
        <v>169</v>
      </c>
      <c r="DV5" s="328" t="s">
        <v>172</v>
      </c>
      <c r="DW5" s="328" t="s">
        <v>166</v>
      </c>
      <c r="DX5" s="328" t="s">
        <v>167</v>
      </c>
      <c r="DY5" s="347"/>
      <c r="DZ5" s="368"/>
      <c r="EA5" s="348" t="s">
        <v>173</v>
      </c>
      <c r="EB5" s="348" t="s">
        <v>174</v>
      </c>
      <c r="EC5" s="348" t="s">
        <v>171</v>
      </c>
      <c r="ED5" s="327" t="s">
        <v>86</v>
      </c>
      <c r="EE5" s="327"/>
      <c r="EF5" s="327" t="s">
        <v>84</v>
      </c>
      <c r="EG5" s="327" t="s">
        <v>84</v>
      </c>
      <c r="EH5" s="367"/>
      <c r="EI5" s="346"/>
      <c r="EJ5" s="361"/>
      <c r="EK5" s="361"/>
      <c r="EL5" s="361"/>
      <c r="EM5" s="361"/>
      <c r="EN5" s="361"/>
      <c r="EO5" s="361"/>
      <c r="EP5" s="361"/>
      <c r="EQ5" s="365"/>
    </row>
    <row r="6" spans="1:154" ht="17.149999999999999" customHeight="1" x14ac:dyDescent="0.35">
      <c r="A6" s="359"/>
      <c r="B6" s="357"/>
      <c r="C6" s="357"/>
      <c r="D6" s="356"/>
      <c r="E6" s="357"/>
      <c r="F6" s="357"/>
      <c r="G6" s="356"/>
      <c r="H6" s="357"/>
      <c r="I6" s="357"/>
      <c r="J6" s="360"/>
      <c r="K6" s="359"/>
      <c r="L6" s="357"/>
      <c r="M6" s="357"/>
      <c r="N6" s="357"/>
      <c r="O6" s="357"/>
      <c r="P6" s="357"/>
      <c r="Q6" s="357"/>
      <c r="R6" s="337"/>
      <c r="S6" s="337"/>
      <c r="T6" s="337"/>
      <c r="U6" s="337"/>
      <c r="V6" s="360"/>
      <c r="W6" s="346"/>
      <c r="X6" s="333" t="s">
        <v>5</v>
      </c>
      <c r="Y6" s="333" t="s">
        <v>6</v>
      </c>
      <c r="Z6" s="333" t="s">
        <v>5</v>
      </c>
      <c r="AA6" s="333" t="s">
        <v>6</v>
      </c>
      <c r="AB6" s="333" t="s">
        <v>5</v>
      </c>
      <c r="AC6" s="333" t="s">
        <v>6</v>
      </c>
      <c r="AD6" s="333" t="s">
        <v>5</v>
      </c>
      <c r="AE6" s="333" t="s">
        <v>6</v>
      </c>
      <c r="AF6" s="342"/>
      <c r="AG6" s="346"/>
      <c r="AH6" s="333" t="s">
        <v>5</v>
      </c>
      <c r="AI6" s="333" t="s">
        <v>6</v>
      </c>
      <c r="AJ6" s="333" t="s">
        <v>5</v>
      </c>
      <c r="AK6" s="333" t="s">
        <v>6</v>
      </c>
      <c r="AL6" s="333" t="s">
        <v>5</v>
      </c>
      <c r="AM6" s="333" t="s">
        <v>6</v>
      </c>
      <c r="AN6" s="333" t="s">
        <v>5</v>
      </c>
      <c r="AO6" s="333" t="s">
        <v>6</v>
      </c>
      <c r="AP6" s="342"/>
      <c r="AQ6" s="346"/>
      <c r="AR6" s="333" t="s">
        <v>5</v>
      </c>
      <c r="AS6" s="333" t="s">
        <v>6</v>
      </c>
      <c r="AT6" s="333" t="s">
        <v>5</v>
      </c>
      <c r="AU6" s="333" t="s">
        <v>6</v>
      </c>
      <c r="AV6" s="333" t="s">
        <v>5</v>
      </c>
      <c r="AW6" s="333" t="s">
        <v>6</v>
      </c>
      <c r="AX6" s="333" t="s">
        <v>5</v>
      </c>
      <c r="AY6" s="333" t="s">
        <v>6</v>
      </c>
      <c r="AZ6" s="342"/>
      <c r="BA6" s="317"/>
      <c r="BB6" s="353"/>
      <c r="BC6" s="366"/>
      <c r="BD6" s="335"/>
      <c r="BE6" s="335"/>
      <c r="BF6" s="335"/>
      <c r="BG6" s="326"/>
      <c r="BH6" s="343"/>
      <c r="BI6" s="343"/>
      <c r="BJ6" s="343"/>
      <c r="BK6" s="343"/>
      <c r="BL6" s="343"/>
      <c r="BM6" s="343"/>
      <c r="BN6" s="347"/>
      <c r="BO6" s="317"/>
      <c r="BP6" s="328"/>
      <c r="BQ6" s="354"/>
      <c r="BR6" s="326"/>
      <c r="BS6" s="326"/>
      <c r="BT6" s="326"/>
      <c r="BU6" s="328"/>
      <c r="BV6" s="327"/>
      <c r="BW6" s="327"/>
      <c r="BX6" s="355"/>
      <c r="BY6" s="355"/>
      <c r="BZ6" s="347"/>
      <c r="CA6" s="317"/>
      <c r="CB6" s="319"/>
      <c r="CC6" s="319"/>
      <c r="CD6" s="319"/>
      <c r="CE6" s="322"/>
      <c r="CF6" s="322"/>
      <c r="CG6" s="337"/>
      <c r="CH6" s="337"/>
      <c r="CI6" s="342"/>
      <c r="CJ6" s="317"/>
      <c r="CK6" s="319"/>
      <c r="CL6" s="319"/>
      <c r="CM6" s="319"/>
      <c r="CN6" s="319"/>
      <c r="CO6" s="319"/>
      <c r="CP6" s="337"/>
      <c r="CQ6" s="337"/>
      <c r="CR6" s="342"/>
      <c r="CS6" s="317"/>
      <c r="CT6" s="319"/>
      <c r="CU6" s="319"/>
      <c r="CV6" s="319"/>
      <c r="CW6" s="319"/>
      <c r="CX6" s="322"/>
      <c r="CY6" s="337"/>
      <c r="CZ6" s="337"/>
      <c r="DA6" s="340"/>
      <c r="DB6" s="342"/>
      <c r="DC6" s="317"/>
      <c r="DD6" s="319"/>
      <c r="DE6" s="319"/>
      <c r="DF6" s="319"/>
      <c r="DG6" s="322"/>
      <c r="DH6" s="319"/>
      <c r="DI6" s="337"/>
      <c r="DJ6" s="337"/>
      <c r="DK6" s="342"/>
      <c r="DL6" s="317"/>
      <c r="DM6" s="327"/>
      <c r="DN6" s="328"/>
      <c r="DO6" s="328"/>
      <c r="DP6" s="328"/>
      <c r="DQ6" s="327"/>
      <c r="DR6" s="326"/>
      <c r="DS6" s="328"/>
      <c r="DT6" s="326"/>
      <c r="DU6" s="327"/>
      <c r="DV6" s="328"/>
      <c r="DW6" s="328"/>
      <c r="DX6" s="328"/>
      <c r="DY6" s="347"/>
      <c r="DZ6" s="368"/>
      <c r="EA6" s="348"/>
      <c r="EB6" s="348"/>
      <c r="EC6" s="348"/>
      <c r="ED6" s="327" t="s">
        <v>102</v>
      </c>
      <c r="EE6" s="327" t="s">
        <v>103</v>
      </c>
      <c r="EF6" s="327"/>
      <c r="EG6" s="327"/>
      <c r="EH6" s="367"/>
      <c r="EI6" s="346"/>
      <c r="EJ6" s="361"/>
      <c r="EK6" s="361"/>
      <c r="EL6" s="361"/>
      <c r="EM6" s="361"/>
      <c r="EN6" s="361"/>
      <c r="EO6" s="361"/>
      <c r="EP6" s="361"/>
      <c r="EQ6" s="365"/>
    </row>
    <row r="7" spans="1:154" ht="17.149999999999999" customHeight="1" x14ac:dyDescent="0.35">
      <c r="A7" s="359"/>
      <c r="B7" s="357"/>
      <c r="C7" s="357"/>
      <c r="D7" s="356"/>
      <c r="E7" s="357"/>
      <c r="F7" s="357"/>
      <c r="G7" s="356"/>
      <c r="H7" s="357"/>
      <c r="I7" s="357"/>
      <c r="J7" s="360"/>
      <c r="K7" s="359"/>
      <c r="L7" s="357"/>
      <c r="M7" s="357"/>
      <c r="N7" s="357"/>
      <c r="O7" s="357"/>
      <c r="P7" s="357"/>
      <c r="Q7" s="357"/>
      <c r="R7" s="338"/>
      <c r="S7" s="338"/>
      <c r="T7" s="338"/>
      <c r="U7" s="338"/>
      <c r="V7" s="360"/>
      <c r="W7" s="346"/>
      <c r="X7" s="333"/>
      <c r="Y7" s="333"/>
      <c r="Z7" s="333"/>
      <c r="AA7" s="333"/>
      <c r="AB7" s="333"/>
      <c r="AC7" s="333"/>
      <c r="AD7" s="333"/>
      <c r="AE7" s="333"/>
      <c r="AF7" s="342"/>
      <c r="AG7" s="346"/>
      <c r="AH7" s="333"/>
      <c r="AI7" s="333"/>
      <c r="AJ7" s="333"/>
      <c r="AK7" s="333"/>
      <c r="AL7" s="333"/>
      <c r="AM7" s="333"/>
      <c r="AN7" s="333"/>
      <c r="AO7" s="333"/>
      <c r="AP7" s="342"/>
      <c r="AQ7" s="346"/>
      <c r="AR7" s="333"/>
      <c r="AS7" s="333"/>
      <c r="AT7" s="333"/>
      <c r="AU7" s="333"/>
      <c r="AV7" s="333"/>
      <c r="AW7" s="333"/>
      <c r="AX7" s="333"/>
      <c r="AY7" s="333"/>
      <c r="AZ7" s="342"/>
      <c r="BA7" s="317"/>
      <c r="BB7" s="353"/>
      <c r="BC7" s="366"/>
      <c r="BD7" s="335"/>
      <c r="BE7" s="335"/>
      <c r="BF7" s="335"/>
      <c r="BG7" s="326"/>
      <c r="BH7" s="343"/>
      <c r="BI7" s="343"/>
      <c r="BJ7" s="343"/>
      <c r="BK7" s="343"/>
      <c r="BL7" s="343"/>
      <c r="BM7" s="343"/>
      <c r="BN7" s="347"/>
      <c r="BO7" s="317"/>
      <c r="BP7" s="328"/>
      <c r="BQ7" s="354"/>
      <c r="BR7" s="326"/>
      <c r="BS7" s="326"/>
      <c r="BT7" s="326"/>
      <c r="BU7" s="328"/>
      <c r="BV7" s="327"/>
      <c r="BW7" s="327"/>
      <c r="BX7" s="355"/>
      <c r="BY7" s="355"/>
      <c r="BZ7" s="347"/>
      <c r="CA7" s="317"/>
      <c r="CB7" s="320"/>
      <c r="CC7" s="320"/>
      <c r="CD7" s="320"/>
      <c r="CE7" s="323"/>
      <c r="CF7" s="323"/>
      <c r="CG7" s="338"/>
      <c r="CH7" s="338"/>
      <c r="CI7" s="342"/>
      <c r="CJ7" s="317"/>
      <c r="CK7" s="320"/>
      <c r="CL7" s="320"/>
      <c r="CM7" s="320"/>
      <c r="CN7" s="320"/>
      <c r="CO7" s="320"/>
      <c r="CP7" s="338"/>
      <c r="CQ7" s="338"/>
      <c r="CR7" s="342"/>
      <c r="CS7" s="317"/>
      <c r="CT7" s="320"/>
      <c r="CU7" s="320"/>
      <c r="CV7" s="320"/>
      <c r="CW7" s="320"/>
      <c r="CX7" s="323"/>
      <c r="CY7" s="338"/>
      <c r="CZ7" s="338"/>
      <c r="DA7" s="341"/>
      <c r="DB7" s="342"/>
      <c r="DC7" s="317"/>
      <c r="DD7" s="320"/>
      <c r="DE7" s="320"/>
      <c r="DF7" s="320"/>
      <c r="DG7" s="323"/>
      <c r="DH7" s="320"/>
      <c r="DI7" s="338"/>
      <c r="DJ7" s="338"/>
      <c r="DK7" s="342"/>
      <c r="DL7" s="317"/>
      <c r="DM7" s="327"/>
      <c r="DN7" s="328"/>
      <c r="DO7" s="328"/>
      <c r="DP7" s="328"/>
      <c r="DQ7" s="327"/>
      <c r="DR7" s="326"/>
      <c r="DS7" s="328"/>
      <c r="DT7" s="326"/>
      <c r="DU7" s="327"/>
      <c r="DV7" s="328"/>
      <c r="DW7" s="328"/>
      <c r="DX7" s="328"/>
      <c r="DY7" s="347"/>
      <c r="DZ7" s="368"/>
      <c r="EA7" s="348"/>
      <c r="EB7" s="348"/>
      <c r="EC7" s="348"/>
      <c r="ED7" s="327"/>
      <c r="EE7" s="327"/>
      <c r="EF7" s="327"/>
      <c r="EG7" s="327"/>
      <c r="EH7" s="367"/>
      <c r="EI7" s="346"/>
      <c r="EJ7" s="361"/>
      <c r="EK7" s="361"/>
      <c r="EL7" s="361"/>
      <c r="EM7" s="361"/>
      <c r="EN7" s="361"/>
      <c r="EO7" s="361"/>
      <c r="EP7" s="361"/>
      <c r="EQ7" s="365"/>
    </row>
    <row r="8" spans="1:154" s="3" customFormat="1" ht="17.149999999999999" customHeight="1" x14ac:dyDescent="0.25">
      <c r="A8" s="56">
        <v>1</v>
      </c>
      <c r="B8" s="57">
        <v>906793</v>
      </c>
      <c r="C8" s="58">
        <f>IF(B9="","",IF(B9=B8,"",(B9-B8)))</f>
        <v>183</v>
      </c>
      <c r="D8" s="167">
        <v>9.66</v>
      </c>
      <c r="E8" s="59">
        <v>811345</v>
      </c>
      <c r="F8" s="58">
        <f>IF(E9="","",IF(E9=E8,"",(E9-E8)))</f>
        <v>139</v>
      </c>
      <c r="G8" s="168">
        <v>1.27</v>
      </c>
      <c r="H8" s="57">
        <v>765600</v>
      </c>
      <c r="I8" s="58">
        <f t="shared" ref="I8:I36" si="0">IF(H9="","",IF(H9=H8,"",(H9-H8)))</f>
        <v>161</v>
      </c>
      <c r="J8" s="60" t="s">
        <v>194</v>
      </c>
      <c r="K8" s="56">
        <v>1</v>
      </c>
      <c r="L8" s="57">
        <v>70845</v>
      </c>
      <c r="M8" s="58" t="str">
        <f>IF(L9="","",IF(L9=L8,"",(L9-L8)))</f>
        <v/>
      </c>
      <c r="N8" s="59">
        <v>180602</v>
      </c>
      <c r="O8" s="58">
        <f>IF(N9="","",IF(N9=N8,"",(N9-N8)))</f>
        <v>22</v>
      </c>
      <c r="P8" s="57">
        <v>194749</v>
      </c>
      <c r="Q8" s="58" t="str">
        <f t="shared" ref="Q8:Q36" si="1">IF(P9="","",IF(P9=P8,"",(P9-P8)))</f>
        <v/>
      </c>
      <c r="R8" s="57">
        <v>687</v>
      </c>
      <c r="S8" s="57">
        <v>694</v>
      </c>
      <c r="T8" s="170">
        <v>144</v>
      </c>
      <c r="U8" s="57">
        <v>141</v>
      </c>
      <c r="V8" s="58" t="str">
        <f>IF(J8="","",J8)</f>
        <v>ME</v>
      </c>
      <c r="W8" s="56">
        <v>1</v>
      </c>
      <c r="X8" s="63">
        <v>11983.16</v>
      </c>
      <c r="Y8" s="130">
        <f>IF(X9="","",IF(X9=X8,"",X9-X8))</f>
        <v>2.430000000000291</v>
      </c>
      <c r="Z8" s="63">
        <v>12752.24</v>
      </c>
      <c r="AA8" s="130">
        <f>IF(Z9="","",IF(Z9=Z8,"",Z9-Z8))</f>
        <v>2.6599999999998545</v>
      </c>
      <c r="AB8" s="63">
        <v>10018.379999999999</v>
      </c>
      <c r="AC8" s="130">
        <f>IF(AB9="","",IF(AB9=AB8,"",AB9-AB8))</f>
        <v>2.2400000000016007</v>
      </c>
      <c r="AD8" s="63">
        <v>10172.459999999999</v>
      </c>
      <c r="AE8" s="130">
        <f t="shared" ref="AE8:AE36" si="2">IF(AD9="","",IF(AD9=AD8,"",AD9-AD8))</f>
        <v>2.0200000000004366</v>
      </c>
      <c r="AF8" s="125" t="str">
        <f>IF(J8="","",J8)</f>
        <v>ME</v>
      </c>
      <c r="AG8" s="56">
        <v>1</v>
      </c>
      <c r="AH8" s="63">
        <v>47950.06</v>
      </c>
      <c r="AI8" s="130">
        <f>IF(AH9="","",IF(AH9=AH8,"",AH9-AH8))</f>
        <v>7.8800000000046566</v>
      </c>
      <c r="AJ8" s="63">
        <v>50121.38</v>
      </c>
      <c r="AK8" s="130">
        <f>IF(AJ9="","",IF(AJ9=AJ8,"",AJ9-AJ8))</f>
        <v>10.600000000005821</v>
      </c>
      <c r="AL8" s="63">
        <v>592.20000000000005</v>
      </c>
      <c r="AM8" s="130" t="str">
        <f>IF(AL9="","",IF(AL9=AL8,"",AL9-AL8))</f>
        <v/>
      </c>
      <c r="AN8" s="63">
        <v>553.37</v>
      </c>
      <c r="AO8" s="130" t="str">
        <f t="shared" ref="AO8:AO36" si="3">IF(AN9="","",IF(AN9=AN8,"",AN9-AN8))</f>
        <v/>
      </c>
      <c r="AP8" s="125" t="str">
        <f>IF(J8="","",J8)</f>
        <v>ME</v>
      </c>
      <c r="AQ8" s="56">
        <v>1</v>
      </c>
      <c r="AR8" s="63">
        <v>6916.84</v>
      </c>
      <c r="AS8" s="130">
        <f>IF(AR9="","",IF(AR9=AR8,"",AR9-AR8))</f>
        <v>1.2399999999997817</v>
      </c>
      <c r="AT8" s="63">
        <v>7704.15</v>
      </c>
      <c r="AU8" s="130">
        <f>IF(AT9="","",IF(AT9=AT8,"",AT9-AT8))</f>
        <v>1.3700000000008004</v>
      </c>
      <c r="AV8" s="63">
        <v>260.45999999999998</v>
      </c>
      <c r="AW8" s="130" t="str">
        <f>IF(AV9="","",IF(AV9=AV8,"",AV9-AV8))</f>
        <v/>
      </c>
      <c r="AX8" s="63">
        <v>246.45</v>
      </c>
      <c r="AY8" s="130" t="str">
        <f t="shared" ref="AY8:AY36" si="4">IF(AX9="","",IF(AX9=AX8,"",AX9-AX8))</f>
        <v/>
      </c>
      <c r="AZ8" s="125" t="str">
        <f>IF(J8="","",J8)</f>
        <v>ME</v>
      </c>
      <c r="BA8" s="56">
        <v>1</v>
      </c>
      <c r="BB8" s="64">
        <v>1.59</v>
      </c>
      <c r="BC8" s="62">
        <v>73</v>
      </c>
      <c r="BD8" s="61">
        <v>6.9</v>
      </c>
      <c r="BE8" s="61">
        <v>19.600000000000001</v>
      </c>
      <c r="BF8" s="61">
        <v>17.100000000000001</v>
      </c>
      <c r="BG8" s="61">
        <v>6.9</v>
      </c>
      <c r="BH8" s="64">
        <v>0.20499999999999999</v>
      </c>
      <c r="BI8" s="64">
        <v>0.19500000000000001</v>
      </c>
      <c r="BJ8" s="64">
        <v>6.0999999999999999E-2</v>
      </c>
      <c r="BK8" s="64">
        <v>5.8999999999999997E-2</v>
      </c>
      <c r="BL8" s="64">
        <v>5.6000000000000001E-2</v>
      </c>
      <c r="BM8" s="64">
        <v>5.8999999999999997E-2</v>
      </c>
      <c r="BN8" s="65" t="str">
        <f>IF(J8="","",J8)</f>
        <v>ME</v>
      </c>
      <c r="BO8" s="56">
        <v>1</v>
      </c>
      <c r="BP8" s="64">
        <v>9.4E-2</v>
      </c>
      <c r="BQ8" s="62">
        <v>0</v>
      </c>
      <c r="BR8" s="61">
        <v>7.1</v>
      </c>
      <c r="BS8" s="61">
        <v>21.2</v>
      </c>
      <c r="BT8" s="61">
        <v>20.5</v>
      </c>
      <c r="BU8" s="64">
        <v>2.5999999999999999E-2</v>
      </c>
      <c r="BV8" s="63">
        <v>1.18</v>
      </c>
      <c r="BW8" s="63">
        <v>0.94</v>
      </c>
      <c r="BX8" s="66" t="s">
        <v>245</v>
      </c>
      <c r="BY8" s="172" t="s">
        <v>246</v>
      </c>
      <c r="BZ8" s="67" t="str">
        <f>IF(J8="","",J8)</f>
        <v>ME</v>
      </c>
      <c r="CA8" s="56">
        <v>1</v>
      </c>
      <c r="CB8" s="61">
        <v>90.4</v>
      </c>
      <c r="CC8" s="61"/>
      <c r="CD8" s="68">
        <f>IF(CB9="","",IF(CC8="",IF(CB8=CB9,"",(CB8-CB9)),IF(CC8=CB9,"",(CC8-CB9))))</f>
        <v>1.7000000000000028</v>
      </c>
      <c r="CE8" s="69">
        <f>IF(CD8="","",(CD8*(0.785*77*77)/1000))</f>
        <v>7.9122505000000141</v>
      </c>
      <c r="CF8" s="69">
        <f>IF(CE8="","",(CE8*0.12*1000)/I8)</f>
        <v>5.8973295652174018</v>
      </c>
      <c r="CG8" s="62">
        <v>77</v>
      </c>
      <c r="CH8" s="62">
        <v>100</v>
      </c>
      <c r="CI8" s="65" t="str">
        <f>IF(J8="","",J8)</f>
        <v>ME</v>
      </c>
      <c r="CJ8" s="56">
        <v>1</v>
      </c>
      <c r="CK8" s="61">
        <v>94.8</v>
      </c>
      <c r="CL8" s="61"/>
      <c r="CM8" s="68">
        <f>IF(CK9="","",IF(CL8="",IF(CK8=CK9,"",(CK8-CK9)),IF(CL8=CK9,"",(CL8-CK9))))</f>
        <v>2.3999999999999915</v>
      </c>
      <c r="CN8" s="68">
        <f>IF(CM8="","",(CM8*(0.785*77*77)/1000))</f>
        <v>11.17023599999996</v>
      </c>
      <c r="CO8" s="68">
        <f>IF(CN8="","",(CN8*0.33*1.205*1000)/C8)</f>
        <v>24.272373472131061</v>
      </c>
      <c r="CP8" s="62">
        <v>57</v>
      </c>
      <c r="CQ8" s="62">
        <v>83</v>
      </c>
      <c r="CR8" s="65" t="str">
        <f>IF(J8="","",J8)</f>
        <v>ME</v>
      </c>
      <c r="CS8" s="56">
        <v>1</v>
      </c>
      <c r="CT8" s="61">
        <v>102.6</v>
      </c>
      <c r="CU8" s="61"/>
      <c r="CV8" s="68">
        <f>IF(CT9="","",IF(CU8="",IF(CT8=CT9,"",(CT8-CT9)),IF(CU8=CT9,"",(CU8-CT9))))</f>
        <v>1.7999999999999972</v>
      </c>
      <c r="CW8" s="68">
        <f>IF(CV8="","",(CV8*(0.785*92*92)/1000))</f>
        <v>11.959631999999981</v>
      </c>
      <c r="CX8" s="69">
        <f>IF(CW8="","",(CW8)/C8)</f>
        <v>6.5353180327868757E-2</v>
      </c>
      <c r="CY8" s="66" t="s">
        <v>240</v>
      </c>
      <c r="CZ8" s="66" t="s">
        <v>241</v>
      </c>
      <c r="DA8" s="66"/>
      <c r="DB8" s="65" t="str">
        <f>IF(J8="","",J8)</f>
        <v>ME</v>
      </c>
      <c r="DC8" s="56">
        <v>1</v>
      </c>
      <c r="DD8" s="61">
        <v>86.2</v>
      </c>
      <c r="DE8" s="61">
        <v>103.5</v>
      </c>
      <c r="DF8" s="68">
        <f>IF(DD9="","",IF(DE8="",IF(DD8=DD9,"",(DD8-DD9)),IF(DE8=DD9,"",(DE8-DD9))))</f>
        <v>19.599999999999994</v>
      </c>
      <c r="DG8" s="69">
        <f>IF(DF8="","",(DF8*(0.785*92*92)*0.00812/1000))</f>
        <v>1.0574440844799997</v>
      </c>
      <c r="DH8" s="68">
        <f>IF(DG8="","",(DG8*1000)/C8)</f>
        <v>5.7783829753005449</v>
      </c>
      <c r="DI8" s="62">
        <v>90</v>
      </c>
      <c r="DJ8" s="62">
        <v>54</v>
      </c>
      <c r="DK8" s="65" t="str">
        <f>IF(J8="","",J8)</f>
        <v>ME</v>
      </c>
      <c r="DL8" s="56">
        <v>1</v>
      </c>
      <c r="DM8" s="63">
        <v>8.2100000000000009</v>
      </c>
      <c r="DN8" s="64">
        <v>3.5000000000000003E-2</v>
      </c>
      <c r="DO8" s="64">
        <v>3.1E-2</v>
      </c>
      <c r="DP8" s="64">
        <v>7.1999999999999995E-2</v>
      </c>
      <c r="DQ8" s="63">
        <v>7.13</v>
      </c>
      <c r="DR8" s="61">
        <v>21.5</v>
      </c>
      <c r="DS8" s="64">
        <v>1.095</v>
      </c>
      <c r="DT8" s="61">
        <v>85.9</v>
      </c>
      <c r="DU8" s="63">
        <v>4.18</v>
      </c>
      <c r="DV8" s="64">
        <v>0.73</v>
      </c>
      <c r="DW8" s="64">
        <v>0.42199999999999999</v>
      </c>
      <c r="DX8" s="66" t="s">
        <v>242</v>
      </c>
      <c r="DY8" s="65" t="str">
        <f>IF(J8="","",J8)</f>
        <v>ME</v>
      </c>
      <c r="DZ8" s="128">
        <v>1</v>
      </c>
      <c r="EA8" s="173">
        <f>IF(C8="","",C8/1496)</f>
        <v>0.12232620320855615</v>
      </c>
      <c r="EB8" s="173">
        <f>IF(F8="","",IF(Q8="",F8/1360,(F8+Q8)/1360))</f>
        <v>0.10220588235294117</v>
      </c>
      <c r="EC8" s="173">
        <f>IF(I8="","",IF(C8="","",I8/C8))</f>
        <v>0.8797814207650273</v>
      </c>
      <c r="ED8" s="63">
        <v>1.08</v>
      </c>
      <c r="EE8" s="63">
        <v>1.1599999999999999</v>
      </c>
      <c r="EF8" s="63">
        <v>0.04</v>
      </c>
      <c r="EG8" s="63">
        <v>7.0000000000000007E-2</v>
      </c>
      <c r="EH8" s="127" t="str">
        <f t="shared" ref="EH8:EH37" si="5">IF(J8="","",J8)</f>
        <v>ME</v>
      </c>
      <c r="EI8" s="56">
        <v>1</v>
      </c>
      <c r="EJ8" s="334"/>
      <c r="EK8" s="334"/>
      <c r="EL8" s="334"/>
      <c r="EM8" s="334"/>
      <c r="EN8" s="334"/>
      <c r="EO8" s="334"/>
      <c r="EP8" s="334"/>
      <c r="EQ8" s="65" t="str">
        <f>IF(J8="","",J8)</f>
        <v>ME</v>
      </c>
      <c r="ER8" s="20"/>
      <c r="ES8" s="20"/>
      <c r="ET8" s="20"/>
      <c r="EU8" s="20"/>
      <c r="EV8" s="20"/>
      <c r="EW8" s="20"/>
      <c r="EX8" s="20"/>
    </row>
    <row r="9" spans="1:154" s="3" customFormat="1" ht="17.149999999999999" customHeight="1" x14ac:dyDescent="0.25">
      <c r="A9" s="56">
        <v>2</v>
      </c>
      <c r="B9" s="57">
        <v>906976</v>
      </c>
      <c r="C9" s="58">
        <f t="shared" ref="C9:C36" si="6">IF(B10="","",IF(B10=B9,"",(B10-B9)))</f>
        <v>203</v>
      </c>
      <c r="D9" s="167">
        <v>9.9499999999999993</v>
      </c>
      <c r="E9" s="57">
        <v>811484</v>
      </c>
      <c r="F9" s="58">
        <f t="shared" ref="F9:F36" si="7">IF(E10="","",IF(E10=E9,"",(E10-E9)))</f>
        <v>204</v>
      </c>
      <c r="G9" s="168">
        <v>2.4300000000000002</v>
      </c>
      <c r="H9" s="57">
        <v>765761</v>
      </c>
      <c r="I9" s="58">
        <f t="shared" si="0"/>
        <v>126</v>
      </c>
      <c r="J9" s="60" t="s">
        <v>194</v>
      </c>
      <c r="K9" s="56">
        <v>2</v>
      </c>
      <c r="L9" s="57">
        <v>70845</v>
      </c>
      <c r="M9" s="58">
        <f t="shared" ref="M9:M36" si="8">IF(L10="","",IF(L10=L9,"",(L10-L9)))</f>
        <v>49</v>
      </c>
      <c r="N9" s="57">
        <v>180624</v>
      </c>
      <c r="O9" s="58">
        <f t="shared" ref="O9:O36" si="9">IF(N10="","",IF(N10=N9,"",(N10-N9)))</f>
        <v>36</v>
      </c>
      <c r="P9" s="57">
        <v>194749</v>
      </c>
      <c r="Q9" s="58" t="str">
        <f t="shared" si="1"/>
        <v/>
      </c>
      <c r="R9" s="57">
        <v>687</v>
      </c>
      <c r="S9" s="57">
        <v>694</v>
      </c>
      <c r="T9" s="170">
        <v>144</v>
      </c>
      <c r="U9" s="57">
        <v>141</v>
      </c>
      <c r="V9" s="58" t="str">
        <f t="shared" ref="V9:V37" si="10">IF(J9="","",J9)</f>
        <v>ME</v>
      </c>
      <c r="W9" s="56">
        <v>2</v>
      </c>
      <c r="X9" s="63">
        <v>11985.59</v>
      </c>
      <c r="Y9" s="130">
        <f t="shared" ref="Y9:Y36" si="11">IF(X10="","",IF(X10=X9,"",X10-X9))</f>
        <v>2.8899999999994179</v>
      </c>
      <c r="Z9" s="63">
        <v>12754.9</v>
      </c>
      <c r="AA9" s="130">
        <f t="shared" ref="AA9:AA36" si="12">IF(Z10="","",IF(Z10=Z9,"",Z10-Z9))</f>
        <v>2.9500000000007276</v>
      </c>
      <c r="AB9" s="63">
        <v>10020.620000000001</v>
      </c>
      <c r="AC9" s="130">
        <f t="shared" ref="AC9:AC36" si="13">IF(AB10="","",IF(AB10=AB9,"",AB10-AB9))</f>
        <v>1.1899999999986903</v>
      </c>
      <c r="AD9" s="63">
        <v>10174.48</v>
      </c>
      <c r="AE9" s="130">
        <f t="shared" si="2"/>
        <v>2.180000000000291</v>
      </c>
      <c r="AF9" s="125" t="str">
        <f t="shared" ref="AF9:AF37" si="14">IF(J9="","",J9)</f>
        <v>ME</v>
      </c>
      <c r="AG9" s="56">
        <v>2</v>
      </c>
      <c r="AH9" s="63">
        <v>47957.94</v>
      </c>
      <c r="AI9" s="130">
        <f t="shared" ref="AI9:AI36" si="15">IF(AH10="","",IF(AH10=AH9,"",AH10-AH9))</f>
        <v>16.129999999997381</v>
      </c>
      <c r="AJ9" s="63">
        <v>50131.98</v>
      </c>
      <c r="AK9" s="130">
        <f t="shared" ref="AK9:AK35" si="16">IF(AJ10="","",IF(AJ10=AJ9,"",AJ10-AJ9))</f>
        <v>7.1599999999962165</v>
      </c>
      <c r="AL9" s="63">
        <v>592.20000000000005</v>
      </c>
      <c r="AM9" s="130" t="str">
        <f t="shared" ref="AM9:AM36" si="17">IF(AL10="","",IF(AL10=AL9,"",AL10-AL9))</f>
        <v/>
      </c>
      <c r="AN9" s="63">
        <v>553.37</v>
      </c>
      <c r="AO9" s="130" t="str">
        <f t="shared" si="3"/>
        <v/>
      </c>
      <c r="AP9" s="125" t="str">
        <f t="shared" ref="AP9:AP37" si="18">IF(J9="","",J9)</f>
        <v>ME</v>
      </c>
      <c r="AQ9" s="56">
        <v>2</v>
      </c>
      <c r="AR9" s="63">
        <v>6918.08</v>
      </c>
      <c r="AS9" s="130">
        <f t="shared" ref="AS9:AS36" si="19">IF(AR10="","",IF(AR10=AR9,"",AR10-AR9))</f>
        <v>1.930000000000291</v>
      </c>
      <c r="AT9" s="63">
        <v>7705.52</v>
      </c>
      <c r="AU9" s="130">
        <f t="shared" ref="AU9:AU36" si="20">IF(AT10="","",IF(AT10=AT9,"",AT10-AT9))</f>
        <v>1.7199999999993452</v>
      </c>
      <c r="AV9" s="63">
        <v>260.45999999999998</v>
      </c>
      <c r="AW9" s="130" t="str">
        <f t="shared" ref="AW9:AW36" si="21">IF(AV10="","",IF(AV10=AV9,"",AV10-AV9))</f>
        <v/>
      </c>
      <c r="AX9" s="63">
        <v>246.45</v>
      </c>
      <c r="AY9" s="130">
        <f t="shared" si="4"/>
        <v>0.34000000000000341</v>
      </c>
      <c r="AZ9" s="125" t="str">
        <f t="shared" ref="AZ9:AZ37" si="22">IF(J9="","",J9)</f>
        <v>ME</v>
      </c>
      <c r="BA9" s="56">
        <v>2</v>
      </c>
      <c r="BB9" s="64">
        <v>1.38</v>
      </c>
      <c r="BC9" s="62">
        <v>41</v>
      </c>
      <c r="BD9" s="61">
        <v>7</v>
      </c>
      <c r="BE9" s="61">
        <v>19.8</v>
      </c>
      <c r="BF9" s="61">
        <v>17.5</v>
      </c>
      <c r="BG9" s="61">
        <v>7</v>
      </c>
      <c r="BH9" s="64">
        <v>0.252</v>
      </c>
      <c r="BI9" s="64">
        <v>0.221</v>
      </c>
      <c r="BJ9" s="64">
        <v>6.9000000000000006E-2</v>
      </c>
      <c r="BK9" s="64">
        <v>5.3999999999999999E-2</v>
      </c>
      <c r="BL9" s="64">
        <v>5.8999999999999997E-2</v>
      </c>
      <c r="BM9" s="64">
        <v>5.8999999999999997E-2</v>
      </c>
      <c r="BN9" s="65" t="str">
        <f t="shared" ref="BN9:BN37" si="23">IF(J9="","",J9)</f>
        <v>ME</v>
      </c>
      <c r="BO9" s="56">
        <v>2</v>
      </c>
      <c r="BP9" s="64">
        <v>9.5000000000000001E-2</v>
      </c>
      <c r="BQ9" s="62">
        <v>0</v>
      </c>
      <c r="BR9" s="61">
        <v>7.1</v>
      </c>
      <c r="BS9" s="61">
        <v>21.5</v>
      </c>
      <c r="BT9" s="61">
        <v>19.3</v>
      </c>
      <c r="BU9" s="64">
        <v>1.6E-2</v>
      </c>
      <c r="BV9" s="63">
        <v>1.1299999999999999</v>
      </c>
      <c r="BW9" s="63">
        <v>0.98</v>
      </c>
      <c r="BX9" s="66" t="s">
        <v>429</v>
      </c>
      <c r="BY9" s="172" t="s">
        <v>246</v>
      </c>
      <c r="BZ9" s="67" t="str">
        <f t="shared" ref="BZ9:BZ37" si="24">IF(J9="","",J9)</f>
        <v>ME</v>
      </c>
      <c r="CA9" s="56">
        <v>2</v>
      </c>
      <c r="CB9" s="61">
        <v>88.7</v>
      </c>
      <c r="CC9" s="61"/>
      <c r="CD9" s="68">
        <f t="shared" ref="CD9:CD36" si="25">IF(CB10="","",IF(CC9="",IF(CB9=CB10,"",(CB9-CB10)),IF(CC9=CB10,"",(CC9-CB10))))</f>
        <v>1.2999999999999972</v>
      </c>
      <c r="CE9" s="69">
        <f t="shared" ref="CE9:CE37" si="26">IF(CD9="","",(CD9*(0.785*77*77)/1000))</f>
        <v>6.0505444999999876</v>
      </c>
      <c r="CF9" s="69">
        <f t="shared" ref="CF9:CF37" si="27">IF(CE9="","",(CE9*0.12*1000)/I9)</f>
        <v>5.762423333333321</v>
      </c>
      <c r="CG9" s="62">
        <v>78</v>
      </c>
      <c r="CH9" s="62">
        <v>100</v>
      </c>
      <c r="CI9" s="65" t="str">
        <f t="shared" ref="CI9:CI37" si="28">IF(J9="","",J9)</f>
        <v>ME</v>
      </c>
      <c r="CJ9" s="56">
        <v>2</v>
      </c>
      <c r="CK9" s="61">
        <v>92.4</v>
      </c>
      <c r="CL9" s="61"/>
      <c r="CM9" s="68">
        <f t="shared" ref="CM9:CM36" si="29">IF(CK10="","",IF(CL9="",IF(CK9=CK10,"",(CK9-CK10)),IF(CL9=CK10,"",(CL9-CK10))))</f>
        <v>2.6000000000000085</v>
      </c>
      <c r="CN9" s="68">
        <f t="shared" ref="CN9:CN37" si="30">IF(CM9="","",(CM9*(0.785*77*77)/1000))</f>
        <v>12.101089000000041</v>
      </c>
      <c r="CO9" s="68">
        <f t="shared" ref="CO9:CO37" si="31">IF(CN9="","",(CN9*0.33*1.205*1000)/C9)</f>
        <v>23.704423846551808</v>
      </c>
      <c r="CP9" s="62">
        <v>56</v>
      </c>
      <c r="CQ9" s="62">
        <v>83</v>
      </c>
      <c r="CR9" s="65" t="str">
        <f t="shared" ref="CR9:CR37" si="32">IF(J9="","",J9)</f>
        <v>ME</v>
      </c>
      <c r="CS9" s="56">
        <v>2</v>
      </c>
      <c r="CT9" s="61">
        <v>100.8</v>
      </c>
      <c r="CU9" s="61"/>
      <c r="CV9" s="68">
        <f t="shared" ref="CV9:CV36" si="33">IF(CT10="","",IF(CU9="",IF(CT9=CT10,"",(CT9-CT10)),IF(CU9=CT10,"",(CU9-CT10))))</f>
        <v>2.2999999999999972</v>
      </c>
      <c r="CW9" s="68">
        <f t="shared" ref="CW9:CW37" si="34">IF(CV9="","",(CV9*(0.785*92*92)/1000))</f>
        <v>15.28175199999998</v>
      </c>
      <c r="CX9" s="69">
        <f t="shared" ref="CX9:CX37" si="35">IF(CW9="","",(CW9)/C9)</f>
        <v>7.5279566502462952E-2</v>
      </c>
      <c r="CY9" s="66" t="s">
        <v>251</v>
      </c>
      <c r="CZ9" s="66" t="s">
        <v>241</v>
      </c>
      <c r="DA9" s="66"/>
      <c r="DB9" s="65" t="str">
        <f t="shared" ref="DB9:DB37" si="36">IF(J9="","",J9)</f>
        <v>ME</v>
      </c>
      <c r="DC9" s="56">
        <v>2</v>
      </c>
      <c r="DD9" s="61">
        <v>83.9</v>
      </c>
      <c r="DE9" s="61">
        <v>104.3</v>
      </c>
      <c r="DF9" s="68">
        <f t="shared" ref="DF9:DF36" si="37">IF(DD10="","",IF(DE9="",IF(DD9=DD10,"",(DD9-DD10)),IF(DE9=DD10,"",(DE9-DD10))))</f>
        <v>19.899999999999991</v>
      </c>
      <c r="DG9" s="69">
        <f t="shared" ref="DG9:DG37" si="38">IF(DF9="","",(DF9*(0.785*92*92)*0.00812/1000))</f>
        <v>1.0736294531199995</v>
      </c>
      <c r="DH9" s="68">
        <f t="shared" ref="DH9:DH37" si="39">IF(DG9="","",(DG9*1000)/C9)</f>
        <v>5.2888150399999976</v>
      </c>
      <c r="DI9" s="62">
        <v>93</v>
      </c>
      <c r="DJ9" s="62">
        <v>54</v>
      </c>
      <c r="DK9" s="65" t="str">
        <f t="shared" ref="DK9:DK37" si="40">IF(J9="","",J9)</f>
        <v>ME</v>
      </c>
      <c r="DL9" s="56">
        <v>2</v>
      </c>
      <c r="DM9" s="63">
        <v>8.84</v>
      </c>
      <c r="DN9" s="64">
        <v>3.1E-2</v>
      </c>
      <c r="DO9" s="64">
        <v>3.4000000000000002E-2</v>
      </c>
      <c r="DP9" s="64">
        <v>6.9000000000000006E-2</v>
      </c>
      <c r="DQ9" s="63">
        <v>7.09</v>
      </c>
      <c r="DR9" s="61">
        <v>21.3</v>
      </c>
      <c r="DS9" s="64">
        <v>1.0960000000000001</v>
      </c>
      <c r="DT9" s="61">
        <v>87.7</v>
      </c>
      <c r="DU9" s="63">
        <v>4.37</v>
      </c>
      <c r="DV9" s="64">
        <v>0.67600000000000005</v>
      </c>
      <c r="DW9" s="64">
        <v>0.40400000000000003</v>
      </c>
      <c r="DX9" s="66" t="s">
        <v>242</v>
      </c>
      <c r="DY9" s="65" t="str">
        <f t="shared" ref="DY9:DY37" si="41">IF(J9="","",J9)</f>
        <v>ME</v>
      </c>
      <c r="DZ9" s="128">
        <v>2</v>
      </c>
      <c r="EA9" s="173">
        <f t="shared" ref="EA9:EA37" si="42">IF(C9="","",C9/1496)</f>
        <v>0.13569518716577539</v>
      </c>
      <c r="EB9" s="173">
        <f t="shared" ref="EB9:EB37" si="43">IF(F9="","",IF(Q9="",F9/1360,(F9+Q9)/1360))</f>
        <v>0.15</v>
      </c>
      <c r="EC9" s="173">
        <f t="shared" ref="EC9:EC37" si="44">IF(I9="","",IF(C9="","",I9/C9))</f>
        <v>0.62068965517241381</v>
      </c>
      <c r="ED9" s="63">
        <v>1.02</v>
      </c>
      <c r="EE9" s="63">
        <v>1.1499999999999999</v>
      </c>
      <c r="EF9" s="63">
        <v>0.05</v>
      </c>
      <c r="EG9" s="63">
        <v>0.12</v>
      </c>
      <c r="EH9" s="127" t="str">
        <f t="shared" si="5"/>
        <v>ME</v>
      </c>
      <c r="EI9" s="56">
        <v>2</v>
      </c>
      <c r="EJ9" s="334"/>
      <c r="EK9" s="334"/>
      <c r="EL9" s="334"/>
      <c r="EM9" s="334"/>
      <c r="EN9" s="334"/>
      <c r="EO9" s="334"/>
      <c r="EP9" s="334"/>
      <c r="EQ9" s="65" t="str">
        <f t="shared" ref="EQ9:EQ37" si="45">IF(J9="","",J9)</f>
        <v>ME</v>
      </c>
      <c r="ER9" s="20"/>
      <c r="ES9" s="20"/>
      <c r="ET9" s="20"/>
      <c r="EU9" s="20"/>
      <c r="EV9" s="20"/>
      <c r="EW9" s="20"/>
      <c r="EX9" s="20"/>
    </row>
    <row r="10" spans="1:154" s="3" customFormat="1" ht="17.149999999999999" customHeight="1" x14ac:dyDescent="0.25">
      <c r="A10" s="56">
        <v>3</v>
      </c>
      <c r="B10" s="57">
        <v>907179</v>
      </c>
      <c r="C10" s="58">
        <f t="shared" si="6"/>
        <v>214</v>
      </c>
      <c r="D10" s="167">
        <v>9.9700000000000006</v>
      </c>
      <c r="E10" s="57">
        <v>811688</v>
      </c>
      <c r="F10" s="58">
        <f t="shared" si="7"/>
        <v>212</v>
      </c>
      <c r="G10" s="168">
        <v>3.32</v>
      </c>
      <c r="H10" s="57">
        <v>765887</v>
      </c>
      <c r="I10" s="58">
        <f t="shared" si="0"/>
        <v>192</v>
      </c>
      <c r="J10" s="60" t="s">
        <v>194</v>
      </c>
      <c r="K10" s="56">
        <v>3</v>
      </c>
      <c r="L10" s="57">
        <v>70894</v>
      </c>
      <c r="M10" s="58" t="str">
        <f t="shared" si="8"/>
        <v/>
      </c>
      <c r="N10" s="57">
        <v>180660</v>
      </c>
      <c r="O10" s="58">
        <f t="shared" si="9"/>
        <v>39</v>
      </c>
      <c r="P10" s="57">
        <v>194749</v>
      </c>
      <c r="Q10" s="58" t="str">
        <f t="shared" si="1"/>
        <v/>
      </c>
      <c r="R10" s="57">
        <v>687</v>
      </c>
      <c r="S10" s="57">
        <v>695</v>
      </c>
      <c r="T10" s="170">
        <v>144</v>
      </c>
      <c r="U10" s="57">
        <v>141</v>
      </c>
      <c r="V10" s="58" t="str">
        <f t="shared" si="10"/>
        <v>ME</v>
      </c>
      <c r="W10" s="56">
        <v>3</v>
      </c>
      <c r="X10" s="63">
        <v>11988.48</v>
      </c>
      <c r="Y10" s="130">
        <f t="shared" si="11"/>
        <v>2.9500000000007276</v>
      </c>
      <c r="Z10" s="63">
        <v>12757.85</v>
      </c>
      <c r="AA10" s="130">
        <f t="shared" si="12"/>
        <v>2.7700000000004366</v>
      </c>
      <c r="AB10" s="63">
        <v>10021.81</v>
      </c>
      <c r="AC10" s="130">
        <f t="shared" si="13"/>
        <v>2.3500000000003638</v>
      </c>
      <c r="AD10" s="63">
        <v>10176.66</v>
      </c>
      <c r="AE10" s="130">
        <f t="shared" si="2"/>
        <v>2.7399999999997817</v>
      </c>
      <c r="AF10" s="125" t="str">
        <f t="shared" si="14"/>
        <v>ME</v>
      </c>
      <c r="AG10" s="56">
        <v>3</v>
      </c>
      <c r="AH10" s="63">
        <v>47974.07</v>
      </c>
      <c r="AI10" s="130">
        <f t="shared" si="15"/>
        <v>6.7399999999979627</v>
      </c>
      <c r="AJ10" s="63">
        <v>50139.14</v>
      </c>
      <c r="AK10" s="130">
        <f t="shared" si="16"/>
        <v>16.849999999998545</v>
      </c>
      <c r="AL10" s="63">
        <v>592.20000000000005</v>
      </c>
      <c r="AM10" s="130" t="str">
        <f t="shared" si="17"/>
        <v/>
      </c>
      <c r="AN10" s="63">
        <v>553.37</v>
      </c>
      <c r="AO10" s="130" t="str">
        <f t="shared" si="3"/>
        <v/>
      </c>
      <c r="AP10" s="125" t="str">
        <f t="shared" si="18"/>
        <v>ME</v>
      </c>
      <c r="AQ10" s="56">
        <v>3</v>
      </c>
      <c r="AR10" s="63">
        <v>6920.01</v>
      </c>
      <c r="AS10" s="130">
        <f t="shared" si="19"/>
        <v>1.3099999999994907</v>
      </c>
      <c r="AT10" s="63">
        <v>7707.24</v>
      </c>
      <c r="AU10" s="130">
        <f t="shared" si="20"/>
        <v>1.3299999999999272</v>
      </c>
      <c r="AV10" s="63">
        <v>260.45999999999998</v>
      </c>
      <c r="AW10" s="130" t="str">
        <f t="shared" si="21"/>
        <v/>
      </c>
      <c r="AX10" s="63">
        <v>246.79</v>
      </c>
      <c r="AY10" s="130" t="str">
        <f t="shared" si="4"/>
        <v/>
      </c>
      <c r="AZ10" s="125" t="str">
        <f t="shared" si="22"/>
        <v>ME</v>
      </c>
      <c r="BA10" s="56">
        <v>3</v>
      </c>
      <c r="BB10" s="64"/>
      <c r="BC10" s="62"/>
      <c r="BD10" s="61"/>
      <c r="BE10" s="61"/>
      <c r="BF10" s="61"/>
      <c r="BG10" s="61"/>
      <c r="BH10" s="64"/>
      <c r="BI10" s="64"/>
      <c r="BJ10" s="64"/>
      <c r="BK10" s="64"/>
      <c r="BL10" s="64"/>
      <c r="BM10" s="64"/>
      <c r="BN10" s="65" t="str">
        <f t="shared" si="23"/>
        <v>ME</v>
      </c>
      <c r="BO10" s="56">
        <v>3</v>
      </c>
      <c r="BP10" s="64">
        <v>9.7000000000000003E-2</v>
      </c>
      <c r="BQ10" s="62"/>
      <c r="BR10" s="61"/>
      <c r="BS10" s="61"/>
      <c r="BT10" s="61"/>
      <c r="BU10" s="64"/>
      <c r="BV10" s="63">
        <v>1.1499999999999999</v>
      </c>
      <c r="BW10" s="63">
        <v>1.01</v>
      </c>
      <c r="BX10" s="66" t="s">
        <v>245</v>
      </c>
      <c r="BY10" s="172" t="s">
        <v>246</v>
      </c>
      <c r="BZ10" s="67" t="str">
        <f t="shared" si="24"/>
        <v>ME</v>
      </c>
      <c r="CA10" s="56">
        <v>3</v>
      </c>
      <c r="CB10" s="61">
        <v>87.4</v>
      </c>
      <c r="CC10" s="61"/>
      <c r="CD10" s="68">
        <f t="shared" si="25"/>
        <v>2.3000000000000114</v>
      </c>
      <c r="CE10" s="69">
        <f t="shared" si="26"/>
        <v>10.704809500000055</v>
      </c>
      <c r="CF10" s="69">
        <f t="shared" si="27"/>
        <v>6.690505937500034</v>
      </c>
      <c r="CG10" s="62">
        <v>77</v>
      </c>
      <c r="CH10" s="62">
        <v>100</v>
      </c>
      <c r="CI10" s="65" t="str">
        <f t="shared" si="28"/>
        <v>ME</v>
      </c>
      <c r="CJ10" s="56">
        <v>3</v>
      </c>
      <c r="CK10" s="61">
        <v>89.8</v>
      </c>
      <c r="CL10" s="61"/>
      <c r="CM10" s="68">
        <f t="shared" si="29"/>
        <v>2.5</v>
      </c>
      <c r="CN10" s="68">
        <f t="shared" si="30"/>
        <v>11.6356625</v>
      </c>
      <c r="CO10" s="68">
        <f t="shared" si="31"/>
        <v>21.621127070677574</v>
      </c>
      <c r="CP10" s="62">
        <v>57</v>
      </c>
      <c r="CQ10" s="62">
        <v>83</v>
      </c>
      <c r="CR10" s="65" t="str">
        <f t="shared" si="32"/>
        <v>ME</v>
      </c>
      <c r="CS10" s="56">
        <v>3</v>
      </c>
      <c r="CT10" s="61">
        <v>98.5</v>
      </c>
      <c r="CU10" s="61"/>
      <c r="CV10" s="68">
        <f t="shared" si="33"/>
        <v>2</v>
      </c>
      <c r="CW10" s="68">
        <f t="shared" si="34"/>
        <v>13.28848</v>
      </c>
      <c r="CX10" s="69">
        <f t="shared" si="35"/>
        <v>6.2095700934579438E-2</v>
      </c>
      <c r="CY10" s="66" t="s">
        <v>240</v>
      </c>
      <c r="CZ10" s="66" t="s">
        <v>241</v>
      </c>
      <c r="DA10" s="66"/>
      <c r="DB10" s="65" t="str">
        <f t="shared" si="36"/>
        <v>ME</v>
      </c>
      <c r="DC10" s="56">
        <v>3</v>
      </c>
      <c r="DD10" s="61">
        <v>84.4</v>
      </c>
      <c r="DE10" s="61">
        <v>104</v>
      </c>
      <c r="DF10" s="68">
        <f t="shared" si="37"/>
        <v>21</v>
      </c>
      <c r="DG10" s="69">
        <f t="shared" si="38"/>
        <v>1.1329758048</v>
      </c>
      <c r="DH10" s="68">
        <f t="shared" si="39"/>
        <v>5.2942794616822431</v>
      </c>
      <c r="DI10" s="62">
        <v>90</v>
      </c>
      <c r="DJ10" s="62">
        <v>54</v>
      </c>
      <c r="DK10" s="65" t="str">
        <f t="shared" si="40"/>
        <v>ME</v>
      </c>
      <c r="DL10" s="56">
        <v>3</v>
      </c>
      <c r="DM10" s="63">
        <v>8.14</v>
      </c>
      <c r="DN10" s="64">
        <v>3.4000000000000002E-2</v>
      </c>
      <c r="DO10" s="64">
        <v>3.4000000000000002E-2</v>
      </c>
      <c r="DP10" s="64">
        <v>7.1999999999999995E-2</v>
      </c>
      <c r="DQ10" s="63">
        <v>7.12</v>
      </c>
      <c r="DR10" s="61">
        <v>21.3</v>
      </c>
      <c r="DS10" s="64">
        <v>1.056</v>
      </c>
      <c r="DT10" s="61">
        <v>87.1</v>
      </c>
      <c r="DU10" s="63">
        <v>4.2300000000000004</v>
      </c>
      <c r="DV10" s="64">
        <v>2.407</v>
      </c>
      <c r="DW10" s="64">
        <v>0.37</v>
      </c>
      <c r="DX10" s="66" t="s">
        <v>242</v>
      </c>
      <c r="DY10" s="65" t="str">
        <f t="shared" si="41"/>
        <v>ME</v>
      </c>
      <c r="DZ10" s="128">
        <v>3</v>
      </c>
      <c r="EA10" s="173">
        <f t="shared" si="42"/>
        <v>0.14304812834224598</v>
      </c>
      <c r="EB10" s="173">
        <f t="shared" si="43"/>
        <v>0.15588235294117647</v>
      </c>
      <c r="EC10" s="173">
        <f t="shared" si="44"/>
        <v>0.89719626168224298</v>
      </c>
      <c r="ED10" s="63">
        <v>1</v>
      </c>
      <c r="EE10" s="63">
        <v>1.1100000000000001</v>
      </c>
      <c r="EF10" s="63">
        <v>0.05</v>
      </c>
      <c r="EG10" s="63">
        <v>0.06</v>
      </c>
      <c r="EH10" s="127" t="str">
        <f t="shared" si="5"/>
        <v>ME</v>
      </c>
      <c r="EI10" s="56">
        <v>3</v>
      </c>
      <c r="EJ10" s="334"/>
      <c r="EK10" s="334"/>
      <c r="EL10" s="334"/>
      <c r="EM10" s="334"/>
      <c r="EN10" s="334"/>
      <c r="EO10" s="334"/>
      <c r="EP10" s="334"/>
      <c r="EQ10" s="65" t="str">
        <f t="shared" si="45"/>
        <v>ME</v>
      </c>
      <c r="ER10" s="20"/>
      <c r="ES10" s="20"/>
      <c r="ET10" s="20"/>
      <c r="EU10" s="20"/>
      <c r="EV10" s="20"/>
      <c r="EW10" s="20"/>
      <c r="EX10" s="20"/>
    </row>
    <row r="11" spans="1:154" s="3" customFormat="1" ht="17.149999999999999" customHeight="1" x14ac:dyDescent="0.25">
      <c r="A11" s="56">
        <v>4</v>
      </c>
      <c r="B11" s="57">
        <v>907393</v>
      </c>
      <c r="C11" s="58">
        <f t="shared" si="6"/>
        <v>101</v>
      </c>
      <c r="D11" s="167">
        <v>9.85</v>
      </c>
      <c r="E11" s="57">
        <v>811900</v>
      </c>
      <c r="F11" s="58">
        <f t="shared" si="7"/>
        <v>228</v>
      </c>
      <c r="G11" s="168">
        <v>2.0099999999999998</v>
      </c>
      <c r="H11" s="57">
        <v>766079</v>
      </c>
      <c r="I11" s="58">
        <f t="shared" si="0"/>
        <v>81</v>
      </c>
      <c r="J11" s="60" t="s">
        <v>194</v>
      </c>
      <c r="K11" s="56">
        <v>4</v>
      </c>
      <c r="L11" s="57">
        <v>70894</v>
      </c>
      <c r="M11" s="58" t="str">
        <f t="shared" si="8"/>
        <v/>
      </c>
      <c r="N11" s="57">
        <v>180699</v>
      </c>
      <c r="O11" s="58">
        <f t="shared" si="9"/>
        <v>43</v>
      </c>
      <c r="P11" s="57">
        <v>194749</v>
      </c>
      <c r="Q11" s="169" t="str">
        <f t="shared" si="1"/>
        <v/>
      </c>
      <c r="R11" s="57">
        <v>687</v>
      </c>
      <c r="S11" s="57">
        <v>695</v>
      </c>
      <c r="T11" s="57">
        <v>144</v>
      </c>
      <c r="U11" s="57">
        <v>141</v>
      </c>
      <c r="V11" s="58" t="str">
        <f t="shared" si="10"/>
        <v>ME</v>
      </c>
      <c r="W11" s="56">
        <v>4</v>
      </c>
      <c r="X11" s="63">
        <v>11991.43</v>
      </c>
      <c r="Y11" s="130">
        <f t="shared" si="11"/>
        <v>2.6100000000005821</v>
      </c>
      <c r="Z11" s="63">
        <v>12760.62</v>
      </c>
      <c r="AA11" s="130">
        <f t="shared" si="12"/>
        <v>0.48999999999978172</v>
      </c>
      <c r="AB11" s="63">
        <v>10024.16</v>
      </c>
      <c r="AC11" s="130">
        <f t="shared" si="13"/>
        <v>0.2999999999992724</v>
      </c>
      <c r="AD11" s="63">
        <v>10179.4</v>
      </c>
      <c r="AE11" s="130">
        <f t="shared" si="2"/>
        <v>1.8700000000008004</v>
      </c>
      <c r="AF11" s="125" t="str">
        <f t="shared" si="14"/>
        <v>ME</v>
      </c>
      <c r="AG11" s="56">
        <v>4</v>
      </c>
      <c r="AH11" s="63">
        <v>47980.81</v>
      </c>
      <c r="AI11" s="130">
        <f t="shared" si="15"/>
        <v>17.260000000002037</v>
      </c>
      <c r="AJ11" s="63">
        <v>50155.99</v>
      </c>
      <c r="AK11" s="130">
        <f t="shared" si="16"/>
        <v>8.2700000000040745</v>
      </c>
      <c r="AL11" s="63">
        <v>592.20000000000005</v>
      </c>
      <c r="AM11" s="130" t="str">
        <f t="shared" si="17"/>
        <v/>
      </c>
      <c r="AN11" s="63">
        <v>553.37</v>
      </c>
      <c r="AO11" s="130" t="str">
        <f t="shared" si="3"/>
        <v/>
      </c>
      <c r="AP11" s="125" t="str">
        <f t="shared" si="18"/>
        <v>ME</v>
      </c>
      <c r="AQ11" s="56">
        <v>4</v>
      </c>
      <c r="AR11" s="63">
        <v>6921.32</v>
      </c>
      <c r="AS11" s="130">
        <f t="shared" si="19"/>
        <v>1.430000000000291</v>
      </c>
      <c r="AT11" s="63">
        <v>7708.57</v>
      </c>
      <c r="AU11" s="130">
        <f t="shared" si="20"/>
        <v>1.4500000000007276</v>
      </c>
      <c r="AV11" s="63">
        <v>260.45999999999998</v>
      </c>
      <c r="AW11" s="130" t="str">
        <f t="shared" si="21"/>
        <v/>
      </c>
      <c r="AX11" s="63">
        <v>246.79</v>
      </c>
      <c r="AY11" s="130" t="str">
        <f t="shared" si="4"/>
        <v/>
      </c>
      <c r="AZ11" s="125" t="str">
        <f t="shared" si="22"/>
        <v>ME</v>
      </c>
      <c r="BA11" s="56">
        <v>4</v>
      </c>
      <c r="BB11" s="64"/>
      <c r="BC11" s="62"/>
      <c r="BD11" s="61"/>
      <c r="BE11" s="61"/>
      <c r="BF11" s="61"/>
      <c r="BG11" s="61"/>
      <c r="BH11" s="64"/>
      <c r="BI11" s="64"/>
      <c r="BJ11" s="64"/>
      <c r="BK11" s="64"/>
      <c r="BL11" s="64"/>
      <c r="BM11" s="64"/>
      <c r="BN11" s="65" t="str">
        <f t="shared" si="23"/>
        <v>ME</v>
      </c>
      <c r="BO11" s="56">
        <v>4</v>
      </c>
      <c r="BP11" s="64">
        <v>9.5000000000000001E-2</v>
      </c>
      <c r="BQ11" s="62"/>
      <c r="BR11" s="61"/>
      <c r="BS11" s="61"/>
      <c r="BT11" s="61"/>
      <c r="BU11" s="64"/>
      <c r="BV11" s="63">
        <v>1.1299999999999999</v>
      </c>
      <c r="BW11" s="63">
        <v>0.9</v>
      </c>
      <c r="BX11" s="66" t="s">
        <v>365</v>
      </c>
      <c r="BY11" s="172" t="s">
        <v>246</v>
      </c>
      <c r="BZ11" s="67" t="str">
        <f t="shared" si="24"/>
        <v>ME</v>
      </c>
      <c r="CA11" s="56">
        <v>4</v>
      </c>
      <c r="CB11" s="61">
        <v>85.1</v>
      </c>
      <c r="CC11" s="61"/>
      <c r="CD11" s="68">
        <f t="shared" si="25"/>
        <v>0.79999999999999716</v>
      </c>
      <c r="CE11" s="69">
        <f t="shared" si="26"/>
        <v>3.7234119999999873</v>
      </c>
      <c r="CF11" s="69">
        <f t="shared" si="27"/>
        <v>5.5161659259259066</v>
      </c>
      <c r="CG11" s="62">
        <v>77</v>
      </c>
      <c r="CH11" s="62">
        <v>100</v>
      </c>
      <c r="CI11" s="65" t="str">
        <f t="shared" si="28"/>
        <v>ME</v>
      </c>
      <c r="CJ11" s="56">
        <v>4</v>
      </c>
      <c r="CK11" s="61">
        <v>87.3</v>
      </c>
      <c r="CL11" s="61"/>
      <c r="CM11" s="68">
        <f t="shared" si="29"/>
        <v>1.2999999999999972</v>
      </c>
      <c r="CN11" s="68">
        <f t="shared" si="30"/>
        <v>6.0505444999999876</v>
      </c>
      <c r="CO11" s="68">
        <f t="shared" si="31"/>
        <v>23.821772479455397</v>
      </c>
      <c r="CP11" s="62">
        <v>57</v>
      </c>
      <c r="CQ11" s="62">
        <v>83</v>
      </c>
      <c r="CR11" s="65" t="str">
        <f t="shared" si="32"/>
        <v>ME</v>
      </c>
      <c r="CS11" s="56">
        <v>4</v>
      </c>
      <c r="CT11" s="61">
        <v>96.5</v>
      </c>
      <c r="CU11" s="61"/>
      <c r="CV11" s="68">
        <f t="shared" si="33"/>
        <v>1</v>
      </c>
      <c r="CW11" s="68">
        <f t="shared" si="34"/>
        <v>6.6442399999999999</v>
      </c>
      <c r="CX11" s="69">
        <f t="shared" si="35"/>
        <v>6.5784554455445537E-2</v>
      </c>
      <c r="CY11" s="66" t="s">
        <v>240</v>
      </c>
      <c r="CZ11" s="66" t="s">
        <v>241</v>
      </c>
      <c r="DA11" s="66"/>
      <c r="DB11" s="65" t="str">
        <f t="shared" si="36"/>
        <v>ME</v>
      </c>
      <c r="DC11" s="56">
        <v>4</v>
      </c>
      <c r="DD11" s="61">
        <v>83</v>
      </c>
      <c r="DE11" s="61">
        <v>103.5</v>
      </c>
      <c r="DF11" s="68">
        <f t="shared" si="37"/>
        <v>13.900000000000006</v>
      </c>
      <c r="DG11" s="69">
        <f t="shared" si="38"/>
        <v>0.74992208032000029</v>
      </c>
      <c r="DH11" s="68">
        <f t="shared" si="39"/>
        <v>7.4249710922772305</v>
      </c>
      <c r="DI11" s="62">
        <v>90</v>
      </c>
      <c r="DJ11" s="62">
        <v>54</v>
      </c>
      <c r="DK11" s="65" t="str">
        <f t="shared" si="40"/>
        <v>ME</v>
      </c>
      <c r="DL11" s="56">
        <v>4</v>
      </c>
      <c r="DM11" s="63">
        <v>8.1999999999999993</v>
      </c>
      <c r="DN11" s="64">
        <v>3.1E-2</v>
      </c>
      <c r="DO11" s="64">
        <v>3.2000000000000001E-2</v>
      </c>
      <c r="DP11" s="64">
        <v>7.0999999999999994E-2</v>
      </c>
      <c r="DQ11" s="63">
        <v>7.11</v>
      </c>
      <c r="DR11" s="61">
        <v>21.4</v>
      </c>
      <c r="DS11" s="64">
        <v>1.0469999999999999</v>
      </c>
      <c r="DT11" s="61">
        <v>87.2</v>
      </c>
      <c r="DU11" s="63">
        <v>4.3</v>
      </c>
      <c r="DV11" s="64">
        <v>2.2450000000000001</v>
      </c>
      <c r="DW11" s="64">
        <v>0.79900000000000004</v>
      </c>
      <c r="DX11" s="66" t="s">
        <v>242</v>
      </c>
      <c r="DY11" s="65" t="str">
        <f t="shared" si="41"/>
        <v>ME</v>
      </c>
      <c r="DZ11" s="128">
        <v>4</v>
      </c>
      <c r="EA11" s="173">
        <f t="shared" si="42"/>
        <v>6.7513368983957225E-2</v>
      </c>
      <c r="EB11" s="173">
        <f t="shared" si="43"/>
        <v>0.1676470588235294</v>
      </c>
      <c r="EC11" s="173">
        <f t="shared" si="44"/>
        <v>0.80198019801980203</v>
      </c>
      <c r="ED11" s="63">
        <v>0.95</v>
      </c>
      <c r="EE11" s="63">
        <v>1.1100000000000001</v>
      </c>
      <c r="EF11" s="63">
        <v>0.05</v>
      </c>
      <c r="EG11" s="63">
        <v>7.0000000000000007E-2</v>
      </c>
      <c r="EH11" s="127" t="str">
        <f t="shared" si="5"/>
        <v>ME</v>
      </c>
      <c r="EI11" s="56">
        <v>4</v>
      </c>
      <c r="EJ11" s="334" t="s">
        <v>430</v>
      </c>
      <c r="EK11" s="334"/>
      <c r="EL11" s="334"/>
      <c r="EM11" s="334"/>
      <c r="EN11" s="334"/>
      <c r="EO11" s="334"/>
      <c r="EP11" s="334"/>
      <c r="EQ11" s="65" t="str">
        <f t="shared" si="45"/>
        <v>ME</v>
      </c>
      <c r="ER11" s="20"/>
      <c r="ES11" s="20"/>
      <c r="ET11" s="20"/>
      <c r="EU11" s="20"/>
      <c r="EV11" s="20"/>
      <c r="EW11" s="20"/>
      <c r="EX11" s="20"/>
    </row>
    <row r="12" spans="1:154" s="3" customFormat="1" ht="17.149999999999999" customHeight="1" x14ac:dyDescent="0.25">
      <c r="A12" s="56">
        <v>5</v>
      </c>
      <c r="B12" s="57">
        <v>907494</v>
      </c>
      <c r="C12" s="58">
        <f t="shared" si="6"/>
        <v>392</v>
      </c>
      <c r="D12" s="167">
        <v>9.9499999999999993</v>
      </c>
      <c r="E12" s="57">
        <v>812128</v>
      </c>
      <c r="F12" s="58">
        <f t="shared" si="7"/>
        <v>256</v>
      </c>
      <c r="G12" s="168">
        <v>2.2400000000000002</v>
      </c>
      <c r="H12" s="57">
        <v>766160</v>
      </c>
      <c r="I12" s="58">
        <f t="shared" si="0"/>
        <v>264</v>
      </c>
      <c r="J12" s="60" t="s">
        <v>194</v>
      </c>
      <c r="K12" s="56">
        <v>5</v>
      </c>
      <c r="L12" s="57">
        <v>70894</v>
      </c>
      <c r="M12" s="58" t="str">
        <f t="shared" si="8"/>
        <v/>
      </c>
      <c r="N12" s="57">
        <v>180742</v>
      </c>
      <c r="O12" s="58">
        <f t="shared" si="9"/>
        <v>56</v>
      </c>
      <c r="P12" s="57">
        <v>194749</v>
      </c>
      <c r="Q12" s="169" t="str">
        <f t="shared" si="1"/>
        <v/>
      </c>
      <c r="R12" s="57">
        <v>687</v>
      </c>
      <c r="S12" s="57">
        <v>695</v>
      </c>
      <c r="T12" s="57">
        <v>144</v>
      </c>
      <c r="U12" s="57">
        <v>141</v>
      </c>
      <c r="V12" s="58" t="str">
        <f t="shared" si="10"/>
        <v>ME</v>
      </c>
      <c r="W12" s="56">
        <v>5</v>
      </c>
      <c r="X12" s="63">
        <v>11994.04</v>
      </c>
      <c r="Y12" s="130">
        <f t="shared" si="11"/>
        <v>5.4399999999986903</v>
      </c>
      <c r="Z12" s="63">
        <v>12761.11</v>
      </c>
      <c r="AA12" s="130">
        <f t="shared" si="12"/>
        <v>5.5100000000002183</v>
      </c>
      <c r="AB12" s="63">
        <v>10024.459999999999</v>
      </c>
      <c r="AC12" s="130">
        <f t="shared" si="13"/>
        <v>4.6600000000016735</v>
      </c>
      <c r="AD12" s="63">
        <v>10181.27</v>
      </c>
      <c r="AE12" s="130">
        <f t="shared" si="2"/>
        <v>2.3400000000001455</v>
      </c>
      <c r="AF12" s="125" t="str">
        <f t="shared" si="14"/>
        <v>ME</v>
      </c>
      <c r="AG12" s="56">
        <v>5</v>
      </c>
      <c r="AH12" s="63">
        <v>47998.07</v>
      </c>
      <c r="AI12" s="130">
        <f t="shared" si="15"/>
        <v>11.379999999997381</v>
      </c>
      <c r="AJ12" s="63">
        <v>50164.26</v>
      </c>
      <c r="AK12" s="130">
        <f t="shared" si="16"/>
        <v>15.729999999995925</v>
      </c>
      <c r="AL12" s="63">
        <v>592.20000000000005</v>
      </c>
      <c r="AM12" s="130" t="str">
        <f t="shared" si="17"/>
        <v/>
      </c>
      <c r="AN12" s="63">
        <v>553.37</v>
      </c>
      <c r="AO12" s="130" t="str">
        <f t="shared" si="3"/>
        <v/>
      </c>
      <c r="AP12" s="125" t="str">
        <f t="shared" si="18"/>
        <v>ME</v>
      </c>
      <c r="AQ12" s="56">
        <v>5</v>
      </c>
      <c r="AR12" s="63">
        <v>6922.75</v>
      </c>
      <c r="AS12" s="130">
        <f t="shared" si="19"/>
        <v>1.8999999999996362</v>
      </c>
      <c r="AT12" s="63">
        <v>7710.02</v>
      </c>
      <c r="AU12" s="130">
        <f t="shared" si="20"/>
        <v>1.9499999999998181</v>
      </c>
      <c r="AV12" s="63">
        <v>260.45999999999998</v>
      </c>
      <c r="AW12" s="130" t="str">
        <f t="shared" si="21"/>
        <v/>
      </c>
      <c r="AX12" s="63">
        <v>246.79</v>
      </c>
      <c r="AY12" s="130" t="str">
        <f t="shared" si="4"/>
        <v/>
      </c>
      <c r="AZ12" s="125" t="str">
        <f t="shared" si="22"/>
        <v>ME</v>
      </c>
      <c r="BA12" s="56">
        <v>5</v>
      </c>
      <c r="BB12" s="64"/>
      <c r="BC12" s="62"/>
      <c r="BD12" s="61"/>
      <c r="BE12" s="61"/>
      <c r="BF12" s="61"/>
      <c r="BG12" s="61"/>
      <c r="BH12" s="64"/>
      <c r="BI12" s="64"/>
      <c r="BJ12" s="64"/>
      <c r="BK12" s="64"/>
      <c r="BL12" s="64"/>
      <c r="BM12" s="64"/>
      <c r="BN12" s="65" t="str">
        <f t="shared" si="23"/>
        <v>ME</v>
      </c>
      <c r="BO12" s="56">
        <v>5</v>
      </c>
      <c r="BP12" s="64">
        <v>9.9000000000000005E-2</v>
      </c>
      <c r="BQ12" s="62"/>
      <c r="BR12" s="61"/>
      <c r="BS12" s="61"/>
      <c r="BT12" s="61"/>
      <c r="BU12" s="64"/>
      <c r="BV12" s="63">
        <v>1.07</v>
      </c>
      <c r="BW12" s="63">
        <v>0.98</v>
      </c>
      <c r="BX12" s="66" t="s">
        <v>253</v>
      </c>
      <c r="BY12" s="172" t="s">
        <v>246</v>
      </c>
      <c r="BZ12" s="67" t="str">
        <f t="shared" si="24"/>
        <v>ME</v>
      </c>
      <c r="CA12" s="56">
        <v>5</v>
      </c>
      <c r="CB12" s="61">
        <v>84.3</v>
      </c>
      <c r="CC12" s="61"/>
      <c r="CD12" s="68">
        <f t="shared" si="25"/>
        <v>3.5</v>
      </c>
      <c r="CE12" s="69">
        <f t="shared" si="26"/>
        <v>16.289927500000001</v>
      </c>
      <c r="CF12" s="69">
        <f t="shared" si="27"/>
        <v>7.4045125000000001</v>
      </c>
      <c r="CG12" s="62">
        <v>77</v>
      </c>
      <c r="CH12" s="62">
        <v>100</v>
      </c>
      <c r="CI12" s="65" t="str">
        <f t="shared" si="28"/>
        <v>ME</v>
      </c>
      <c r="CJ12" s="56">
        <v>5</v>
      </c>
      <c r="CK12" s="61">
        <v>86</v>
      </c>
      <c r="CL12" s="61">
        <v>99.5</v>
      </c>
      <c r="CM12" s="68">
        <f t="shared" si="29"/>
        <v>4.7000000000000028</v>
      </c>
      <c r="CN12" s="68">
        <f t="shared" si="30"/>
        <v>21.875045500000013</v>
      </c>
      <c r="CO12" s="68">
        <f t="shared" si="31"/>
        <v>22.190336334375012</v>
      </c>
      <c r="CP12" s="62">
        <v>57</v>
      </c>
      <c r="CQ12" s="62">
        <v>83</v>
      </c>
      <c r="CR12" s="65" t="str">
        <f t="shared" si="32"/>
        <v>ME</v>
      </c>
      <c r="CS12" s="56">
        <v>5</v>
      </c>
      <c r="CT12" s="61">
        <v>95.5</v>
      </c>
      <c r="CU12" s="61">
        <v>90.7</v>
      </c>
      <c r="CV12" s="68">
        <f t="shared" si="33"/>
        <v>3.7999999999999972</v>
      </c>
      <c r="CW12" s="68">
        <f t="shared" si="34"/>
        <v>25.248111999999978</v>
      </c>
      <c r="CX12" s="69">
        <f t="shared" si="35"/>
        <v>6.4408448979591776E-2</v>
      </c>
      <c r="CY12" s="66" t="s">
        <v>240</v>
      </c>
      <c r="CZ12" s="66" t="s">
        <v>241</v>
      </c>
      <c r="DA12" s="66" t="s">
        <v>242</v>
      </c>
      <c r="DB12" s="65" t="str">
        <f t="shared" si="36"/>
        <v>ME</v>
      </c>
      <c r="DC12" s="56">
        <v>5</v>
      </c>
      <c r="DD12" s="61">
        <v>89.6</v>
      </c>
      <c r="DE12" s="61">
        <v>105.1</v>
      </c>
      <c r="DF12" s="68">
        <f t="shared" si="37"/>
        <v>42.699999999999996</v>
      </c>
      <c r="DG12" s="69">
        <f t="shared" si="38"/>
        <v>2.30371746976</v>
      </c>
      <c r="DH12" s="68">
        <f t="shared" si="39"/>
        <v>5.8768302800000001</v>
      </c>
      <c r="DI12" s="62">
        <v>90</v>
      </c>
      <c r="DJ12" s="62">
        <v>54</v>
      </c>
      <c r="DK12" s="65" t="str">
        <f t="shared" si="40"/>
        <v>ME</v>
      </c>
      <c r="DL12" s="56">
        <v>5</v>
      </c>
      <c r="DM12" s="63">
        <v>8.15</v>
      </c>
      <c r="DN12" s="64">
        <v>3.5999999999999997E-2</v>
      </c>
      <c r="DO12" s="64">
        <v>3.4000000000000002E-2</v>
      </c>
      <c r="DP12" s="64">
        <v>8.1000000000000003E-2</v>
      </c>
      <c r="DQ12" s="63">
        <v>7.13</v>
      </c>
      <c r="DR12" s="61">
        <v>21.3</v>
      </c>
      <c r="DS12" s="64">
        <v>1.0169999999999999</v>
      </c>
      <c r="DT12" s="61">
        <v>87.5</v>
      </c>
      <c r="DU12" s="63">
        <v>3.99</v>
      </c>
      <c r="DV12" s="64">
        <v>1.96</v>
      </c>
      <c r="DW12" s="64">
        <v>1.05</v>
      </c>
      <c r="DX12" s="66" t="s">
        <v>242</v>
      </c>
      <c r="DY12" s="65" t="str">
        <f t="shared" si="41"/>
        <v>ME</v>
      </c>
      <c r="DZ12" s="128">
        <v>5</v>
      </c>
      <c r="EA12" s="173">
        <f t="shared" si="42"/>
        <v>0.26203208556149732</v>
      </c>
      <c r="EB12" s="173">
        <f t="shared" si="43"/>
        <v>0.18823529411764706</v>
      </c>
      <c r="EC12" s="173">
        <f t="shared" si="44"/>
        <v>0.67346938775510201</v>
      </c>
      <c r="ED12" s="63">
        <v>0.94</v>
      </c>
      <c r="EE12" s="63">
        <v>1.1599999999999999</v>
      </c>
      <c r="EF12" s="63">
        <v>0.05</v>
      </c>
      <c r="EG12" s="63">
        <v>7.0000000000000007E-2</v>
      </c>
      <c r="EH12" s="127" t="str">
        <f t="shared" si="5"/>
        <v>ME</v>
      </c>
      <c r="EI12" s="56">
        <v>5</v>
      </c>
      <c r="EJ12" s="334" t="s">
        <v>431</v>
      </c>
      <c r="EK12" s="334"/>
      <c r="EL12" s="334"/>
      <c r="EM12" s="334"/>
      <c r="EN12" s="334"/>
      <c r="EO12" s="334"/>
      <c r="EP12" s="334"/>
      <c r="EQ12" s="65" t="str">
        <f t="shared" si="45"/>
        <v>ME</v>
      </c>
      <c r="ER12" s="20"/>
      <c r="ES12" s="20"/>
      <c r="ET12" s="20"/>
      <c r="EU12" s="20"/>
      <c r="EV12" s="20"/>
      <c r="EW12" s="20"/>
      <c r="EX12" s="20"/>
    </row>
    <row r="13" spans="1:154" s="3" customFormat="1" ht="17.149999999999999" customHeight="1" x14ac:dyDescent="0.25">
      <c r="A13" s="56">
        <v>6</v>
      </c>
      <c r="B13" s="57">
        <v>907886</v>
      </c>
      <c r="C13" s="58">
        <f t="shared" si="6"/>
        <v>227</v>
      </c>
      <c r="D13" s="167">
        <v>9.81</v>
      </c>
      <c r="E13" s="57">
        <v>812384</v>
      </c>
      <c r="F13" s="58">
        <f t="shared" si="7"/>
        <v>200</v>
      </c>
      <c r="G13" s="168">
        <v>2.25</v>
      </c>
      <c r="H13" s="57">
        <v>766424</v>
      </c>
      <c r="I13" s="58">
        <f t="shared" si="0"/>
        <v>159</v>
      </c>
      <c r="J13" s="60" t="s">
        <v>194</v>
      </c>
      <c r="K13" s="56">
        <v>6</v>
      </c>
      <c r="L13" s="57">
        <v>70894</v>
      </c>
      <c r="M13" s="58">
        <f t="shared" si="8"/>
        <v>48</v>
      </c>
      <c r="N13" s="57">
        <v>180798</v>
      </c>
      <c r="O13" s="58">
        <f t="shared" si="9"/>
        <v>48</v>
      </c>
      <c r="P13" s="57">
        <v>194749</v>
      </c>
      <c r="Q13" s="169" t="str">
        <f t="shared" si="1"/>
        <v/>
      </c>
      <c r="R13" s="57">
        <v>687</v>
      </c>
      <c r="S13" s="57">
        <v>695</v>
      </c>
      <c r="T13" s="57">
        <v>144</v>
      </c>
      <c r="U13" s="57">
        <v>141</v>
      </c>
      <c r="V13" s="58" t="str">
        <f t="shared" si="10"/>
        <v>ME</v>
      </c>
      <c r="W13" s="56">
        <v>6</v>
      </c>
      <c r="X13" s="63">
        <v>11999.48</v>
      </c>
      <c r="Y13" s="130">
        <f t="shared" si="11"/>
        <v>2.7900000000008731</v>
      </c>
      <c r="Z13" s="63">
        <v>12766.62</v>
      </c>
      <c r="AA13" s="130">
        <f t="shared" si="12"/>
        <v>3.7399999999997817</v>
      </c>
      <c r="AB13" s="63">
        <v>10029.120000000001</v>
      </c>
      <c r="AC13" s="130">
        <f t="shared" si="13"/>
        <v>1.8799999999991996</v>
      </c>
      <c r="AD13" s="63">
        <v>10183.61</v>
      </c>
      <c r="AE13" s="130">
        <f t="shared" si="2"/>
        <v>2.3400000000001455</v>
      </c>
      <c r="AF13" s="125" t="str">
        <f t="shared" si="14"/>
        <v>ME</v>
      </c>
      <c r="AG13" s="56">
        <v>6</v>
      </c>
      <c r="AH13" s="63">
        <v>48009.45</v>
      </c>
      <c r="AI13" s="130">
        <f t="shared" si="15"/>
        <v>12.630000000004657</v>
      </c>
      <c r="AJ13" s="63">
        <v>50179.99</v>
      </c>
      <c r="AK13" s="130">
        <f t="shared" si="16"/>
        <v>10.310000000004948</v>
      </c>
      <c r="AL13" s="63">
        <v>592.20000000000005</v>
      </c>
      <c r="AM13" s="130">
        <f t="shared" si="17"/>
        <v>4.9999999999954525E-2</v>
      </c>
      <c r="AN13" s="63">
        <v>553.37</v>
      </c>
      <c r="AO13" s="130">
        <f t="shared" si="3"/>
        <v>8.0000000000040927E-2</v>
      </c>
      <c r="AP13" s="125" t="str">
        <f t="shared" si="18"/>
        <v>ME</v>
      </c>
      <c r="AQ13" s="56">
        <v>6</v>
      </c>
      <c r="AR13" s="63">
        <v>6924.65</v>
      </c>
      <c r="AS13" s="130">
        <f t="shared" si="19"/>
        <v>1.8500000000003638</v>
      </c>
      <c r="AT13" s="63">
        <v>7711.97</v>
      </c>
      <c r="AU13" s="130">
        <f t="shared" si="20"/>
        <v>1.8499999999994543</v>
      </c>
      <c r="AV13" s="63">
        <v>260.45999999999998</v>
      </c>
      <c r="AW13" s="130">
        <f t="shared" si="21"/>
        <v>0.34000000000003183</v>
      </c>
      <c r="AX13" s="63">
        <v>246.79</v>
      </c>
      <c r="AY13" s="130" t="str">
        <f t="shared" si="4"/>
        <v/>
      </c>
      <c r="AZ13" s="125" t="str">
        <f t="shared" si="22"/>
        <v>ME</v>
      </c>
      <c r="BA13" s="56">
        <v>6</v>
      </c>
      <c r="BB13" s="64">
        <v>1.86</v>
      </c>
      <c r="BC13" s="62">
        <v>23</v>
      </c>
      <c r="BD13" s="61">
        <v>6.8</v>
      </c>
      <c r="BE13" s="61">
        <v>19.3</v>
      </c>
      <c r="BF13" s="61">
        <v>16.399999999999999</v>
      </c>
      <c r="BG13" s="61">
        <v>6.8</v>
      </c>
      <c r="BH13" s="64">
        <v>0.20899999999999999</v>
      </c>
      <c r="BI13" s="64">
        <v>0.20499999999999999</v>
      </c>
      <c r="BJ13" s="64">
        <v>5.3999999999999999E-2</v>
      </c>
      <c r="BK13" s="64">
        <v>5.8999999999999997E-2</v>
      </c>
      <c r="BL13" s="64">
        <v>0.06</v>
      </c>
      <c r="BM13" s="64">
        <v>6.0999999999999999E-2</v>
      </c>
      <c r="BN13" s="65" t="str">
        <f t="shared" si="23"/>
        <v>ME</v>
      </c>
      <c r="BO13" s="56">
        <v>6</v>
      </c>
      <c r="BP13" s="64">
        <v>8.6999999999999994E-2</v>
      </c>
      <c r="BQ13" s="62">
        <v>0</v>
      </c>
      <c r="BR13" s="61">
        <v>7.2</v>
      </c>
      <c r="BS13" s="61">
        <v>20.9</v>
      </c>
      <c r="BT13" s="61">
        <v>18.600000000000001</v>
      </c>
      <c r="BU13" s="64">
        <v>2.3E-2</v>
      </c>
      <c r="BV13" s="63">
        <v>1.18</v>
      </c>
      <c r="BW13" s="63">
        <v>0.98</v>
      </c>
      <c r="BX13" s="66" t="s">
        <v>253</v>
      </c>
      <c r="BY13" s="172" t="s">
        <v>246</v>
      </c>
      <c r="BZ13" s="67" t="str">
        <f t="shared" si="24"/>
        <v>ME</v>
      </c>
      <c r="CA13" s="56">
        <v>6</v>
      </c>
      <c r="CB13" s="61">
        <v>80.8</v>
      </c>
      <c r="CC13" s="61"/>
      <c r="CD13" s="68">
        <f t="shared" si="25"/>
        <v>1.7000000000000028</v>
      </c>
      <c r="CE13" s="69">
        <f t="shared" si="26"/>
        <v>7.9122505000000141</v>
      </c>
      <c r="CF13" s="69">
        <f t="shared" si="27"/>
        <v>5.9715098113207654</v>
      </c>
      <c r="CG13" s="62">
        <v>77</v>
      </c>
      <c r="CH13" s="62">
        <v>100</v>
      </c>
      <c r="CI13" s="65" t="str">
        <f t="shared" si="28"/>
        <v>ME</v>
      </c>
      <c r="CJ13" s="56">
        <v>6</v>
      </c>
      <c r="CK13" s="61">
        <v>94.8</v>
      </c>
      <c r="CL13" s="61"/>
      <c r="CM13" s="68">
        <f t="shared" si="29"/>
        <v>3</v>
      </c>
      <c r="CN13" s="68">
        <f t="shared" si="30"/>
        <v>13.962795000000002</v>
      </c>
      <c r="CO13" s="68">
        <f t="shared" si="31"/>
        <v>24.459495294052868</v>
      </c>
      <c r="CP13" s="62">
        <v>57</v>
      </c>
      <c r="CQ13" s="62">
        <v>83</v>
      </c>
      <c r="CR13" s="65" t="str">
        <f t="shared" si="32"/>
        <v>ME</v>
      </c>
      <c r="CS13" s="56">
        <v>6</v>
      </c>
      <c r="CT13" s="61">
        <v>86.9</v>
      </c>
      <c r="CU13" s="61">
        <v>112.1</v>
      </c>
      <c r="CV13" s="68">
        <f t="shared" si="33"/>
        <v>2.5999999999999943</v>
      </c>
      <c r="CW13" s="68">
        <f t="shared" si="34"/>
        <v>17.275023999999963</v>
      </c>
      <c r="CX13" s="69">
        <f t="shared" si="35"/>
        <v>7.6101427312775166E-2</v>
      </c>
      <c r="CY13" s="66" t="s">
        <v>240</v>
      </c>
      <c r="CZ13" s="66" t="s">
        <v>241</v>
      </c>
      <c r="DA13" s="66"/>
      <c r="DB13" s="65" t="str">
        <f t="shared" si="36"/>
        <v>ME</v>
      </c>
      <c r="DC13" s="56">
        <v>6</v>
      </c>
      <c r="DD13" s="61">
        <v>62.4</v>
      </c>
      <c r="DE13" s="61">
        <v>104.9</v>
      </c>
      <c r="DF13" s="68">
        <f t="shared" si="37"/>
        <v>23.300000000000011</v>
      </c>
      <c r="DG13" s="69">
        <f t="shared" si="38"/>
        <v>1.2570636310400007</v>
      </c>
      <c r="DH13" s="68">
        <f t="shared" si="39"/>
        <v>5.5377252468722498</v>
      </c>
      <c r="DI13" s="62">
        <v>90</v>
      </c>
      <c r="DJ13" s="62">
        <v>54</v>
      </c>
      <c r="DK13" s="65" t="str">
        <f t="shared" si="40"/>
        <v>ME</v>
      </c>
      <c r="DL13" s="56">
        <v>6</v>
      </c>
      <c r="DM13" s="63">
        <v>8.19</v>
      </c>
      <c r="DN13" s="64">
        <v>3.5000000000000003E-2</v>
      </c>
      <c r="DO13" s="64">
        <v>3.5000000000000003E-2</v>
      </c>
      <c r="DP13" s="64">
        <v>7.2999999999999995E-2</v>
      </c>
      <c r="DQ13" s="63">
        <v>7.09</v>
      </c>
      <c r="DR13" s="61">
        <v>21.1</v>
      </c>
      <c r="DS13" s="64">
        <v>1.0649999999999999</v>
      </c>
      <c r="DT13" s="61">
        <v>88.2</v>
      </c>
      <c r="DU13" s="63">
        <v>4.16</v>
      </c>
      <c r="DV13" s="64">
        <v>2.3769999999999998</v>
      </c>
      <c r="DW13" s="64">
        <v>0.74299999999999999</v>
      </c>
      <c r="DX13" s="66" t="s">
        <v>242</v>
      </c>
      <c r="DY13" s="65" t="str">
        <f t="shared" si="41"/>
        <v>ME</v>
      </c>
      <c r="DZ13" s="128">
        <v>6</v>
      </c>
      <c r="EA13" s="173">
        <f t="shared" si="42"/>
        <v>0.1517379679144385</v>
      </c>
      <c r="EB13" s="173">
        <f t="shared" si="43"/>
        <v>0.14705882352941177</v>
      </c>
      <c r="EC13" s="173">
        <f t="shared" si="44"/>
        <v>0.70044052863436124</v>
      </c>
      <c r="ED13" s="63">
        <v>1.04</v>
      </c>
      <c r="EE13" s="63">
        <v>1.1200000000000001</v>
      </c>
      <c r="EF13" s="63">
        <v>0.05</v>
      </c>
      <c r="EG13" s="63">
        <v>0.17</v>
      </c>
      <c r="EH13" s="127" t="str">
        <f t="shared" si="5"/>
        <v>ME</v>
      </c>
      <c r="EI13" s="56">
        <v>6</v>
      </c>
      <c r="EJ13" s="334" t="s">
        <v>432</v>
      </c>
      <c r="EK13" s="334"/>
      <c r="EL13" s="334"/>
      <c r="EM13" s="334"/>
      <c r="EN13" s="334"/>
      <c r="EO13" s="334"/>
      <c r="EP13" s="334"/>
      <c r="EQ13" s="65" t="str">
        <f t="shared" si="45"/>
        <v>ME</v>
      </c>
      <c r="ER13" s="20"/>
      <c r="ES13" s="20"/>
      <c r="ET13" s="20"/>
      <c r="EU13" s="20"/>
      <c r="EV13" s="20"/>
      <c r="EW13" s="20"/>
      <c r="EX13" s="20"/>
    </row>
    <row r="14" spans="1:154" s="3" customFormat="1" ht="17.149999999999999" customHeight="1" x14ac:dyDescent="0.25">
      <c r="A14" s="56">
        <v>7</v>
      </c>
      <c r="B14" s="57">
        <v>908113</v>
      </c>
      <c r="C14" s="58">
        <f t="shared" si="6"/>
        <v>186</v>
      </c>
      <c r="D14" s="167">
        <v>9.7100000000000009</v>
      </c>
      <c r="E14" s="57">
        <v>812584</v>
      </c>
      <c r="F14" s="58">
        <f t="shared" si="7"/>
        <v>197</v>
      </c>
      <c r="G14" s="168">
        <v>3</v>
      </c>
      <c r="H14" s="57">
        <v>766583</v>
      </c>
      <c r="I14" s="58">
        <f t="shared" si="0"/>
        <v>162</v>
      </c>
      <c r="J14" s="60" t="s">
        <v>194</v>
      </c>
      <c r="K14" s="56">
        <v>7</v>
      </c>
      <c r="L14" s="57">
        <v>70942</v>
      </c>
      <c r="M14" s="58" t="str">
        <f t="shared" si="8"/>
        <v/>
      </c>
      <c r="N14" s="57">
        <v>180846</v>
      </c>
      <c r="O14" s="58">
        <f t="shared" si="9"/>
        <v>44</v>
      </c>
      <c r="P14" s="57">
        <v>194749</v>
      </c>
      <c r="Q14" s="169" t="str">
        <f t="shared" si="1"/>
        <v/>
      </c>
      <c r="R14" s="57">
        <v>688</v>
      </c>
      <c r="S14" s="57">
        <v>695</v>
      </c>
      <c r="T14" s="57">
        <v>144</v>
      </c>
      <c r="U14" s="57">
        <v>141</v>
      </c>
      <c r="V14" s="58" t="str">
        <f t="shared" si="10"/>
        <v>ME</v>
      </c>
      <c r="W14" s="56">
        <v>7</v>
      </c>
      <c r="X14" s="63">
        <v>12002.27</v>
      </c>
      <c r="Y14" s="130">
        <f t="shared" si="11"/>
        <v>2.3799999999991996</v>
      </c>
      <c r="Z14" s="63">
        <v>12770.36</v>
      </c>
      <c r="AA14" s="130">
        <f t="shared" si="12"/>
        <v>2.8599999999987631</v>
      </c>
      <c r="AB14" s="63">
        <v>10031</v>
      </c>
      <c r="AC14" s="130">
        <f t="shared" si="13"/>
        <v>2.4200000000000728</v>
      </c>
      <c r="AD14" s="63">
        <v>10185.950000000001</v>
      </c>
      <c r="AE14" s="130">
        <f t="shared" si="2"/>
        <v>1.8899999999994179</v>
      </c>
      <c r="AF14" s="125" t="str">
        <f t="shared" si="14"/>
        <v>ME</v>
      </c>
      <c r="AG14" s="56">
        <v>7</v>
      </c>
      <c r="AH14" s="63">
        <v>48022.080000000002</v>
      </c>
      <c r="AI14" s="130">
        <f t="shared" si="15"/>
        <v>10.459999999999127</v>
      </c>
      <c r="AJ14" s="63">
        <v>50190.3</v>
      </c>
      <c r="AK14" s="130">
        <f t="shared" si="16"/>
        <v>13.69999999999709</v>
      </c>
      <c r="AL14" s="63">
        <v>592.25</v>
      </c>
      <c r="AM14" s="130" t="str">
        <f t="shared" si="17"/>
        <v/>
      </c>
      <c r="AN14" s="63">
        <v>553.45000000000005</v>
      </c>
      <c r="AO14" s="130" t="str">
        <f t="shared" si="3"/>
        <v/>
      </c>
      <c r="AP14" s="125" t="str">
        <f t="shared" si="18"/>
        <v>ME</v>
      </c>
      <c r="AQ14" s="56">
        <v>7</v>
      </c>
      <c r="AR14" s="63">
        <v>6926.5</v>
      </c>
      <c r="AS14" s="130">
        <f t="shared" si="19"/>
        <v>2.3800000000001091</v>
      </c>
      <c r="AT14" s="63">
        <v>7713.82</v>
      </c>
      <c r="AU14" s="130">
        <f t="shared" si="20"/>
        <v>2.6000000000003638</v>
      </c>
      <c r="AV14" s="63">
        <v>260.8</v>
      </c>
      <c r="AW14" s="130" t="str">
        <f t="shared" si="21"/>
        <v/>
      </c>
      <c r="AX14" s="63">
        <v>246.79</v>
      </c>
      <c r="AY14" s="130" t="str">
        <f t="shared" si="4"/>
        <v/>
      </c>
      <c r="AZ14" s="125" t="str">
        <f t="shared" si="22"/>
        <v>ME</v>
      </c>
      <c r="BA14" s="56">
        <v>7</v>
      </c>
      <c r="BB14" s="64">
        <v>1.38</v>
      </c>
      <c r="BC14" s="62">
        <v>42</v>
      </c>
      <c r="BD14" s="61">
        <v>7</v>
      </c>
      <c r="BE14" s="61">
        <v>19.100000000000001</v>
      </c>
      <c r="BF14" s="61">
        <v>16.7</v>
      </c>
      <c r="BG14" s="61">
        <v>7</v>
      </c>
      <c r="BH14" s="64">
        <v>0.152</v>
      </c>
      <c r="BI14" s="64">
        <v>0.13900000000000001</v>
      </c>
      <c r="BJ14" s="64">
        <v>0.06</v>
      </c>
      <c r="BK14" s="64">
        <v>5.8999999999999997E-2</v>
      </c>
      <c r="BL14" s="64">
        <v>0.06</v>
      </c>
      <c r="BM14" s="64">
        <v>6.2E-2</v>
      </c>
      <c r="BN14" s="65" t="str">
        <f t="shared" si="23"/>
        <v>ME</v>
      </c>
      <c r="BO14" s="56">
        <v>7</v>
      </c>
      <c r="BP14" s="64">
        <v>0.1</v>
      </c>
      <c r="BQ14" s="62">
        <v>0</v>
      </c>
      <c r="BR14" s="61">
        <v>7.2</v>
      </c>
      <c r="BS14" s="61">
        <v>20.9</v>
      </c>
      <c r="BT14" s="61">
        <v>18.600000000000001</v>
      </c>
      <c r="BU14" s="64">
        <v>1.9E-2</v>
      </c>
      <c r="BV14" s="63">
        <v>1.1499999999999999</v>
      </c>
      <c r="BW14" s="63">
        <v>1.02</v>
      </c>
      <c r="BX14" s="66" t="s">
        <v>253</v>
      </c>
      <c r="BY14" s="172" t="s">
        <v>246</v>
      </c>
      <c r="BZ14" s="67" t="str">
        <f t="shared" si="24"/>
        <v>ME</v>
      </c>
      <c r="CA14" s="56">
        <v>7</v>
      </c>
      <c r="CB14" s="61">
        <v>79.099999999999994</v>
      </c>
      <c r="CC14" s="61">
        <v>97.8</v>
      </c>
      <c r="CD14" s="68">
        <f t="shared" si="25"/>
        <v>2</v>
      </c>
      <c r="CE14" s="69">
        <f t="shared" si="26"/>
        <v>9.3085300000000011</v>
      </c>
      <c r="CF14" s="69">
        <f t="shared" si="27"/>
        <v>6.8952074074074075</v>
      </c>
      <c r="CG14" s="62">
        <v>77</v>
      </c>
      <c r="CH14" s="62">
        <v>100</v>
      </c>
      <c r="CI14" s="65" t="str">
        <f t="shared" si="28"/>
        <v>ME</v>
      </c>
      <c r="CJ14" s="56">
        <v>7</v>
      </c>
      <c r="CK14" s="61">
        <v>91.8</v>
      </c>
      <c r="CL14" s="61"/>
      <c r="CM14" s="68">
        <f t="shared" si="29"/>
        <v>2.2000000000000028</v>
      </c>
      <c r="CN14" s="68">
        <f t="shared" si="30"/>
        <v>10.239383000000014</v>
      </c>
      <c r="CO14" s="68">
        <f t="shared" si="31"/>
        <v>21.890809945967774</v>
      </c>
      <c r="CP14" s="62">
        <v>57</v>
      </c>
      <c r="CQ14" s="62">
        <v>83</v>
      </c>
      <c r="CR14" s="65" t="str">
        <f t="shared" si="32"/>
        <v>ME</v>
      </c>
      <c r="CS14" s="56">
        <v>7</v>
      </c>
      <c r="CT14" s="61">
        <v>109.5</v>
      </c>
      <c r="CU14" s="61"/>
      <c r="CV14" s="68">
        <f t="shared" si="33"/>
        <v>2</v>
      </c>
      <c r="CW14" s="68">
        <f t="shared" si="34"/>
        <v>13.28848</v>
      </c>
      <c r="CX14" s="69">
        <f t="shared" si="35"/>
        <v>7.1443440860215049E-2</v>
      </c>
      <c r="CY14" s="66" t="s">
        <v>240</v>
      </c>
      <c r="CZ14" s="66" t="s">
        <v>241</v>
      </c>
      <c r="DA14" s="66"/>
      <c r="DB14" s="65" t="str">
        <f t="shared" si="36"/>
        <v>ME</v>
      </c>
      <c r="DC14" s="56">
        <v>7</v>
      </c>
      <c r="DD14" s="61">
        <v>81.599999999999994</v>
      </c>
      <c r="DE14" s="61">
        <v>104</v>
      </c>
      <c r="DF14" s="68">
        <f t="shared" si="37"/>
        <v>20.299999999999997</v>
      </c>
      <c r="DG14" s="69">
        <f t="shared" si="38"/>
        <v>1.0952099446400001</v>
      </c>
      <c r="DH14" s="68">
        <f t="shared" si="39"/>
        <v>5.8882255088172046</v>
      </c>
      <c r="DI14" s="62">
        <v>90</v>
      </c>
      <c r="DJ14" s="62">
        <v>54</v>
      </c>
      <c r="DK14" s="65" t="str">
        <f t="shared" si="40"/>
        <v>ME</v>
      </c>
      <c r="DL14" s="56">
        <v>7</v>
      </c>
      <c r="DM14" s="63">
        <v>8.23</v>
      </c>
      <c r="DN14" s="64">
        <v>3.5000000000000003E-2</v>
      </c>
      <c r="DO14" s="64">
        <v>3.2000000000000001E-2</v>
      </c>
      <c r="DP14" s="64">
        <v>0.121</v>
      </c>
      <c r="DQ14" s="63">
        <v>7.08</v>
      </c>
      <c r="DR14" s="61">
        <v>21</v>
      </c>
      <c r="DS14" s="64">
        <v>1.0509999999999999</v>
      </c>
      <c r="DT14" s="61">
        <v>86.5</v>
      </c>
      <c r="DU14" s="63">
        <v>4.16</v>
      </c>
      <c r="DV14" s="64">
        <v>1.113</v>
      </c>
      <c r="DW14" s="64">
        <v>5.75</v>
      </c>
      <c r="DX14" s="66" t="s">
        <v>242</v>
      </c>
      <c r="DY14" s="65" t="str">
        <f t="shared" si="41"/>
        <v>ME</v>
      </c>
      <c r="DZ14" s="128">
        <v>7</v>
      </c>
      <c r="EA14" s="173">
        <f t="shared" si="42"/>
        <v>0.12433155080213903</v>
      </c>
      <c r="EB14" s="173">
        <f t="shared" si="43"/>
        <v>0.1448529411764706</v>
      </c>
      <c r="EC14" s="173">
        <f t="shared" si="44"/>
        <v>0.87096774193548387</v>
      </c>
      <c r="ED14" s="63">
        <v>0.87</v>
      </c>
      <c r="EE14" s="63">
        <v>1.1100000000000001</v>
      </c>
      <c r="EF14" s="63">
        <v>0.05</v>
      </c>
      <c r="EG14" s="63">
        <v>0.12</v>
      </c>
      <c r="EH14" s="127" t="str">
        <f t="shared" si="5"/>
        <v>ME</v>
      </c>
      <c r="EI14" s="56">
        <v>7</v>
      </c>
      <c r="EJ14" s="334"/>
      <c r="EK14" s="334"/>
      <c r="EL14" s="334"/>
      <c r="EM14" s="334"/>
      <c r="EN14" s="334"/>
      <c r="EO14" s="334"/>
      <c r="EP14" s="334"/>
      <c r="EQ14" s="65" t="str">
        <f t="shared" si="45"/>
        <v>ME</v>
      </c>
      <c r="ER14" s="20"/>
      <c r="ES14" s="20"/>
      <c r="ET14" s="20"/>
      <c r="EU14" s="20"/>
      <c r="EV14" s="20"/>
      <c r="EW14" s="20"/>
      <c r="EX14" s="20"/>
    </row>
    <row r="15" spans="1:154" s="3" customFormat="1" ht="17.149999999999999" customHeight="1" x14ac:dyDescent="0.25">
      <c r="A15" s="56">
        <v>8</v>
      </c>
      <c r="B15" s="57">
        <v>908299</v>
      </c>
      <c r="C15" s="58">
        <f t="shared" si="6"/>
        <v>175</v>
      </c>
      <c r="D15" s="167">
        <v>10.27</v>
      </c>
      <c r="E15" s="57">
        <v>812781</v>
      </c>
      <c r="F15" s="58">
        <f t="shared" si="7"/>
        <v>172</v>
      </c>
      <c r="G15" s="168">
        <v>1.1499999999999999</v>
      </c>
      <c r="H15" s="57">
        <v>766745</v>
      </c>
      <c r="I15" s="58">
        <f t="shared" si="0"/>
        <v>153</v>
      </c>
      <c r="J15" s="60" t="s">
        <v>194</v>
      </c>
      <c r="K15" s="56">
        <v>8</v>
      </c>
      <c r="L15" s="57">
        <v>70942</v>
      </c>
      <c r="M15" s="58" t="str">
        <f t="shared" si="8"/>
        <v/>
      </c>
      <c r="N15" s="57">
        <v>180890</v>
      </c>
      <c r="O15" s="58">
        <f t="shared" si="9"/>
        <v>21</v>
      </c>
      <c r="P15" s="57">
        <v>194749</v>
      </c>
      <c r="Q15" s="169" t="str">
        <f t="shared" si="1"/>
        <v/>
      </c>
      <c r="R15" s="57">
        <v>688</v>
      </c>
      <c r="S15" s="57">
        <v>695</v>
      </c>
      <c r="T15" s="57">
        <v>144</v>
      </c>
      <c r="U15" s="57">
        <v>141</v>
      </c>
      <c r="V15" s="58" t="str">
        <f t="shared" si="10"/>
        <v>ME</v>
      </c>
      <c r="W15" s="56">
        <v>8</v>
      </c>
      <c r="X15" s="63">
        <v>12004.65</v>
      </c>
      <c r="Y15" s="130">
        <f t="shared" si="11"/>
        <v>2.5400000000008731</v>
      </c>
      <c r="Z15" s="63">
        <v>12773.22</v>
      </c>
      <c r="AA15" s="130">
        <f t="shared" si="12"/>
        <v>2.3400000000001455</v>
      </c>
      <c r="AB15" s="63">
        <v>10033.42</v>
      </c>
      <c r="AC15" s="130">
        <f t="shared" si="13"/>
        <v>1.9400000000005093</v>
      </c>
      <c r="AD15" s="63">
        <v>10187.84</v>
      </c>
      <c r="AE15" s="130">
        <f t="shared" si="2"/>
        <v>2.1499999999996362</v>
      </c>
      <c r="AF15" s="125" t="str">
        <f t="shared" si="14"/>
        <v>ME</v>
      </c>
      <c r="AG15" s="56">
        <v>8</v>
      </c>
      <c r="AH15" s="63">
        <v>48032.54</v>
      </c>
      <c r="AI15" s="130">
        <f t="shared" si="15"/>
        <v>13.549999999995634</v>
      </c>
      <c r="AJ15" s="63">
        <v>50204</v>
      </c>
      <c r="AK15" s="130">
        <f t="shared" si="16"/>
        <v>8.7699999999967986</v>
      </c>
      <c r="AL15" s="63">
        <v>592.25</v>
      </c>
      <c r="AM15" s="130" t="str">
        <f t="shared" si="17"/>
        <v/>
      </c>
      <c r="AN15" s="63">
        <v>553.45000000000005</v>
      </c>
      <c r="AO15" s="130" t="str">
        <f t="shared" si="3"/>
        <v/>
      </c>
      <c r="AP15" s="125" t="str">
        <f t="shared" si="18"/>
        <v>ME</v>
      </c>
      <c r="AQ15" s="56">
        <v>8</v>
      </c>
      <c r="AR15" s="63">
        <v>6928.88</v>
      </c>
      <c r="AS15" s="130">
        <f t="shared" si="19"/>
        <v>1.1099999999996726</v>
      </c>
      <c r="AT15" s="63">
        <v>7716.42</v>
      </c>
      <c r="AU15" s="130">
        <f t="shared" si="20"/>
        <v>8.8099999999994907</v>
      </c>
      <c r="AV15" s="63">
        <v>260.8</v>
      </c>
      <c r="AW15" s="130" t="str">
        <f t="shared" si="21"/>
        <v/>
      </c>
      <c r="AX15" s="63">
        <v>246.79</v>
      </c>
      <c r="AY15" s="130" t="str">
        <f t="shared" si="4"/>
        <v/>
      </c>
      <c r="AZ15" s="125" t="str">
        <f t="shared" si="22"/>
        <v>ME</v>
      </c>
      <c r="BA15" s="56">
        <v>8</v>
      </c>
      <c r="BB15" s="64">
        <v>1.44</v>
      </c>
      <c r="BC15" s="62">
        <v>37</v>
      </c>
      <c r="BD15" s="61">
        <v>7</v>
      </c>
      <c r="BE15" s="61">
        <v>19.2</v>
      </c>
      <c r="BF15" s="61">
        <v>16.899999999999999</v>
      </c>
      <c r="BG15" s="61">
        <v>7</v>
      </c>
      <c r="BH15" s="64">
        <v>0.251</v>
      </c>
      <c r="BI15" s="64">
        <v>0.16600000000000001</v>
      </c>
      <c r="BJ15" s="64">
        <v>6.3E-2</v>
      </c>
      <c r="BK15" s="64">
        <v>6.7000000000000004E-2</v>
      </c>
      <c r="BL15" s="64">
        <v>5.7000000000000002E-2</v>
      </c>
      <c r="BM15" s="64">
        <v>0.06</v>
      </c>
      <c r="BN15" s="65" t="str">
        <f t="shared" si="23"/>
        <v>ME</v>
      </c>
      <c r="BO15" s="56">
        <v>8</v>
      </c>
      <c r="BP15" s="64">
        <v>0.104</v>
      </c>
      <c r="BQ15" s="62">
        <v>0</v>
      </c>
      <c r="BR15" s="61">
        <v>7.2</v>
      </c>
      <c r="BS15" s="61">
        <v>21</v>
      </c>
      <c r="BT15" s="61">
        <v>18.399999999999999</v>
      </c>
      <c r="BU15" s="64">
        <v>1.7000000000000001E-2</v>
      </c>
      <c r="BV15" s="63">
        <v>1.1499999999999999</v>
      </c>
      <c r="BW15" s="63">
        <v>0.98</v>
      </c>
      <c r="BX15" s="66" t="s">
        <v>245</v>
      </c>
      <c r="BY15" s="172" t="s">
        <v>246</v>
      </c>
      <c r="BZ15" s="67" t="str">
        <f t="shared" si="24"/>
        <v>ME</v>
      </c>
      <c r="CA15" s="56">
        <v>8</v>
      </c>
      <c r="CB15" s="61">
        <v>95.8</v>
      </c>
      <c r="CC15" s="61"/>
      <c r="CD15" s="68">
        <f t="shared" si="25"/>
        <v>1.7999999999999972</v>
      </c>
      <c r="CE15" s="69">
        <f t="shared" si="26"/>
        <v>8.3776769999999878</v>
      </c>
      <c r="CF15" s="69">
        <f t="shared" si="27"/>
        <v>6.5707270588235192</v>
      </c>
      <c r="CG15" s="62">
        <v>77</v>
      </c>
      <c r="CH15" s="62">
        <v>100</v>
      </c>
      <c r="CI15" s="65" t="str">
        <f t="shared" si="28"/>
        <v>ME</v>
      </c>
      <c r="CJ15" s="56">
        <v>8</v>
      </c>
      <c r="CK15" s="61">
        <v>89.6</v>
      </c>
      <c r="CL15" s="61"/>
      <c r="CM15" s="68">
        <f t="shared" si="29"/>
        <v>2.0999999999999943</v>
      </c>
      <c r="CN15" s="68">
        <f t="shared" si="30"/>
        <v>9.773956499999974</v>
      </c>
      <c r="CO15" s="68">
        <f t="shared" si="31"/>
        <v>22.209221726999942</v>
      </c>
      <c r="CP15" s="62">
        <v>58</v>
      </c>
      <c r="CQ15" s="62">
        <v>83</v>
      </c>
      <c r="CR15" s="65" t="str">
        <f t="shared" si="32"/>
        <v>ME</v>
      </c>
      <c r="CS15" s="56">
        <v>8</v>
      </c>
      <c r="CT15" s="61">
        <v>107.5</v>
      </c>
      <c r="CU15" s="61"/>
      <c r="CV15" s="68">
        <f t="shared" si="33"/>
        <v>1.7000000000000028</v>
      </c>
      <c r="CW15" s="68">
        <f t="shared" si="34"/>
        <v>11.295208000000018</v>
      </c>
      <c r="CX15" s="69">
        <f t="shared" si="35"/>
        <v>6.4544045714285819E-2</v>
      </c>
      <c r="CY15" s="66" t="s">
        <v>325</v>
      </c>
      <c r="CZ15" s="66" t="s">
        <v>241</v>
      </c>
      <c r="DA15" s="66"/>
      <c r="DB15" s="65" t="str">
        <f t="shared" si="36"/>
        <v>ME</v>
      </c>
      <c r="DC15" s="56">
        <v>8</v>
      </c>
      <c r="DD15" s="61">
        <v>83.7</v>
      </c>
      <c r="DE15" s="61">
        <v>103</v>
      </c>
      <c r="DF15" s="68">
        <f t="shared" si="37"/>
        <v>18</v>
      </c>
      <c r="DG15" s="69">
        <f t="shared" si="38"/>
        <v>0.97112211839999996</v>
      </c>
      <c r="DH15" s="68">
        <f t="shared" si="39"/>
        <v>5.5492692479999999</v>
      </c>
      <c r="DI15" s="62">
        <v>96</v>
      </c>
      <c r="DJ15" s="62">
        <v>54</v>
      </c>
      <c r="DK15" s="65" t="str">
        <f t="shared" si="40"/>
        <v>ME</v>
      </c>
      <c r="DL15" s="56">
        <v>8</v>
      </c>
      <c r="DM15" s="63">
        <v>8.4</v>
      </c>
      <c r="DN15" s="64">
        <v>3.3000000000000002E-2</v>
      </c>
      <c r="DO15" s="64">
        <v>3.1E-2</v>
      </c>
      <c r="DP15" s="64">
        <v>8.4000000000000005E-2</v>
      </c>
      <c r="DQ15" s="63">
        <v>7.1</v>
      </c>
      <c r="DR15" s="61">
        <v>21</v>
      </c>
      <c r="DS15" s="64">
        <v>1.044</v>
      </c>
      <c r="DT15" s="61">
        <v>87.7</v>
      </c>
      <c r="DU15" s="63">
        <v>4.2</v>
      </c>
      <c r="DV15" s="64">
        <v>0.66200000000000003</v>
      </c>
      <c r="DW15" s="64">
        <v>0.80200000000000005</v>
      </c>
      <c r="DX15" s="66" t="s">
        <v>242</v>
      </c>
      <c r="DY15" s="65" t="str">
        <f t="shared" si="41"/>
        <v>ME</v>
      </c>
      <c r="DZ15" s="128">
        <v>8</v>
      </c>
      <c r="EA15" s="173">
        <f t="shared" si="42"/>
        <v>0.11697860962566844</v>
      </c>
      <c r="EB15" s="173">
        <f t="shared" si="43"/>
        <v>0.12647058823529411</v>
      </c>
      <c r="EC15" s="173">
        <f t="shared" si="44"/>
        <v>0.87428571428571433</v>
      </c>
      <c r="ED15" s="63">
        <v>0.96</v>
      </c>
      <c r="EE15" s="63">
        <v>1.1200000000000001</v>
      </c>
      <c r="EF15" s="63">
        <v>0.05</v>
      </c>
      <c r="EG15" s="63">
        <v>0.06</v>
      </c>
      <c r="EH15" s="127" t="str">
        <f t="shared" si="5"/>
        <v>ME</v>
      </c>
      <c r="EI15" s="56">
        <v>8</v>
      </c>
      <c r="EJ15" s="334"/>
      <c r="EK15" s="334"/>
      <c r="EL15" s="334"/>
      <c r="EM15" s="334"/>
      <c r="EN15" s="334"/>
      <c r="EO15" s="334"/>
      <c r="EP15" s="334"/>
      <c r="EQ15" s="65" t="str">
        <f t="shared" si="45"/>
        <v>ME</v>
      </c>
      <c r="ER15" s="20"/>
      <c r="ES15" s="20"/>
      <c r="ET15" s="20"/>
      <c r="EU15" s="20"/>
      <c r="EV15" s="20"/>
      <c r="EW15" s="20"/>
      <c r="EX15" s="20"/>
    </row>
    <row r="16" spans="1:154" s="3" customFormat="1" ht="17.149999999999999" customHeight="1" x14ac:dyDescent="0.25">
      <c r="A16" s="56">
        <v>9</v>
      </c>
      <c r="B16" s="57">
        <v>908474</v>
      </c>
      <c r="C16" s="58">
        <f t="shared" si="6"/>
        <v>156</v>
      </c>
      <c r="D16" s="167">
        <v>10.16</v>
      </c>
      <c r="E16" s="57">
        <v>812953</v>
      </c>
      <c r="F16" s="58">
        <f t="shared" si="7"/>
        <v>188</v>
      </c>
      <c r="G16" s="168">
        <v>2.31</v>
      </c>
      <c r="H16" s="57">
        <v>766898</v>
      </c>
      <c r="I16" s="58">
        <f t="shared" si="0"/>
        <v>151</v>
      </c>
      <c r="J16" s="60" t="s">
        <v>338</v>
      </c>
      <c r="K16" s="56">
        <v>9</v>
      </c>
      <c r="L16" s="57">
        <v>70942</v>
      </c>
      <c r="M16" s="58" t="str">
        <f t="shared" si="8"/>
        <v/>
      </c>
      <c r="N16" s="57">
        <v>180911</v>
      </c>
      <c r="O16" s="58">
        <f t="shared" si="9"/>
        <v>24</v>
      </c>
      <c r="P16" s="57">
        <v>194749</v>
      </c>
      <c r="Q16" s="169" t="str">
        <f t="shared" si="1"/>
        <v/>
      </c>
      <c r="R16" s="57">
        <v>688</v>
      </c>
      <c r="S16" s="57">
        <v>695</v>
      </c>
      <c r="T16" s="57">
        <v>144</v>
      </c>
      <c r="U16" s="57">
        <v>141</v>
      </c>
      <c r="V16" s="58" t="str">
        <f t="shared" si="10"/>
        <v>SA</v>
      </c>
      <c r="W16" s="56">
        <v>9</v>
      </c>
      <c r="X16" s="63">
        <v>12007.19</v>
      </c>
      <c r="Y16" s="130">
        <f t="shared" si="11"/>
        <v>1.3899999999994179</v>
      </c>
      <c r="Z16" s="63">
        <v>12775.56</v>
      </c>
      <c r="AA16" s="130">
        <f t="shared" si="12"/>
        <v>2.7900000000008731</v>
      </c>
      <c r="AB16" s="63">
        <v>10035.36</v>
      </c>
      <c r="AC16" s="130">
        <f t="shared" si="13"/>
        <v>2.3499999999985448</v>
      </c>
      <c r="AD16" s="63">
        <v>10189.99</v>
      </c>
      <c r="AE16" s="130">
        <f t="shared" si="2"/>
        <v>1.7299999999995634</v>
      </c>
      <c r="AF16" s="125" t="str">
        <f t="shared" si="14"/>
        <v>SA</v>
      </c>
      <c r="AG16" s="56">
        <v>9</v>
      </c>
      <c r="AH16" s="63">
        <v>48046.09</v>
      </c>
      <c r="AI16" s="130">
        <f t="shared" si="15"/>
        <v>9.0900000000037835</v>
      </c>
      <c r="AJ16" s="63">
        <v>50212.77</v>
      </c>
      <c r="AK16" s="130">
        <f t="shared" si="16"/>
        <v>15.240000000005239</v>
      </c>
      <c r="AL16" s="63">
        <v>592.25</v>
      </c>
      <c r="AM16" s="130" t="str">
        <f t="shared" si="17"/>
        <v/>
      </c>
      <c r="AN16" s="63">
        <v>553.45000000000005</v>
      </c>
      <c r="AO16" s="130" t="str">
        <f t="shared" si="3"/>
        <v/>
      </c>
      <c r="AP16" s="125" t="str">
        <f t="shared" si="18"/>
        <v>SA</v>
      </c>
      <c r="AQ16" s="56">
        <v>9</v>
      </c>
      <c r="AR16" s="63">
        <v>6929.99</v>
      </c>
      <c r="AS16" s="130">
        <f t="shared" si="19"/>
        <v>0.93000000000029104</v>
      </c>
      <c r="AT16" s="63">
        <v>7725.23</v>
      </c>
      <c r="AU16" s="130">
        <f t="shared" si="20"/>
        <v>5.4600000000000364</v>
      </c>
      <c r="AV16" s="63">
        <v>260.8</v>
      </c>
      <c r="AW16" s="130" t="str">
        <f t="shared" si="21"/>
        <v/>
      </c>
      <c r="AX16" s="63">
        <v>246.79</v>
      </c>
      <c r="AY16" s="130" t="str">
        <f t="shared" si="4"/>
        <v/>
      </c>
      <c r="AZ16" s="125" t="str">
        <f t="shared" si="22"/>
        <v>SA</v>
      </c>
      <c r="BA16" s="56">
        <v>9</v>
      </c>
      <c r="BB16" s="64">
        <v>1.22</v>
      </c>
      <c r="BC16" s="62">
        <v>21</v>
      </c>
      <c r="BD16" s="61">
        <v>7.4</v>
      </c>
      <c r="BE16" s="61">
        <v>18.8</v>
      </c>
      <c r="BF16" s="61">
        <v>17.899999999999999</v>
      </c>
      <c r="BG16" s="61">
        <v>7.4</v>
      </c>
      <c r="BH16" s="64">
        <v>0.14799999999999999</v>
      </c>
      <c r="BI16" s="64">
        <v>0.14099999999999999</v>
      </c>
      <c r="BJ16" s="64">
        <v>7.2999999999999995E-2</v>
      </c>
      <c r="BK16" s="64">
        <v>6.6000000000000003E-2</v>
      </c>
      <c r="BL16" s="64">
        <v>6.5000000000000002E-2</v>
      </c>
      <c r="BM16" s="64">
        <v>5.7000000000000002E-2</v>
      </c>
      <c r="BN16" s="65" t="str">
        <f t="shared" si="23"/>
        <v>SA</v>
      </c>
      <c r="BO16" s="56">
        <v>9</v>
      </c>
      <c r="BP16" s="64">
        <v>9.6000000000000002E-2</v>
      </c>
      <c r="BQ16" s="62">
        <v>0</v>
      </c>
      <c r="BR16" s="61">
        <v>7.1</v>
      </c>
      <c r="BS16" s="61">
        <v>20.9</v>
      </c>
      <c r="BT16" s="61">
        <v>16.5</v>
      </c>
      <c r="BU16" s="64">
        <v>1.6E-2</v>
      </c>
      <c r="BV16" s="63">
        <v>1.17</v>
      </c>
      <c r="BW16" s="63">
        <v>0.88</v>
      </c>
      <c r="BX16" s="66" t="s">
        <v>330</v>
      </c>
      <c r="BY16" s="172" t="s">
        <v>409</v>
      </c>
      <c r="BZ16" s="67" t="str">
        <f t="shared" si="24"/>
        <v>SA</v>
      </c>
      <c r="CA16" s="56">
        <v>9</v>
      </c>
      <c r="CB16" s="61">
        <v>94</v>
      </c>
      <c r="CC16" s="61"/>
      <c r="CD16" s="68">
        <f t="shared" si="25"/>
        <v>1.7000000000000028</v>
      </c>
      <c r="CE16" s="69">
        <f t="shared" si="26"/>
        <v>7.9122505000000141</v>
      </c>
      <c r="CF16" s="69">
        <f t="shared" si="27"/>
        <v>6.2878811920529918</v>
      </c>
      <c r="CG16" s="62">
        <v>77</v>
      </c>
      <c r="CH16" s="62">
        <v>100</v>
      </c>
      <c r="CI16" s="65" t="str">
        <f t="shared" si="28"/>
        <v>SA</v>
      </c>
      <c r="CJ16" s="56">
        <v>9</v>
      </c>
      <c r="CK16" s="61">
        <v>87.5</v>
      </c>
      <c r="CL16" s="61"/>
      <c r="CM16" s="68">
        <f t="shared" si="29"/>
        <v>2</v>
      </c>
      <c r="CN16" s="68">
        <f t="shared" si="30"/>
        <v>9.3085300000000011</v>
      </c>
      <c r="CO16" s="68">
        <f t="shared" si="31"/>
        <v>23.727800990384619</v>
      </c>
      <c r="CP16" s="62">
        <v>58</v>
      </c>
      <c r="CQ16" s="62">
        <v>83</v>
      </c>
      <c r="CR16" s="65" t="str">
        <f t="shared" si="32"/>
        <v>SA</v>
      </c>
      <c r="CS16" s="56">
        <v>9</v>
      </c>
      <c r="CT16" s="61">
        <v>105.8</v>
      </c>
      <c r="CU16" s="61"/>
      <c r="CV16" s="68">
        <f t="shared" si="33"/>
        <v>1.7000000000000028</v>
      </c>
      <c r="CW16" s="68">
        <f t="shared" si="34"/>
        <v>11.295208000000018</v>
      </c>
      <c r="CX16" s="69">
        <f t="shared" si="35"/>
        <v>7.2405179487179602E-2</v>
      </c>
      <c r="CY16" s="66" t="s">
        <v>325</v>
      </c>
      <c r="CZ16" s="66" t="s">
        <v>241</v>
      </c>
      <c r="DA16" s="66"/>
      <c r="DB16" s="65" t="str">
        <f t="shared" si="36"/>
        <v>SA</v>
      </c>
      <c r="DC16" s="56">
        <v>9</v>
      </c>
      <c r="DD16" s="61">
        <v>85</v>
      </c>
      <c r="DE16" s="61">
        <v>104.9</v>
      </c>
      <c r="DF16" s="68">
        <f t="shared" si="37"/>
        <v>15.700000000000003</v>
      </c>
      <c r="DG16" s="69">
        <f t="shared" si="38"/>
        <v>0.84703429216000015</v>
      </c>
      <c r="DH16" s="68">
        <f t="shared" si="39"/>
        <v>5.4297070010256423</v>
      </c>
      <c r="DI16" s="62">
        <v>96</v>
      </c>
      <c r="DJ16" s="62">
        <v>54</v>
      </c>
      <c r="DK16" s="65" t="str">
        <f t="shared" si="40"/>
        <v>SA</v>
      </c>
      <c r="DL16" s="56">
        <v>9</v>
      </c>
      <c r="DM16" s="63">
        <v>8.3800000000000008</v>
      </c>
      <c r="DN16" s="64">
        <v>3.3000000000000002E-2</v>
      </c>
      <c r="DO16" s="64">
        <v>0.03</v>
      </c>
      <c r="DP16" s="64">
        <v>7.6999999999999999E-2</v>
      </c>
      <c r="DQ16" s="63">
        <v>7.11</v>
      </c>
      <c r="DR16" s="61">
        <v>20.9</v>
      </c>
      <c r="DS16" s="64">
        <v>1.0660000000000001</v>
      </c>
      <c r="DT16" s="61">
        <v>87.6</v>
      </c>
      <c r="DU16" s="63">
        <v>4.2699999999999996</v>
      </c>
      <c r="DV16" s="64">
        <v>0.78700000000000003</v>
      </c>
      <c r="DW16" s="64">
        <v>1.55</v>
      </c>
      <c r="DX16" s="66" t="s">
        <v>242</v>
      </c>
      <c r="DY16" s="65" t="str">
        <f t="shared" si="41"/>
        <v>SA</v>
      </c>
      <c r="DZ16" s="128">
        <v>9</v>
      </c>
      <c r="EA16" s="173">
        <f t="shared" si="42"/>
        <v>0.10427807486631016</v>
      </c>
      <c r="EB16" s="173">
        <f t="shared" si="43"/>
        <v>0.13823529411764707</v>
      </c>
      <c r="EC16" s="173">
        <f t="shared" si="44"/>
        <v>0.96794871794871795</v>
      </c>
      <c r="ED16" s="63">
        <v>1.04</v>
      </c>
      <c r="EE16" s="63">
        <v>1.1200000000000001</v>
      </c>
      <c r="EF16" s="63">
        <v>0.05</v>
      </c>
      <c r="EG16" s="63">
        <v>0.09</v>
      </c>
      <c r="EH16" s="127" t="str">
        <f t="shared" si="5"/>
        <v>SA</v>
      </c>
      <c r="EI16" s="56">
        <v>9</v>
      </c>
      <c r="EJ16" s="334"/>
      <c r="EK16" s="334"/>
      <c r="EL16" s="334"/>
      <c r="EM16" s="334"/>
      <c r="EN16" s="334"/>
      <c r="EO16" s="334"/>
      <c r="EP16" s="334"/>
      <c r="EQ16" s="65" t="str">
        <f t="shared" si="45"/>
        <v>SA</v>
      </c>
      <c r="ER16" s="20"/>
      <c r="ES16" s="20"/>
      <c r="ET16" s="20"/>
      <c r="EU16" s="20"/>
      <c r="EV16" s="20"/>
      <c r="EW16" s="20"/>
      <c r="EX16" s="20"/>
    </row>
    <row r="17" spans="1:154" s="3" customFormat="1" ht="17.149999999999999" customHeight="1" x14ac:dyDescent="0.25">
      <c r="A17" s="56">
        <v>10</v>
      </c>
      <c r="B17" s="57">
        <v>908630</v>
      </c>
      <c r="C17" s="58">
        <f t="shared" si="6"/>
        <v>282</v>
      </c>
      <c r="D17" s="167">
        <v>9.65</v>
      </c>
      <c r="E17" s="57">
        <v>813141</v>
      </c>
      <c r="F17" s="58">
        <f t="shared" si="7"/>
        <v>231</v>
      </c>
      <c r="G17" s="168">
        <v>3.17</v>
      </c>
      <c r="H17" s="57">
        <v>767049</v>
      </c>
      <c r="I17" s="58">
        <f t="shared" si="0"/>
        <v>195</v>
      </c>
      <c r="J17" s="60" t="s">
        <v>338</v>
      </c>
      <c r="K17" s="56">
        <v>10</v>
      </c>
      <c r="L17" s="57">
        <v>70942</v>
      </c>
      <c r="M17" s="58">
        <f t="shared" si="8"/>
        <v>49</v>
      </c>
      <c r="N17" s="57">
        <v>180935</v>
      </c>
      <c r="O17" s="58">
        <f t="shared" si="9"/>
        <v>36</v>
      </c>
      <c r="P17" s="57">
        <v>194749</v>
      </c>
      <c r="Q17" s="169" t="str">
        <f t="shared" si="1"/>
        <v/>
      </c>
      <c r="R17" s="57">
        <v>688</v>
      </c>
      <c r="S17" s="57">
        <v>695</v>
      </c>
      <c r="T17" s="57">
        <v>144</v>
      </c>
      <c r="U17" s="57">
        <v>141</v>
      </c>
      <c r="V17" s="58" t="str">
        <f t="shared" si="10"/>
        <v>SA</v>
      </c>
      <c r="W17" s="56">
        <v>10</v>
      </c>
      <c r="X17" s="63">
        <v>12008.58</v>
      </c>
      <c r="Y17" s="130">
        <f t="shared" si="11"/>
        <v>4.6399999999994179</v>
      </c>
      <c r="Z17" s="63">
        <v>12778.35</v>
      </c>
      <c r="AA17" s="130">
        <f t="shared" si="12"/>
        <v>3.6299999999991996</v>
      </c>
      <c r="AB17" s="63">
        <v>10037.709999999999</v>
      </c>
      <c r="AC17" s="130">
        <f t="shared" si="13"/>
        <v>4.2000000000007276</v>
      </c>
      <c r="AD17" s="63">
        <v>10191.719999999999</v>
      </c>
      <c r="AE17" s="130">
        <f t="shared" si="2"/>
        <v>0.88000000000101863</v>
      </c>
      <c r="AF17" s="125" t="str">
        <f t="shared" si="14"/>
        <v>SA</v>
      </c>
      <c r="AG17" s="56">
        <v>10</v>
      </c>
      <c r="AH17" s="63">
        <v>48055.18</v>
      </c>
      <c r="AI17" s="130">
        <f t="shared" si="15"/>
        <v>15.099999999998545</v>
      </c>
      <c r="AJ17" s="63">
        <v>50228.01</v>
      </c>
      <c r="AK17" s="130">
        <f t="shared" si="16"/>
        <v>11.75</v>
      </c>
      <c r="AL17" s="63">
        <v>592.25</v>
      </c>
      <c r="AM17" s="130" t="str">
        <f t="shared" si="17"/>
        <v/>
      </c>
      <c r="AN17" s="63">
        <v>553.45000000000005</v>
      </c>
      <c r="AO17" s="130" t="str">
        <f t="shared" si="3"/>
        <v/>
      </c>
      <c r="AP17" s="304" t="str">
        <f t="shared" si="18"/>
        <v>SA</v>
      </c>
      <c r="AQ17" s="56">
        <v>10</v>
      </c>
      <c r="AR17" s="63">
        <v>6930.92</v>
      </c>
      <c r="AS17" s="130">
        <f t="shared" si="19"/>
        <v>1.1300000000001091</v>
      </c>
      <c r="AT17" s="63">
        <v>7730.69</v>
      </c>
      <c r="AU17" s="130">
        <f t="shared" si="20"/>
        <v>8.0200000000004366</v>
      </c>
      <c r="AV17" s="63">
        <v>260.8</v>
      </c>
      <c r="AW17" s="130" t="str">
        <f t="shared" si="21"/>
        <v/>
      </c>
      <c r="AX17" s="63">
        <v>246.79</v>
      </c>
      <c r="AY17" s="130">
        <f t="shared" si="4"/>
        <v>0.34000000000000341</v>
      </c>
      <c r="AZ17" s="125" t="str">
        <f t="shared" si="22"/>
        <v>SA</v>
      </c>
      <c r="BA17" s="56">
        <v>10</v>
      </c>
      <c r="BB17" s="64"/>
      <c r="BC17" s="62"/>
      <c r="BD17" s="61"/>
      <c r="BE17" s="61"/>
      <c r="BF17" s="61"/>
      <c r="BG17" s="61"/>
      <c r="BH17" s="64"/>
      <c r="BI17" s="64"/>
      <c r="BJ17" s="64"/>
      <c r="BK17" s="64"/>
      <c r="BL17" s="64"/>
      <c r="BM17" s="64"/>
      <c r="BN17" s="65" t="str">
        <f t="shared" si="23"/>
        <v>SA</v>
      </c>
      <c r="BO17" s="56">
        <v>10</v>
      </c>
      <c r="BP17" s="64">
        <v>9.1999999999999998E-2</v>
      </c>
      <c r="BQ17" s="62">
        <v>0</v>
      </c>
      <c r="BR17" s="61">
        <v>7.2</v>
      </c>
      <c r="BS17" s="61">
        <v>20.7</v>
      </c>
      <c r="BT17" s="61">
        <v>19.2</v>
      </c>
      <c r="BU17" s="64">
        <v>1.2E-2</v>
      </c>
      <c r="BV17" s="63">
        <v>1.22</v>
      </c>
      <c r="BW17" s="63">
        <v>0.89</v>
      </c>
      <c r="BX17" s="66" t="s">
        <v>323</v>
      </c>
      <c r="BY17" s="172" t="s">
        <v>409</v>
      </c>
      <c r="BZ17" s="67" t="str">
        <f t="shared" si="24"/>
        <v>SA</v>
      </c>
      <c r="CA17" s="56">
        <v>10</v>
      </c>
      <c r="CB17" s="61">
        <v>92.3</v>
      </c>
      <c r="CC17" s="61"/>
      <c r="CD17" s="68">
        <f t="shared" si="25"/>
        <v>2.3999999999999915</v>
      </c>
      <c r="CE17" s="69">
        <f t="shared" si="26"/>
        <v>11.17023599999996</v>
      </c>
      <c r="CF17" s="69">
        <f t="shared" si="27"/>
        <v>6.8739913846153602</v>
      </c>
      <c r="CG17" s="62">
        <v>77</v>
      </c>
      <c r="CH17" s="62">
        <v>100</v>
      </c>
      <c r="CI17" s="65" t="str">
        <f t="shared" si="28"/>
        <v>SA</v>
      </c>
      <c r="CJ17" s="56">
        <v>10</v>
      </c>
      <c r="CK17" s="61">
        <v>85.5</v>
      </c>
      <c r="CL17" s="61"/>
      <c r="CM17" s="68">
        <f t="shared" si="29"/>
        <v>3.4000000000000057</v>
      </c>
      <c r="CN17" s="68">
        <f t="shared" si="30"/>
        <v>15.824501000000028</v>
      </c>
      <c r="CO17" s="68">
        <f t="shared" si="31"/>
        <v>22.31422986755323</v>
      </c>
      <c r="CP17" s="62">
        <v>58</v>
      </c>
      <c r="CQ17" s="62">
        <v>83</v>
      </c>
      <c r="CR17" s="65" t="str">
        <f t="shared" si="32"/>
        <v>SA</v>
      </c>
      <c r="CS17" s="56">
        <v>10</v>
      </c>
      <c r="CT17" s="61">
        <v>104.1</v>
      </c>
      <c r="CU17" s="61"/>
      <c r="CV17" s="68">
        <f t="shared" si="33"/>
        <v>2.7999999999999972</v>
      </c>
      <c r="CW17" s="68">
        <f t="shared" si="34"/>
        <v>18.603871999999981</v>
      </c>
      <c r="CX17" s="69">
        <f t="shared" si="35"/>
        <v>6.5971177304964476E-2</v>
      </c>
      <c r="CY17" s="66" t="s">
        <v>325</v>
      </c>
      <c r="CZ17" s="66" t="s">
        <v>241</v>
      </c>
      <c r="DA17" s="66"/>
      <c r="DB17" s="65" t="str">
        <f t="shared" si="36"/>
        <v>SA</v>
      </c>
      <c r="DC17" s="56">
        <v>10</v>
      </c>
      <c r="DD17" s="61">
        <v>89.2</v>
      </c>
      <c r="DE17" s="61">
        <v>104.8</v>
      </c>
      <c r="DF17" s="68">
        <f t="shared" si="37"/>
        <v>27.599999999999994</v>
      </c>
      <c r="DG17" s="69">
        <f t="shared" si="38"/>
        <v>1.4890539148799997</v>
      </c>
      <c r="DH17" s="68">
        <f t="shared" si="39"/>
        <v>5.2803330314893602</v>
      </c>
      <c r="DI17" s="62">
        <v>96</v>
      </c>
      <c r="DJ17" s="62">
        <v>54</v>
      </c>
      <c r="DK17" s="65" t="str">
        <f t="shared" si="40"/>
        <v>SA</v>
      </c>
      <c r="DL17" s="56">
        <v>10</v>
      </c>
      <c r="DM17" s="63">
        <v>8.25</v>
      </c>
      <c r="DN17" s="64">
        <v>2.9000000000000001E-2</v>
      </c>
      <c r="DO17" s="64">
        <v>2.9000000000000001E-2</v>
      </c>
      <c r="DP17" s="64">
        <v>6.9000000000000006E-2</v>
      </c>
      <c r="DQ17" s="63">
        <v>7.08</v>
      </c>
      <c r="DR17" s="61">
        <v>20.7</v>
      </c>
      <c r="DS17" s="64">
        <v>1.1220000000000001</v>
      </c>
      <c r="DT17" s="61">
        <v>84.7</v>
      </c>
      <c r="DU17" s="63">
        <v>4.29</v>
      </c>
      <c r="DV17" s="64">
        <v>0.71899999999999997</v>
      </c>
      <c r="DW17" s="64">
        <v>1</v>
      </c>
      <c r="DX17" s="66" t="s">
        <v>242</v>
      </c>
      <c r="DY17" s="65" t="str">
        <f t="shared" si="41"/>
        <v>SA</v>
      </c>
      <c r="DZ17" s="128">
        <v>10</v>
      </c>
      <c r="EA17" s="173">
        <f t="shared" si="42"/>
        <v>0.18850267379679145</v>
      </c>
      <c r="EB17" s="173">
        <f t="shared" si="43"/>
        <v>0.1698529411764706</v>
      </c>
      <c r="EC17" s="173">
        <f t="shared" si="44"/>
        <v>0.69148936170212771</v>
      </c>
      <c r="ED17" s="63">
        <v>1.05</v>
      </c>
      <c r="EE17" s="63">
        <v>1.18</v>
      </c>
      <c r="EF17" s="63">
        <v>0.05</v>
      </c>
      <c r="EG17" s="63">
        <v>0.11</v>
      </c>
      <c r="EH17" s="127" t="str">
        <f t="shared" si="5"/>
        <v>SA</v>
      </c>
      <c r="EI17" s="56">
        <v>10</v>
      </c>
      <c r="EJ17" s="334"/>
      <c r="EK17" s="334"/>
      <c r="EL17" s="334"/>
      <c r="EM17" s="334"/>
      <c r="EN17" s="334"/>
      <c r="EO17" s="334"/>
      <c r="EP17" s="334"/>
      <c r="EQ17" s="65" t="str">
        <f t="shared" si="45"/>
        <v>SA</v>
      </c>
      <c r="ER17" s="20"/>
      <c r="ES17" s="20"/>
      <c r="ET17" s="20"/>
      <c r="EU17" s="20"/>
      <c r="EV17" s="20"/>
      <c r="EW17" s="20"/>
      <c r="EX17" s="20"/>
    </row>
    <row r="18" spans="1:154" s="3" customFormat="1" ht="17.149999999999999" customHeight="1" x14ac:dyDescent="0.25">
      <c r="A18" s="56">
        <v>11</v>
      </c>
      <c r="B18" s="57">
        <v>908912</v>
      </c>
      <c r="C18" s="58">
        <f t="shared" si="6"/>
        <v>109</v>
      </c>
      <c r="D18" s="167">
        <v>9.9499999999999993</v>
      </c>
      <c r="E18" s="57">
        <v>813372</v>
      </c>
      <c r="F18" s="58">
        <f t="shared" si="7"/>
        <v>194</v>
      </c>
      <c r="G18" s="168">
        <v>1.58</v>
      </c>
      <c r="H18" s="57">
        <v>767244</v>
      </c>
      <c r="I18" s="58">
        <f t="shared" si="0"/>
        <v>92</v>
      </c>
      <c r="J18" s="60" t="s">
        <v>338</v>
      </c>
      <c r="K18" s="56">
        <v>11</v>
      </c>
      <c r="L18" s="57">
        <v>70991</v>
      </c>
      <c r="M18" s="58" t="str">
        <f t="shared" si="8"/>
        <v/>
      </c>
      <c r="N18" s="57">
        <v>180971</v>
      </c>
      <c r="O18" s="58">
        <f t="shared" si="9"/>
        <v>77</v>
      </c>
      <c r="P18" s="57">
        <v>194749</v>
      </c>
      <c r="Q18" s="169" t="str">
        <f t="shared" si="1"/>
        <v/>
      </c>
      <c r="R18" s="57">
        <v>688</v>
      </c>
      <c r="S18" s="57">
        <v>696</v>
      </c>
      <c r="T18" s="57">
        <v>144</v>
      </c>
      <c r="U18" s="57">
        <v>141</v>
      </c>
      <c r="V18" s="58" t="str">
        <f t="shared" si="10"/>
        <v>SA</v>
      </c>
      <c r="W18" s="56">
        <v>11</v>
      </c>
      <c r="X18" s="63">
        <v>12013.22</v>
      </c>
      <c r="Y18" s="130">
        <f t="shared" si="11"/>
        <v>0.3500000000003638</v>
      </c>
      <c r="Z18" s="63">
        <v>12781.98</v>
      </c>
      <c r="AA18" s="130">
        <f t="shared" si="12"/>
        <v>2.6900000000005093</v>
      </c>
      <c r="AB18" s="63">
        <v>10041.91</v>
      </c>
      <c r="AC18" s="130">
        <f t="shared" si="13"/>
        <v>0.17000000000007276</v>
      </c>
      <c r="AD18" s="63">
        <v>10192.6</v>
      </c>
      <c r="AE18" s="130">
        <f t="shared" si="2"/>
        <v>2.319999999999709</v>
      </c>
      <c r="AF18" s="125" t="str">
        <f t="shared" si="14"/>
        <v>SA</v>
      </c>
      <c r="AG18" s="56">
        <v>11</v>
      </c>
      <c r="AH18" s="63">
        <v>48070.28</v>
      </c>
      <c r="AI18" s="130">
        <f t="shared" si="15"/>
        <v>11.540000000000873</v>
      </c>
      <c r="AJ18" s="63">
        <v>50239.76</v>
      </c>
      <c r="AK18" s="130">
        <f t="shared" si="16"/>
        <v>12.229999999995925</v>
      </c>
      <c r="AL18" s="63">
        <v>592.25</v>
      </c>
      <c r="AM18" s="130" t="str">
        <f t="shared" si="17"/>
        <v/>
      </c>
      <c r="AN18" s="63">
        <v>553.45000000000005</v>
      </c>
      <c r="AO18" s="130" t="str">
        <f t="shared" si="3"/>
        <v/>
      </c>
      <c r="AP18" s="125" t="str">
        <f t="shared" si="18"/>
        <v>SA</v>
      </c>
      <c r="AQ18" s="56">
        <v>11</v>
      </c>
      <c r="AR18" s="63">
        <v>6932.05</v>
      </c>
      <c r="AS18" s="130">
        <f t="shared" si="19"/>
        <v>3.3699999999998909</v>
      </c>
      <c r="AT18" s="63">
        <v>7738.71</v>
      </c>
      <c r="AU18" s="130">
        <f t="shared" si="20"/>
        <v>3.3699999999998909</v>
      </c>
      <c r="AV18" s="63">
        <v>260.8</v>
      </c>
      <c r="AW18" s="130" t="str">
        <f t="shared" si="21"/>
        <v/>
      </c>
      <c r="AX18" s="63">
        <v>247.13</v>
      </c>
      <c r="AY18" s="130" t="str">
        <f t="shared" si="4"/>
        <v/>
      </c>
      <c r="AZ18" s="125" t="str">
        <f t="shared" si="22"/>
        <v>SA</v>
      </c>
      <c r="BA18" s="56">
        <v>11</v>
      </c>
      <c r="BB18" s="64"/>
      <c r="BC18" s="62"/>
      <c r="BD18" s="61"/>
      <c r="BE18" s="61"/>
      <c r="BF18" s="61"/>
      <c r="BG18" s="61"/>
      <c r="BH18" s="64"/>
      <c r="BI18" s="64"/>
      <c r="BJ18" s="64"/>
      <c r="BK18" s="64"/>
      <c r="BL18" s="64"/>
      <c r="BM18" s="64"/>
      <c r="BN18" s="65" t="str">
        <f t="shared" si="23"/>
        <v>SA</v>
      </c>
      <c r="BO18" s="56">
        <v>11</v>
      </c>
      <c r="BP18" s="64">
        <v>0.104</v>
      </c>
      <c r="BQ18" s="62">
        <v>0</v>
      </c>
      <c r="BR18" s="61">
        <v>7.3</v>
      </c>
      <c r="BS18" s="61">
        <v>20.8</v>
      </c>
      <c r="BT18" s="61">
        <v>18.600000000000001</v>
      </c>
      <c r="BU18" s="64">
        <v>0.01</v>
      </c>
      <c r="BV18" s="63">
        <v>1.23</v>
      </c>
      <c r="BW18" s="63">
        <v>0.92</v>
      </c>
      <c r="BX18" s="66" t="s">
        <v>253</v>
      </c>
      <c r="BY18" s="172" t="s">
        <v>246</v>
      </c>
      <c r="BZ18" s="67" t="str">
        <f t="shared" si="24"/>
        <v>SA</v>
      </c>
      <c r="CA18" s="56">
        <v>11</v>
      </c>
      <c r="CB18" s="61">
        <v>89.9</v>
      </c>
      <c r="CC18" s="61"/>
      <c r="CD18" s="68">
        <f t="shared" si="25"/>
        <v>1.1000000000000085</v>
      </c>
      <c r="CE18" s="69">
        <f t="shared" si="26"/>
        <v>5.11969150000004</v>
      </c>
      <c r="CF18" s="69">
        <f t="shared" si="27"/>
        <v>6.6778584782609212</v>
      </c>
      <c r="CG18" s="62">
        <v>77</v>
      </c>
      <c r="CH18" s="62">
        <v>100</v>
      </c>
      <c r="CI18" s="65" t="str">
        <f t="shared" si="28"/>
        <v>SA</v>
      </c>
      <c r="CJ18" s="56">
        <v>11</v>
      </c>
      <c r="CK18" s="61">
        <v>82.1</v>
      </c>
      <c r="CL18" s="61"/>
      <c r="CM18" s="68">
        <f t="shared" si="29"/>
        <v>1.5</v>
      </c>
      <c r="CN18" s="68">
        <f t="shared" si="30"/>
        <v>6.9813975000000008</v>
      </c>
      <c r="CO18" s="68">
        <f t="shared" si="31"/>
        <v>25.469290971330281</v>
      </c>
      <c r="CP18" s="62">
        <v>58</v>
      </c>
      <c r="CQ18" s="62">
        <v>83</v>
      </c>
      <c r="CR18" s="65" t="str">
        <f t="shared" si="32"/>
        <v>SA</v>
      </c>
      <c r="CS18" s="56">
        <v>11</v>
      </c>
      <c r="CT18" s="61">
        <v>101.3</v>
      </c>
      <c r="CU18" s="61"/>
      <c r="CV18" s="68">
        <f t="shared" si="33"/>
        <v>1.0999999999999943</v>
      </c>
      <c r="CW18" s="68">
        <f t="shared" si="34"/>
        <v>7.3086639999999612</v>
      </c>
      <c r="CX18" s="69">
        <f t="shared" si="35"/>
        <v>6.7051963302751941E-2</v>
      </c>
      <c r="CY18" s="66" t="s">
        <v>325</v>
      </c>
      <c r="CZ18" s="66" t="s">
        <v>241</v>
      </c>
      <c r="DA18" s="66"/>
      <c r="DB18" s="65" t="str">
        <f t="shared" si="36"/>
        <v>SA</v>
      </c>
      <c r="DC18" s="56">
        <v>11</v>
      </c>
      <c r="DD18" s="61">
        <v>77.2</v>
      </c>
      <c r="DE18" s="61">
        <v>106</v>
      </c>
      <c r="DF18" s="68">
        <f t="shared" si="37"/>
        <v>14.599999999999994</v>
      </c>
      <c r="DG18" s="69">
        <f t="shared" si="38"/>
        <v>0.78768794047999968</v>
      </c>
      <c r="DH18" s="68">
        <f t="shared" si="39"/>
        <v>7.2264948667889879</v>
      </c>
      <c r="DI18" s="62">
        <v>96</v>
      </c>
      <c r="DJ18" s="62">
        <v>54</v>
      </c>
      <c r="DK18" s="65" t="str">
        <f t="shared" si="40"/>
        <v>SA</v>
      </c>
      <c r="DL18" s="56">
        <v>11</v>
      </c>
      <c r="DM18" s="63">
        <v>8.35</v>
      </c>
      <c r="DN18" s="64">
        <v>3.6999999999999998E-2</v>
      </c>
      <c r="DO18" s="64">
        <v>3.3000000000000002E-2</v>
      </c>
      <c r="DP18" s="64">
        <v>7.0000000000000007E-2</v>
      </c>
      <c r="DQ18" s="63">
        <v>7.12</v>
      </c>
      <c r="DR18" s="61">
        <v>20.8</v>
      </c>
      <c r="DS18" s="64">
        <v>1.105</v>
      </c>
      <c r="DT18" s="61">
        <v>87</v>
      </c>
      <c r="DU18" s="63">
        <v>4.3499999999999996</v>
      </c>
      <c r="DV18" s="64">
        <v>2.15</v>
      </c>
      <c r="DW18" s="64">
        <v>0.59299999999999997</v>
      </c>
      <c r="DX18" s="66" t="s">
        <v>242</v>
      </c>
      <c r="DY18" s="65" t="str">
        <f t="shared" si="41"/>
        <v>SA</v>
      </c>
      <c r="DZ18" s="128">
        <v>11</v>
      </c>
      <c r="EA18" s="173">
        <f t="shared" si="42"/>
        <v>7.286096256684492E-2</v>
      </c>
      <c r="EB18" s="173">
        <f t="shared" si="43"/>
        <v>0.1426470588235294</v>
      </c>
      <c r="EC18" s="173">
        <f t="shared" si="44"/>
        <v>0.84403669724770647</v>
      </c>
      <c r="ED18" s="284">
        <v>0</v>
      </c>
      <c r="EE18" s="284">
        <v>5.63</v>
      </c>
      <c r="EF18" s="63">
        <v>0.04</v>
      </c>
      <c r="EG18" s="63">
        <v>7.0000000000000007E-2</v>
      </c>
      <c r="EH18" s="127" t="str">
        <f t="shared" si="5"/>
        <v>SA</v>
      </c>
      <c r="EI18" s="56">
        <v>11</v>
      </c>
      <c r="EJ18" s="334" t="s">
        <v>434</v>
      </c>
      <c r="EK18" s="334"/>
      <c r="EL18" s="334"/>
      <c r="EM18" s="334"/>
      <c r="EN18" s="334"/>
      <c r="EO18" s="334"/>
      <c r="EP18" s="334"/>
      <c r="EQ18" s="65" t="str">
        <f t="shared" si="45"/>
        <v>SA</v>
      </c>
      <c r="ER18" s="20"/>
      <c r="ES18" s="20"/>
      <c r="ET18" s="20"/>
      <c r="EU18" s="20"/>
      <c r="EV18" s="20"/>
      <c r="EW18" s="20"/>
      <c r="EX18" s="20"/>
    </row>
    <row r="19" spans="1:154" s="3" customFormat="1" ht="17.149999999999999" customHeight="1" x14ac:dyDescent="0.25">
      <c r="A19" s="56">
        <v>12</v>
      </c>
      <c r="B19" s="57">
        <v>909021</v>
      </c>
      <c r="C19" s="58">
        <f t="shared" si="6"/>
        <v>195</v>
      </c>
      <c r="D19" s="167">
        <v>9.91</v>
      </c>
      <c r="E19" s="57">
        <v>813566</v>
      </c>
      <c r="F19" s="58">
        <f t="shared" si="7"/>
        <v>193</v>
      </c>
      <c r="G19" s="168">
        <v>1.2</v>
      </c>
      <c r="H19" s="57">
        <v>767336</v>
      </c>
      <c r="I19" s="58">
        <f t="shared" si="0"/>
        <v>170</v>
      </c>
      <c r="J19" s="60" t="s">
        <v>194</v>
      </c>
      <c r="K19" s="56">
        <v>12</v>
      </c>
      <c r="L19" s="57">
        <v>70991</v>
      </c>
      <c r="M19" s="58" t="str">
        <f t="shared" si="8"/>
        <v/>
      </c>
      <c r="N19" s="57">
        <v>181048</v>
      </c>
      <c r="O19" s="58">
        <f t="shared" si="9"/>
        <v>25</v>
      </c>
      <c r="P19" s="57">
        <v>194749</v>
      </c>
      <c r="Q19" s="169" t="str">
        <f t="shared" si="1"/>
        <v/>
      </c>
      <c r="R19" s="57">
        <v>688</v>
      </c>
      <c r="S19" s="57">
        <v>696</v>
      </c>
      <c r="T19" s="57">
        <v>144</v>
      </c>
      <c r="U19" s="57">
        <v>141</v>
      </c>
      <c r="V19" s="58" t="str">
        <f t="shared" si="10"/>
        <v>ME</v>
      </c>
      <c r="W19" s="56">
        <v>12</v>
      </c>
      <c r="X19" s="63">
        <v>12013.57</v>
      </c>
      <c r="Y19" s="130">
        <f t="shared" si="11"/>
        <v>2.8500000000003638</v>
      </c>
      <c r="Z19" s="63">
        <v>12784.67</v>
      </c>
      <c r="AA19" s="130">
        <f t="shared" si="12"/>
        <v>2.6000000000003638</v>
      </c>
      <c r="AB19" s="63">
        <v>10042.08</v>
      </c>
      <c r="AC19" s="130">
        <f t="shared" si="13"/>
        <v>2.319999999999709</v>
      </c>
      <c r="AD19" s="63">
        <v>10194.92</v>
      </c>
      <c r="AE19" s="130">
        <f t="shared" si="2"/>
        <v>2.180000000000291</v>
      </c>
      <c r="AF19" s="125" t="str">
        <f t="shared" si="14"/>
        <v>ME</v>
      </c>
      <c r="AG19" s="56">
        <v>12</v>
      </c>
      <c r="AH19" s="63">
        <v>48081.82</v>
      </c>
      <c r="AI19" s="130">
        <f t="shared" si="15"/>
        <v>12.489999999997963</v>
      </c>
      <c r="AJ19" s="63">
        <v>50251.99</v>
      </c>
      <c r="AK19" s="130">
        <f t="shared" si="16"/>
        <v>11.349999999998545</v>
      </c>
      <c r="AL19" s="63">
        <v>592.25</v>
      </c>
      <c r="AM19" s="130" t="str">
        <f t="shared" si="17"/>
        <v/>
      </c>
      <c r="AN19" s="63">
        <v>553.45000000000005</v>
      </c>
      <c r="AO19" s="130" t="str">
        <f t="shared" si="3"/>
        <v/>
      </c>
      <c r="AP19" s="125" t="str">
        <f t="shared" si="18"/>
        <v>ME</v>
      </c>
      <c r="AQ19" s="56">
        <v>12</v>
      </c>
      <c r="AR19" s="63">
        <v>6935.42</v>
      </c>
      <c r="AS19" s="130">
        <f t="shared" si="19"/>
        <v>1.2799999999997453</v>
      </c>
      <c r="AT19" s="63">
        <v>7742.08</v>
      </c>
      <c r="AU19" s="130">
        <f t="shared" si="20"/>
        <v>1.4700000000002547</v>
      </c>
      <c r="AV19" s="63">
        <v>260.8</v>
      </c>
      <c r="AW19" s="130" t="str">
        <f t="shared" si="21"/>
        <v/>
      </c>
      <c r="AX19" s="63">
        <v>247.13</v>
      </c>
      <c r="AY19" s="130" t="str">
        <f t="shared" si="4"/>
        <v/>
      </c>
      <c r="AZ19" s="125" t="str">
        <f t="shared" si="22"/>
        <v>ME</v>
      </c>
      <c r="BA19" s="56">
        <v>12</v>
      </c>
      <c r="BB19" s="64">
        <v>1.44</v>
      </c>
      <c r="BC19" s="62">
        <v>34</v>
      </c>
      <c r="BD19" s="61">
        <v>7.1</v>
      </c>
      <c r="BE19" s="61">
        <v>18.399999999999999</v>
      </c>
      <c r="BF19" s="61">
        <v>15.8</v>
      </c>
      <c r="BG19" s="61">
        <v>7.1</v>
      </c>
      <c r="BH19" s="64">
        <v>0.16600000000000001</v>
      </c>
      <c r="BI19" s="64">
        <v>0.14799999999999999</v>
      </c>
      <c r="BJ19" s="64">
        <v>6.2E-2</v>
      </c>
      <c r="BK19" s="64">
        <v>5.8000000000000003E-2</v>
      </c>
      <c r="BL19" s="64">
        <v>6.0999999999999999E-2</v>
      </c>
      <c r="BM19" s="64">
        <v>0.06</v>
      </c>
      <c r="BN19" s="65" t="str">
        <f t="shared" si="23"/>
        <v>ME</v>
      </c>
      <c r="BO19" s="56">
        <v>12</v>
      </c>
      <c r="BP19" s="64">
        <v>9.9000000000000005E-2</v>
      </c>
      <c r="BQ19" s="62">
        <v>0</v>
      </c>
      <c r="BR19" s="61">
        <v>7.1</v>
      </c>
      <c r="BS19" s="61">
        <v>19.8</v>
      </c>
      <c r="BT19" s="61">
        <v>18.3</v>
      </c>
      <c r="BU19" s="64">
        <v>1.7999999999999999E-2</v>
      </c>
      <c r="BV19" s="63">
        <v>1.21</v>
      </c>
      <c r="BW19" s="63">
        <v>0.95</v>
      </c>
      <c r="BX19" s="66" t="s">
        <v>253</v>
      </c>
      <c r="BY19" s="172" t="s">
        <v>246</v>
      </c>
      <c r="BZ19" s="67" t="str">
        <f t="shared" si="24"/>
        <v>ME</v>
      </c>
      <c r="CA19" s="56">
        <v>12</v>
      </c>
      <c r="CB19" s="61">
        <v>88.8</v>
      </c>
      <c r="CC19" s="61">
        <v>100</v>
      </c>
      <c r="CD19" s="68">
        <f t="shared" si="25"/>
        <v>1.2000000000000028</v>
      </c>
      <c r="CE19" s="69">
        <f t="shared" si="26"/>
        <v>5.5851180000000138</v>
      </c>
      <c r="CF19" s="69">
        <f t="shared" si="27"/>
        <v>3.9424362352941276</v>
      </c>
      <c r="CG19" s="62">
        <v>77</v>
      </c>
      <c r="CH19" s="62">
        <v>100</v>
      </c>
      <c r="CI19" s="65" t="str">
        <f t="shared" si="28"/>
        <v>ME</v>
      </c>
      <c r="CJ19" s="56">
        <v>12</v>
      </c>
      <c r="CK19" s="61">
        <v>80.599999999999994</v>
      </c>
      <c r="CL19" s="61">
        <v>100</v>
      </c>
      <c r="CM19" s="68">
        <f t="shared" si="29"/>
        <v>1.5</v>
      </c>
      <c r="CN19" s="68">
        <f t="shared" si="30"/>
        <v>6.9813975000000008</v>
      </c>
      <c r="CO19" s="68">
        <f t="shared" si="31"/>
        <v>14.236680594230771</v>
      </c>
      <c r="CP19" s="62">
        <v>55</v>
      </c>
      <c r="CQ19" s="62">
        <v>83</v>
      </c>
      <c r="CR19" s="65" t="str">
        <f t="shared" si="32"/>
        <v>ME</v>
      </c>
      <c r="CS19" s="56">
        <v>12</v>
      </c>
      <c r="CT19" s="61">
        <v>100.2</v>
      </c>
      <c r="CU19" s="61">
        <v>95.6</v>
      </c>
      <c r="CV19" s="68">
        <f t="shared" si="33"/>
        <v>1.8999999999999915</v>
      </c>
      <c r="CW19" s="68">
        <f t="shared" si="34"/>
        <v>12.624055999999943</v>
      </c>
      <c r="CX19" s="69">
        <f t="shared" si="35"/>
        <v>6.4738748717948422E-2</v>
      </c>
      <c r="CY19" s="66" t="s">
        <v>251</v>
      </c>
      <c r="CZ19" s="66" t="s">
        <v>241</v>
      </c>
      <c r="DA19" s="66" t="s">
        <v>242</v>
      </c>
      <c r="DB19" s="65" t="str">
        <f t="shared" si="36"/>
        <v>ME</v>
      </c>
      <c r="DC19" s="56">
        <v>12</v>
      </c>
      <c r="DD19" s="61">
        <v>91.4</v>
      </c>
      <c r="DE19" s="61">
        <v>103.6</v>
      </c>
      <c r="DF19" s="68">
        <f t="shared" si="37"/>
        <v>19.599999999999994</v>
      </c>
      <c r="DG19" s="69">
        <f t="shared" si="38"/>
        <v>1.0574440844799997</v>
      </c>
      <c r="DH19" s="68">
        <f t="shared" si="39"/>
        <v>5.4227901768205111</v>
      </c>
      <c r="DI19" s="62">
        <v>93</v>
      </c>
      <c r="DJ19" s="62">
        <v>54</v>
      </c>
      <c r="DK19" s="65" t="str">
        <f t="shared" si="40"/>
        <v>ME</v>
      </c>
      <c r="DL19" s="56">
        <v>12</v>
      </c>
      <c r="DM19" s="63">
        <v>8.15</v>
      </c>
      <c r="DN19" s="64">
        <v>3.4000000000000002E-2</v>
      </c>
      <c r="DO19" s="64">
        <v>3.2000000000000001E-2</v>
      </c>
      <c r="DP19" s="64">
        <v>7.0999999999999994E-2</v>
      </c>
      <c r="DQ19" s="63">
        <v>7.12</v>
      </c>
      <c r="DR19" s="61">
        <v>19.8</v>
      </c>
      <c r="DS19" s="64">
        <v>1.145</v>
      </c>
      <c r="DT19" s="61">
        <v>87.3</v>
      </c>
      <c r="DU19" s="63">
        <v>4.1500000000000004</v>
      </c>
      <c r="DV19" s="64">
        <v>0.70499999999999996</v>
      </c>
      <c r="DW19" s="64">
        <v>1.1399999999999999</v>
      </c>
      <c r="DX19" s="66" t="s">
        <v>242</v>
      </c>
      <c r="DY19" s="65" t="str">
        <f t="shared" si="41"/>
        <v>ME</v>
      </c>
      <c r="DZ19" s="128">
        <v>12</v>
      </c>
      <c r="EA19" s="173">
        <f t="shared" si="42"/>
        <v>0.13034759358288769</v>
      </c>
      <c r="EB19" s="173">
        <f t="shared" si="43"/>
        <v>0.14191176470588235</v>
      </c>
      <c r="EC19" s="173">
        <f t="shared" si="44"/>
        <v>0.87179487179487181</v>
      </c>
      <c r="ED19" s="63">
        <v>1.04</v>
      </c>
      <c r="EE19" s="63">
        <v>1.22</v>
      </c>
      <c r="EF19" s="63">
        <v>0.04</v>
      </c>
      <c r="EG19" s="63">
        <v>0.09</v>
      </c>
      <c r="EH19" s="127" t="str">
        <f t="shared" si="5"/>
        <v>ME</v>
      </c>
      <c r="EI19" s="56">
        <v>12</v>
      </c>
      <c r="EJ19" s="334"/>
      <c r="EK19" s="334"/>
      <c r="EL19" s="334"/>
      <c r="EM19" s="334"/>
      <c r="EN19" s="334"/>
      <c r="EO19" s="334"/>
      <c r="EP19" s="334"/>
      <c r="EQ19" s="65" t="str">
        <f t="shared" si="45"/>
        <v>ME</v>
      </c>
      <c r="ER19" s="20"/>
      <c r="ES19" s="20"/>
      <c r="ET19" s="20"/>
      <c r="EU19" s="20"/>
      <c r="EV19" s="20"/>
      <c r="EW19" s="20"/>
      <c r="EX19" s="20"/>
    </row>
    <row r="20" spans="1:154" s="3" customFormat="1" ht="17.149999999999999" customHeight="1" x14ac:dyDescent="0.25">
      <c r="A20" s="56">
        <v>13</v>
      </c>
      <c r="B20" s="57">
        <v>909216</v>
      </c>
      <c r="C20" s="58">
        <f t="shared" si="6"/>
        <v>142</v>
      </c>
      <c r="D20" s="167">
        <v>10.119999999999999</v>
      </c>
      <c r="E20" s="59">
        <v>813759</v>
      </c>
      <c r="F20" s="58">
        <f t="shared" si="7"/>
        <v>220</v>
      </c>
      <c r="G20" s="168">
        <v>2.95</v>
      </c>
      <c r="H20" s="57">
        <v>767506</v>
      </c>
      <c r="I20" s="58">
        <f t="shared" si="0"/>
        <v>118</v>
      </c>
      <c r="J20" s="60" t="s">
        <v>194</v>
      </c>
      <c r="K20" s="56">
        <v>13</v>
      </c>
      <c r="L20" s="57">
        <v>70991</v>
      </c>
      <c r="M20" s="58">
        <f t="shared" si="8"/>
        <v>8</v>
      </c>
      <c r="N20" s="59">
        <v>181073</v>
      </c>
      <c r="O20" s="58">
        <f t="shared" si="9"/>
        <v>31</v>
      </c>
      <c r="P20" s="57">
        <v>194749</v>
      </c>
      <c r="Q20" s="169" t="str">
        <f t="shared" si="1"/>
        <v/>
      </c>
      <c r="R20" s="57">
        <v>688</v>
      </c>
      <c r="S20" s="57">
        <v>696</v>
      </c>
      <c r="T20" s="57">
        <v>144</v>
      </c>
      <c r="U20" s="57">
        <v>141</v>
      </c>
      <c r="V20" s="58" t="str">
        <f t="shared" si="10"/>
        <v>ME</v>
      </c>
      <c r="W20" s="56">
        <v>13</v>
      </c>
      <c r="X20" s="63">
        <v>12016.42</v>
      </c>
      <c r="Y20" s="130">
        <f t="shared" si="11"/>
        <v>1.1100000000005821</v>
      </c>
      <c r="Z20" s="63">
        <v>12787.27</v>
      </c>
      <c r="AA20" s="130">
        <f t="shared" si="12"/>
        <v>2.8299999999999272</v>
      </c>
      <c r="AB20" s="63">
        <v>10044.4</v>
      </c>
      <c r="AC20" s="130">
        <f t="shared" si="13"/>
        <v>0.69000000000050932</v>
      </c>
      <c r="AD20" s="63">
        <v>10197.1</v>
      </c>
      <c r="AE20" s="130">
        <f t="shared" si="2"/>
        <v>2.4499999999989086</v>
      </c>
      <c r="AF20" s="125" t="str">
        <f t="shared" si="14"/>
        <v>ME</v>
      </c>
      <c r="AG20" s="56">
        <v>13</v>
      </c>
      <c r="AH20" s="63">
        <v>48094.31</v>
      </c>
      <c r="AI20" s="130">
        <f t="shared" si="15"/>
        <v>13.090000000003783</v>
      </c>
      <c r="AJ20" s="63">
        <v>50263.34</v>
      </c>
      <c r="AK20" s="130">
        <f t="shared" si="16"/>
        <v>12.650000000001455</v>
      </c>
      <c r="AL20" s="63">
        <v>592.25</v>
      </c>
      <c r="AM20" s="130" t="str">
        <f t="shared" si="17"/>
        <v/>
      </c>
      <c r="AN20" s="63">
        <v>553.45000000000005</v>
      </c>
      <c r="AO20" s="130" t="str">
        <f t="shared" si="3"/>
        <v/>
      </c>
      <c r="AP20" s="125" t="str">
        <f t="shared" si="18"/>
        <v>ME</v>
      </c>
      <c r="AQ20" s="56">
        <v>13</v>
      </c>
      <c r="AR20" s="63">
        <v>6936.7</v>
      </c>
      <c r="AS20" s="130">
        <f t="shared" si="19"/>
        <v>1.6500000000005457</v>
      </c>
      <c r="AT20" s="63">
        <v>7743.55</v>
      </c>
      <c r="AU20" s="130">
        <f t="shared" si="20"/>
        <v>1.6799999999993815</v>
      </c>
      <c r="AV20" s="63">
        <v>260.8</v>
      </c>
      <c r="AW20" s="130">
        <f t="shared" si="21"/>
        <v>7.9999999999984084E-2</v>
      </c>
      <c r="AX20" s="63">
        <v>247.13</v>
      </c>
      <c r="AY20" s="130" t="str">
        <f t="shared" si="4"/>
        <v/>
      </c>
      <c r="AZ20" s="125" t="str">
        <f t="shared" si="22"/>
        <v>ME</v>
      </c>
      <c r="BA20" s="56">
        <v>13</v>
      </c>
      <c r="BB20" s="64">
        <v>1.45</v>
      </c>
      <c r="BC20" s="62">
        <v>76</v>
      </c>
      <c r="BD20" s="61">
        <v>7.1</v>
      </c>
      <c r="BE20" s="61">
        <v>18.3</v>
      </c>
      <c r="BF20" s="61">
        <v>14.9</v>
      </c>
      <c r="BG20" s="61">
        <v>7.1</v>
      </c>
      <c r="BH20" s="64">
        <v>0.154</v>
      </c>
      <c r="BI20" s="64">
        <v>0.152</v>
      </c>
      <c r="BJ20" s="64">
        <v>6.3E-2</v>
      </c>
      <c r="BK20" s="64">
        <v>6.3E-2</v>
      </c>
      <c r="BL20" s="64">
        <v>6.4000000000000001E-2</v>
      </c>
      <c r="BM20" s="64">
        <v>6.5000000000000002E-2</v>
      </c>
      <c r="BN20" s="65" t="str">
        <f t="shared" si="23"/>
        <v>ME</v>
      </c>
      <c r="BO20" s="56">
        <v>13</v>
      </c>
      <c r="BP20" s="64">
        <v>0.1</v>
      </c>
      <c r="BQ20" s="62">
        <v>0</v>
      </c>
      <c r="BR20" s="61">
        <v>7.2</v>
      </c>
      <c r="BS20" s="61">
        <v>20.6</v>
      </c>
      <c r="BT20" s="61">
        <v>17.7</v>
      </c>
      <c r="BU20" s="64">
        <v>1.7999999999999999E-2</v>
      </c>
      <c r="BV20" s="63">
        <v>1.29</v>
      </c>
      <c r="BW20" s="63">
        <v>1.05</v>
      </c>
      <c r="BX20" s="66" t="s">
        <v>245</v>
      </c>
      <c r="BY20" s="172" t="s">
        <v>246</v>
      </c>
      <c r="BZ20" s="67" t="str">
        <f t="shared" si="24"/>
        <v>ME</v>
      </c>
      <c r="CA20" s="56">
        <v>13</v>
      </c>
      <c r="CB20" s="61">
        <v>98.8</v>
      </c>
      <c r="CC20" s="61"/>
      <c r="CD20" s="68">
        <f t="shared" si="25"/>
        <v>1.2999999999999972</v>
      </c>
      <c r="CE20" s="69">
        <f t="shared" si="26"/>
        <v>6.0505444999999876</v>
      </c>
      <c r="CF20" s="69">
        <f t="shared" si="27"/>
        <v>6.153096101694902</v>
      </c>
      <c r="CG20" s="62">
        <v>68</v>
      </c>
      <c r="CH20" s="62">
        <v>100</v>
      </c>
      <c r="CI20" s="65" t="str">
        <f t="shared" si="28"/>
        <v>ME</v>
      </c>
      <c r="CJ20" s="56">
        <v>13</v>
      </c>
      <c r="CK20" s="61">
        <v>98.5</v>
      </c>
      <c r="CL20" s="61"/>
      <c r="CM20" s="68">
        <f t="shared" si="29"/>
        <v>1.9000000000000057</v>
      </c>
      <c r="CN20" s="68">
        <f t="shared" si="30"/>
        <v>8.8431035000000264</v>
      </c>
      <c r="CO20" s="68">
        <f t="shared" si="31"/>
        <v>24.763803568838107</v>
      </c>
      <c r="CP20" s="62">
        <v>57</v>
      </c>
      <c r="CQ20" s="62">
        <v>83</v>
      </c>
      <c r="CR20" s="65" t="str">
        <f t="shared" si="32"/>
        <v>ME</v>
      </c>
      <c r="CS20" s="56">
        <v>13</v>
      </c>
      <c r="CT20" s="61">
        <v>93.7</v>
      </c>
      <c r="CU20" s="61"/>
      <c r="CV20" s="68">
        <f t="shared" si="33"/>
        <v>1.6000000000000085</v>
      </c>
      <c r="CW20" s="68">
        <f t="shared" si="34"/>
        <v>10.630784000000055</v>
      </c>
      <c r="CX20" s="69">
        <f t="shared" si="35"/>
        <v>7.4864676056338411E-2</v>
      </c>
      <c r="CY20" s="66" t="s">
        <v>251</v>
      </c>
      <c r="CZ20" s="66" t="s">
        <v>241</v>
      </c>
      <c r="DA20" s="66"/>
      <c r="DB20" s="65" t="str">
        <f t="shared" si="36"/>
        <v>ME</v>
      </c>
      <c r="DC20" s="56">
        <v>13</v>
      </c>
      <c r="DD20" s="61">
        <v>84</v>
      </c>
      <c r="DE20" s="61">
        <v>104.8</v>
      </c>
      <c r="DF20" s="68">
        <f t="shared" si="37"/>
        <v>14.799999999999997</v>
      </c>
      <c r="DG20" s="69">
        <f t="shared" si="38"/>
        <v>0.79847818623999989</v>
      </c>
      <c r="DH20" s="68">
        <f t="shared" si="39"/>
        <v>5.6230858185915489</v>
      </c>
      <c r="DI20" s="62">
        <v>95</v>
      </c>
      <c r="DJ20" s="62">
        <v>54</v>
      </c>
      <c r="DK20" s="65" t="str">
        <f t="shared" si="40"/>
        <v>ME</v>
      </c>
      <c r="DL20" s="56">
        <v>13</v>
      </c>
      <c r="DM20" s="63">
        <v>8.2899999999999991</v>
      </c>
      <c r="DN20" s="64">
        <v>3.2000000000000001E-2</v>
      </c>
      <c r="DO20" s="64">
        <v>0.03</v>
      </c>
      <c r="DP20" s="64">
        <v>7.0000000000000007E-2</v>
      </c>
      <c r="DQ20" s="63">
        <v>7.13</v>
      </c>
      <c r="DR20" s="61">
        <v>20.6</v>
      </c>
      <c r="DS20" s="64">
        <v>1.1639999999999999</v>
      </c>
      <c r="DT20" s="61">
        <v>87.2</v>
      </c>
      <c r="DU20" s="63">
        <v>4.24</v>
      </c>
      <c r="DV20" s="64">
        <v>0.69199999999999995</v>
      </c>
      <c r="DW20" s="64">
        <v>0.82199999999999995</v>
      </c>
      <c r="DX20" s="66" t="s">
        <v>242</v>
      </c>
      <c r="DY20" s="65" t="str">
        <f t="shared" si="41"/>
        <v>ME</v>
      </c>
      <c r="DZ20" s="128">
        <v>13</v>
      </c>
      <c r="EA20" s="173">
        <f t="shared" si="42"/>
        <v>9.4919786096256689E-2</v>
      </c>
      <c r="EB20" s="173">
        <f t="shared" si="43"/>
        <v>0.16176470588235295</v>
      </c>
      <c r="EC20" s="173">
        <f t="shared" si="44"/>
        <v>0.83098591549295775</v>
      </c>
      <c r="ED20" s="63">
        <v>1.1000000000000001</v>
      </c>
      <c r="EE20" s="63">
        <v>1.25</v>
      </c>
      <c r="EF20" s="63">
        <v>0.04</v>
      </c>
      <c r="EG20" s="63">
        <v>7.0000000000000007E-2</v>
      </c>
      <c r="EH20" s="127" t="str">
        <f t="shared" si="5"/>
        <v>ME</v>
      </c>
      <c r="EI20" s="56">
        <v>13</v>
      </c>
      <c r="EJ20" s="334" t="s">
        <v>435</v>
      </c>
      <c r="EK20" s="334"/>
      <c r="EL20" s="334"/>
      <c r="EM20" s="334"/>
      <c r="EN20" s="334"/>
      <c r="EO20" s="334"/>
      <c r="EP20" s="334"/>
      <c r="EQ20" s="65" t="str">
        <f t="shared" si="45"/>
        <v>ME</v>
      </c>
      <c r="ER20" s="20"/>
      <c r="ES20" s="20"/>
      <c r="ET20" s="20"/>
      <c r="EU20" s="20"/>
      <c r="EV20" s="20"/>
      <c r="EW20" s="20"/>
      <c r="EX20" s="20"/>
    </row>
    <row r="21" spans="1:154" s="3" customFormat="1" ht="17.149999999999999" customHeight="1" x14ac:dyDescent="0.25">
      <c r="A21" s="56">
        <v>14</v>
      </c>
      <c r="B21" s="57">
        <v>909358</v>
      </c>
      <c r="C21" s="58">
        <f t="shared" si="6"/>
        <v>273</v>
      </c>
      <c r="D21" s="167">
        <v>9.98</v>
      </c>
      <c r="E21" s="59">
        <v>813979</v>
      </c>
      <c r="F21" s="58">
        <f t="shared" si="7"/>
        <v>200</v>
      </c>
      <c r="G21" s="168">
        <v>1.1100000000000001</v>
      </c>
      <c r="H21" s="57">
        <v>767624</v>
      </c>
      <c r="I21" s="58">
        <f t="shared" si="0"/>
        <v>202</v>
      </c>
      <c r="J21" s="60" t="s">
        <v>194</v>
      </c>
      <c r="K21" s="56">
        <v>14</v>
      </c>
      <c r="L21" s="57">
        <v>70999</v>
      </c>
      <c r="M21" s="58">
        <f t="shared" si="8"/>
        <v>49</v>
      </c>
      <c r="N21" s="59">
        <v>181104</v>
      </c>
      <c r="O21" s="58">
        <f t="shared" si="9"/>
        <v>72</v>
      </c>
      <c r="P21" s="57">
        <v>194749</v>
      </c>
      <c r="Q21" s="169" t="str">
        <f t="shared" si="1"/>
        <v/>
      </c>
      <c r="R21" s="57">
        <v>688</v>
      </c>
      <c r="S21" s="57">
        <v>696</v>
      </c>
      <c r="T21" s="57">
        <v>144</v>
      </c>
      <c r="U21" s="57">
        <v>142</v>
      </c>
      <c r="V21" s="58" t="str">
        <f t="shared" si="10"/>
        <v>ME</v>
      </c>
      <c r="W21" s="56">
        <v>14</v>
      </c>
      <c r="X21" s="63">
        <v>12017.53</v>
      </c>
      <c r="Y21" s="130">
        <f t="shared" si="11"/>
        <v>5.1899999999986903</v>
      </c>
      <c r="Z21" s="63">
        <v>12790.1</v>
      </c>
      <c r="AA21" s="130">
        <f t="shared" si="12"/>
        <v>2.6199999999989814</v>
      </c>
      <c r="AB21" s="63">
        <v>10045.09</v>
      </c>
      <c r="AC21" s="130">
        <f t="shared" si="13"/>
        <v>3.1299999999991996</v>
      </c>
      <c r="AD21" s="63">
        <v>10199.549999999999</v>
      </c>
      <c r="AE21" s="130">
        <f t="shared" si="2"/>
        <v>2.2400000000016007</v>
      </c>
      <c r="AF21" s="125" t="str">
        <f t="shared" si="14"/>
        <v>ME</v>
      </c>
      <c r="AG21" s="56">
        <v>14</v>
      </c>
      <c r="AH21" s="63">
        <v>48107.4</v>
      </c>
      <c r="AI21" s="130">
        <f t="shared" si="15"/>
        <v>10.919999999998254</v>
      </c>
      <c r="AJ21" s="63">
        <v>50275.99</v>
      </c>
      <c r="AK21" s="130">
        <f t="shared" si="16"/>
        <v>12.720000000001164</v>
      </c>
      <c r="AL21" s="63">
        <v>592.25</v>
      </c>
      <c r="AM21" s="130" t="str">
        <f t="shared" si="17"/>
        <v/>
      </c>
      <c r="AN21" s="63">
        <v>553.45000000000005</v>
      </c>
      <c r="AO21" s="130" t="str">
        <f t="shared" si="3"/>
        <v/>
      </c>
      <c r="AP21" s="125" t="str">
        <f t="shared" si="18"/>
        <v>ME</v>
      </c>
      <c r="AQ21" s="56">
        <v>14</v>
      </c>
      <c r="AR21" s="63">
        <v>6938.35</v>
      </c>
      <c r="AS21" s="130">
        <f t="shared" si="19"/>
        <v>3.4600000000000364</v>
      </c>
      <c r="AT21" s="63">
        <v>7745.23</v>
      </c>
      <c r="AU21" s="130">
        <f t="shared" si="20"/>
        <v>3.8500000000003638</v>
      </c>
      <c r="AV21" s="63">
        <v>260.88</v>
      </c>
      <c r="AW21" s="130" t="str">
        <f t="shared" si="21"/>
        <v/>
      </c>
      <c r="AX21" s="63">
        <v>247.13</v>
      </c>
      <c r="AY21" s="130">
        <f t="shared" si="4"/>
        <v>0.34000000000000341</v>
      </c>
      <c r="AZ21" s="125" t="str">
        <f t="shared" si="22"/>
        <v>ME</v>
      </c>
      <c r="BA21" s="56">
        <v>14</v>
      </c>
      <c r="BB21" s="64">
        <v>1.43</v>
      </c>
      <c r="BC21" s="62">
        <v>38</v>
      </c>
      <c r="BD21" s="61">
        <v>7</v>
      </c>
      <c r="BE21" s="61">
        <v>17.7</v>
      </c>
      <c r="BF21" s="61">
        <v>17</v>
      </c>
      <c r="BG21" s="61">
        <v>7</v>
      </c>
      <c r="BH21" s="64">
        <v>0.19600000000000001</v>
      </c>
      <c r="BI21" s="64">
        <v>0.158</v>
      </c>
      <c r="BJ21" s="64">
        <v>5.6000000000000001E-2</v>
      </c>
      <c r="BK21" s="64">
        <v>5.8999999999999997E-2</v>
      </c>
      <c r="BL21" s="64">
        <v>6.5000000000000002E-2</v>
      </c>
      <c r="BM21" s="64">
        <v>6.0999999999999999E-2</v>
      </c>
      <c r="BN21" s="65" t="str">
        <f t="shared" si="23"/>
        <v>ME</v>
      </c>
      <c r="BO21" s="56">
        <v>14</v>
      </c>
      <c r="BP21" s="64">
        <v>9.4E-2</v>
      </c>
      <c r="BQ21" s="62">
        <v>0</v>
      </c>
      <c r="BR21" s="61">
        <v>7</v>
      </c>
      <c r="BS21" s="61">
        <v>20.399999999999999</v>
      </c>
      <c r="BT21" s="61">
        <v>18</v>
      </c>
      <c r="BU21" s="64">
        <v>1.7999999999999999E-2</v>
      </c>
      <c r="BV21" s="63">
        <v>1.29</v>
      </c>
      <c r="BW21" s="63">
        <v>1.01</v>
      </c>
      <c r="BX21" s="66" t="s">
        <v>245</v>
      </c>
      <c r="BY21" s="172" t="s">
        <v>246</v>
      </c>
      <c r="BZ21" s="67" t="str">
        <f t="shared" si="24"/>
        <v>ME</v>
      </c>
      <c r="CA21" s="56">
        <v>14</v>
      </c>
      <c r="CB21" s="61">
        <v>97.5</v>
      </c>
      <c r="CC21" s="61"/>
      <c r="CD21" s="68">
        <f t="shared" si="25"/>
        <v>2.2000000000000028</v>
      </c>
      <c r="CE21" s="69">
        <f t="shared" si="26"/>
        <v>10.239383000000014</v>
      </c>
      <c r="CF21" s="69">
        <f t="shared" si="27"/>
        <v>6.082801782178227</v>
      </c>
      <c r="CG21" s="62">
        <v>68</v>
      </c>
      <c r="CH21" s="62">
        <v>100</v>
      </c>
      <c r="CI21" s="65" t="str">
        <f t="shared" si="28"/>
        <v>ME</v>
      </c>
      <c r="CJ21" s="56">
        <v>14</v>
      </c>
      <c r="CK21" s="61">
        <v>96.6</v>
      </c>
      <c r="CL21" s="61"/>
      <c r="CM21" s="68">
        <f t="shared" si="29"/>
        <v>3.1999999999999886</v>
      </c>
      <c r="CN21" s="68">
        <f t="shared" si="30"/>
        <v>14.893647999999949</v>
      </c>
      <c r="CO21" s="68">
        <f t="shared" si="31"/>
        <v>21.693989476923008</v>
      </c>
      <c r="CP21" s="62">
        <v>56</v>
      </c>
      <c r="CQ21" s="62">
        <v>83</v>
      </c>
      <c r="CR21" s="65" t="str">
        <f t="shared" si="32"/>
        <v>ME</v>
      </c>
      <c r="CS21" s="56">
        <v>14</v>
      </c>
      <c r="CT21" s="61">
        <v>92.1</v>
      </c>
      <c r="CU21" s="61"/>
      <c r="CV21" s="68">
        <f t="shared" si="33"/>
        <v>2.7999999999999972</v>
      </c>
      <c r="CW21" s="68">
        <f t="shared" si="34"/>
        <v>18.603871999999981</v>
      </c>
      <c r="CX21" s="69">
        <f t="shared" si="35"/>
        <v>6.8146051282051215E-2</v>
      </c>
      <c r="CY21" s="66" t="s">
        <v>251</v>
      </c>
      <c r="CZ21" s="66" t="s">
        <v>241</v>
      </c>
      <c r="DA21" s="66"/>
      <c r="DB21" s="65" t="str">
        <f t="shared" si="36"/>
        <v>ME</v>
      </c>
      <c r="DC21" s="56">
        <v>14</v>
      </c>
      <c r="DD21" s="61">
        <v>90</v>
      </c>
      <c r="DE21" s="61">
        <v>104.1</v>
      </c>
      <c r="DF21" s="68">
        <f t="shared" si="37"/>
        <v>26.599999999999994</v>
      </c>
      <c r="DG21" s="69">
        <f t="shared" si="38"/>
        <v>1.4351026860799998</v>
      </c>
      <c r="DH21" s="68">
        <f t="shared" si="39"/>
        <v>5.2567863958974348</v>
      </c>
      <c r="DI21" s="62">
        <v>94</v>
      </c>
      <c r="DJ21" s="62">
        <v>54</v>
      </c>
      <c r="DK21" s="65" t="str">
        <f t="shared" si="40"/>
        <v>ME</v>
      </c>
      <c r="DL21" s="56">
        <v>14</v>
      </c>
      <c r="DM21" s="63">
        <v>8.41</v>
      </c>
      <c r="DN21" s="64">
        <v>3.2000000000000001E-2</v>
      </c>
      <c r="DO21" s="64">
        <v>3.1E-2</v>
      </c>
      <c r="DP21" s="64">
        <v>7.0000000000000007E-2</v>
      </c>
      <c r="DQ21" s="63">
        <v>7.14</v>
      </c>
      <c r="DR21" s="61">
        <v>20.399999999999999</v>
      </c>
      <c r="DS21" s="64">
        <v>1.1970000000000001</v>
      </c>
      <c r="DT21" s="61">
        <v>83.2</v>
      </c>
      <c r="DU21" s="63">
        <v>4.08</v>
      </c>
      <c r="DV21" s="64">
        <v>0.70899999999999996</v>
      </c>
      <c r="DW21" s="64">
        <v>0.224</v>
      </c>
      <c r="DX21" s="66" t="s">
        <v>242</v>
      </c>
      <c r="DY21" s="65" t="str">
        <f t="shared" si="41"/>
        <v>ME</v>
      </c>
      <c r="DZ21" s="128">
        <v>14</v>
      </c>
      <c r="EA21" s="173">
        <f t="shared" si="42"/>
        <v>0.18248663101604279</v>
      </c>
      <c r="EB21" s="173">
        <f t="shared" si="43"/>
        <v>0.14705882352941177</v>
      </c>
      <c r="EC21" s="173">
        <f t="shared" si="44"/>
        <v>0.73992673992673996</v>
      </c>
      <c r="ED21" s="63">
        <v>1.1399999999999999</v>
      </c>
      <c r="EE21" s="63">
        <v>1.26</v>
      </c>
      <c r="EF21" s="63">
        <v>0.05</v>
      </c>
      <c r="EG21" s="63">
        <v>0.08</v>
      </c>
      <c r="EH21" s="127" t="str">
        <f t="shared" si="5"/>
        <v>ME</v>
      </c>
      <c r="EI21" s="56">
        <v>14</v>
      </c>
      <c r="EJ21" s="334" t="s">
        <v>436</v>
      </c>
      <c r="EK21" s="334"/>
      <c r="EL21" s="334"/>
      <c r="EM21" s="334"/>
      <c r="EN21" s="334"/>
      <c r="EO21" s="334"/>
      <c r="EP21" s="334"/>
      <c r="EQ21" s="65" t="str">
        <f t="shared" si="45"/>
        <v>ME</v>
      </c>
      <c r="ER21" s="20"/>
      <c r="ES21" s="20"/>
      <c r="ET21" s="20"/>
      <c r="EU21" s="20"/>
      <c r="EV21" s="20"/>
      <c r="EW21" s="20"/>
      <c r="EX21" s="20"/>
    </row>
    <row r="22" spans="1:154" s="3" customFormat="1" ht="17.149999999999999" customHeight="1" x14ac:dyDescent="0.35">
      <c r="A22" s="56">
        <v>15</v>
      </c>
      <c r="B22" s="57">
        <v>909631</v>
      </c>
      <c r="C22" s="58">
        <f t="shared" si="6"/>
        <v>159</v>
      </c>
      <c r="D22" s="167">
        <v>10.07</v>
      </c>
      <c r="E22" s="59">
        <v>814179</v>
      </c>
      <c r="F22" s="58">
        <f t="shared" si="7"/>
        <v>207</v>
      </c>
      <c r="G22" s="168">
        <v>3.39</v>
      </c>
      <c r="H22" s="57">
        <v>767826</v>
      </c>
      <c r="I22" s="58">
        <f t="shared" si="0"/>
        <v>143</v>
      </c>
      <c r="J22" s="60" t="s">
        <v>194</v>
      </c>
      <c r="K22" s="56">
        <v>15</v>
      </c>
      <c r="L22" s="57">
        <v>71048</v>
      </c>
      <c r="M22" s="58" t="str">
        <f t="shared" si="8"/>
        <v/>
      </c>
      <c r="N22" s="59">
        <v>181176</v>
      </c>
      <c r="O22" s="58">
        <f t="shared" si="9"/>
        <v>27</v>
      </c>
      <c r="P22" s="57">
        <v>194749</v>
      </c>
      <c r="Q22" s="169" t="str">
        <f t="shared" si="1"/>
        <v/>
      </c>
      <c r="R22" s="57">
        <v>689</v>
      </c>
      <c r="S22" s="57">
        <v>696</v>
      </c>
      <c r="T22" s="57">
        <v>144</v>
      </c>
      <c r="U22" s="57">
        <v>142</v>
      </c>
      <c r="V22" s="58" t="str">
        <f t="shared" si="10"/>
        <v>ME</v>
      </c>
      <c r="W22" s="56">
        <v>15</v>
      </c>
      <c r="X22" s="63">
        <v>12022.72</v>
      </c>
      <c r="Y22" s="130">
        <f t="shared" si="11"/>
        <v>1.8900000000012369</v>
      </c>
      <c r="Z22" s="63">
        <v>12792.72</v>
      </c>
      <c r="AA22" s="130">
        <f t="shared" si="12"/>
        <v>2.5900000000001455</v>
      </c>
      <c r="AB22" s="63">
        <v>10048.219999999999</v>
      </c>
      <c r="AC22" s="130">
        <f t="shared" si="13"/>
        <v>1.5900000000001455</v>
      </c>
      <c r="AD22" s="63">
        <v>10201.790000000001</v>
      </c>
      <c r="AE22" s="130">
        <f t="shared" si="2"/>
        <v>2.1999999999989086</v>
      </c>
      <c r="AF22" s="125" t="str">
        <f t="shared" si="14"/>
        <v>ME</v>
      </c>
      <c r="AG22" s="56">
        <v>15</v>
      </c>
      <c r="AH22" s="63">
        <v>48118.32</v>
      </c>
      <c r="AI22" s="130">
        <f t="shared" si="15"/>
        <v>10.980000000003201</v>
      </c>
      <c r="AJ22" s="63">
        <v>50288.71</v>
      </c>
      <c r="AK22" s="130">
        <f t="shared" si="16"/>
        <v>11.290000000000873</v>
      </c>
      <c r="AL22" s="63">
        <v>592.25</v>
      </c>
      <c r="AM22" s="130">
        <f t="shared" si="17"/>
        <v>7.0000000000050022E-2</v>
      </c>
      <c r="AN22" s="63">
        <v>553.45000000000005</v>
      </c>
      <c r="AO22" s="130" t="str">
        <f t="shared" si="3"/>
        <v/>
      </c>
      <c r="AP22" s="125" t="str">
        <f t="shared" si="18"/>
        <v>ME</v>
      </c>
      <c r="AQ22" s="56">
        <v>15</v>
      </c>
      <c r="AR22" s="63">
        <v>6941.81</v>
      </c>
      <c r="AS22" s="130">
        <f t="shared" si="19"/>
        <v>0.91999999999916326</v>
      </c>
      <c r="AT22" s="63">
        <v>7749.08</v>
      </c>
      <c r="AU22" s="130">
        <f t="shared" si="20"/>
        <v>16.100000000000364</v>
      </c>
      <c r="AV22" s="63">
        <v>260.88</v>
      </c>
      <c r="AW22" s="130" t="str">
        <f t="shared" si="21"/>
        <v/>
      </c>
      <c r="AX22" s="63">
        <v>247.47</v>
      </c>
      <c r="AY22" s="130" t="str">
        <f t="shared" si="4"/>
        <v/>
      </c>
      <c r="AZ22" s="125" t="str">
        <f t="shared" si="22"/>
        <v>ME</v>
      </c>
      <c r="BA22" s="56">
        <v>15</v>
      </c>
      <c r="BB22" s="64">
        <v>1.55</v>
      </c>
      <c r="BC22" s="70">
        <v>44</v>
      </c>
      <c r="BD22" s="71">
        <v>7</v>
      </c>
      <c r="BE22" s="71">
        <v>17.600000000000001</v>
      </c>
      <c r="BF22" s="71">
        <v>14.9</v>
      </c>
      <c r="BG22" s="71">
        <v>7</v>
      </c>
      <c r="BH22" s="72">
        <v>0.21</v>
      </c>
      <c r="BI22" s="72">
        <v>0.19800000000000001</v>
      </c>
      <c r="BJ22" s="72">
        <v>5.8000000000000003E-2</v>
      </c>
      <c r="BK22" s="72">
        <v>5.6000000000000001E-2</v>
      </c>
      <c r="BL22" s="64">
        <v>6.0999999999999999E-2</v>
      </c>
      <c r="BM22" s="64">
        <v>5.8000000000000003E-2</v>
      </c>
      <c r="BN22" s="65" t="str">
        <f t="shared" si="23"/>
        <v>ME</v>
      </c>
      <c r="BO22" s="56">
        <v>15</v>
      </c>
      <c r="BP22" s="64">
        <v>9.4E-2</v>
      </c>
      <c r="BQ22" s="62">
        <v>0</v>
      </c>
      <c r="BR22" s="61">
        <v>7.2</v>
      </c>
      <c r="BS22" s="61">
        <v>20.3</v>
      </c>
      <c r="BT22" s="61">
        <v>18.5</v>
      </c>
      <c r="BU22" s="64">
        <v>1.6E-2</v>
      </c>
      <c r="BV22" s="63">
        <v>1.31</v>
      </c>
      <c r="BW22" s="63">
        <v>1.05</v>
      </c>
      <c r="BX22" s="66" t="s">
        <v>253</v>
      </c>
      <c r="BY22" s="172" t="s">
        <v>246</v>
      </c>
      <c r="BZ22" s="67" t="str">
        <f t="shared" si="24"/>
        <v>ME</v>
      </c>
      <c r="CA22" s="56">
        <v>15</v>
      </c>
      <c r="CB22" s="61">
        <v>95.3</v>
      </c>
      <c r="CC22" s="61"/>
      <c r="CD22" s="68">
        <f t="shared" si="25"/>
        <v>1.2000000000000028</v>
      </c>
      <c r="CE22" s="69">
        <f t="shared" si="26"/>
        <v>5.5851180000000138</v>
      </c>
      <c r="CF22" s="69">
        <f t="shared" si="27"/>
        <v>4.6868123076923194</v>
      </c>
      <c r="CG22" s="62">
        <v>63</v>
      </c>
      <c r="CH22" s="62">
        <v>100</v>
      </c>
      <c r="CI22" s="65" t="str">
        <f t="shared" si="28"/>
        <v>ME</v>
      </c>
      <c r="CJ22" s="56">
        <v>15</v>
      </c>
      <c r="CK22" s="61">
        <v>93.4</v>
      </c>
      <c r="CL22" s="61"/>
      <c r="CM22" s="68">
        <f t="shared" si="29"/>
        <v>2.1000000000000085</v>
      </c>
      <c r="CN22" s="68">
        <f t="shared" si="30"/>
        <v>9.7739565000000397</v>
      </c>
      <c r="CO22" s="68">
        <f t="shared" si="31"/>
        <v>24.444111963679347</v>
      </c>
      <c r="CP22" s="62">
        <v>57</v>
      </c>
      <c r="CQ22" s="62">
        <v>83</v>
      </c>
      <c r="CR22" s="65" t="str">
        <f t="shared" si="32"/>
        <v>ME</v>
      </c>
      <c r="CS22" s="56">
        <v>15</v>
      </c>
      <c r="CT22" s="61">
        <v>89.3</v>
      </c>
      <c r="CU22" s="61">
        <v>113.5</v>
      </c>
      <c r="CV22" s="68">
        <f t="shared" si="33"/>
        <v>1.4000000000000057</v>
      </c>
      <c r="CW22" s="68">
        <f t="shared" si="34"/>
        <v>9.3019360000000386</v>
      </c>
      <c r="CX22" s="69">
        <f t="shared" si="35"/>
        <v>5.8502742138365024E-2</v>
      </c>
      <c r="CY22" s="66" t="s">
        <v>251</v>
      </c>
      <c r="CZ22" s="66" t="s">
        <v>241</v>
      </c>
      <c r="DA22" s="66"/>
      <c r="DB22" s="65" t="str">
        <f t="shared" si="36"/>
        <v>ME</v>
      </c>
      <c r="DC22" s="56">
        <v>15</v>
      </c>
      <c r="DD22" s="61">
        <v>77.5</v>
      </c>
      <c r="DE22" s="61">
        <v>102.7</v>
      </c>
      <c r="DF22" s="68">
        <f t="shared" si="37"/>
        <v>16.200000000000003</v>
      </c>
      <c r="DG22" s="69">
        <f t="shared" si="38"/>
        <v>0.8740099065600001</v>
      </c>
      <c r="DH22" s="68">
        <f t="shared" si="39"/>
        <v>5.4969176513207554</v>
      </c>
      <c r="DI22" s="62">
        <v>94</v>
      </c>
      <c r="DJ22" s="62">
        <v>54</v>
      </c>
      <c r="DK22" s="65" t="str">
        <f t="shared" si="40"/>
        <v>ME</v>
      </c>
      <c r="DL22" s="56">
        <v>15</v>
      </c>
      <c r="DM22" s="63">
        <v>8.2100000000000009</v>
      </c>
      <c r="DN22" s="64">
        <v>3.4000000000000002E-2</v>
      </c>
      <c r="DO22" s="64">
        <v>3.1E-2</v>
      </c>
      <c r="DP22" s="64">
        <v>7.0000000000000007E-2</v>
      </c>
      <c r="DQ22" s="63">
        <v>7.14</v>
      </c>
      <c r="DR22" s="61">
        <v>20.3</v>
      </c>
      <c r="DS22" s="64">
        <v>1.1879999999999999</v>
      </c>
      <c r="DT22" s="61">
        <v>84.7</v>
      </c>
      <c r="DU22" s="63">
        <v>4.2300000000000004</v>
      </c>
      <c r="DV22" s="64">
        <v>0.84099999999999997</v>
      </c>
      <c r="DW22" s="64">
        <v>0.98699999999999999</v>
      </c>
      <c r="DX22" s="66" t="s">
        <v>242</v>
      </c>
      <c r="DY22" s="65" t="str">
        <f t="shared" si="41"/>
        <v>ME</v>
      </c>
      <c r="DZ22" s="128">
        <v>15</v>
      </c>
      <c r="EA22" s="173">
        <f t="shared" si="42"/>
        <v>0.10628342245989304</v>
      </c>
      <c r="EB22" s="173">
        <f t="shared" si="43"/>
        <v>0.15220588235294116</v>
      </c>
      <c r="EC22" s="173">
        <f t="shared" si="44"/>
        <v>0.89937106918238996</v>
      </c>
      <c r="ED22" s="63">
        <v>1.1399999999999999</v>
      </c>
      <c r="EE22" s="63">
        <v>1.26</v>
      </c>
      <c r="EF22" s="63">
        <v>0.05</v>
      </c>
      <c r="EG22" s="63">
        <v>7.0000000000000007E-2</v>
      </c>
      <c r="EH22" s="127" t="str">
        <f t="shared" si="5"/>
        <v>ME</v>
      </c>
      <c r="EI22" s="56">
        <v>15</v>
      </c>
      <c r="EJ22" s="334"/>
      <c r="EK22" s="334"/>
      <c r="EL22" s="334"/>
      <c r="EM22" s="334"/>
      <c r="EN22" s="334"/>
      <c r="EO22" s="334"/>
      <c r="EP22" s="334"/>
      <c r="EQ22" s="65" t="str">
        <f t="shared" si="45"/>
        <v>ME</v>
      </c>
      <c r="ER22" s="20"/>
      <c r="ES22" s="20"/>
      <c r="ET22" s="20"/>
      <c r="EU22" s="20"/>
      <c r="EV22" s="20"/>
      <c r="EW22" s="20"/>
      <c r="EX22" s="20"/>
    </row>
    <row r="23" spans="1:154" s="3" customFormat="1" ht="17.149999999999999" customHeight="1" x14ac:dyDescent="0.35">
      <c r="A23" s="56">
        <v>16</v>
      </c>
      <c r="B23" s="57">
        <v>909790</v>
      </c>
      <c r="C23" s="58">
        <f t="shared" si="6"/>
        <v>199</v>
      </c>
      <c r="D23" s="167">
        <v>9.57</v>
      </c>
      <c r="E23" s="59">
        <v>814386</v>
      </c>
      <c r="F23" s="58">
        <f t="shared" si="7"/>
        <v>166</v>
      </c>
      <c r="G23" s="168">
        <v>2.68</v>
      </c>
      <c r="H23" s="57">
        <v>767969</v>
      </c>
      <c r="I23" s="58">
        <f t="shared" si="0"/>
        <v>173</v>
      </c>
      <c r="J23" s="60" t="s">
        <v>194</v>
      </c>
      <c r="K23" s="56">
        <v>16</v>
      </c>
      <c r="L23" s="57">
        <v>71048</v>
      </c>
      <c r="M23" s="58" t="str">
        <f t="shared" si="8"/>
        <v/>
      </c>
      <c r="N23" s="59">
        <v>181203</v>
      </c>
      <c r="O23" s="58">
        <f t="shared" si="9"/>
        <v>26</v>
      </c>
      <c r="P23" s="57">
        <v>194749</v>
      </c>
      <c r="Q23" s="169" t="str">
        <f t="shared" si="1"/>
        <v/>
      </c>
      <c r="R23" s="57">
        <v>689</v>
      </c>
      <c r="S23" s="57">
        <v>696</v>
      </c>
      <c r="T23" s="57">
        <v>144</v>
      </c>
      <c r="U23" s="57">
        <v>142</v>
      </c>
      <c r="V23" s="58" t="str">
        <f t="shared" si="10"/>
        <v>ME</v>
      </c>
      <c r="W23" s="56">
        <v>16</v>
      </c>
      <c r="X23" s="63">
        <v>12024.61</v>
      </c>
      <c r="Y23" s="130">
        <f t="shared" si="11"/>
        <v>2.9499999999989086</v>
      </c>
      <c r="Z23" s="63">
        <v>12795.31</v>
      </c>
      <c r="AA23" s="130">
        <f t="shared" si="12"/>
        <v>2.6300000000010186</v>
      </c>
      <c r="AB23" s="63">
        <v>10049.81</v>
      </c>
      <c r="AC23" s="130">
        <f t="shared" si="13"/>
        <v>2.4200000000000728</v>
      </c>
      <c r="AD23" s="63">
        <v>10203.99</v>
      </c>
      <c r="AE23" s="130">
        <f t="shared" si="2"/>
        <v>2.2000000000007276</v>
      </c>
      <c r="AF23" s="125" t="str">
        <f t="shared" si="14"/>
        <v>ME</v>
      </c>
      <c r="AG23" s="56">
        <v>16</v>
      </c>
      <c r="AH23" s="63">
        <v>48129.3</v>
      </c>
      <c r="AI23" s="130">
        <f t="shared" si="15"/>
        <v>13.019999999996799</v>
      </c>
      <c r="AJ23" s="63">
        <v>50300</v>
      </c>
      <c r="AK23" s="130">
        <f t="shared" si="16"/>
        <v>6.6299999999973807</v>
      </c>
      <c r="AL23" s="63">
        <v>592.32000000000005</v>
      </c>
      <c r="AM23" s="130" t="str">
        <f t="shared" si="17"/>
        <v/>
      </c>
      <c r="AN23" s="63">
        <v>553.45000000000005</v>
      </c>
      <c r="AO23" s="130" t="str">
        <f t="shared" si="3"/>
        <v/>
      </c>
      <c r="AP23" s="125" t="str">
        <f t="shared" si="18"/>
        <v>ME</v>
      </c>
      <c r="AQ23" s="56">
        <v>16</v>
      </c>
      <c r="AR23" s="63">
        <v>6942.73</v>
      </c>
      <c r="AS23" s="130">
        <f t="shared" si="19"/>
        <v>1.4700000000002547</v>
      </c>
      <c r="AT23" s="63">
        <v>7765.18</v>
      </c>
      <c r="AU23" s="130">
        <f t="shared" si="20"/>
        <v>2.2699999999995271</v>
      </c>
      <c r="AV23" s="63">
        <v>260.88</v>
      </c>
      <c r="AW23" s="130" t="str">
        <f t="shared" si="21"/>
        <v/>
      </c>
      <c r="AX23" s="63">
        <v>247.47</v>
      </c>
      <c r="AY23" s="130" t="str">
        <f t="shared" si="4"/>
        <v/>
      </c>
      <c r="AZ23" s="125" t="str">
        <f t="shared" si="22"/>
        <v>ME</v>
      </c>
      <c r="BA23" s="56">
        <v>16</v>
      </c>
      <c r="BB23" s="64">
        <v>1.47</v>
      </c>
      <c r="BC23" s="62">
        <v>40</v>
      </c>
      <c r="BD23" s="61">
        <v>7.1</v>
      </c>
      <c r="BE23" s="61">
        <v>17.5</v>
      </c>
      <c r="BF23" s="61">
        <v>16</v>
      </c>
      <c r="BG23" s="61">
        <v>7.1</v>
      </c>
      <c r="BH23" s="64">
        <v>0.245</v>
      </c>
      <c r="BI23" s="64">
        <v>0.219</v>
      </c>
      <c r="BJ23" s="64">
        <v>8.3000000000000004E-2</v>
      </c>
      <c r="BK23" s="64">
        <v>0.05</v>
      </c>
      <c r="BL23" s="64">
        <v>6.8000000000000005E-2</v>
      </c>
      <c r="BM23" s="64">
        <v>5.5E-2</v>
      </c>
      <c r="BN23" s="65" t="str">
        <f t="shared" si="23"/>
        <v>ME</v>
      </c>
      <c r="BO23" s="56">
        <v>16</v>
      </c>
      <c r="BP23" s="64">
        <v>9.5000000000000001E-2</v>
      </c>
      <c r="BQ23" s="62">
        <v>0</v>
      </c>
      <c r="BR23" s="61">
        <v>7.1</v>
      </c>
      <c r="BS23" s="61">
        <v>20.2</v>
      </c>
      <c r="BT23" s="61">
        <v>17.899999999999999</v>
      </c>
      <c r="BU23" s="64">
        <v>1.6E-2</v>
      </c>
      <c r="BV23" s="63">
        <v>1.31</v>
      </c>
      <c r="BW23" s="63">
        <v>1.05</v>
      </c>
      <c r="BX23" s="66" t="s">
        <v>245</v>
      </c>
      <c r="BY23" s="172" t="s">
        <v>246</v>
      </c>
      <c r="BZ23" s="67" t="str">
        <f t="shared" si="24"/>
        <v>ME</v>
      </c>
      <c r="CA23" s="56">
        <v>16</v>
      </c>
      <c r="CB23" s="61">
        <v>94.1</v>
      </c>
      <c r="CC23" s="61"/>
      <c r="CD23" s="68">
        <f t="shared" si="25"/>
        <v>1.5999999999999943</v>
      </c>
      <c r="CE23" s="69">
        <f t="shared" si="26"/>
        <v>7.4468239999999746</v>
      </c>
      <c r="CF23" s="69">
        <f t="shared" si="27"/>
        <v>5.1654270520231034</v>
      </c>
      <c r="CG23" s="62">
        <v>63</v>
      </c>
      <c r="CH23" s="62">
        <v>100</v>
      </c>
      <c r="CI23" s="65" t="str">
        <f t="shared" si="28"/>
        <v>ME</v>
      </c>
      <c r="CJ23" s="56">
        <v>16</v>
      </c>
      <c r="CK23" s="61">
        <v>91.3</v>
      </c>
      <c r="CL23" s="61"/>
      <c r="CM23" s="68">
        <f t="shared" si="29"/>
        <v>2.5</v>
      </c>
      <c r="CN23" s="68">
        <f t="shared" si="30"/>
        <v>11.6356625</v>
      </c>
      <c r="CO23" s="68">
        <f t="shared" si="31"/>
        <v>23.250860266959805</v>
      </c>
      <c r="CP23" s="62">
        <v>54</v>
      </c>
      <c r="CQ23" s="62">
        <v>83</v>
      </c>
      <c r="CR23" s="65" t="str">
        <f t="shared" si="32"/>
        <v>ME</v>
      </c>
      <c r="CS23" s="56">
        <v>16</v>
      </c>
      <c r="CT23" s="61">
        <v>112.1</v>
      </c>
      <c r="CU23" s="61"/>
      <c r="CV23" s="68">
        <f t="shared" si="33"/>
        <v>1.6999999999999886</v>
      </c>
      <c r="CW23" s="68">
        <f t="shared" si="34"/>
        <v>11.295207999999924</v>
      </c>
      <c r="CX23" s="69">
        <f t="shared" si="35"/>
        <v>5.6759839195979517E-2</v>
      </c>
      <c r="CY23" s="66" t="s">
        <v>240</v>
      </c>
      <c r="CZ23" s="66" t="s">
        <v>241</v>
      </c>
      <c r="DA23" s="66"/>
      <c r="DB23" s="65" t="str">
        <f t="shared" si="36"/>
        <v>ME</v>
      </c>
      <c r="DC23" s="56">
        <v>16</v>
      </c>
      <c r="DD23" s="61">
        <v>86.5</v>
      </c>
      <c r="DE23" s="61">
        <v>104.2</v>
      </c>
      <c r="DF23" s="68">
        <f t="shared" si="37"/>
        <v>19.700000000000003</v>
      </c>
      <c r="DG23" s="69">
        <f t="shared" si="38"/>
        <v>1.0628392073600004</v>
      </c>
      <c r="DH23" s="68">
        <f t="shared" si="39"/>
        <v>5.3409005394974889</v>
      </c>
      <c r="DI23" s="62">
        <v>89</v>
      </c>
      <c r="DJ23" s="62">
        <v>54</v>
      </c>
      <c r="DK23" s="65" t="str">
        <f t="shared" si="40"/>
        <v>ME</v>
      </c>
      <c r="DL23" s="56">
        <v>16</v>
      </c>
      <c r="DM23" s="63">
        <v>8.3000000000000007</v>
      </c>
      <c r="DN23" s="64">
        <v>3.5000000000000003E-2</v>
      </c>
      <c r="DO23" s="64">
        <v>0.03</v>
      </c>
      <c r="DP23" s="64">
        <v>0.10100000000000001</v>
      </c>
      <c r="DQ23" s="63">
        <v>7.1</v>
      </c>
      <c r="DR23" s="61">
        <v>20.2</v>
      </c>
      <c r="DS23" s="64">
        <v>1.1970000000000001</v>
      </c>
      <c r="DT23" s="61">
        <v>84.2</v>
      </c>
      <c r="DU23" s="63">
        <v>4.17</v>
      </c>
      <c r="DV23" s="64">
        <v>0.69599999999999995</v>
      </c>
      <c r="DW23" s="64">
        <v>1.47</v>
      </c>
      <c r="DX23" s="66" t="s">
        <v>242</v>
      </c>
      <c r="DY23" s="65" t="str">
        <f t="shared" si="41"/>
        <v>ME</v>
      </c>
      <c r="DZ23" s="128">
        <v>16</v>
      </c>
      <c r="EA23" s="173">
        <f t="shared" si="42"/>
        <v>0.13302139037433156</v>
      </c>
      <c r="EB23" s="173">
        <f t="shared" si="43"/>
        <v>0.12205882352941176</v>
      </c>
      <c r="EC23" s="173">
        <f t="shared" si="44"/>
        <v>0.8693467336683417</v>
      </c>
      <c r="ED23" s="63">
        <v>1.02</v>
      </c>
      <c r="EE23" s="63">
        <v>1.35</v>
      </c>
      <c r="EF23" s="63">
        <v>0.05</v>
      </c>
      <c r="EG23" s="63">
        <v>0.08</v>
      </c>
      <c r="EH23" s="127" t="str">
        <f t="shared" si="5"/>
        <v>ME</v>
      </c>
      <c r="EI23" s="56">
        <v>16</v>
      </c>
      <c r="EJ23" s="334" t="s">
        <v>438</v>
      </c>
      <c r="EK23" s="334"/>
      <c r="EL23" s="334"/>
      <c r="EM23" s="334"/>
      <c r="EN23" s="334"/>
      <c r="EO23" s="334"/>
      <c r="EP23" s="334"/>
      <c r="EQ23" s="65" t="str">
        <f t="shared" si="45"/>
        <v>ME</v>
      </c>
      <c r="ER23" s="20"/>
      <c r="ES23" s="20"/>
      <c r="ET23" s="20"/>
      <c r="EU23" s="20"/>
      <c r="EV23" s="20"/>
      <c r="EW23" s="20"/>
      <c r="EX23" s="20"/>
    </row>
    <row r="24" spans="1:154" s="3" customFormat="1" ht="17.149999999999999" customHeight="1" x14ac:dyDescent="0.35">
      <c r="A24" s="56">
        <v>17</v>
      </c>
      <c r="B24" s="57">
        <v>909989</v>
      </c>
      <c r="C24" s="58">
        <f t="shared" si="6"/>
        <v>198</v>
      </c>
      <c r="D24" s="167">
        <v>9.8800000000000008</v>
      </c>
      <c r="E24" s="59">
        <v>814552</v>
      </c>
      <c r="F24" s="58">
        <f t="shared" si="7"/>
        <v>213</v>
      </c>
      <c r="G24" s="168">
        <v>2.38</v>
      </c>
      <c r="H24" s="57">
        <v>768142</v>
      </c>
      <c r="I24" s="58">
        <f t="shared" si="0"/>
        <v>172</v>
      </c>
      <c r="J24" s="60" t="s">
        <v>194</v>
      </c>
      <c r="K24" s="56">
        <v>17</v>
      </c>
      <c r="L24" s="57">
        <v>71048</v>
      </c>
      <c r="M24" s="58" t="str">
        <f t="shared" si="8"/>
        <v/>
      </c>
      <c r="N24" s="59">
        <v>181229</v>
      </c>
      <c r="O24" s="58">
        <f t="shared" si="9"/>
        <v>26</v>
      </c>
      <c r="P24" s="57">
        <v>194749</v>
      </c>
      <c r="Q24" s="169" t="str">
        <f t="shared" si="1"/>
        <v/>
      </c>
      <c r="R24" s="57">
        <v>689</v>
      </c>
      <c r="S24" s="57">
        <v>696</v>
      </c>
      <c r="T24" s="57">
        <v>144</v>
      </c>
      <c r="U24" s="57">
        <v>142</v>
      </c>
      <c r="V24" s="58" t="str">
        <f t="shared" si="10"/>
        <v>ME</v>
      </c>
      <c r="W24" s="56">
        <v>17</v>
      </c>
      <c r="X24" s="63">
        <v>12027.56</v>
      </c>
      <c r="Y24" s="130">
        <f t="shared" si="11"/>
        <v>2.930000000000291</v>
      </c>
      <c r="Z24" s="63">
        <v>12797.94</v>
      </c>
      <c r="AA24" s="130">
        <f t="shared" si="12"/>
        <v>2.6099999999987631</v>
      </c>
      <c r="AB24" s="63">
        <v>10052.23</v>
      </c>
      <c r="AC24" s="130">
        <f t="shared" si="13"/>
        <v>2.5</v>
      </c>
      <c r="AD24" s="63">
        <v>10206.19</v>
      </c>
      <c r="AE24" s="130">
        <f t="shared" si="2"/>
        <v>2.1899999999986903</v>
      </c>
      <c r="AF24" s="125" t="str">
        <f t="shared" si="14"/>
        <v>ME</v>
      </c>
      <c r="AG24" s="56">
        <v>17</v>
      </c>
      <c r="AH24" s="63">
        <v>48142.32</v>
      </c>
      <c r="AI24" s="130">
        <f t="shared" si="15"/>
        <v>6.25</v>
      </c>
      <c r="AJ24" s="63">
        <v>50306.63</v>
      </c>
      <c r="AK24" s="130">
        <f t="shared" si="16"/>
        <v>17.370000000002619</v>
      </c>
      <c r="AL24" s="63">
        <v>592.32000000000005</v>
      </c>
      <c r="AM24" s="130" t="str">
        <f t="shared" si="17"/>
        <v/>
      </c>
      <c r="AN24" s="63">
        <v>553.45000000000005</v>
      </c>
      <c r="AO24" s="130" t="str">
        <f t="shared" si="3"/>
        <v/>
      </c>
      <c r="AP24" s="125" t="str">
        <f t="shared" si="18"/>
        <v>ME</v>
      </c>
      <c r="AQ24" s="56">
        <v>17</v>
      </c>
      <c r="AR24" s="63">
        <v>6944.2</v>
      </c>
      <c r="AS24" s="130">
        <f t="shared" si="19"/>
        <v>1.3100000000004002</v>
      </c>
      <c r="AT24" s="63">
        <v>7767.45</v>
      </c>
      <c r="AU24" s="130">
        <f t="shared" si="20"/>
        <v>1.3299999999999272</v>
      </c>
      <c r="AV24" s="63">
        <v>260.88</v>
      </c>
      <c r="AW24" s="130" t="str">
        <f t="shared" si="21"/>
        <v/>
      </c>
      <c r="AX24" s="63">
        <v>247.47</v>
      </c>
      <c r="AY24" s="130" t="str">
        <f t="shared" si="4"/>
        <v/>
      </c>
      <c r="AZ24" s="125" t="str">
        <f t="shared" si="22"/>
        <v>ME</v>
      </c>
      <c r="BA24" s="56">
        <v>17</v>
      </c>
      <c r="BB24" s="64"/>
      <c r="BC24" s="62"/>
      <c r="BD24" s="61"/>
      <c r="BE24" s="61"/>
      <c r="BF24" s="61"/>
      <c r="BG24" s="61"/>
      <c r="BH24" s="64"/>
      <c r="BI24" s="64"/>
      <c r="BJ24" s="64"/>
      <c r="BK24" s="64"/>
      <c r="BL24" s="64"/>
      <c r="BM24" s="64"/>
      <c r="BN24" s="65" t="str">
        <f t="shared" si="23"/>
        <v>ME</v>
      </c>
      <c r="BO24" s="56">
        <v>17</v>
      </c>
      <c r="BP24" s="64">
        <v>9.9000000000000005E-2</v>
      </c>
      <c r="BQ24" s="62"/>
      <c r="BR24" s="61"/>
      <c r="BS24" s="61"/>
      <c r="BT24" s="61"/>
      <c r="BU24" s="64"/>
      <c r="BV24" s="63">
        <v>1.26</v>
      </c>
      <c r="BW24" s="63">
        <v>0.87</v>
      </c>
      <c r="BX24" s="66" t="s">
        <v>255</v>
      </c>
      <c r="BY24" s="172" t="s">
        <v>246</v>
      </c>
      <c r="BZ24" s="67" t="str">
        <f t="shared" si="24"/>
        <v>ME</v>
      </c>
      <c r="CA24" s="56">
        <v>17</v>
      </c>
      <c r="CB24" s="61">
        <v>92.5</v>
      </c>
      <c r="CC24" s="61"/>
      <c r="CD24" s="68">
        <f t="shared" si="25"/>
        <v>1.4000000000000057</v>
      </c>
      <c r="CE24" s="69">
        <f t="shared" si="26"/>
        <v>6.515971000000027</v>
      </c>
      <c r="CF24" s="69">
        <f t="shared" si="27"/>
        <v>4.5460262790697863</v>
      </c>
      <c r="CG24" s="62">
        <v>59</v>
      </c>
      <c r="CH24" s="62">
        <v>100</v>
      </c>
      <c r="CI24" s="65" t="str">
        <f t="shared" si="28"/>
        <v>ME</v>
      </c>
      <c r="CJ24" s="56">
        <v>17</v>
      </c>
      <c r="CK24" s="61">
        <v>88.8</v>
      </c>
      <c r="CL24" s="61"/>
      <c r="CM24" s="68">
        <f t="shared" si="29"/>
        <v>2.3999999999999915</v>
      </c>
      <c r="CN24" s="68">
        <f t="shared" si="30"/>
        <v>11.17023599999996</v>
      </c>
      <c r="CO24" s="68">
        <f t="shared" si="31"/>
        <v>22.433557299999922</v>
      </c>
      <c r="CP24" s="62">
        <v>54</v>
      </c>
      <c r="CQ24" s="62">
        <v>83</v>
      </c>
      <c r="CR24" s="65" t="str">
        <f t="shared" si="32"/>
        <v>ME</v>
      </c>
      <c r="CS24" s="56">
        <v>17</v>
      </c>
      <c r="CT24" s="61">
        <v>110.4</v>
      </c>
      <c r="CU24" s="61"/>
      <c r="CV24" s="68">
        <f t="shared" si="33"/>
        <v>2.1000000000000085</v>
      </c>
      <c r="CW24" s="68">
        <f t="shared" si="34"/>
        <v>13.952904000000057</v>
      </c>
      <c r="CX24" s="69">
        <f t="shared" si="35"/>
        <v>7.0469212121212405E-2</v>
      </c>
      <c r="CY24" s="66" t="s">
        <v>240</v>
      </c>
      <c r="CZ24" s="66" t="s">
        <v>241</v>
      </c>
      <c r="DA24" s="66"/>
      <c r="DB24" s="65" t="str">
        <f t="shared" si="36"/>
        <v>ME</v>
      </c>
      <c r="DC24" s="56">
        <v>17</v>
      </c>
      <c r="DD24" s="61">
        <v>84.5</v>
      </c>
      <c r="DE24" s="61">
        <v>103.5</v>
      </c>
      <c r="DF24" s="68">
        <f t="shared" si="37"/>
        <v>19.099999999999994</v>
      </c>
      <c r="DG24" s="69">
        <f t="shared" si="38"/>
        <v>1.0304684700799995</v>
      </c>
      <c r="DH24" s="68">
        <f t="shared" si="39"/>
        <v>5.2043862125252502</v>
      </c>
      <c r="DI24" s="62">
        <v>90</v>
      </c>
      <c r="DJ24" s="62">
        <v>54</v>
      </c>
      <c r="DK24" s="65" t="str">
        <f t="shared" si="40"/>
        <v>ME</v>
      </c>
      <c r="DL24" s="56">
        <v>17</v>
      </c>
      <c r="DM24" s="63">
        <v>8.27</v>
      </c>
      <c r="DN24" s="64">
        <v>3.4000000000000002E-2</v>
      </c>
      <c r="DO24" s="64">
        <v>0.03</v>
      </c>
      <c r="DP24" s="64">
        <v>7.5999999999999998E-2</v>
      </c>
      <c r="DQ24" s="63">
        <v>7.13</v>
      </c>
      <c r="DR24" s="61">
        <v>20.2</v>
      </c>
      <c r="DS24" s="64">
        <v>1.2330000000000001</v>
      </c>
      <c r="DT24" s="61">
        <v>84.2</v>
      </c>
      <c r="DU24" s="63">
        <v>4.3</v>
      </c>
      <c r="DV24" s="64">
        <v>0.77900000000000003</v>
      </c>
      <c r="DW24" s="64">
        <v>1.1100000000000001</v>
      </c>
      <c r="DX24" s="66" t="s">
        <v>242</v>
      </c>
      <c r="DY24" s="65" t="str">
        <f t="shared" si="41"/>
        <v>ME</v>
      </c>
      <c r="DZ24" s="128">
        <v>17</v>
      </c>
      <c r="EA24" s="173">
        <f t="shared" si="42"/>
        <v>0.13235294117647059</v>
      </c>
      <c r="EB24" s="173">
        <f t="shared" si="43"/>
        <v>0.15661764705882353</v>
      </c>
      <c r="EC24" s="173">
        <f t="shared" si="44"/>
        <v>0.86868686868686873</v>
      </c>
      <c r="ED24" s="63">
        <v>1.2</v>
      </c>
      <c r="EE24" s="63">
        <v>1.29</v>
      </c>
      <c r="EF24" s="63">
        <v>0.05</v>
      </c>
      <c r="EG24" s="63">
        <v>7.0000000000000007E-2</v>
      </c>
      <c r="EH24" s="127" t="str">
        <f t="shared" si="5"/>
        <v>ME</v>
      </c>
      <c r="EI24" s="56">
        <v>17</v>
      </c>
      <c r="EJ24" s="334"/>
      <c r="EK24" s="334"/>
      <c r="EL24" s="334"/>
      <c r="EM24" s="334"/>
      <c r="EN24" s="334"/>
      <c r="EO24" s="334"/>
      <c r="EP24" s="334"/>
      <c r="EQ24" s="65" t="str">
        <f t="shared" si="45"/>
        <v>ME</v>
      </c>
      <c r="ER24" s="20"/>
      <c r="ES24" s="20"/>
      <c r="ET24" s="20"/>
      <c r="EU24" s="20"/>
      <c r="EV24" s="20"/>
      <c r="EW24" s="20"/>
      <c r="EX24" s="20"/>
    </row>
    <row r="25" spans="1:154" s="3" customFormat="1" ht="17.149999999999999" customHeight="1" x14ac:dyDescent="0.35">
      <c r="A25" s="56">
        <v>18</v>
      </c>
      <c r="B25" s="57">
        <v>910187</v>
      </c>
      <c r="C25" s="58">
        <f t="shared" si="6"/>
        <v>233</v>
      </c>
      <c r="D25" s="167">
        <v>9.91</v>
      </c>
      <c r="E25" s="59">
        <v>814765</v>
      </c>
      <c r="F25" s="58">
        <f t="shared" si="7"/>
        <v>224</v>
      </c>
      <c r="G25" s="168">
        <v>1.47</v>
      </c>
      <c r="H25" s="57">
        <v>768314</v>
      </c>
      <c r="I25" s="58">
        <f t="shared" si="0"/>
        <v>177</v>
      </c>
      <c r="J25" s="60" t="s">
        <v>194</v>
      </c>
      <c r="K25" s="56">
        <v>18</v>
      </c>
      <c r="L25" s="57">
        <v>71048</v>
      </c>
      <c r="M25" s="58">
        <f t="shared" si="8"/>
        <v>47</v>
      </c>
      <c r="N25" s="59">
        <v>181255</v>
      </c>
      <c r="O25" s="58">
        <f t="shared" si="9"/>
        <v>79</v>
      </c>
      <c r="P25" s="57">
        <v>194749</v>
      </c>
      <c r="Q25" s="169" t="str">
        <f t="shared" si="1"/>
        <v/>
      </c>
      <c r="R25" s="57">
        <v>689</v>
      </c>
      <c r="S25" s="57">
        <v>696</v>
      </c>
      <c r="T25" s="57">
        <v>144</v>
      </c>
      <c r="U25" s="57">
        <v>142</v>
      </c>
      <c r="V25" s="58" t="str">
        <f t="shared" si="10"/>
        <v>ME</v>
      </c>
      <c r="W25" s="56">
        <v>18</v>
      </c>
      <c r="X25" s="63">
        <v>12030.49</v>
      </c>
      <c r="Y25" s="130">
        <f t="shared" si="11"/>
        <v>3.4200000000000728</v>
      </c>
      <c r="Z25" s="63">
        <v>12800.55</v>
      </c>
      <c r="AA25" s="130">
        <f t="shared" si="12"/>
        <v>2.9200000000000728</v>
      </c>
      <c r="AB25" s="63">
        <v>10054.73</v>
      </c>
      <c r="AC25" s="130">
        <f t="shared" si="13"/>
        <v>2.2700000000004366</v>
      </c>
      <c r="AD25" s="63">
        <v>10208.379999999999</v>
      </c>
      <c r="AE25" s="130">
        <f t="shared" si="2"/>
        <v>2.4000000000014552</v>
      </c>
      <c r="AF25" s="125" t="str">
        <f t="shared" si="14"/>
        <v>ME</v>
      </c>
      <c r="AG25" s="56">
        <v>18</v>
      </c>
      <c r="AH25" s="63">
        <v>48148.57</v>
      </c>
      <c r="AI25" s="130">
        <f t="shared" si="15"/>
        <v>17.760000000002037</v>
      </c>
      <c r="AJ25" s="63">
        <v>50324</v>
      </c>
      <c r="AK25" s="130">
        <f t="shared" si="16"/>
        <v>8.0999999999985448</v>
      </c>
      <c r="AL25" s="63">
        <v>592.32000000000005</v>
      </c>
      <c r="AM25" s="130" t="str">
        <f t="shared" si="17"/>
        <v/>
      </c>
      <c r="AN25" s="63">
        <v>553.45000000000005</v>
      </c>
      <c r="AO25" s="130" t="str">
        <f t="shared" si="3"/>
        <v/>
      </c>
      <c r="AP25" s="125" t="str">
        <f t="shared" si="18"/>
        <v>ME</v>
      </c>
      <c r="AQ25" s="56">
        <v>18</v>
      </c>
      <c r="AR25" s="63">
        <v>6945.51</v>
      </c>
      <c r="AS25" s="130">
        <f t="shared" si="19"/>
        <v>3.569999999999709</v>
      </c>
      <c r="AT25" s="63">
        <v>7768.78</v>
      </c>
      <c r="AU25" s="130">
        <f t="shared" si="20"/>
        <v>3.430000000000291</v>
      </c>
      <c r="AV25" s="63">
        <v>260.88</v>
      </c>
      <c r="AW25" s="130">
        <f t="shared" si="21"/>
        <v>0.34000000000003183</v>
      </c>
      <c r="AX25" s="63">
        <v>247.47</v>
      </c>
      <c r="AY25" s="130" t="str">
        <f t="shared" si="4"/>
        <v/>
      </c>
      <c r="AZ25" s="125" t="str">
        <f t="shared" si="22"/>
        <v>ME</v>
      </c>
      <c r="BA25" s="56">
        <v>18</v>
      </c>
      <c r="BB25" s="194"/>
      <c r="BC25" s="62"/>
      <c r="BD25" s="61"/>
      <c r="BE25" s="61"/>
      <c r="BF25" s="61"/>
      <c r="BG25" s="61"/>
      <c r="BH25" s="64"/>
      <c r="BI25" s="64"/>
      <c r="BJ25" s="64"/>
      <c r="BK25" s="64"/>
      <c r="BL25" s="64"/>
      <c r="BM25" s="64"/>
      <c r="BN25" s="65" t="str">
        <f t="shared" si="23"/>
        <v>ME</v>
      </c>
      <c r="BO25" s="56">
        <v>18</v>
      </c>
      <c r="BP25" s="64">
        <v>9.7000000000000003E-2</v>
      </c>
      <c r="BQ25" s="62"/>
      <c r="BR25" s="61"/>
      <c r="BS25" s="61"/>
      <c r="BT25" s="61"/>
      <c r="BU25" s="64"/>
      <c r="BV25" s="63">
        <v>1.22</v>
      </c>
      <c r="BW25" s="63">
        <v>0.94</v>
      </c>
      <c r="BX25" s="66" t="s">
        <v>365</v>
      </c>
      <c r="BY25" s="172" t="s">
        <v>246</v>
      </c>
      <c r="BZ25" s="67" t="str">
        <f t="shared" si="24"/>
        <v>ME</v>
      </c>
      <c r="CA25" s="56">
        <v>18</v>
      </c>
      <c r="CB25" s="61">
        <v>91.1</v>
      </c>
      <c r="CC25" s="61"/>
      <c r="CD25" s="68">
        <f t="shared" si="25"/>
        <v>1.5999999999999943</v>
      </c>
      <c r="CE25" s="69">
        <f t="shared" si="26"/>
        <v>7.4468239999999746</v>
      </c>
      <c r="CF25" s="69">
        <f t="shared" si="27"/>
        <v>5.0486942372881183</v>
      </c>
      <c r="CG25" s="62">
        <v>61</v>
      </c>
      <c r="CH25" s="62">
        <v>100</v>
      </c>
      <c r="CI25" s="65" t="str">
        <f t="shared" si="28"/>
        <v>ME</v>
      </c>
      <c r="CJ25" s="56">
        <v>18</v>
      </c>
      <c r="CK25" s="61">
        <v>86.4</v>
      </c>
      <c r="CL25" s="61"/>
      <c r="CM25" s="68">
        <f t="shared" si="29"/>
        <v>2.7000000000000028</v>
      </c>
      <c r="CN25" s="68">
        <f t="shared" si="30"/>
        <v>12.566515500000014</v>
      </c>
      <c r="CO25" s="68">
        <f t="shared" si="31"/>
        <v>21.446673341523631</v>
      </c>
      <c r="CP25" s="62">
        <v>55</v>
      </c>
      <c r="CQ25" s="62">
        <v>83</v>
      </c>
      <c r="CR25" s="65" t="str">
        <f t="shared" si="32"/>
        <v>ME</v>
      </c>
      <c r="CS25" s="56">
        <v>18</v>
      </c>
      <c r="CT25" s="61">
        <v>108.3</v>
      </c>
      <c r="CU25" s="61"/>
      <c r="CV25" s="68">
        <f t="shared" si="33"/>
        <v>2.2999999999999972</v>
      </c>
      <c r="CW25" s="68">
        <f t="shared" si="34"/>
        <v>15.28175199999998</v>
      </c>
      <c r="CX25" s="69">
        <f t="shared" si="35"/>
        <v>6.5586918454935528E-2</v>
      </c>
      <c r="CY25" s="66" t="s">
        <v>240</v>
      </c>
      <c r="CZ25" s="66" t="s">
        <v>241</v>
      </c>
      <c r="DA25" s="66"/>
      <c r="DB25" s="65" t="str">
        <f t="shared" si="36"/>
        <v>ME</v>
      </c>
      <c r="DC25" s="56">
        <v>18</v>
      </c>
      <c r="DD25" s="61">
        <v>84.4</v>
      </c>
      <c r="DE25" s="61">
        <v>104.2</v>
      </c>
      <c r="DF25" s="68">
        <f t="shared" si="37"/>
        <v>23</v>
      </c>
      <c r="DG25" s="69">
        <f t="shared" si="38"/>
        <v>1.2408782624000001</v>
      </c>
      <c r="DH25" s="68">
        <f t="shared" si="39"/>
        <v>5.3256577785407728</v>
      </c>
      <c r="DI25" s="62">
        <v>90</v>
      </c>
      <c r="DJ25" s="62">
        <v>54</v>
      </c>
      <c r="DK25" s="65" t="str">
        <f t="shared" si="40"/>
        <v>ME</v>
      </c>
      <c r="DL25" s="56">
        <v>18</v>
      </c>
      <c r="DM25" s="63">
        <v>8.44</v>
      </c>
      <c r="DN25" s="64">
        <v>3.3000000000000002E-2</v>
      </c>
      <c r="DO25" s="64">
        <v>3.1E-2</v>
      </c>
      <c r="DP25" s="64">
        <v>7.1999999999999995E-2</v>
      </c>
      <c r="DQ25" s="63">
        <v>7.13</v>
      </c>
      <c r="DR25" s="61">
        <v>20</v>
      </c>
      <c r="DS25" s="64">
        <v>1.1890000000000001</v>
      </c>
      <c r="DT25" s="61">
        <v>85</v>
      </c>
      <c r="DU25" s="63">
        <v>4.34</v>
      </c>
      <c r="DV25" s="64">
        <v>0.67</v>
      </c>
      <c r="DW25" s="64">
        <v>1.03</v>
      </c>
      <c r="DX25" s="66" t="s">
        <v>242</v>
      </c>
      <c r="DY25" s="65" t="str">
        <f t="shared" si="41"/>
        <v>ME</v>
      </c>
      <c r="DZ25" s="128">
        <v>18</v>
      </c>
      <c r="EA25" s="173">
        <f t="shared" si="42"/>
        <v>0.15574866310160429</v>
      </c>
      <c r="EB25" s="173">
        <f t="shared" si="43"/>
        <v>0.16470588235294117</v>
      </c>
      <c r="EC25" s="173">
        <f t="shared" si="44"/>
        <v>0.75965665236051505</v>
      </c>
      <c r="ED25" s="63">
        <v>1.1299999999999999</v>
      </c>
      <c r="EE25" s="63">
        <v>1.23</v>
      </c>
      <c r="EF25" s="63">
        <v>0.05</v>
      </c>
      <c r="EG25" s="63">
        <v>7.0000000000000007E-2</v>
      </c>
      <c r="EH25" s="127" t="str">
        <f t="shared" si="5"/>
        <v>ME</v>
      </c>
      <c r="EI25" s="56">
        <v>18</v>
      </c>
      <c r="EJ25" s="334"/>
      <c r="EK25" s="334"/>
      <c r="EL25" s="334"/>
      <c r="EM25" s="334"/>
      <c r="EN25" s="334"/>
      <c r="EO25" s="334"/>
      <c r="EP25" s="334"/>
      <c r="EQ25" s="65" t="str">
        <f t="shared" si="45"/>
        <v>ME</v>
      </c>
      <c r="ER25" s="20"/>
      <c r="ES25" s="20"/>
      <c r="ET25" s="20"/>
      <c r="EU25" s="20"/>
      <c r="EV25" s="20"/>
      <c r="EW25" s="20"/>
      <c r="EX25" s="20"/>
    </row>
    <row r="26" spans="1:154" s="3" customFormat="1" ht="17.149999999999999" customHeight="1" x14ac:dyDescent="0.35">
      <c r="A26" s="56">
        <v>19</v>
      </c>
      <c r="B26" s="57">
        <v>910420</v>
      </c>
      <c r="C26" s="58">
        <f t="shared" si="6"/>
        <v>134</v>
      </c>
      <c r="D26" s="167">
        <v>10.24</v>
      </c>
      <c r="E26" s="59">
        <v>814989</v>
      </c>
      <c r="F26" s="58">
        <f t="shared" si="7"/>
        <v>162</v>
      </c>
      <c r="G26" s="168">
        <v>3.72</v>
      </c>
      <c r="H26" s="57">
        <v>768491</v>
      </c>
      <c r="I26" s="58">
        <f t="shared" si="0"/>
        <v>107</v>
      </c>
      <c r="J26" s="60" t="s">
        <v>338</v>
      </c>
      <c r="K26" s="56">
        <v>19</v>
      </c>
      <c r="L26" s="57">
        <v>71095</v>
      </c>
      <c r="M26" s="58" t="str">
        <f t="shared" si="8"/>
        <v/>
      </c>
      <c r="N26" s="59">
        <v>181334</v>
      </c>
      <c r="O26" s="58">
        <f t="shared" si="9"/>
        <v>28</v>
      </c>
      <c r="P26" s="57">
        <v>194749</v>
      </c>
      <c r="Q26" s="169" t="str">
        <f t="shared" si="1"/>
        <v/>
      </c>
      <c r="R26" s="57">
        <v>689</v>
      </c>
      <c r="S26" s="57">
        <v>697</v>
      </c>
      <c r="T26" s="57">
        <v>144</v>
      </c>
      <c r="U26" s="57">
        <v>142</v>
      </c>
      <c r="V26" s="58" t="str">
        <f t="shared" si="10"/>
        <v>SA</v>
      </c>
      <c r="W26" s="56">
        <v>19</v>
      </c>
      <c r="X26" s="63">
        <v>12033.91</v>
      </c>
      <c r="Y26" s="130">
        <f t="shared" si="11"/>
        <v>1.3600000000005821</v>
      </c>
      <c r="Z26" s="63">
        <v>12803.47</v>
      </c>
      <c r="AA26" s="130">
        <f t="shared" si="12"/>
        <v>2.7000000000007276</v>
      </c>
      <c r="AB26" s="63">
        <v>10057</v>
      </c>
      <c r="AC26" s="130">
        <f t="shared" si="13"/>
        <v>0.4500000000007276</v>
      </c>
      <c r="AD26" s="63">
        <v>10210.780000000001</v>
      </c>
      <c r="AE26" s="130">
        <f t="shared" si="2"/>
        <v>2.2799999999988358</v>
      </c>
      <c r="AF26" s="125" t="str">
        <f t="shared" si="14"/>
        <v>SA</v>
      </c>
      <c r="AG26" s="56">
        <v>19</v>
      </c>
      <c r="AH26" s="63">
        <v>48166.33</v>
      </c>
      <c r="AI26" s="130">
        <f t="shared" si="15"/>
        <v>6.7399999999979627</v>
      </c>
      <c r="AJ26" s="63">
        <v>50332.1</v>
      </c>
      <c r="AK26" s="130">
        <f t="shared" si="16"/>
        <v>15.910000000003492</v>
      </c>
      <c r="AL26" s="63">
        <v>592.32000000000005</v>
      </c>
      <c r="AM26" s="130" t="str">
        <f t="shared" si="17"/>
        <v/>
      </c>
      <c r="AN26" s="63">
        <v>553.45000000000005</v>
      </c>
      <c r="AO26" s="130" t="str">
        <f t="shared" si="3"/>
        <v/>
      </c>
      <c r="AP26" s="125" t="str">
        <f t="shared" si="18"/>
        <v>SA</v>
      </c>
      <c r="AQ26" s="56">
        <v>19</v>
      </c>
      <c r="AR26" s="63">
        <v>6949.08</v>
      </c>
      <c r="AS26" s="130">
        <f t="shared" si="19"/>
        <v>1.6000000000003638</v>
      </c>
      <c r="AT26" s="63">
        <v>7772.21</v>
      </c>
      <c r="AU26" s="130">
        <f t="shared" si="20"/>
        <v>2.7299999999995634</v>
      </c>
      <c r="AV26" s="63">
        <v>261.22000000000003</v>
      </c>
      <c r="AW26" s="130" t="str">
        <f t="shared" si="21"/>
        <v/>
      </c>
      <c r="AX26" s="63">
        <v>247.47</v>
      </c>
      <c r="AY26" s="130" t="str">
        <f t="shared" si="4"/>
        <v/>
      </c>
      <c r="AZ26" s="125" t="str">
        <f t="shared" si="22"/>
        <v>SA</v>
      </c>
      <c r="BA26" s="56">
        <v>19</v>
      </c>
      <c r="BB26" s="64">
        <v>1.38</v>
      </c>
      <c r="BC26" s="62">
        <v>33</v>
      </c>
      <c r="BD26" s="61">
        <v>7.2</v>
      </c>
      <c r="BE26" s="61">
        <v>17</v>
      </c>
      <c r="BF26" s="61">
        <v>15.2</v>
      </c>
      <c r="BG26" s="61">
        <v>7.2</v>
      </c>
      <c r="BH26" s="64">
        <v>0.253</v>
      </c>
      <c r="BI26" s="64">
        <v>0.27500000000000002</v>
      </c>
      <c r="BJ26" s="64">
        <v>5.5E-2</v>
      </c>
      <c r="BK26" s="64">
        <v>5.8999999999999997E-2</v>
      </c>
      <c r="BL26" s="64">
        <v>6.0999999999999999E-2</v>
      </c>
      <c r="BM26" s="64">
        <v>6.0999999999999999E-2</v>
      </c>
      <c r="BN26" s="65" t="str">
        <f t="shared" si="23"/>
        <v>SA</v>
      </c>
      <c r="BO26" s="56">
        <v>19</v>
      </c>
      <c r="BP26" s="64">
        <v>8.3000000000000004E-2</v>
      </c>
      <c r="BQ26" s="62">
        <v>0</v>
      </c>
      <c r="BR26" s="61">
        <v>7.1</v>
      </c>
      <c r="BS26" s="61">
        <v>19.7</v>
      </c>
      <c r="BT26" s="61">
        <v>18.5</v>
      </c>
      <c r="BU26" s="64">
        <v>1.7999999999999999E-2</v>
      </c>
      <c r="BV26" s="63">
        <v>1.24</v>
      </c>
      <c r="BW26" s="63">
        <v>0.9</v>
      </c>
      <c r="BX26" s="66" t="s">
        <v>330</v>
      </c>
      <c r="BY26" s="172" t="s">
        <v>409</v>
      </c>
      <c r="BZ26" s="67" t="str">
        <f t="shared" si="24"/>
        <v>SA</v>
      </c>
      <c r="CA26" s="56">
        <v>19</v>
      </c>
      <c r="CB26" s="61">
        <v>89.5</v>
      </c>
      <c r="CC26" s="61"/>
      <c r="CD26" s="68">
        <f t="shared" si="25"/>
        <v>0.79999999999999716</v>
      </c>
      <c r="CE26" s="69">
        <f t="shared" si="26"/>
        <v>3.7234119999999873</v>
      </c>
      <c r="CF26" s="69">
        <f t="shared" si="27"/>
        <v>4.1757891588784899</v>
      </c>
      <c r="CG26" s="62">
        <v>61</v>
      </c>
      <c r="CH26" s="62">
        <v>100</v>
      </c>
      <c r="CI26" s="65" t="str">
        <f t="shared" si="28"/>
        <v>SA</v>
      </c>
      <c r="CJ26" s="56">
        <v>19</v>
      </c>
      <c r="CK26" s="61">
        <v>83.7</v>
      </c>
      <c r="CL26" s="61"/>
      <c r="CM26" s="68">
        <f t="shared" si="29"/>
        <v>1.7000000000000028</v>
      </c>
      <c r="CN26" s="68">
        <f t="shared" si="30"/>
        <v>7.9122505000000141</v>
      </c>
      <c r="CO26" s="68">
        <f t="shared" si="31"/>
        <v>23.479898591977655</v>
      </c>
      <c r="CP26" s="62">
        <v>55</v>
      </c>
      <c r="CQ26" s="62">
        <v>83</v>
      </c>
      <c r="CR26" s="65" t="str">
        <f t="shared" si="32"/>
        <v>SA</v>
      </c>
      <c r="CS26" s="56">
        <v>19</v>
      </c>
      <c r="CT26" s="61">
        <v>106</v>
      </c>
      <c r="CU26" s="61"/>
      <c r="CV26" s="68">
        <f t="shared" si="33"/>
        <v>1.5</v>
      </c>
      <c r="CW26" s="68">
        <f t="shared" si="34"/>
        <v>9.9663599999999999</v>
      </c>
      <c r="CX26" s="69">
        <f t="shared" si="35"/>
        <v>7.4375820895522388E-2</v>
      </c>
      <c r="CY26" s="66" t="s">
        <v>240</v>
      </c>
      <c r="CZ26" s="66" t="s">
        <v>241</v>
      </c>
      <c r="DA26" s="66"/>
      <c r="DB26" s="65" t="str">
        <f t="shared" si="36"/>
        <v>SA</v>
      </c>
      <c r="DC26" s="56">
        <v>19</v>
      </c>
      <c r="DD26" s="61">
        <v>81.2</v>
      </c>
      <c r="DE26" s="61">
        <v>106.6</v>
      </c>
      <c r="DF26" s="68">
        <f t="shared" si="37"/>
        <v>13.599999999999994</v>
      </c>
      <c r="DG26" s="69">
        <f t="shared" si="38"/>
        <v>0.73373671167999976</v>
      </c>
      <c r="DH26" s="68">
        <f t="shared" si="39"/>
        <v>5.4756471020895505</v>
      </c>
      <c r="DI26" s="62">
        <v>90</v>
      </c>
      <c r="DJ26" s="62">
        <v>54</v>
      </c>
      <c r="DK26" s="65" t="str">
        <f t="shared" si="40"/>
        <v>SA</v>
      </c>
      <c r="DL26" s="56">
        <v>19</v>
      </c>
      <c r="DM26" s="63">
        <v>8.14</v>
      </c>
      <c r="DN26" s="64">
        <v>3.2000000000000001E-2</v>
      </c>
      <c r="DO26" s="64">
        <v>3.1E-2</v>
      </c>
      <c r="DP26" s="64">
        <v>7.0999999999999994E-2</v>
      </c>
      <c r="DQ26" s="63">
        <v>7.09</v>
      </c>
      <c r="DR26" s="61">
        <v>19.7</v>
      </c>
      <c r="DS26" s="64">
        <v>1.2250000000000001</v>
      </c>
      <c r="DT26" s="61">
        <v>87.4</v>
      </c>
      <c r="DU26" s="63">
        <v>4.33</v>
      </c>
      <c r="DV26" s="64">
        <v>0.84799999999999998</v>
      </c>
      <c r="DW26" s="64">
        <v>1.43</v>
      </c>
      <c r="DX26" s="66" t="s">
        <v>242</v>
      </c>
      <c r="DY26" s="65" t="str">
        <f t="shared" si="41"/>
        <v>SA</v>
      </c>
      <c r="DZ26" s="128">
        <v>19</v>
      </c>
      <c r="EA26" s="173">
        <f t="shared" si="42"/>
        <v>8.9572192513368981E-2</v>
      </c>
      <c r="EB26" s="173">
        <f t="shared" si="43"/>
        <v>0.11911764705882352</v>
      </c>
      <c r="EC26" s="173">
        <f t="shared" si="44"/>
        <v>0.79850746268656714</v>
      </c>
      <c r="ED26" s="63">
        <v>1.1399999999999999</v>
      </c>
      <c r="EE26" s="63">
        <v>1.23</v>
      </c>
      <c r="EF26" s="63">
        <v>0.05</v>
      </c>
      <c r="EG26" s="63">
        <v>7.0000000000000007E-2</v>
      </c>
      <c r="EH26" s="127" t="str">
        <f t="shared" si="5"/>
        <v>SA</v>
      </c>
      <c r="EI26" s="56">
        <v>19</v>
      </c>
      <c r="EJ26" s="334"/>
      <c r="EK26" s="334"/>
      <c r="EL26" s="334"/>
      <c r="EM26" s="334"/>
      <c r="EN26" s="334"/>
      <c r="EO26" s="334"/>
      <c r="EP26" s="334"/>
      <c r="EQ26" s="65" t="str">
        <f t="shared" si="45"/>
        <v>SA</v>
      </c>
      <c r="ER26" s="20"/>
      <c r="ES26" s="20"/>
      <c r="ET26" s="20"/>
      <c r="EU26" s="20"/>
      <c r="EV26" s="20"/>
      <c r="EW26" s="20"/>
      <c r="EX26" s="20"/>
    </row>
    <row r="27" spans="1:154" s="3" customFormat="1" ht="17.149999999999999" customHeight="1" x14ac:dyDescent="0.35">
      <c r="A27" s="56">
        <v>20</v>
      </c>
      <c r="B27" s="57">
        <v>910554</v>
      </c>
      <c r="C27" s="58">
        <f t="shared" si="6"/>
        <v>151</v>
      </c>
      <c r="D27" s="167">
        <v>9.89</v>
      </c>
      <c r="E27" s="59">
        <v>815151</v>
      </c>
      <c r="F27" s="58">
        <f t="shared" si="7"/>
        <v>191</v>
      </c>
      <c r="G27" s="168">
        <v>2.0099999999999998</v>
      </c>
      <c r="H27" s="57">
        <v>768598</v>
      </c>
      <c r="I27" s="58">
        <f t="shared" si="0"/>
        <v>122</v>
      </c>
      <c r="J27" s="60" t="s">
        <v>338</v>
      </c>
      <c r="K27" s="56">
        <v>20</v>
      </c>
      <c r="L27" s="57">
        <v>71095</v>
      </c>
      <c r="M27" s="58">
        <f t="shared" si="8"/>
        <v>8</v>
      </c>
      <c r="N27" s="59">
        <v>181362</v>
      </c>
      <c r="O27" s="58">
        <f t="shared" si="9"/>
        <v>24</v>
      </c>
      <c r="P27" s="57">
        <v>194749</v>
      </c>
      <c r="Q27" s="169" t="str">
        <f t="shared" si="1"/>
        <v/>
      </c>
      <c r="R27" s="57">
        <v>689</v>
      </c>
      <c r="S27" s="57">
        <v>697</v>
      </c>
      <c r="T27" s="57">
        <v>144</v>
      </c>
      <c r="U27" s="57">
        <v>142</v>
      </c>
      <c r="V27" s="58" t="str">
        <f t="shared" si="10"/>
        <v>SA</v>
      </c>
      <c r="W27" s="56">
        <v>20</v>
      </c>
      <c r="X27" s="63">
        <v>12035.27</v>
      </c>
      <c r="Y27" s="130">
        <f t="shared" si="11"/>
        <v>2.6999999999989086</v>
      </c>
      <c r="Z27" s="63">
        <v>12806.17</v>
      </c>
      <c r="AA27" s="130">
        <f t="shared" si="12"/>
        <v>1.5</v>
      </c>
      <c r="AB27" s="63">
        <v>10057.450000000001</v>
      </c>
      <c r="AC27" s="130">
        <f t="shared" si="13"/>
        <v>2.2699999999986176</v>
      </c>
      <c r="AD27" s="63">
        <v>10213.06</v>
      </c>
      <c r="AE27" s="130">
        <f t="shared" si="2"/>
        <v>1.8900000000012369</v>
      </c>
      <c r="AF27" s="125" t="str">
        <f t="shared" si="14"/>
        <v>SA</v>
      </c>
      <c r="AG27" s="56">
        <v>20</v>
      </c>
      <c r="AH27" s="63">
        <v>48173.07</v>
      </c>
      <c r="AI27" s="130">
        <f t="shared" si="15"/>
        <v>17.260000000002037</v>
      </c>
      <c r="AJ27" s="63">
        <v>50348.01</v>
      </c>
      <c r="AK27" s="130">
        <f t="shared" si="16"/>
        <v>8.1999999999970896</v>
      </c>
      <c r="AL27" s="63">
        <v>592.32000000000005</v>
      </c>
      <c r="AM27" s="130" t="str">
        <f t="shared" si="17"/>
        <v/>
      </c>
      <c r="AN27" s="63">
        <v>553.45000000000005</v>
      </c>
      <c r="AO27" s="130" t="str">
        <f t="shared" si="3"/>
        <v/>
      </c>
      <c r="AP27" s="125" t="str">
        <f t="shared" si="18"/>
        <v>SA</v>
      </c>
      <c r="AQ27" s="56">
        <v>20</v>
      </c>
      <c r="AR27" s="63">
        <v>6950.68</v>
      </c>
      <c r="AS27" s="130">
        <f t="shared" si="19"/>
        <v>1.2999999999992724</v>
      </c>
      <c r="AT27" s="63">
        <v>7774.94</v>
      </c>
      <c r="AU27" s="130">
        <f t="shared" si="20"/>
        <v>2.3700000000008004</v>
      </c>
      <c r="AV27" s="63">
        <v>261.22000000000003</v>
      </c>
      <c r="AW27" s="130" t="str">
        <f t="shared" si="21"/>
        <v/>
      </c>
      <c r="AX27" s="63">
        <v>247.47</v>
      </c>
      <c r="AY27" s="130">
        <f t="shared" si="4"/>
        <v>9.0000000000003411E-2</v>
      </c>
      <c r="AZ27" s="125" t="str">
        <f t="shared" si="22"/>
        <v>SA</v>
      </c>
      <c r="BA27" s="56">
        <v>20</v>
      </c>
      <c r="BB27" s="64">
        <v>1.54</v>
      </c>
      <c r="BC27" s="62">
        <v>19</v>
      </c>
      <c r="BD27" s="61">
        <v>7</v>
      </c>
      <c r="BE27" s="61">
        <v>16.600000000000001</v>
      </c>
      <c r="BF27" s="61">
        <v>17.3</v>
      </c>
      <c r="BG27" s="61">
        <v>7</v>
      </c>
      <c r="BH27" s="64">
        <v>0.32300000000000001</v>
      </c>
      <c r="BI27" s="64">
        <v>0.27800000000000002</v>
      </c>
      <c r="BJ27" s="64">
        <v>7.2999999999999995E-2</v>
      </c>
      <c r="BK27" s="64">
        <v>6.9000000000000006E-2</v>
      </c>
      <c r="BL27" s="64">
        <v>6.9000000000000006E-2</v>
      </c>
      <c r="BM27" s="64">
        <v>0.06</v>
      </c>
      <c r="BN27" s="65" t="str">
        <f t="shared" si="23"/>
        <v>SA</v>
      </c>
      <c r="BO27" s="56">
        <v>20</v>
      </c>
      <c r="BP27" s="64">
        <v>9.6000000000000002E-2</v>
      </c>
      <c r="BQ27" s="62">
        <v>0</v>
      </c>
      <c r="BR27" s="61">
        <v>7.1</v>
      </c>
      <c r="BS27" s="61">
        <v>19.8</v>
      </c>
      <c r="BT27" s="61">
        <v>19</v>
      </c>
      <c r="BU27" s="64">
        <v>1.9E-2</v>
      </c>
      <c r="BV27" s="63">
        <v>1.2</v>
      </c>
      <c r="BW27" s="63">
        <v>0.91</v>
      </c>
      <c r="BX27" s="66" t="s">
        <v>245</v>
      </c>
      <c r="BY27" s="172" t="s">
        <v>409</v>
      </c>
      <c r="BZ27" s="67" t="str">
        <f t="shared" si="24"/>
        <v>SA</v>
      </c>
      <c r="CA27" s="56">
        <v>20</v>
      </c>
      <c r="CB27" s="61">
        <v>88.7</v>
      </c>
      <c r="CC27" s="61"/>
      <c r="CD27" s="68">
        <f t="shared" si="25"/>
        <v>1.1000000000000085</v>
      </c>
      <c r="CE27" s="69">
        <f t="shared" si="26"/>
        <v>5.11969150000004</v>
      </c>
      <c r="CF27" s="69">
        <f t="shared" si="27"/>
        <v>5.03576213114758</v>
      </c>
      <c r="CG27" s="62">
        <v>61</v>
      </c>
      <c r="CH27" s="62">
        <v>100</v>
      </c>
      <c r="CI27" s="65" t="str">
        <f t="shared" si="28"/>
        <v>SA</v>
      </c>
      <c r="CJ27" s="56">
        <v>20</v>
      </c>
      <c r="CK27" s="61">
        <v>82</v>
      </c>
      <c r="CL27" s="61"/>
      <c r="CM27" s="68">
        <f t="shared" si="29"/>
        <v>2.0999999999999943</v>
      </c>
      <c r="CN27" s="68">
        <f t="shared" si="30"/>
        <v>9.773956499999974</v>
      </c>
      <c r="CO27" s="68">
        <f t="shared" si="31"/>
        <v>25.739164253145631</v>
      </c>
      <c r="CP27" s="62">
        <v>55</v>
      </c>
      <c r="CQ27" s="62">
        <v>83</v>
      </c>
      <c r="CR27" s="65" t="str">
        <f t="shared" si="32"/>
        <v>SA</v>
      </c>
      <c r="CS27" s="56">
        <v>20</v>
      </c>
      <c r="CT27" s="61">
        <v>104.5</v>
      </c>
      <c r="CU27" s="61"/>
      <c r="CV27" s="68">
        <f t="shared" si="33"/>
        <v>1.5</v>
      </c>
      <c r="CW27" s="68">
        <f t="shared" si="34"/>
        <v>9.9663599999999999</v>
      </c>
      <c r="CX27" s="69">
        <f t="shared" si="35"/>
        <v>6.6002384105960266E-2</v>
      </c>
      <c r="CY27" s="66" t="s">
        <v>240</v>
      </c>
      <c r="CZ27" s="66" t="s">
        <v>241</v>
      </c>
      <c r="DA27" s="66"/>
      <c r="DB27" s="65" t="str">
        <f t="shared" si="36"/>
        <v>SA</v>
      </c>
      <c r="DC27" s="56">
        <v>20</v>
      </c>
      <c r="DD27" s="61">
        <v>93</v>
      </c>
      <c r="DE27" s="61">
        <v>105.8</v>
      </c>
      <c r="DF27" s="68">
        <f t="shared" si="37"/>
        <v>15.299999999999997</v>
      </c>
      <c r="DG27" s="69">
        <f t="shared" si="38"/>
        <v>0.82545380063999985</v>
      </c>
      <c r="DH27" s="68">
        <f t="shared" si="39"/>
        <v>5.4665814611920522</v>
      </c>
      <c r="DI27" s="62">
        <v>90</v>
      </c>
      <c r="DJ27" s="62">
        <v>54</v>
      </c>
      <c r="DK27" s="65" t="str">
        <f t="shared" si="40"/>
        <v>SA</v>
      </c>
      <c r="DL27" s="56">
        <v>20</v>
      </c>
      <c r="DM27" s="63">
        <v>8.32</v>
      </c>
      <c r="DN27" s="64">
        <v>3.4000000000000002E-2</v>
      </c>
      <c r="DO27" s="64">
        <v>3.3000000000000002E-2</v>
      </c>
      <c r="DP27" s="64">
        <v>7.3999999999999996E-2</v>
      </c>
      <c r="DQ27" s="63">
        <v>7.17</v>
      </c>
      <c r="DR27" s="61">
        <v>19.8</v>
      </c>
      <c r="DS27" s="64">
        <v>1.121</v>
      </c>
      <c r="DT27" s="61">
        <v>88.2</v>
      </c>
      <c r="DU27" s="63">
        <v>4.29</v>
      </c>
      <c r="DV27" s="64">
        <v>0.68799999999999994</v>
      </c>
      <c r="DW27" s="64">
        <v>2.2400000000000002</v>
      </c>
      <c r="DX27" s="66" t="s">
        <v>242</v>
      </c>
      <c r="DY27" s="65" t="str">
        <f t="shared" si="41"/>
        <v>SA</v>
      </c>
      <c r="DZ27" s="128">
        <v>20</v>
      </c>
      <c r="EA27" s="173">
        <f t="shared" si="42"/>
        <v>0.10093582887700535</v>
      </c>
      <c r="EB27" s="173">
        <f t="shared" si="43"/>
        <v>0.14044117647058824</v>
      </c>
      <c r="EC27" s="173">
        <f t="shared" si="44"/>
        <v>0.80794701986754969</v>
      </c>
      <c r="ED27" s="63">
        <v>1.04</v>
      </c>
      <c r="EE27" s="63">
        <v>1.06</v>
      </c>
      <c r="EF27" s="63">
        <v>0.05</v>
      </c>
      <c r="EG27" s="63">
        <v>0.08</v>
      </c>
      <c r="EH27" s="127" t="str">
        <f t="shared" si="5"/>
        <v>SA</v>
      </c>
      <c r="EI27" s="56">
        <v>20</v>
      </c>
      <c r="EJ27" s="334"/>
      <c r="EK27" s="334"/>
      <c r="EL27" s="334"/>
      <c r="EM27" s="334"/>
      <c r="EN27" s="334"/>
      <c r="EO27" s="334"/>
      <c r="EP27" s="334"/>
      <c r="EQ27" s="65" t="str">
        <f t="shared" si="45"/>
        <v>SA</v>
      </c>
      <c r="ER27" s="20"/>
      <c r="ES27" s="20"/>
      <c r="ET27" s="20"/>
      <c r="EU27" s="20"/>
      <c r="EV27" s="20"/>
      <c r="EW27" s="20"/>
      <c r="EX27" s="20"/>
    </row>
    <row r="28" spans="1:154" s="3" customFormat="1" ht="17.149999999999999" customHeight="1" x14ac:dyDescent="0.35">
      <c r="A28" s="56">
        <v>21</v>
      </c>
      <c r="B28" s="57">
        <v>910705</v>
      </c>
      <c r="C28" s="58">
        <f t="shared" si="6"/>
        <v>189</v>
      </c>
      <c r="D28" s="167">
        <v>10.19</v>
      </c>
      <c r="E28" s="59">
        <v>815342</v>
      </c>
      <c r="F28" s="58">
        <f t="shared" si="7"/>
        <v>172</v>
      </c>
      <c r="G28" s="168">
        <v>1.56</v>
      </c>
      <c r="H28" s="57">
        <v>768720</v>
      </c>
      <c r="I28" s="58">
        <f t="shared" si="0"/>
        <v>168</v>
      </c>
      <c r="J28" s="60" t="s">
        <v>338</v>
      </c>
      <c r="K28" s="56">
        <v>21</v>
      </c>
      <c r="L28" s="57">
        <v>71103</v>
      </c>
      <c r="M28" s="58" t="str">
        <f t="shared" si="8"/>
        <v/>
      </c>
      <c r="N28" s="59">
        <v>181386</v>
      </c>
      <c r="O28" s="58">
        <f t="shared" si="9"/>
        <v>29</v>
      </c>
      <c r="P28" s="57">
        <v>194749</v>
      </c>
      <c r="Q28" s="169" t="str">
        <f t="shared" si="1"/>
        <v/>
      </c>
      <c r="R28" s="57">
        <v>689</v>
      </c>
      <c r="S28" s="57">
        <v>697</v>
      </c>
      <c r="T28" s="57">
        <v>145</v>
      </c>
      <c r="U28" s="57">
        <v>142</v>
      </c>
      <c r="V28" s="58" t="str">
        <f t="shared" si="10"/>
        <v>SA</v>
      </c>
      <c r="W28" s="56">
        <v>21</v>
      </c>
      <c r="X28" s="63">
        <v>12037.97</v>
      </c>
      <c r="Y28" s="130">
        <f t="shared" si="11"/>
        <v>2.6100000000005821</v>
      </c>
      <c r="Z28" s="63">
        <v>12807.67</v>
      </c>
      <c r="AA28" s="130">
        <f t="shared" si="12"/>
        <v>2.680000000000291</v>
      </c>
      <c r="AB28" s="63">
        <v>10059.719999999999</v>
      </c>
      <c r="AC28" s="130">
        <f t="shared" si="13"/>
        <v>2.25</v>
      </c>
      <c r="AD28" s="63">
        <v>10214.950000000001</v>
      </c>
      <c r="AE28" s="130">
        <f t="shared" si="2"/>
        <v>1.319999999999709</v>
      </c>
      <c r="AF28" s="125" t="str">
        <f t="shared" si="14"/>
        <v>SA</v>
      </c>
      <c r="AG28" s="56">
        <v>21</v>
      </c>
      <c r="AH28" s="63">
        <v>48190.33</v>
      </c>
      <c r="AI28" s="130">
        <f t="shared" si="15"/>
        <v>7.9700000000011642</v>
      </c>
      <c r="AJ28" s="63">
        <v>50356.21</v>
      </c>
      <c r="AK28" s="130">
        <f t="shared" si="16"/>
        <v>15.809999999997672</v>
      </c>
      <c r="AL28" s="63">
        <v>592.32000000000005</v>
      </c>
      <c r="AM28" s="130" t="str">
        <f t="shared" si="17"/>
        <v/>
      </c>
      <c r="AN28" s="63">
        <v>553.45000000000005</v>
      </c>
      <c r="AO28" s="130" t="str">
        <f t="shared" si="3"/>
        <v/>
      </c>
      <c r="AP28" s="125" t="str">
        <f t="shared" si="18"/>
        <v>SA</v>
      </c>
      <c r="AQ28" s="56">
        <v>21</v>
      </c>
      <c r="AR28" s="63">
        <v>6951.98</v>
      </c>
      <c r="AS28" s="130">
        <f t="shared" si="19"/>
        <v>1.5400000000008731</v>
      </c>
      <c r="AT28" s="63">
        <v>7777.31</v>
      </c>
      <c r="AU28" s="130">
        <f t="shared" si="20"/>
        <v>1.5499999999992724</v>
      </c>
      <c r="AV28" s="63">
        <v>261.22000000000003</v>
      </c>
      <c r="AW28" s="130" t="str">
        <f t="shared" si="21"/>
        <v/>
      </c>
      <c r="AX28" s="63">
        <v>247.56</v>
      </c>
      <c r="AY28" s="130" t="str">
        <f t="shared" si="4"/>
        <v/>
      </c>
      <c r="AZ28" s="125" t="str">
        <f t="shared" si="22"/>
        <v>SA</v>
      </c>
      <c r="BA28" s="56">
        <v>21</v>
      </c>
      <c r="BB28" s="64">
        <v>1.4</v>
      </c>
      <c r="BC28" s="62">
        <v>24</v>
      </c>
      <c r="BD28" s="61">
        <v>7.1</v>
      </c>
      <c r="BE28" s="61">
        <v>16.3</v>
      </c>
      <c r="BF28" s="61">
        <v>16.100000000000001</v>
      </c>
      <c r="BG28" s="61">
        <v>7.1</v>
      </c>
      <c r="BH28" s="64">
        <v>0.28899999999999998</v>
      </c>
      <c r="BI28" s="64">
        <v>0.27200000000000002</v>
      </c>
      <c r="BJ28" s="64">
        <v>6.6000000000000003E-2</v>
      </c>
      <c r="BK28" s="64">
        <v>6.8000000000000005E-2</v>
      </c>
      <c r="BL28" s="64">
        <v>6.2E-2</v>
      </c>
      <c r="BM28" s="64">
        <v>6.4000000000000001E-2</v>
      </c>
      <c r="BN28" s="65" t="str">
        <f t="shared" si="23"/>
        <v>SA</v>
      </c>
      <c r="BO28" s="56">
        <v>21</v>
      </c>
      <c r="BP28" s="64">
        <v>8.8999999999999996E-2</v>
      </c>
      <c r="BQ28" s="62">
        <v>0</v>
      </c>
      <c r="BR28" s="61">
        <v>7.1</v>
      </c>
      <c r="BS28" s="61">
        <v>19.600000000000001</v>
      </c>
      <c r="BT28" s="61">
        <v>18.399999999999999</v>
      </c>
      <c r="BU28" s="64">
        <v>1.7999999999999999E-2</v>
      </c>
      <c r="BV28" s="63">
        <v>1.08</v>
      </c>
      <c r="BW28" s="63">
        <v>0.8</v>
      </c>
      <c r="BX28" s="66" t="s">
        <v>369</v>
      </c>
      <c r="BY28" s="172" t="s">
        <v>409</v>
      </c>
      <c r="BZ28" s="67" t="str">
        <f t="shared" si="24"/>
        <v>SA</v>
      </c>
      <c r="CA28" s="56">
        <v>21</v>
      </c>
      <c r="CB28" s="61">
        <v>87.6</v>
      </c>
      <c r="CC28" s="61"/>
      <c r="CD28" s="68">
        <f t="shared" si="25"/>
        <v>1.5999999999999943</v>
      </c>
      <c r="CE28" s="69">
        <f t="shared" si="26"/>
        <v>7.4468239999999746</v>
      </c>
      <c r="CF28" s="69">
        <f t="shared" si="27"/>
        <v>5.3191599999999815</v>
      </c>
      <c r="CG28" s="62">
        <v>61</v>
      </c>
      <c r="CH28" s="62">
        <v>100</v>
      </c>
      <c r="CI28" s="65" t="str">
        <f t="shared" si="28"/>
        <v>SA</v>
      </c>
      <c r="CJ28" s="56">
        <v>21</v>
      </c>
      <c r="CK28" s="61">
        <v>79.900000000000006</v>
      </c>
      <c r="CL28" s="61"/>
      <c r="CM28" s="68">
        <f t="shared" si="29"/>
        <v>2.2000000000000028</v>
      </c>
      <c r="CN28" s="68">
        <f t="shared" si="30"/>
        <v>10.239383000000014</v>
      </c>
      <c r="CO28" s="68">
        <f t="shared" si="31"/>
        <v>21.543336772222254</v>
      </c>
      <c r="CP28" s="62">
        <v>55</v>
      </c>
      <c r="CQ28" s="62">
        <v>83</v>
      </c>
      <c r="CR28" s="65" t="str">
        <f t="shared" si="32"/>
        <v>SA</v>
      </c>
      <c r="CS28" s="56">
        <v>21</v>
      </c>
      <c r="CT28" s="61">
        <v>103</v>
      </c>
      <c r="CU28" s="61"/>
      <c r="CV28" s="68">
        <f t="shared" si="33"/>
        <v>1.9000000000000057</v>
      </c>
      <c r="CW28" s="68">
        <f t="shared" si="34"/>
        <v>12.624056000000037</v>
      </c>
      <c r="CX28" s="69">
        <f t="shared" si="35"/>
        <v>6.6793947089947278E-2</v>
      </c>
      <c r="CY28" s="66" t="s">
        <v>240</v>
      </c>
      <c r="CZ28" s="66" t="s">
        <v>241</v>
      </c>
      <c r="DA28" s="66"/>
      <c r="DB28" s="65" t="str">
        <f t="shared" si="36"/>
        <v>SA</v>
      </c>
      <c r="DC28" s="56">
        <v>21</v>
      </c>
      <c r="DD28" s="61">
        <v>90.5</v>
      </c>
      <c r="DE28" s="61">
        <v>106.1</v>
      </c>
      <c r="DF28" s="68">
        <f t="shared" si="37"/>
        <v>18.899999999999991</v>
      </c>
      <c r="DG28" s="69">
        <f t="shared" si="38"/>
        <v>1.0196782243199995</v>
      </c>
      <c r="DH28" s="68">
        <f t="shared" si="39"/>
        <v>5.395122879999998</v>
      </c>
      <c r="DI28" s="62">
        <v>90</v>
      </c>
      <c r="DJ28" s="62">
        <v>54</v>
      </c>
      <c r="DK28" s="65" t="str">
        <f t="shared" si="40"/>
        <v>SA</v>
      </c>
      <c r="DL28" s="56">
        <v>21</v>
      </c>
      <c r="DM28" s="63">
        <v>8.2799999999999994</v>
      </c>
      <c r="DN28" s="64">
        <v>3.1E-2</v>
      </c>
      <c r="DO28" s="64">
        <v>3.1E-2</v>
      </c>
      <c r="DP28" s="64">
        <v>7.1999999999999995E-2</v>
      </c>
      <c r="DQ28" s="63">
        <v>7.15</v>
      </c>
      <c r="DR28" s="61">
        <v>19.600000000000001</v>
      </c>
      <c r="DS28" s="64">
        <v>1.0880000000000001</v>
      </c>
      <c r="DT28" s="61">
        <v>86.7</v>
      </c>
      <c r="DU28" s="63">
        <v>4.2300000000000004</v>
      </c>
      <c r="DV28" s="64">
        <v>0.82599999999999996</v>
      </c>
      <c r="DW28" s="64">
        <v>1.18</v>
      </c>
      <c r="DX28" s="66" t="s">
        <v>242</v>
      </c>
      <c r="DY28" s="65" t="str">
        <f t="shared" si="41"/>
        <v>SA</v>
      </c>
      <c r="DZ28" s="128">
        <v>21</v>
      </c>
      <c r="EA28" s="173">
        <f t="shared" si="42"/>
        <v>0.12633689839572193</v>
      </c>
      <c r="EB28" s="173">
        <f t="shared" si="43"/>
        <v>0.12647058823529411</v>
      </c>
      <c r="EC28" s="173">
        <f t="shared" si="44"/>
        <v>0.88888888888888884</v>
      </c>
      <c r="ED28" s="63">
        <v>1.04</v>
      </c>
      <c r="EE28" s="63">
        <v>1.1100000000000001</v>
      </c>
      <c r="EF28" s="63">
        <v>0.05</v>
      </c>
      <c r="EG28" s="63">
        <v>7.0000000000000007E-2</v>
      </c>
      <c r="EH28" s="127" t="str">
        <f t="shared" si="5"/>
        <v>SA</v>
      </c>
      <c r="EI28" s="56">
        <v>21</v>
      </c>
      <c r="EJ28" s="334"/>
      <c r="EK28" s="334"/>
      <c r="EL28" s="334"/>
      <c r="EM28" s="334"/>
      <c r="EN28" s="334"/>
      <c r="EO28" s="334"/>
      <c r="EP28" s="334"/>
      <c r="EQ28" s="65" t="str">
        <f t="shared" si="45"/>
        <v>SA</v>
      </c>
      <c r="ER28" s="20"/>
      <c r="ES28" s="20"/>
      <c r="ET28" s="20"/>
      <c r="EU28" s="20"/>
      <c r="EV28" s="20"/>
      <c r="EW28" s="20"/>
      <c r="EX28" s="20"/>
    </row>
    <row r="29" spans="1:154" s="3" customFormat="1" ht="17.149999999999999" customHeight="1" x14ac:dyDescent="0.35">
      <c r="A29" s="56">
        <v>22</v>
      </c>
      <c r="B29" s="57">
        <v>910894</v>
      </c>
      <c r="C29" s="58">
        <f t="shared" si="6"/>
        <v>185</v>
      </c>
      <c r="D29" s="167">
        <v>10.38</v>
      </c>
      <c r="E29" s="59">
        <v>815514</v>
      </c>
      <c r="F29" s="58">
        <f t="shared" si="7"/>
        <v>203</v>
      </c>
      <c r="G29" s="168">
        <v>1.25</v>
      </c>
      <c r="H29" s="57">
        <v>768888</v>
      </c>
      <c r="I29" s="58">
        <f t="shared" si="0"/>
        <v>121</v>
      </c>
      <c r="J29" s="60" t="s">
        <v>338</v>
      </c>
      <c r="K29" s="56">
        <v>22</v>
      </c>
      <c r="L29" s="57">
        <v>71103</v>
      </c>
      <c r="M29" s="58">
        <f t="shared" si="8"/>
        <v>48</v>
      </c>
      <c r="N29" s="59">
        <v>181415</v>
      </c>
      <c r="O29" s="58">
        <f t="shared" si="9"/>
        <v>57</v>
      </c>
      <c r="P29" s="57">
        <v>194749</v>
      </c>
      <c r="Q29" s="169" t="str">
        <f t="shared" si="1"/>
        <v/>
      </c>
      <c r="R29" s="57">
        <v>689</v>
      </c>
      <c r="S29" s="57">
        <v>697</v>
      </c>
      <c r="T29" s="57">
        <v>145</v>
      </c>
      <c r="U29" s="57">
        <v>142</v>
      </c>
      <c r="V29" s="58" t="str">
        <f t="shared" si="10"/>
        <v>SA</v>
      </c>
      <c r="W29" s="56">
        <v>22</v>
      </c>
      <c r="X29" s="63">
        <v>12040.58</v>
      </c>
      <c r="Y29" s="130">
        <f t="shared" si="11"/>
        <v>2.7000000000007276</v>
      </c>
      <c r="Z29" s="63">
        <v>12810.35</v>
      </c>
      <c r="AA29" s="130">
        <f t="shared" si="12"/>
        <v>2.6499999999996362</v>
      </c>
      <c r="AB29" s="63">
        <v>10061.969999999999</v>
      </c>
      <c r="AC29" s="130">
        <f t="shared" si="13"/>
        <v>0.92000000000007276</v>
      </c>
      <c r="AD29" s="63">
        <v>10216.27</v>
      </c>
      <c r="AE29" s="130">
        <f t="shared" si="2"/>
        <v>2.2999999999992724</v>
      </c>
      <c r="AF29" s="125" t="str">
        <f t="shared" si="14"/>
        <v>SA</v>
      </c>
      <c r="AG29" s="56">
        <v>22</v>
      </c>
      <c r="AH29" s="63">
        <v>48198.3</v>
      </c>
      <c r="AI29" s="130">
        <f t="shared" si="15"/>
        <v>16.039999999993597</v>
      </c>
      <c r="AJ29" s="63">
        <v>50372.02</v>
      </c>
      <c r="AK29" s="130">
        <f t="shared" si="16"/>
        <v>8.7000000000043656</v>
      </c>
      <c r="AL29" s="63">
        <v>592.32000000000005</v>
      </c>
      <c r="AM29" s="130" t="str">
        <f t="shared" si="17"/>
        <v/>
      </c>
      <c r="AN29" s="63">
        <v>553.45000000000005</v>
      </c>
      <c r="AO29" s="130" t="str">
        <f t="shared" si="3"/>
        <v/>
      </c>
      <c r="AP29" s="125" t="str">
        <f t="shared" si="18"/>
        <v>SA</v>
      </c>
      <c r="AQ29" s="56">
        <v>22</v>
      </c>
      <c r="AR29" s="63">
        <v>6953.52</v>
      </c>
      <c r="AS29" s="130">
        <f t="shared" si="19"/>
        <v>2.3799999999991996</v>
      </c>
      <c r="AT29" s="63">
        <v>7778.86</v>
      </c>
      <c r="AU29" s="130">
        <f t="shared" si="20"/>
        <v>2.4900000000006912</v>
      </c>
      <c r="AV29" s="63">
        <v>261.22000000000003</v>
      </c>
      <c r="AW29" s="130">
        <f t="shared" si="21"/>
        <v>0.33999999999997499</v>
      </c>
      <c r="AX29" s="63">
        <v>247.56</v>
      </c>
      <c r="AY29" s="130" t="str">
        <f t="shared" si="4"/>
        <v/>
      </c>
      <c r="AZ29" s="125" t="str">
        <f t="shared" si="22"/>
        <v>SA</v>
      </c>
      <c r="BA29" s="56">
        <v>22</v>
      </c>
      <c r="BB29" s="64">
        <v>1.42</v>
      </c>
      <c r="BC29" s="62">
        <v>17</v>
      </c>
      <c r="BD29" s="61">
        <v>7.2</v>
      </c>
      <c r="BE29" s="61">
        <v>16.2</v>
      </c>
      <c r="BF29" s="61">
        <v>16.7</v>
      </c>
      <c r="BG29" s="61">
        <v>7.2</v>
      </c>
      <c r="BH29" s="64">
        <v>0.18099999999999999</v>
      </c>
      <c r="BI29" s="64">
        <v>0.153</v>
      </c>
      <c r="BJ29" s="64">
        <v>7.5999999999999998E-2</v>
      </c>
      <c r="BK29" s="64">
        <v>7.8E-2</v>
      </c>
      <c r="BL29" s="64">
        <v>5.8999999999999997E-2</v>
      </c>
      <c r="BM29" s="64">
        <v>5.8000000000000003E-2</v>
      </c>
      <c r="BN29" s="65" t="str">
        <f t="shared" si="23"/>
        <v>SA</v>
      </c>
      <c r="BO29" s="56">
        <v>22</v>
      </c>
      <c r="BP29" s="64">
        <v>9.5000000000000001E-2</v>
      </c>
      <c r="BQ29" s="62">
        <v>0</v>
      </c>
      <c r="BR29" s="61">
        <v>7.2</v>
      </c>
      <c r="BS29" s="61">
        <v>19.3</v>
      </c>
      <c r="BT29" s="61">
        <v>20.100000000000001</v>
      </c>
      <c r="BU29" s="64">
        <v>1.4E-2</v>
      </c>
      <c r="BV29" s="63">
        <v>1.1000000000000001</v>
      </c>
      <c r="BW29" s="63">
        <v>0.89</v>
      </c>
      <c r="BX29" s="66" t="s">
        <v>330</v>
      </c>
      <c r="BY29" s="172" t="s">
        <v>409</v>
      </c>
      <c r="BZ29" s="67" t="str">
        <f t="shared" si="24"/>
        <v>SA</v>
      </c>
      <c r="CA29" s="56">
        <v>22</v>
      </c>
      <c r="CB29" s="61">
        <v>86</v>
      </c>
      <c r="CC29" s="61"/>
      <c r="CD29" s="68">
        <f t="shared" si="25"/>
        <v>1.2000000000000028</v>
      </c>
      <c r="CE29" s="69">
        <f t="shared" si="26"/>
        <v>5.5851180000000138</v>
      </c>
      <c r="CF29" s="69">
        <f t="shared" si="27"/>
        <v>5.5389600000000137</v>
      </c>
      <c r="CG29" s="62">
        <v>61</v>
      </c>
      <c r="CH29" s="62">
        <v>100</v>
      </c>
      <c r="CI29" s="65" t="str">
        <f t="shared" si="28"/>
        <v>SA</v>
      </c>
      <c r="CJ29" s="56">
        <v>22</v>
      </c>
      <c r="CK29" s="61">
        <v>77.7</v>
      </c>
      <c r="CL29" s="61"/>
      <c r="CM29" s="68">
        <f t="shared" si="29"/>
        <v>1.7999999999999972</v>
      </c>
      <c r="CN29" s="68">
        <f t="shared" si="30"/>
        <v>8.3776769999999878</v>
      </c>
      <c r="CO29" s="68">
        <f t="shared" si="31"/>
        <v>18.007477075945921</v>
      </c>
      <c r="CP29" s="62">
        <v>55</v>
      </c>
      <c r="CQ29" s="62">
        <v>83</v>
      </c>
      <c r="CR29" s="65" t="str">
        <f t="shared" si="32"/>
        <v>SA</v>
      </c>
      <c r="CS29" s="56">
        <v>22</v>
      </c>
      <c r="CT29" s="61">
        <v>101.1</v>
      </c>
      <c r="CU29" s="61"/>
      <c r="CV29" s="68">
        <f t="shared" si="33"/>
        <v>1.8999999999999915</v>
      </c>
      <c r="CW29" s="68">
        <f t="shared" si="34"/>
        <v>12.624055999999943</v>
      </c>
      <c r="CX29" s="69">
        <f t="shared" si="35"/>
        <v>6.8238140540540226E-2</v>
      </c>
      <c r="CY29" s="66" t="s">
        <v>240</v>
      </c>
      <c r="CZ29" s="66" t="s">
        <v>241</v>
      </c>
      <c r="DA29" s="66"/>
      <c r="DB29" s="65" t="str">
        <f t="shared" si="36"/>
        <v>SA</v>
      </c>
      <c r="DC29" s="56">
        <v>22</v>
      </c>
      <c r="DD29" s="61">
        <v>87.2</v>
      </c>
      <c r="DE29" s="61">
        <v>105.6</v>
      </c>
      <c r="DF29" s="68">
        <f t="shared" si="37"/>
        <v>16.899999999999991</v>
      </c>
      <c r="DG29" s="69">
        <f t="shared" si="38"/>
        <v>0.9117757667199996</v>
      </c>
      <c r="DH29" s="68">
        <f t="shared" si="39"/>
        <v>4.9285176579459442</v>
      </c>
      <c r="DI29" s="62">
        <v>90</v>
      </c>
      <c r="DJ29" s="62">
        <v>54</v>
      </c>
      <c r="DK29" s="65" t="str">
        <f t="shared" si="40"/>
        <v>SA</v>
      </c>
      <c r="DL29" s="56">
        <v>22</v>
      </c>
      <c r="DM29" s="63">
        <v>8.44</v>
      </c>
      <c r="DN29" s="64">
        <v>3.1E-2</v>
      </c>
      <c r="DO29" s="64">
        <v>3.1E-2</v>
      </c>
      <c r="DP29" s="64">
        <v>7.1999999999999995E-2</v>
      </c>
      <c r="DQ29" s="63">
        <v>7.14</v>
      </c>
      <c r="DR29" s="61">
        <v>19.3</v>
      </c>
      <c r="DS29" s="64">
        <v>1.0529999999999999</v>
      </c>
      <c r="DT29" s="61">
        <v>86.5</v>
      </c>
      <c r="DU29" s="63">
        <v>4.37</v>
      </c>
      <c r="DV29" s="64">
        <v>0.71099999999999997</v>
      </c>
      <c r="DW29" s="64">
        <v>1.35</v>
      </c>
      <c r="DX29" s="66" t="s">
        <v>247</v>
      </c>
      <c r="DY29" s="65" t="str">
        <f t="shared" si="41"/>
        <v>SA</v>
      </c>
      <c r="DZ29" s="128">
        <v>22</v>
      </c>
      <c r="EA29" s="173">
        <f t="shared" si="42"/>
        <v>0.12366310160427807</v>
      </c>
      <c r="EB29" s="173">
        <f t="shared" si="43"/>
        <v>0.14926470588235294</v>
      </c>
      <c r="EC29" s="173">
        <f t="shared" si="44"/>
        <v>0.65405405405405403</v>
      </c>
      <c r="ED29" s="63">
        <v>1.01</v>
      </c>
      <c r="EE29" s="63">
        <v>1.0900000000000001</v>
      </c>
      <c r="EF29" s="63">
        <v>0.05</v>
      </c>
      <c r="EG29" s="63">
        <v>0.1</v>
      </c>
      <c r="EH29" s="127" t="str">
        <f t="shared" si="5"/>
        <v>SA</v>
      </c>
      <c r="EI29" s="56">
        <v>22</v>
      </c>
      <c r="EJ29" s="334"/>
      <c r="EK29" s="334"/>
      <c r="EL29" s="334"/>
      <c r="EM29" s="334"/>
      <c r="EN29" s="334"/>
      <c r="EO29" s="334"/>
      <c r="EP29" s="334"/>
      <c r="EQ29" s="65" t="str">
        <f t="shared" si="45"/>
        <v>SA</v>
      </c>
      <c r="ER29" s="20"/>
      <c r="ES29" s="20"/>
      <c r="ET29" s="20"/>
      <c r="EU29" s="20"/>
      <c r="EV29" s="20"/>
      <c r="EW29" s="20"/>
      <c r="EX29" s="20"/>
    </row>
    <row r="30" spans="1:154" s="3" customFormat="1" ht="17.149999999999999" customHeight="1" x14ac:dyDescent="0.35">
      <c r="A30" s="56">
        <v>23</v>
      </c>
      <c r="B30" s="57">
        <v>911079</v>
      </c>
      <c r="C30" s="58">
        <f t="shared" si="6"/>
        <v>197</v>
      </c>
      <c r="D30" s="167">
        <v>9.82</v>
      </c>
      <c r="E30" s="59">
        <v>815717</v>
      </c>
      <c r="F30" s="58">
        <f t="shared" si="7"/>
        <v>223</v>
      </c>
      <c r="G30" s="168">
        <v>2.4300000000000002</v>
      </c>
      <c r="H30" s="57">
        <v>769009</v>
      </c>
      <c r="I30" s="58">
        <f t="shared" si="0"/>
        <v>174</v>
      </c>
      <c r="J30" s="60" t="s">
        <v>338</v>
      </c>
      <c r="K30" s="56">
        <v>23</v>
      </c>
      <c r="L30" s="57">
        <v>71151</v>
      </c>
      <c r="M30" s="58" t="str">
        <f t="shared" si="8"/>
        <v/>
      </c>
      <c r="N30" s="59">
        <v>181472</v>
      </c>
      <c r="O30" s="58">
        <f t="shared" si="9"/>
        <v>49</v>
      </c>
      <c r="P30" s="57">
        <v>194749</v>
      </c>
      <c r="Q30" s="169" t="str">
        <f t="shared" si="1"/>
        <v/>
      </c>
      <c r="R30" s="57">
        <v>690</v>
      </c>
      <c r="S30" s="57">
        <v>697</v>
      </c>
      <c r="T30" s="57">
        <v>145</v>
      </c>
      <c r="U30" s="57">
        <v>142</v>
      </c>
      <c r="V30" s="58" t="str">
        <f t="shared" si="10"/>
        <v>SA</v>
      </c>
      <c r="W30" s="56">
        <v>23</v>
      </c>
      <c r="X30" s="63">
        <v>12043.28</v>
      </c>
      <c r="Y30" s="130">
        <f t="shared" si="11"/>
        <v>2.7699999999986176</v>
      </c>
      <c r="Z30" s="63">
        <v>12813</v>
      </c>
      <c r="AA30" s="130">
        <f t="shared" si="12"/>
        <v>2.8899999999994179</v>
      </c>
      <c r="AB30" s="63">
        <v>10062.89</v>
      </c>
      <c r="AC30" s="130">
        <f t="shared" si="13"/>
        <v>2.3100000000013097</v>
      </c>
      <c r="AD30" s="63">
        <v>10218.57</v>
      </c>
      <c r="AE30" s="130">
        <f t="shared" si="2"/>
        <v>2.3299999999999272</v>
      </c>
      <c r="AF30" s="125" t="str">
        <f t="shared" si="14"/>
        <v>SA</v>
      </c>
      <c r="AG30" s="56">
        <v>23</v>
      </c>
      <c r="AH30" s="63">
        <v>48214.34</v>
      </c>
      <c r="AI30" s="130">
        <f t="shared" si="15"/>
        <v>11.780000000006112</v>
      </c>
      <c r="AJ30" s="63">
        <v>50380.72</v>
      </c>
      <c r="AK30" s="130">
        <f t="shared" si="16"/>
        <v>15.309999999997672</v>
      </c>
      <c r="AL30" s="63">
        <v>592.32000000000005</v>
      </c>
      <c r="AM30" s="130" t="str">
        <f t="shared" si="17"/>
        <v/>
      </c>
      <c r="AN30" s="63">
        <v>553.45000000000005</v>
      </c>
      <c r="AO30" s="130" t="str">
        <f t="shared" si="3"/>
        <v/>
      </c>
      <c r="AP30" s="125" t="str">
        <f t="shared" si="18"/>
        <v>SA</v>
      </c>
      <c r="AQ30" s="56">
        <v>23</v>
      </c>
      <c r="AR30" s="63">
        <v>6955.9</v>
      </c>
      <c r="AS30" s="130">
        <f t="shared" si="19"/>
        <v>2.660000000000764</v>
      </c>
      <c r="AT30" s="63">
        <v>7781.35</v>
      </c>
      <c r="AU30" s="130">
        <f t="shared" si="20"/>
        <v>2.6700000000000728</v>
      </c>
      <c r="AV30" s="63">
        <v>261.56</v>
      </c>
      <c r="AW30" s="130" t="str">
        <f t="shared" si="21"/>
        <v/>
      </c>
      <c r="AX30" s="63">
        <v>247.56</v>
      </c>
      <c r="AY30" s="130" t="str">
        <f t="shared" si="4"/>
        <v/>
      </c>
      <c r="AZ30" s="125" t="str">
        <f t="shared" si="22"/>
        <v>SA</v>
      </c>
      <c r="BA30" s="56">
        <v>23</v>
      </c>
      <c r="BB30" s="64">
        <v>1.52</v>
      </c>
      <c r="BC30" s="62">
        <v>56</v>
      </c>
      <c r="BD30" s="61">
        <v>7.2</v>
      </c>
      <c r="BE30" s="61">
        <v>15.6</v>
      </c>
      <c r="BF30" s="61">
        <v>16.2</v>
      </c>
      <c r="BG30" s="61">
        <v>7.2</v>
      </c>
      <c r="BH30" s="64">
        <v>0.22600000000000001</v>
      </c>
      <c r="BI30" s="64">
        <v>0.23799999999999999</v>
      </c>
      <c r="BJ30" s="64">
        <v>6.8000000000000005E-2</v>
      </c>
      <c r="BK30" s="64">
        <v>7.3999999999999996E-2</v>
      </c>
      <c r="BL30" s="64">
        <v>6.6000000000000003E-2</v>
      </c>
      <c r="BM30" s="64">
        <v>6.4000000000000001E-2</v>
      </c>
      <c r="BN30" s="65" t="str">
        <f t="shared" si="23"/>
        <v>SA</v>
      </c>
      <c r="BO30" s="56">
        <v>23</v>
      </c>
      <c r="BP30" s="64">
        <v>9.6000000000000002E-2</v>
      </c>
      <c r="BQ30" s="62">
        <v>0</v>
      </c>
      <c r="BR30" s="61">
        <v>7.3</v>
      </c>
      <c r="BS30" s="61">
        <v>19.3</v>
      </c>
      <c r="BT30" s="61">
        <v>17.399999999999999</v>
      </c>
      <c r="BU30" s="64">
        <v>1.7999999999999999E-2</v>
      </c>
      <c r="BV30" s="63">
        <v>1.05</v>
      </c>
      <c r="BW30" s="63">
        <v>0.88</v>
      </c>
      <c r="BX30" s="66" t="s">
        <v>330</v>
      </c>
      <c r="BY30" s="172" t="s">
        <v>409</v>
      </c>
      <c r="BZ30" s="67" t="str">
        <f t="shared" si="24"/>
        <v>SA</v>
      </c>
      <c r="CA30" s="56">
        <v>23</v>
      </c>
      <c r="CB30" s="61">
        <v>84.8</v>
      </c>
      <c r="CC30" s="61"/>
      <c r="CD30" s="68">
        <f t="shared" si="25"/>
        <v>1.7000000000000028</v>
      </c>
      <c r="CE30" s="69">
        <f t="shared" si="26"/>
        <v>7.9122505000000141</v>
      </c>
      <c r="CF30" s="69">
        <f t="shared" si="27"/>
        <v>5.4567244827586308</v>
      </c>
      <c r="CG30" s="62">
        <v>61</v>
      </c>
      <c r="CH30" s="62">
        <v>100</v>
      </c>
      <c r="CI30" s="65" t="str">
        <f t="shared" si="28"/>
        <v>SA</v>
      </c>
      <c r="CJ30" s="56">
        <v>23</v>
      </c>
      <c r="CK30" s="61">
        <v>75.900000000000006</v>
      </c>
      <c r="CL30" s="61">
        <v>97.8</v>
      </c>
      <c r="CM30" s="68">
        <f t="shared" si="29"/>
        <v>2.2999999999999972</v>
      </c>
      <c r="CN30" s="68">
        <f t="shared" si="30"/>
        <v>10.704809499999987</v>
      </c>
      <c r="CO30" s="68">
        <f t="shared" si="31"/>
        <v>21.607956840989822</v>
      </c>
      <c r="CP30" s="62">
        <v>55</v>
      </c>
      <c r="CQ30" s="62">
        <v>83</v>
      </c>
      <c r="CR30" s="65" t="str">
        <f t="shared" si="32"/>
        <v>SA</v>
      </c>
      <c r="CS30" s="56">
        <v>23</v>
      </c>
      <c r="CT30" s="61">
        <v>99.2</v>
      </c>
      <c r="CU30" s="61">
        <v>94.6</v>
      </c>
      <c r="CV30" s="68">
        <f t="shared" si="33"/>
        <v>1.8999999999999915</v>
      </c>
      <c r="CW30" s="68">
        <f t="shared" si="34"/>
        <v>12.624055999999943</v>
      </c>
      <c r="CX30" s="69">
        <f t="shared" si="35"/>
        <v>6.4081502538070781E-2</v>
      </c>
      <c r="CY30" s="66" t="s">
        <v>240</v>
      </c>
      <c r="CZ30" s="66" t="s">
        <v>241</v>
      </c>
      <c r="DA30" s="66" t="s">
        <v>242</v>
      </c>
      <c r="DB30" s="65" t="str">
        <f t="shared" si="36"/>
        <v>SA</v>
      </c>
      <c r="DC30" s="56">
        <v>23</v>
      </c>
      <c r="DD30" s="61">
        <v>88.7</v>
      </c>
      <c r="DE30" s="61">
        <v>106.6</v>
      </c>
      <c r="DF30" s="68">
        <f t="shared" si="37"/>
        <v>19.899999999999991</v>
      </c>
      <c r="DG30" s="69">
        <f t="shared" si="38"/>
        <v>1.0736294531199995</v>
      </c>
      <c r="DH30" s="68">
        <f t="shared" si="39"/>
        <v>5.4498957011167484</v>
      </c>
      <c r="DI30" s="62">
        <v>90</v>
      </c>
      <c r="DJ30" s="62">
        <v>54</v>
      </c>
      <c r="DK30" s="65" t="str">
        <f t="shared" si="40"/>
        <v>SA</v>
      </c>
      <c r="DL30" s="56">
        <v>23</v>
      </c>
      <c r="DM30" s="63">
        <v>8.42</v>
      </c>
      <c r="DN30" s="64">
        <v>3.1E-2</v>
      </c>
      <c r="DO30" s="64">
        <v>3.5000000000000003E-2</v>
      </c>
      <c r="DP30" s="64">
        <v>7.1999999999999995E-2</v>
      </c>
      <c r="DQ30" s="63">
        <v>7.17</v>
      </c>
      <c r="DR30" s="61">
        <v>19.3</v>
      </c>
      <c r="DS30" s="64">
        <v>1.046</v>
      </c>
      <c r="DT30" s="61">
        <v>88.6</v>
      </c>
      <c r="DU30" s="63">
        <v>4.25</v>
      </c>
      <c r="DV30" s="64">
        <v>1.3979999999999999</v>
      </c>
      <c r="DW30" s="64">
        <v>2.02</v>
      </c>
      <c r="DX30" s="66" t="s">
        <v>242</v>
      </c>
      <c r="DY30" s="65" t="str">
        <f t="shared" si="41"/>
        <v>SA</v>
      </c>
      <c r="DZ30" s="128">
        <v>23</v>
      </c>
      <c r="EA30" s="173">
        <f t="shared" si="42"/>
        <v>0.13168449197860962</v>
      </c>
      <c r="EB30" s="173">
        <f t="shared" si="43"/>
        <v>0.16397058823529412</v>
      </c>
      <c r="EC30" s="173">
        <f t="shared" si="44"/>
        <v>0.88324873096446699</v>
      </c>
      <c r="ED30" s="63">
        <v>1.01</v>
      </c>
      <c r="EE30" s="63">
        <v>1.08</v>
      </c>
      <c r="EF30" s="63">
        <v>0.05</v>
      </c>
      <c r="EG30" s="63">
        <v>0.09</v>
      </c>
      <c r="EH30" s="127" t="str">
        <f t="shared" si="5"/>
        <v>SA</v>
      </c>
      <c r="EI30" s="56">
        <v>23</v>
      </c>
      <c r="EJ30" s="334"/>
      <c r="EK30" s="334"/>
      <c r="EL30" s="334"/>
      <c r="EM30" s="334"/>
      <c r="EN30" s="334"/>
      <c r="EO30" s="334"/>
      <c r="EP30" s="334"/>
      <c r="EQ30" s="65" t="str">
        <f t="shared" si="45"/>
        <v>SA</v>
      </c>
      <c r="ER30" s="20"/>
      <c r="ES30" s="20"/>
      <c r="ET30" s="20"/>
      <c r="EU30" s="20"/>
      <c r="EV30" s="20"/>
      <c r="EW30" s="20"/>
      <c r="EX30" s="20"/>
    </row>
    <row r="31" spans="1:154" s="3" customFormat="1" ht="17.149999999999999" customHeight="1" x14ac:dyDescent="0.35">
      <c r="A31" s="56">
        <v>24</v>
      </c>
      <c r="B31" s="57">
        <v>911276</v>
      </c>
      <c r="C31" s="58">
        <f t="shared" si="6"/>
        <v>95</v>
      </c>
      <c r="D31" s="167">
        <v>9.93</v>
      </c>
      <c r="E31" s="59">
        <v>815940</v>
      </c>
      <c r="F31" s="58">
        <f t="shared" si="7"/>
        <v>107</v>
      </c>
      <c r="G31" s="168">
        <v>1.44</v>
      </c>
      <c r="H31" s="57">
        <v>769183</v>
      </c>
      <c r="I31" s="58">
        <f t="shared" si="0"/>
        <v>84</v>
      </c>
      <c r="J31" s="60" t="s">
        <v>338</v>
      </c>
      <c r="K31" s="56">
        <v>24</v>
      </c>
      <c r="L31" s="57">
        <v>71151</v>
      </c>
      <c r="M31" s="58" t="str">
        <f t="shared" si="8"/>
        <v/>
      </c>
      <c r="N31" s="59">
        <v>181521</v>
      </c>
      <c r="O31" s="58">
        <f t="shared" si="9"/>
        <v>16</v>
      </c>
      <c r="P31" s="57">
        <v>194749</v>
      </c>
      <c r="Q31" s="169" t="str">
        <f t="shared" si="1"/>
        <v/>
      </c>
      <c r="R31" s="57">
        <v>690</v>
      </c>
      <c r="S31" s="57">
        <v>697</v>
      </c>
      <c r="T31" s="57">
        <v>145</v>
      </c>
      <c r="U31" s="57">
        <v>142</v>
      </c>
      <c r="V31" s="58" t="str">
        <f t="shared" si="10"/>
        <v>SA</v>
      </c>
      <c r="W31" s="56">
        <v>24</v>
      </c>
      <c r="X31" s="63">
        <v>12046.05</v>
      </c>
      <c r="Y31" s="130">
        <f t="shared" si="11"/>
        <v>2.6400000000012369</v>
      </c>
      <c r="Z31" s="63">
        <v>12815.89</v>
      </c>
      <c r="AA31" s="130" t="str">
        <f t="shared" si="12"/>
        <v/>
      </c>
      <c r="AB31" s="63">
        <v>10065.200000000001</v>
      </c>
      <c r="AC31" s="130">
        <f t="shared" si="13"/>
        <v>2.2299999999995634</v>
      </c>
      <c r="AD31" s="63">
        <v>10220.9</v>
      </c>
      <c r="AE31" s="130" t="str">
        <f t="shared" si="2"/>
        <v/>
      </c>
      <c r="AF31" s="125" t="str">
        <f t="shared" si="14"/>
        <v>SA</v>
      </c>
      <c r="AG31" s="56">
        <v>24</v>
      </c>
      <c r="AH31" s="63">
        <v>48226.12</v>
      </c>
      <c r="AI31" s="130">
        <f t="shared" si="15"/>
        <v>10.229999999995925</v>
      </c>
      <c r="AJ31" s="63">
        <v>50396.03</v>
      </c>
      <c r="AK31" s="130">
        <f t="shared" si="16"/>
        <v>6.9500000000043656</v>
      </c>
      <c r="AL31" s="63">
        <v>592.32000000000005</v>
      </c>
      <c r="AM31" s="130" t="str">
        <f t="shared" si="17"/>
        <v/>
      </c>
      <c r="AN31" s="63">
        <v>553.45000000000005</v>
      </c>
      <c r="AO31" s="130" t="str">
        <f t="shared" si="3"/>
        <v/>
      </c>
      <c r="AP31" s="125" t="str">
        <f t="shared" si="18"/>
        <v>SA</v>
      </c>
      <c r="AQ31" s="56">
        <v>24</v>
      </c>
      <c r="AR31" s="63">
        <v>6958.56</v>
      </c>
      <c r="AS31" s="130">
        <f t="shared" si="19"/>
        <v>1.0099999999993088</v>
      </c>
      <c r="AT31" s="63">
        <v>7784.02</v>
      </c>
      <c r="AU31" s="130">
        <f t="shared" si="20"/>
        <v>0.75999999999930878</v>
      </c>
      <c r="AV31" s="63">
        <v>261.56</v>
      </c>
      <c r="AW31" s="130" t="str">
        <f t="shared" si="21"/>
        <v/>
      </c>
      <c r="AX31" s="63">
        <v>247.56</v>
      </c>
      <c r="AY31" s="130" t="str">
        <f t="shared" si="4"/>
        <v/>
      </c>
      <c r="AZ31" s="125" t="str">
        <f t="shared" si="22"/>
        <v>SA</v>
      </c>
      <c r="BA31" s="56">
        <v>24</v>
      </c>
      <c r="BB31" s="64"/>
      <c r="BC31" s="62"/>
      <c r="BD31" s="61"/>
      <c r="BE31" s="61"/>
      <c r="BF31" s="61"/>
      <c r="BG31" s="61"/>
      <c r="BH31" s="64"/>
      <c r="BI31" s="64"/>
      <c r="BJ31" s="64"/>
      <c r="BK31" s="64"/>
      <c r="BL31" s="64"/>
      <c r="BM31" s="64"/>
      <c r="BN31" s="65" t="str">
        <f t="shared" si="23"/>
        <v>SA</v>
      </c>
      <c r="BO31" s="56">
        <v>24</v>
      </c>
      <c r="BP31" s="64">
        <v>9.5000000000000001E-2</v>
      </c>
      <c r="BQ31" s="62">
        <v>0</v>
      </c>
      <c r="BR31" s="61">
        <v>7.3</v>
      </c>
      <c r="BS31" s="61">
        <v>19.2</v>
      </c>
      <c r="BT31" s="61">
        <v>15.9</v>
      </c>
      <c r="BU31" s="64">
        <v>1.4999999999999999E-2</v>
      </c>
      <c r="BV31" s="63">
        <v>1.17</v>
      </c>
      <c r="BW31" s="63">
        <v>0.89</v>
      </c>
      <c r="BX31" s="66" t="s">
        <v>331</v>
      </c>
      <c r="BY31" s="172" t="s">
        <v>409</v>
      </c>
      <c r="BZ31" s="67" t="str">
        <f t="shared" si="24"/>
        <v>SA</v>
      </c>
      <c r="CA31" s="56">
        <v>24</v>
      </c>
      <c r="CB31" s="61">
        <v>83.1</v>
      </c>
      <c r="CC31" s="61"/>
      <c r="CD31" s="68">
        <f t="shared" si="25"/>
        <v>0.79999999999999716</v>
      </c>
      <c r="CE31" s="69">
        <f t="shared" si="26"/>
        <v>3.7234119999999873</v>
      </c>
      <c r="CF31" s="69">
        <f t="shared" si="27"/>
        <v>5.3191599999999815</v>
      </c>
      <c r="CG31" s="62">
        <v>61</v>
      </c>
      <c r="CH31" s="62">
        <v>100</v>
      </c>
      <c r="CI31" s="65" t="str">
        <f t="shared" si="28"/>
        <v>SA</v>
      </c>
      <c r="CJ31" s="56">
        <v>24</v>
      </c>
      <c r="CK31" s="61">
        <v>95.5</v>
      </c>
      <c r="CL31" s="61"/>
      <c r="CM31" s="68">
        <f t="shared" si="29"/>
        <v>1.2999999999999972</v>
      </c>
      <c r="CN31" s="68">
        <f t="shared" si="30"/>
        <v>6.0505444999999876</v>
      </c>
      <c r="CO31" s="68">
        <f t="shared" si="31"/>
        <v>25.326305478157845</v>
      </c>
      <c r="CP31" s="62">
        <v>55</v>
      </c>
      <c r="CQ31" s="62">
        <v>83</v>
      </c>
      <c r="CR31" s="65" t="str">
        <f t="shared" si="32"/>
        <v>SA</v>
      </c>
      <c r="CS31" s="56">
        <v>24</v>
      </c>
      <c r="CT31" s="61">
        <v>92.7</v>
      </c>
      <c r="CU31" s="61"/>
      <c r="CV31" s="68">
        <f t="shared" si="33"/>
        <v>1.2000000000000028</v>
      </c>
      <c r="CW31" s="68">
        <f t="shared" si="34"/>
        <v>7.9730880000000193</v>
      </c>
      <c r="CX31" s="69">
        <f t="shared" si="35"/>
        <v>8.3927242105263367E-2</v>
      </c>
      <c r="CY31" s="66" t="s">
        <v>240</v>
      </c>
      <c r="CZ31" s="66" t="s">
        <v>241</v>
      </c>
      <c r="DA31" s="66"/>
      <c r="DB31" s="65" t="str">
        <f t="shared" si="36"/>
        <v>SA</v>
      </c>
      <c r="DC31" s="56">
        <v>24</v>
      </c>
      <c r="DD31" s="61">
        <v>86.7</v>
      </c>
      <c r="DE31" s="61">
        <v>107</v>
      </c>
      <c r="DF31" s="68">
        <f t="shared" si="37"/>
        <v>11.700000000000003</v>
      </c>
      <c r="DG31" s="69">
        <f t="shared" si="38"/>
        <v>0.63122937696000014</v>
      </c>
      <c r="DH31" s="68">
        <f t="shared" si="39"/>
        <v>6.6445197574736863</v>
      </c>
      <c r="DI31" s="62">
        <v>90</v>
      </c>
      <c r="DJ31" s="62">
        <v>54</v>
      </c>
      <c r="DK31" s="65" t="str">
        <f t="shared" si="40"/>
        <v>SA</v>
      </c>
      <c r="DL31" s="56">
        <v>24</v>
      </c>
      <c r="DM31" s="63">
        <v>8.39</v>
      </c>
      <c r="DN31" s="64">
        <v>0.03</v>
      </c>
      <c r="DO31" s="64">
        <v>3.3000000000000002E-2</v>
      </c>
      <c r="DP31" s="64">
        <v>7.0000000000000007E-2</v>
      </c>
      <c r="DQ31" s="63">
        <v>7.18</v>
      </c>
      <c r="DR31" s="61">
        <v>19.2</v>
      </c>
      <c r="DS31" s="64">
        <v>1.03</v>
      </c>
      <c r="DT31" s="61">
        <v>87.5</v>
      </c>
      <c r="DU31" s="63">
        <v>4.28</v>
      </c>
      <c r="DV31" s="64">
        <v>0.72499999999999998</v>
      </c>
      <c r="DW31" s="64">
        <v>1.01</v>
      </c>
      <c r="DX31" s="66" t="s">
        <v>242</v>
      </c>
      <c r="DY31" s="65" t="str">
        <f t="shared" si="41"/>
        <v>SA</v>
      </c>
      <c r="DZ31" s="128">
        <v>24</v>
      </c>
      <c r="EA31" s="173">
        <f t="shared" si="42"/>
        <v>6.3502673796791448E-2</v>
      </c>
      <c r="EB31" s="173">
        <f t="shared" si="43"/>
        <v>7.8676470588235292E-2</v>
      </c>
      <c r="EC31" s="173">
        <f t="shared" si="44"/>
        <v>0.88421052631578945</v>
      </c>
      <c r="ED31" s="63">
        <v>0.96</v>
      </c>
      <c r="EE31" s="63">
        <v>1.07</v>
      </c>
      <c r="EF31" s="63" t="s">
        <v>440</v>
      </c>
      <c r="EG31" s="63">
        <v>0.09</v>
      </c>
      <c r="EH31" s="127" t="str">
        <f t="shared" si="5"/>
        <v>SA</v>
      </c>
      <c r="EI31" s="56">
        <v>24</v>
      </c>
      <c r="EJ31" s="334"/>
      <c r="EK31" s="334"/>
      <c r="EL31" s="334"/>
      <c r="EM31" s="334"/>
      <c r="EN31" s="334"/>
      <c r="EO31" s="334"/>
      <c r="EP31" s="334"/>
      <c r="EQ31" s="65" t="str">
        <f t="shared" si="45"/>
        <v>SA</v>
      </c>
      <c r="ER31" s="20"/>
      <c r="ES31" s="20"/>
      <c r="ET31" s="20"/>
      <c r="EU31" s="20"/>
      <c r="EV31" s="20"/>
      <c r="EW31" s="20"/>
      <c r="EX31" s="20"/>
    </row>
    <row r="32" spans="1:154" s="3" customFormat="1" ht="17.149999999999999" customHeight="1" x14ac:dyDescent="0.35">
      <c r="A32" s="56">
        <v>25</v>
      </c>
      <c r="B32" s="57">
        <v>911371</v>
      </c>
      <c r="C32" s="58">
        <f t="shared" si="6"/>
        <v>127</v>
      </c>
      <c r="D32" s="167">
        <v>9.9700000000000006</v>
      </c>
      <c r="E32" s="59">
        <v>816047</v>
      </c>
      <c r="F32" s="58">
        <f t="shared" si="7"/>
        <v>189</v>
      </c>
      <c r="G32" s="168">
        <v>1.35</v>
      </c>
      <c r="H32" s="57">
        <v>769267</v>
      </c>
      <c r="I32" s="58">
        <f t="shared" si="0"/>
        <v>119</v>
      </c>
      <c r="J32" s="60" t="s">
        <v>338</v>
      </c>
      <c r="K32" s="56">
        <v>25</v>
      </c>
      <c r="L32" s="57">
        <v>71151</v>
      </c>
      <c r="M32" s="58" t="str">
        <f t="shared" si="8"/>
        <v/>
      </c>
      <c r="N32" s="59">
        <v>181537</v>
      </c>
      <c r="O32" s="58">
        <f t="shared" si="9"/>
        <v>22</v>
      </c>
      <c r="P32" s="57">
        <v>194749</v>
      </c>
      <c r="Q32" s="169" t="str">
        <f t="shared" si="1"/>
        <v/>
      </c>
      <c r="R32" s="57">
        <v>690</v>
      </c>
      <c r="S32" s="57">
        <v>697</v>
      </c>
      <c r="T32" s="57">
        <v>145</v>
      </c>
      <c r="U32" s="57">
        <v>142</v>
      </c>
      <c r="V32" s="58" t="str">
        <f t="shared" si="10"/>
        <v>SA</v>
      </c>
      <c r="W32" s="56">
        <v>25</v>
      </c>
      <c r="X32" s="63">
        <v>12048.69</v>
      </c>
      <c r="Y32" s="130">
        <f t="shared" si="11"/>
        <v>0.57999999999992724</v>
      </c>
      <c r="Z32" s="63">
        <v>12815.89</v>
      </c>
      <c r="AA32" s="130">
        <f t="shared" si="12"/>
        <v>2.7100000000009459</v>
      </c>
      <c r="AB32" s="63">
        <v>10067.43</v>
      </c>
      <c r="AC32" s="130">
        <f t="shared" si="13"/>
        <v>0.86999999999898137</v>
      </c>
      <c r="AD32" s="63">
        <v>10220.9</v>
      </c>
      <c r="AE32" s="130">
        <f t="shared" si="2"/>
        <v>2.3400000000001455</v>
      </c>
      <c r="AF32" s="125" t="str">
        <f t="shared" si="14"/>
        <v>SA</v>
      </c>
      <c r="AG32" s="56">
        <v>25</v>
      </c>
      <c r="AH32" s="63">
        <v>48236.35</v>
      </c>
      <c r="AI32" s="130">
        <f t="shared" si="15"/>
        <v>10.090000000003783</v>
      </c>
      <c r="AJ32" s="63">
        <v>50402.98</v>
      </c>
      <c r="AK32" s="130">
        <f t="shared" si="16"/>
        <v>17.049999999995634</v>
      </c>
      <c r="AL32" s="63">
        <v>592.32000000000005</v>
      </c>
      <c r="AM32" s="130" t="str">
        <f t="shared" si="17"/>
        <v/>
      </c>
      <c r="AN32" s="63">
        <v>553.45000000000005</v>
      </c>
      <c r="AO32" s="130" t="str">
        <f t="shared" si="3"/>
        <v/>
      </c>
      <c r="AP32" s="125" t="str">
        <f t="shared" si="18"/>
        <v>SA</v>
      </c>
      <c r="AQ32" s="56">
        <v>25</v>
      </c>
      <c r="AR32" s="63">
        <v>6959.57</v>
      </c>
      <c r="AS32" s="130">
        <f t="shared" si="19"/>
        <v>1.1500000000005457</v>
      </c>
      <c r="AT32" s="63">
        <v>7784.78</v>
      </c>
      <c r="AU32" s="130">
        <f t="shared" si="20"/>
        <v>2.2400000000006912</v>
      </c>
      <c r="AV32" s="63">
        <v>261.56</v>
      </c>
      <c r="AW32" s="130" t="str">
        <f t="shared" si="21"/>
        <v/>
      </c>
      <c r="AX32" s="63">
        <v>247.56</v>
      </c>
      <c r="AY32" s="130" t="str">
        <f t="shared" si="4"/>
        <v/>
      </c>
      <c r="AZ32" s="125" t="str">
        <f t="shared" si="22"/>
        <v>SA</v>
      </c>
      <c r="BA32" s="56">
        <v>25</v>
      </c>
      <c r="BB32" s="64"/>
      <c r="BC32" s="62"/>
      <c r="BD32" s="61"/>
      <c r="BE32" s="61"/>
      <c r="BF32" s="61"/>
      <c r="BG32" s="61"/>
      <c r="BH32" s="64"/>
      <c r="BI32" s="64"/>
      <c r="BJ32" s="64"/>
      <c r="BK32" s="64"/>
      <c r="BL32" s="64"/>
      <c r="BM32" s="64"/>
      <c r="BN32" s="65" t="str">
        <f t="shared" si="23"/>
        <v>SA</v>
      </c>
      <c r="BO32" s="56">
        <v>25</v>
      </c>
      <c r="BP32" s="64">
        <v>9.9000000000000005E-2</v>
      </c>
      <c r="BQ32" s="62">
        <v>0</v>
      </c>
      <c r="BR32" s="61">
        <v>7.2</v>
      </c>
      <c r="BS32" s="61">
        <v>19.3</v>
      </c>
      <c r="BT32" s="61">
        <v>18.3</v>
      </c>
      <c r="BU32" s="64">
        <v>1.2E-2</v>
      </c>
      <c r="BV32" s="63">
        <v>1.07</v>
      </c>
      <c r="BW32" s="63">
        <v>0.87</v>
      </c>
      <c r="BX32" s="66" t="s">
        <v>310</v>
      </c>
      <c r="BY32" s="172" t="s">
        <v>409</v>
      </c>
      <c r="BZ32" s="67" t="str">
        <f t="shared" si="24"/>
        <v>SA</v>
      </c>
      <c r="CA32" s="56">
        <v>25</v>
      </c>
      <c r="CB32" s="61">
        <v>82.3</v>
      </c>
      <c r="CC32" s="61"/>
      <c r="CD32" s="68">
        <f t="shared" si="25"/>
        <v>1.0999999999999943</v>
      </c>
      <c r="CE32" s="69">
        <f t="shared" si="26"/>
        <v>5.1196914999999734</v>
      </c>
      <c r="CF32" s="69">
        <f t="shared" si="27"/>
        <v>5.1627141176470319</v>
      </c>
      <c r="CG32" s="62">
        <v>61</v>
      </c>
      <c r="CH32" s="62">
        <v>100</v>
      </c>
      <c r="CI32" s="65" t="str">
        <f t="shared" si="28"/>
        <v>SA</v>
      </c>
      <c r="CJ32" s="56">
        <v>25</v>
      </c>
      <c r="CK32" s="61">
        <v>94.2</v>
      </c>
      <c r="CL32" s="61"/>
      <c r="CM32" s="68">
        <f t="shared" si="29"/>
        <v>1.5</v>
      </c>
      <c r="CN32" s="68">
        <f t="shared" si="30"/>
        <v>6.9813975000000008</v>
      </c>
      <c r="CO32" s="68">
        <f t="shared" si="31"/>
        <v>21.859470203740162</v>
      </c>
      <c r="CP32" s="62">
        <v>55</v>
      </c>
      <c r="CQ32" s="62">
        <v>83</v>
      </c>
      <c r="CR32" s="65" t="str">
        <f t="shared" si="32"/>
        <v>SA</v>
      </c>
      <c r="CS32" s="56">
        <v>25</v>
      </c>
      <c r="CT32" s="61">
        <v>91.5</v>
      </c>
      <c r="CU32" s="61"/>
      <c r="CV32" s="68">
        <f t="shared" si="33"/>
        <v>1.2000000000000028</v>
      </c>
      <c r="CW32" s="68">
        <f t="shared" si="34"/>
        <v>7.9730880000000193</v>
      </c>
      <c r="CX32" s="69">
        <f t="shared" si="35"/>
        <v>6.2780220472441098E-2</v>
      </c>
      <c r="CY32" s="66" t="s">
        <v>240</v>
      </c>
      <c r="CZ32" s="66" t="s">
        <v>241</v>
      </c>
      <c r="DA32" s="66"/>
      <c r="DB32" s="65" t="str">
        <f t="shared" si="36"/>
        <v>SA</v>
      </c>
      <c r="DC32" s="56">
        <v>25</v>
      </c>
      <c r="DD32" s="61">
        <v>95.3</v>
      </c>
      <c r="DE32" s="61">
        <v>106.2</v>
      </c>
      <c r="DF32" s="68">
        <f t="shared" si="37"/>
        <v>11</v>
      </c>
      <c r="DG32" s="69">
        <f t="shared" si="38"/>
        <v>0.59346351679999998</v>
      </c>
      <c r="DH32" s="68">
        <f t="shared" si="39"/>
        <v>4.6729410771653539</v>
      </c>
      <c r="DI32" s="62">
        <v>90</v>
      </c>
      <c r="DJ32" s="62">
        <v>54</v>
      </c>
      <c r="DK32" s="65" t="str">
        <f t="shared" si="40"/>
        <v>SA</v>
      </c>
      <c r="DL32" s="56">
        <v>25</v>
      </c>
      <c r="DM32" s="63">
        <v>8.41</v>
      </c>
      <c r="DN32" s="64">
        <v>0.03</v>
      </c>
      <c r="DO32" s="64">
        <v>3.2000000000000001E-2</v>
      </c>
      <c r="DP32" s="64">
        <v>7.3999999999999996E-2</v>
      </c>
      <c r="DQ32" s="63">
        <v>7.21</v>
      </c>
      <c r="DR32" s="61">
        <v>19.3</v>
      </c>
      <c r="DS32" s="64">
        <v>1.0029999999999999</v>
      </c>
      <c r="DT32" s="61">
        <v>86.9</v>
      </c>
      <c r="DU32" s="63">
        <v>4.3</v>
      </c>
      <c r="DV32" s="64">
        <v>0.71699999999999997</v>
      </c>
      <c r="DW32" s="64">
        <v>1.53</v>
      </c>
      <c r="DX32" s="66" t="s">
        <v>247</v>
      </c>
      <c r="DY32" s="65" t="str">
        <f t="shared" si="41"/>
        <v>SA</v>
      </c>
      <c r="DZ32" s="128">
        <v>25</v>
      </c>
      <c r="EA32" s="173">
        <f t="shared" si="42"/>
        <v>8.4893048128342252E-2</v>
      </c>
      <c r="EB32" s="173">
        <f t="shared" si="43"/>
        <v>0.13897058823529412</v>
      </c>
      <c r="EC32" s="173">
        <f t="shared" si="44"/>
        <v>0.93700787401574803</v>
      </c>
      <c r="ED32" s="63">
        <v>0.99</v>
      </c>
      <c r="EE32" s="63">
        <v>1.03</v>
      </c>
      <c r="EF32" s="63">
        <v>0.05</v>
      </c>
      <c r="EG32" s="63">
        <v>0.12</v>
      </c>
      <c r="EH32" s="127" t="str">
        <f t="shared" si="5"/>
        <v>SA</v>
      </c>
      <c r="EI32" s="56">
        <v>25</v>
      </c>
      <c r="EJ32" s="334"/>
      <c r="EK32" s="334"/>
      <c r="EL32" s="334"/>
      <c r="EM32" s="334"/>
      <c r="EN32" s="334"/>
      <c r="EO32" s="334"/>
      <c r="EP32" s="334"/>
      <c r="EQ32" s="65" t="str">
        <f t="shared" si="45"/>
        <v>SA</v>
      </c>
      <c r="ER32" s="20"/>
      <c r="ES32" s="20"/>
      <c r="ET32" s="20"/>
      <c r="EU32" s="20"/>
      <c r="EV32" s="20"/>
      <c r="EW32" s="20"/>
      <c r="EX32" s="20"/>
    </row>
    <row r="33" spans="1:154" s="3" customFormat="1" ht="17.149999999999999" customHeight="1" x14ac:dyDescent="0.35">
      <c r="A33" s="56">
        <v>26</v>
      </c>
      <c r="B33" s="57">
        <v>911498</v>
      </c>
      <c r="C33" s="58">
        <f t="shared" si="6"/>
        <v>204</v>
      </c>
      <c r="D33" s="167">
        <v>9.75</v>
      </c>
      <c r="E33" s="59">
        <v>816236</v>
      </c>
      <c r="F33" s="58">
        <f t="shared" si="7"/>
        <v>160</v>
      </c>
      <c r="G33" s="168">
        <v>2.2200000000000002</v>
      </c>
      <c r="H33" s="57">
        <v>769386</v>
      </c>
      <c r="I33" s="58">
        <f t="shared" si="0"/>
        <v>128</v>
      </c>
      <c r="J33" s="60" t="s">
        <v>338</v>
      </c>
      <c r="K33" s="56">
        <v>26</v>
      </c>
      <c r="L33" s="57">
        <v>71151</v>
      </c>
      <c r="M33" s="58">
        <f t="shared" si="8"/>
        <v>49</v>
      </c>
      <c r="N33" s="59">
        <v>181559</v>
      </c>
      <c r="O33" s="58">
        <f t="shared" si="9"/>
        <v>38</v>
      </c>
      <c r="P33" s="57">
        <v>194749</v>
      </c>
      <c r="Q33" s="169" t="str">
        <f t="shared" si="1"/>
        <v/>
      </c>
      <c r="R33" s="57">
        <v>690</v>
      </c>
      <c r="S33" s="57">
        <v>697</v>
      </c>
      <c r="T33" s="57">
        <v>145</v>
      </c>
      <c r="U33" s="57">
        <v>142</v>
      </c>
      <c r="V33" s="58" t="str">
        <f t="shared" si="10"/>
        <v>SA</v>
      </c>
      <c r="W33" s="56">
        <v>26</v>
      </c>
      <c r="X33" s="63">
        <v>12049.27</v>
      </c>
      <c r="Y33" s="130">
        <f t="shared" si="11"/>
        <v>2.0599999999994907</v>
      </c>
      <c r="Z33" s="63">
        <v>12818.6</v>
      </c>
      <c r="AA33" s="130">
        <f t="shared" si="12"/>
        <v>3.8299999999999272</v>
      </c>
      <c r="AB33" s="63">
        <v>10068.299999999999</v>
      </c>
      <c r="AC33" s="130">
        <f t="shared" si="13"/>
        <v>1.4800000000013824</v>
      </c>
      <c r="AD33" s="63">
        <v>10223.24</v>
      </c>
      <c r="AE33" s="130">
        <f t="shared" si="2"/>
        <v>1.8700000000008004</v>
      </c>
      <c r="AF33" s="125" t="str">
        <f t="shared" si="14"/>
        <v>SA</v>
      </c>
      <c r="AG33" s="56">
        <v>26</v>
      </c>
      <c r="AH33" s="63">
        <v>48246.44</v>
      </c>
      <c r="AI33" s="130">
        <f t="shared" si="15"/>
        <v>15.909999999996217</v>
      </c>
      <c r="AJ33" s="63">
        <v>50420.03</v>
      </c>
      <c r="AK33" s="130">
        <f t="shared" si="16"/>
        <v>6.8600000000005821</v>
      </c>
      <c r="AL33" s="63">
        <v>592.32000000000005</v>
      </c>
      <c r="AM33" s="130" t="str">
        <f t="shared" si="17"/>
        <v/>
      </c>
      <c r="AN33" s="63">
        <v>553.45000000000005</v>
      </c>
      <c r="AO33" s="130" t="str">
        <f t="shared" si="3"/>
        <v/>
      </c>
      <c r="AP33" s="125" t="str">
        <f t="shared" si="18"/>
        <v>SA</v>
      </c>
      <c r="AQ33" s="56">
        <v>26</v>
      </c>
      <c r="AR33" s="63">
        <v>6960.72</v>
      </c>
      <c r="AS33" s="130">
        <f t="shared" si="19"/>
        <v>1.4399999999995998</v>
      </c>
      <c r="AT33" s="63">
        <v>7787.02</v>
      </c>
      <c r="AU33" s="130">
        <f t="shared" si="20"/>
        <v>2.6199999999998909</v>
      </c>
      <c r="AV33" s="63">
        <v>261.56</v>
      </c>
      <c r="AW33" s="130" t="str">
        <f t="shared" si="21"/>
        <v/>
      </c>
      <c r="AX33" s="63">
        <v>247.56</v>
      </c>
      <c r="AY33" s="130">
        <f t="shared" si="4"/>
        <v>0.34000000000000341</v>
      </c>
      <c r="AZ33" s="125" t="str">
        <f t="shared" si="22"/>
        <v>SA</v>
      </c>
      <c r="BA33" s="56">
        <v>26</v>
      </c>
      <c r="BB33" s="64">
        <v>1.57</v>
      </c>
      <c r="BC33" s="62">
        <v>23</v>
      </c>
      <c r="BD33" s="61">
        <v>7.3</v>
      </c>
      <c r="BE33" s="61">
        <v>15.3</v>
      </c>
      <c r="BF33" s="61">
        <v>16.3</v>
      </c>
      <c r="BG33" s="61">
        <v>7.3</v>
      </c>
      <c r="BH33" s="64">
        <v>0.316</v>
      </c>
      <c r="BI33" s="64">
        <v>0.31</v>
      </c>
      <c r="BJ33" s="64">
        <v>5.0999999999999997E-2</v>
      </c>
      <c r="BK33" s="64">
        <v>6.5000000000000002E-2</v>
      </c>
      <c r="BL33" s="64">
        <v>5.6000000000000001E-2</v>
      </c>
      <c r="BM33" s="64">
        <v>5.8000000000000003E-2</v>
      </c>
      <c r="BN33" s="65" t="str">
        <f t="shared" si="23"/>
        <v>SA</v>
      </c>
      <c r="BO33" s="56">
        <v>26</v>
      </c>
      <c r="BP33" s="64">
        <v>8.7999999999999995E-2</v>
      </c>
      <c r="BQ33" s="62">
        <v>0</v>
      </c>
      <c r="BR33" s="61">
        <v>7.2</v>
      </c>
      <c r="BS33" s="61">
        <v>18.899999999999999</v>
      </c>
      <c r="BT33" s="61">
        <v>18.3</v>
      </c>
      <c r="BU33" s="64">
        <v>1.7999999999999999E-2</v>
      </c>
      <c r="BV33" s="63">
        <v>1.07</v>
      </c>
      <c r="BW33" s="63">
        <v>0.91</v>
      </c>
      <c r="BX33" s="66" t="s">
        <v>369</v>
      </c>
      <c r="BY33" s="172" t="s">
        <v>409</v>
      </c>
      <c r="BZ33" s="67" t="str">
        <f t="shared" si="24"/>
        <v>SA</v>
      </c>
      <c r="CA33" s="56">
        <v>26</v>
      </c>
      <c r="CB33" s="61">
        <v>81.2</v>
      </c>
      <c r="CC33" s="61"/>
      <c r="CD33" s="68">
        <f t="shared" si="25"/>
        <v>1.4000000000000057</v>
      </c>
      <c r="CE33" s="69">
        <f t="shared" si="26"/>
        <v>6.515971000000027</v>
      </c>
      <c r="CF33" s="69">
        <f t="shared" si="27"/>
        <v>6.1087228125000248</v>
      </c>
      <c r="CG33" s="62">
        <v>61</v>
      </c>
      <c r="CH33" s="62">
        <v>100</v>
      </c>
      <c r="CI33" s="65" t="str">
        <f t="shared" si="28"/>
        <v>SA</v>
      </c>
      <c r="CJ33" s="56">
        <v>26</v>
      </c>
      <c r="CK33" s="61">
        <v>92.7</v>
      </c>
      <c r="CL33" s="61"/>
      <c r="CM33" s="68">
        <f t="shared" si="29"/>
        <v>2.5</v>
      </c>
      <c r="CN33" s="68">
        <f t="shared" si="30"/>
        <v>11.6356625</v>
      </c>
      <c r="CO33" s="68">
        <f t="shared" si="31"/>
        <v>22.680986240808828</v>
      </c>
      <c r="CP33" s="62">
        <v>55</v>
      </c>
      <c r="CQ33" s="62">
        <v>83</v>
      </c>
      <c r="CR33" s="65" t="str">
        <f t="shared" si="32"/>
        <v>SA</v>
      </c>
      <c r="CS33" s="56">
        <v>26</v>
      </c>
      <c r="CT33" s="61">
        <v>90.3</v>
      </c>
      <c r="CU33" s="61"/>
      <c r="CV33" s="68">
        <f t="shared" si="33"/>
        <v>2.0999999999999943</v>
      </c>
      <c r="CW33" s="68">
        <f t="shared" si="34"/>
        <v>13.952903999999963</v>
      </c>
      <c r="CX33" s="69">
        <f t="shared" si="35"/>
        <v>6.8396588235293931E-2</v>
      </c>
      <c r="CY33" s="66" t="s">
        <v>240</v>
      </c>
      <c r="CZ33" s="66" t="s">
        <v>241</v>
      </c>
      <c r="DA33" s="66"/>
      <c r="DB33" s="65" t="str">
        <f t="shared" si="36"/>
        <v>SA</v>
      </c>
      <c r="DC33" s="56">
        <v>26</v>
      </c>
      <c r="DD33" s="61">
        <v>95.2</v>
      </c>
      <c r="DE33" s="61">
        <v>103.9</v>
      </c>
      <c r="DF33" s="68">
        <f t="shared" si="37"/>
        <v>16.200000000000003</v>
      </c>
      <c r="DG33" s="69">
        <f t="shared" si="38"/>
        <v>0.8740099065600001</v>
      </c>
      <c r="DH33" s="68">
        <f t="shared" si="39"/>
        <v>4.2843622870588236</v>
      </c>
      <c r="DI33" s="62">
        <v>90</v>
      </c>
      <c r="DJ33" s="62">
        <v>54</v>
      </c>
      <c r="DK33" s="65" t="str">
        <f t="shared" si="40"/>
        <v>SA</v>
      </c>
      <c r="DL33" s="56">
        <v>26</v>
      </c>
      <c r="DM33" s="63">
        <v>8.3000000000000007</v>
      </c>
      <c r="DN33" s="64">
        <v>3.1E-2</v>
      </c>
      <c r="DO33" s="64">
        <v>2.9000000000000001E-2</v>
      </c>
      <c r="DP33" s="64">
        <v>7.4999999999999997E-2</v>
      </c>
      <c r="DQ33" s="63">
        <v>7.18</v>
      </c>
      <c r="DR33" s="61">
        <v>18.899999999999999</v>
      </c>
      <c r="DS33" s="64">
        <v>1.0329999999999999</v>
      </c>
      <c r="DT33" s="61">
        <v>85.6</v>
      </c>
      <c r="DU33" s="63">
        <v>4.22</v>
      </c>
      <c r="DV33" s="64">
        <v>0.69199999999999995</v>
      </c>
      <c r="DW33" s="64">
        <v>1.27</v>
      </c>
      <c r="DX33" s="66" t="s">
        <v>242</v>
      </c>
      <c r="DY33" s="65" t="str">
        <f t="shared" si="41"/>
        <v>SA</v>
      </c>
      <c r="DZ33" s="128">
        <v>26</v>
      </c>
      <c r="EA33" s="173">
        <f t="shared" si="42"/>
        <v>0.13636363636363635</v>
      </c>
      <c r="EB33" s="173">
        <f t="shared" si="43"/>
        <v>0.11764705882352941</v>
      </c>
      <c r="EC33" s="173">
        <f t="shared" si="44"/>
        <v>0.62745098039215685</v>
      </c>
      <c r="ED33" s="63">
        <v>0.91</v>
      </c>
      <c r="EE33" s="63">
        <v>1.06</v>
      </c>
      <c r="EF33" s="63">
        <v>0.05</v>
      </c>
      <c r="EG33" s="63">
        <v>7.0000000000000007E-2</v>
      </c>
      <c r="EH33" s="127" t="str">
        <f t="shared" si="5"/>
        <v>SA</v>
      </c>
      <c r="EI33" s="56">
        <v>26</v>
      </c>
      <c r="EJ33" s="334"/>
      <c r="EK33" s="334"/>
      <c r="EL33" s="334"/>
      <c r="EM33" s="334"/>
      <c r="EN33" s="334"/>
      <c r="EO33" s="334"/>
      <c r="EP33" s="334"/>
      <c r="EQ33" s="65" t="str">
        <f t="shared" si="45"/>
        <v>SA</v>
      </c>
      <c r="ER33" s="20"/>
      <c r="ES33" s="20"/>
      <c r="ET33" s="20"/>
      <c r="EU33" s="20"/>
      <c r="EV33" s="20"/>
      <c r="EW33" s="20"/>
      <c r="EX33" s="20"/>
    </row>
    <row r="34" spans="1:154" s="3" customFormat="1" ht="17.149999999999999" customHeight="1" x14ac:dyDescent="0.35">
      <c r="A34" s="56">
        <v>27</v>
      </c>
      <c r="B34" s="57">
        <v>911702</v>
      </c>
      <c r="C34" s="58">
        <f t="shared" si="6"/>
        <v>203</v>
      </c>
      <c r="D34" s="167">
        <v>9.89</v>
      </c>
      <c r="E34" s="59">
        <v>816396</v>
      </c>
      <c r="F34" s="58">
        <f t="shared" si="7"/>
        <v>233</v>
      </c>
      <c r="G34" s="168">
        <v>2.67</v>
      </c>
      <c r="H34" s="57">
        <v>769514</v>
      </c>
      <c r="I34" s="58">
        <f t="shared" si="0"/>
        <v>179</v>
      </c>
      <c r="J34" s="60" t="s">
        <v>338</v>
      </c>
      <c r="K34" s="56">
        <v>27</v>
      </c>
      <c r="L34" s="57">
        <v>71200</v>
      </c>
      <c r="M34" s="58" t="str">
        <f t="shared" si="8"/>
        <v/>
      </c>
      <c r="N34" s="59">
        <v>181597</v>
      </c>
      <c r="O34" s="58">
        <f t="shared" si="9"/>
        <v>64</v>
      </c>
      <c r="P34" s="57">
        <v>194749</v>
      </c>
      <c r="Q34" s="169" t="str">
        <f t="shared" si="1"/>
        <v/>
      </c>
      <c r="R34" s="57">
        <v>690</v>
      </c>
      <c r="S34" s="57">
        <v>698</v>
      </c>
      <c r="T34" s="57">
        <v>145</v>
      </c>
      <c r="U34" s="57">
        <v>142</v>
      </c>
      <c r="V34" s="58" t="str">
        <f t="shared" si="10"/>
        <v>SA</v>
      </c>
      <c r="W34" s="56">
        <v>27</v>
      </c>
      <c r="X34" s="63">
        <v>12051.33</v>
      </c>
      <c r="Y34" s="130">
        <f t="shared" si="11"/>
        <v>3</v>
      </c>
      <c r="Z34" s="63">
        <v>12822.43</v>
      </c>
      <c r="AA34" s="130">
        <f t="shared" si="12"/>
        <v>2.8999999999996362</v>
      </c>
      <c r="AB34" s="63">
        <v>10069.780000000001</v>
      </c>
      <c r="AC34" s="130">
        <f t="shared" si="13"/>
        <v>2.3499999999985448</v>
      </c>
      <c r="AD34" s="63">
        <v>10225.11</v>
      </c>
      <c r="AE34" s="130">
        <f t="shared" si="2"/>
        <v>2.4200000000000728</v>
      </c>
      <c r="AF34" s="125" t="str">
        <f t="shared" si="14"/>
        <v>SA</v>
      </c>
      <c r="AG34" s="56">
        <v>27</v>
      </c>
      <c r="AH34" s="63">
        <v>48262.35</v>
      </c>
      <c r="AI34" s="130">
        <f t="shared" si="15"/>
        <v>13.739999999997963</v>
      </c>
      <c r="AJ34" s="63">
        <v>50426.89</v>
      </c>
      <c r="AK34" s="130">
        <f t="shared" si="16"/>
        <v>17.150000000001455</v>
      </c>
      <c r="AL34" s="63">
        <v>592.32000000000005</v>
      </c>
      <c r="AM34" s="130" t="str">
        <f t="shared" si="17"/>
        <v/>
      </c>
      <c r="AN34" s="63">
        <v>553.45000000000005</v>
      </c>
      <c r="AO34" s="130" t="str">
        <f t="shared" si="3"/>
        <v/>
      </c>
      <c r="AP34" s="125" t="str">
        <f t="shared" si="18"/>
        <v>SA</v>
      </c>
      <c r="AQ34" s="56">
        <v>27</v>
      </c>
      <c r="AR34" s="63">
        <v>6962.16</v>
      </c>
      <c r="AS34" s="130">
        <f t="shared" si="19"/>
        <v>3.0100000000002183</v>
      </c>
      <c r="AT34" s="63">
        <v>7789.64</v>
      </c>
      <c r="AU34" s="130">
        <f t="shared" si="20"/>
        <v>4.0499999999992724</v>
      </c>
      <c r="AV34" s="63">
        <v>261.56</v>
      </c>
      <c r="AW34" s="130" t="str">
        <f t="shared" si="21"/>
        <v/>
      </c>
      <c r="AX34" s="63">
        <v>247.9</v>
      </c>
      <c r="AY34" s="130" t="str">
        <f t="shared" si="4"/>
        <v/>
      </c>
      <c r="AZ34" s="125" t="str">
        <f t="shared" si="22"/>
        <v>SA</v>
      </c>
      <c r="BA34" s="56">
        <v>27</v>
      </c>
      <c r="BB34" s="64">
        <v>1.66</v>
      </c>
      <c r="BC34" s="62">
        <v>10</v>
      </c>
      <c r="BD34" s="61">
        <v>7.2</v>
      </c>
      <c r="BE34" s="61">
        <v>15.2</v>
      </c>
      <c r="BF34" s="61">
        <v>17.3</v>
      </c>
      <c r="BG34" s="61">
        <v>7.2</v>
      </c>
      <c r="BH34" s="64">
        <v>0.28199999999999997</v>
      </c>
      <c r="BI34" s="64">
        <v>0.23300000000000001</v>
      </c>
      <c r="BJ34" s="64">
        <v>5.3999999999999999E-2</v>
      </c>
      <c r="BK34" s="64">
        <v>5.3999999999999999E-2</v>
      </c>
      <c r="BL34" s="64">
        <v>5.3999999999999999E-2</v>
      </c>
      <c r="BM34" s="64">
        <v>6.2E-2</v>
      </c>
      <c r="BN34" s="65" t="str">
        <f t="shared" si="23"/>
        <v>SA</v>
      </c>
      <c r="BO34" s="56">
        <v>27</v>
      </c>
      <c r="BP34" s="64">
        <v>9.6000000000000002E-2</v>
      </c>
      <c r="BQ34" s="62">
        <v>0</v>
      </c>
      <c r="BR34" s="61">
        <v>7.2</v>
      </c>
      <c r="BS34" s="61">
        <v>18.899999999999999</v>
      </c>
      <c r="BT34" s="61">
        <v>17.8</v>
      </c>
      <c r="BU34" s="64">
        <v>8.0000000000000002E-3</v>
      </c>
      <c r="BV34" s="63">
        <v>0.96</v>
      </c>
      <c r="BW34" s="63">
        <v>0.84</v>
      </c>
      <c r="BX34" s="66" t="s">
        <v>441</v>
      </c>
      <c r="BY34" s="172" t="s">
        <v>409</v>
      </c>
      <c r="BZ34" s="67" t="str">
        <f t="shared" si="24"/>
        <v>SA</v>
      </c>
      <c r="CA34" s="56">
        <v>27</v>
      </c>
      <c r="CB34" s="61">
        <v>79.8</v>
      </c>
      <c r="CC34" s="61"/>
      <c r="CD34" s="68">
        <f t="shared" si="25"/>
        <v>2.5</v>
      </c>
      <c r="CE34" s="69">
        <f t="shared" si="26"/>
        <v>11.6356625</v>
      </c>
      <c r="CF34" s="69">
        <f t="shared" si="27"/>
        <v>7.8004441340782114</v>
      </c>
      <c r="CG34" s="62">
        <v>61</v>
      </c>
      <c r="CH34" s="62">
        <v>100</v>
      </c>
      <c r="CI34" s="65" t="str">
        <f t="shared" si="28"/>
        <v>SA</v>
      </c>
      <c r="CJ34" s="56">
        <v>27</v>
      </c>
      <c r="CK34" s="61">
        <v>90.2</v>
      </c>
      <c r="CL34" s="61"/>
      <c r="CM34" s="68">
        <f t="shared" si="29"/>
        <v>2.4000000000000057</v>
      </c>
      <c r="CN34" s="68">
        <f t="shared" si="30"/>
        <v>11.170236000000028</v>
      </c>
      <c r="CO34" s="68">
        <f t="shared" si="31"/>
        <v>21.881006627586263</v>
      </c>
      <c r="CP34" s="62">
        <v>55</v>
      </c>
      <c r="CQ34" s="62">
        <v>83</v>
      </c>
      <c r="CR34" s="65" t="str">
        <f t="shared" si="32"/>
        <v>SA</v>
      </c>
      <c r="CS34" s="56">
        <v>27</v>
      </c>
      <c r="CT34" s="61">
        <v>88.2</v>
      </c>
      <c r="CU34" s="61"/>
      <c r="CV34" s="68">
        <f t="shared" si="33"/>
        <v>2.2000000000000028</v>
      </c>
      <c r="CW34" s="68">
        <f t="shared" si="34"/>
        <v>14.617328000000018</v>
      </c>
      <c r="CX34" s="69">
        <f t="shared" si="35"/>
        <v>7.2006541871921279E-2</v>
      </c>
      <c r="CY34" s="66" t="s">
        <v>240</v>
      </c>
      <c r="CZ34" s="66" t="s">
        <v>241</v>
      </c>
      <c r="DA34" s="66"/>
      <c r="DB34" s="65" t="str">
        <f t="shared" si="36"/>
        <v>SA</v>
      </c>
      <c r="DC34" s="56">
        <v>27</v>
      </c>
      <c r="DD34" s="61">
        <v>87.7</v>
      </c>
      <c r="DE34" s="61">
        <v>106.7</v>
      </c>
      <c r="DF34" s="68">
        <f t="shared" si="37"/>
        <v>15.5</v>
      </c>
      <c r="DG34" s="69">
        <f t="shared" si="38"/>
        <v>0.83624404640000016</v>
      </c>
      <c r="DH34" s="68">
        <f t="shared" si="39"/>
        <v>4.1194288000000006</v>
      </c>
      <c r="DI34" s="62">
        <v>90</v>
      </c>
      <c r="DJ34" s="62">
        <v>54</v>
      </c>
      <c r="DK34" s="65" t="str">
        <f t="shared" si="40"/>
        <v>SA</v>
      </c>
      <c r="DL34" s="56">
        <v>27</v>
      </c>
      <c r="DM34" s="63">
        <v>8.35</v>
      </c>
      <c r="DN34" s="64">
        <v>3.3000000000000002E-2</v>
      </c>
      <c r="DO34" s="64">
        <v>3.1E-2</v>
      </c>
      <c r="DP34" s="64">
        <v>7.3999999999999996E-2</v>
      </c>
      <c r="DQ34" s="63">
        <v>7.22</v>
      </c>
      <c r="DR34" s="61">
        <v>18.899999999999999</v>
      </c>
      <c r="DS34" s="64">
        <v>0.98599999999999999</v>
      </c>
      <c r="DT34" s="61">
        <v>85.8</v>
      </c>
      <c r="DU34" s="63">
        <v>4.26</v>
      </c>
      <c r="DV34" s="64">
        <v>1.9139999999999999</v>
      </c>
      <c r="DW34" s="64">
        <v>2.78</v>
      </c>
      <c r="DX34" s="66" t="s">
        <v>242</v>
      </c>
      <c r="DY34" s="65" t="s">
        <v>338</v>
      </c>
      <c r="DZ34" s="128">
        <v>27</v>
      </c>
      <c r="EA34" s="173">
        <f t="shared" si="42"/>
        <v>0.13569518716577539</v>
      </c>
      <c r="EB34" s="173">
        <f t="shared" si="43"/>
        <v>0.17132352941176471</v>
      </c>
      <c r="EC34" s="173">
        <f t="shared" si="44"/>
        <v>0.88177339901477836</v>
      </c>
      <c r="ED34" s="63">
        <v>0.98</v>
      </c>
      <c r="EE34" s="63">
        <v>1.07</v>
      </c>
      <c r="EF34" s="63">
        <v>7.0000000000000007E-2</v>
      </c>
      <c r="EG34" s="63">
        <v>0.13</v>
      </c>
      <c r="EH34" s="127" t="str">
        <f t="shared" si="5"/>
        <v>SA</v>
      </c>
      <c r="EI34" s="56">
        <v>27</v>
      </c>
      <c r="EJ34" s="334"/>
      <c r="EK34" s="334"/>
      <c r="EL34" s="334"/>
      <c r="EM34" s="334"/>
      <c r="EN34" s="334"/>
      <c r="EO34" s="334"/>
      <c r="EP34" s="334"/>
      <c r="EQ34" s="65" t="str">
        <f t="shared" si="45"/>
        <v>SA</v>
      </c>
      <c r="ER34" s="20"/>
      <c r="ES34" s="20"/>
      <c r="ET34" s="20"/>
      <c r="EU34" s="20"/>
      <c r="EV34" s="20"/>
      <c r="EW34" s="20"/>
      <c r="EX34" s="20"/>
    </row>
    <row r="35" spans="1:154" s="3" customFormat="1" ht="17.149999999999999" customHeight="1" x14ac:dyDescent="0.35">
      <c r="A35" s="56">
        <v>28</v>
      </c>
      <c r="B35" s="57">
        <v>911905</v>
      </c>
      <c r="C35" s="58">
        <f t="shared" si="6"/>
        <v>80</v>
      </c>
      <c r="D35" s="167">
        <v>9.4</v>
      </c>
      <c r="E35" s="59">
        <v>816629</v>
      </c>
      <c r="F35" s="58">
        <f t="shared" si="7"/>
        <v>125</v>
      </c>
      <c r="G35" s="168">
        <v>1.62</v>
      </c>
      <c r="H35" s="57">
        <v>769693</v>
      </c>
      <c r="I35" s="58">
        <f t="shared" si="0"/>
        <v>70</v>
      </c>
      <c r="J35" s="60" t="s">
        <v>194</v>
      </c>
      <c r="K35" s="56">
        <v>28</v>
      </c>
      <c r="L35" s="57">
        <v>71200</v>
      </c>
      <c r="M35" s="58" t="str">
        <f t="shared" si="8"/>
        <v/>
      </c>
      <c r="N35" s="59">
        <v>181661</v>
      </c>
      <c r="O35" s="58">
        <f t="shared" si="9"/>
        <v>19</v>
      </c>
      <c r="P35" s="57">
        <v>194749</v>
      </c>
      <c r="Q35" s="169" t="str">
        <f t="shared" si="1"/>
        <v/>
      </c>
      <c r="R35" s="57">
        <v>690</v>
      </c>
      <c r="S35" s="57">
        <v>698</v>
      </c>
      <c r="T35" s="57">
        <v>145</v>
      </c>
      <c r="U35" s="57">
        <v>142</v>
      </c>
      <c r="V35" s="58" t="str">
        <f t="shared" si="10"/>
        <v>ME</v>
      </c>
      <c r="W35" s="56">
        <v>28</v>
      </c>
      <c r="X35" s="63">
        <v>12054.33</v>
      </c>
      <c r="Y35" s="130">
        <f t="shared" si="11"/>
        <v>2.2700000000004366</v>
      </c>
      <c r="Z35" s="63">
        <v>12825.33</v>
      </c>
      <c r="AA35" s="130" t="str">
        <f t="shared" si="12"/>
        <v/>
      </c>
      <c r="AB35" s="63">
        <v>10072.129999999999</v>
      </c>
      <c r="AC35" s="130">
        <f t="shared" si="13"/>
        <v>1.8600000000005821</v>
      </c>
      <c r="AD35" s="63">
        <v>10227.530000000001</v>
      </c>
      <c r="AE35" s="130" t="str">
        <f t="shared" si="2"/>
        <v/>
      </c>
      <c r="AF35" s="125" t="str">
        <f t="shared" si="14"/>
        <v>ME</v>
      </c>
      <c r="AG35" s="56">
        <v>28</v>
      </c>
      <c r="AH35" s="63">
        <v>48276.09</v>
      </c>
      <c r="AI35" s="130">
        <f t="shared" si="15"/>
        <v>10.270000000004075</v>
      </c>
      <c r="AJ35" s="63">
        <v>50444.04</v>
      </c>
      <c r="AK35" s="130">
        <f t="shared" si="16"/>
        <v>8.0499999999956344</v>
      </c>
      <c r="AL35" s="63">
        <v>592.32000000000005</v>
      </c>
      <c r="AM35" s="130" t="str">
        <f t="shared" si="17"/>
        <v/>
      </c>
      <c r="AN35" s="63">
        <v>553.45000000000005</v>
      </c>
      <c r="AO35" s="130" t="str">
        <f t="shared" si="3"/>
        <v/>
      </c>
      <c r="AP35" s="125" t="str">
        <f t="shared" si="18"/>
        <v>ME</v>
      </c>
      <c r="AQ35" s="56">
        <v>28</v>
      </c>
      <c r="AR35" s="63">
        <v>6965.17</v>
      </c>
      <c r="AS35" s="130">
        <f t="shared" si="19"/>
        <v>0.88000000000010914</v>
      </c>
      <c r="AT35" s="63">
        <v>7793.69</v>
      </c>
      <c r="AU35" s="130">
        <f t="shared" si="20"/>
        <v>1.1900000000005093</v>
      </c>
      <c r="AV35" s="63">
        <v>261.56</v>
      </c>
      <c r="AW35" s="130" t="str">
        <f t="shared" si="21"/>
        <v/>
      </c>
      <c r="AX35" s="63">
        <v>247.9</v>
      </c>
      <c r="AY35" s="130" t="str">
        <f t="shared" si="4"/>
        <v/>
      </c>
      <c r="AZ35" s="125" t="str">
        <f t="shared" si="22"/>
        <v>ME</v>
      </c>
      <c r="BA35" s="56">
        <v>28</v>
      </c>
      <c r="BB35" s="64">
        <v>1.64</v>
      </c>
      <c r="BC35" s="62">
        <v>20</v>
      </c>
      <c r="BD35" s="61">
        <v>7</v>
      </c>
      <c r="BE35" s="61">
        <v>14.9</v>
      </c>
      <c r="BF35" s="61">
        <v>17.2</v>
      </c>
      <c r="BG35" s="61">
        <v>7</v>
      </c>
      <c r="BH35" s="64">
        <v>0.16700000000000001</v>
      </c>
      <c r="BI35" s="64">
        <v>0.16400000000000001</v>
      </c>
      <c r="BJ35" s="64">
        <v>6.0999999999999999E-2</v>
      </c>
      <c r="BK35" s="64">
        <v>5.5E-2</v>
      </c>
      <c r="BL35" s="64">
        <v>5.8999999999999997E-2</v>
      </c>
      <c r="BM35" s="64">
        <v>6.0999999999999999E-2</v>
      </c>
      <c r="BN35" s="65" t="str">
        <f t="shared" si="23"/>
        <v>ME</v>
      </c>
      <c r="BO35" s="56">
        <v>28</v>
      </c>
      <c r="BP35" s="64">
        <v>0.08</v>
      </c>
      <c r="BQ35" s="62">
        <v>0</v>
      </c>
      <c r="BR35" s="61">
        <v>7.1</v>
      </c>
      <c r="BS35" s="61">
        <v>18.5</v>
      </c>
      <c r="BT35" s="61">
        <v>19</v>
      </c>
      <c r="BU35" s="64">
        <v>1.7000000000000001E-2</v>
      </c>
      <c r="BV35" s="63">
        <v>1.1000000000000001</v>
      </c>
      <c r="BW35" s="63">
        <v>0.86</v>
      </c>
      <c r="BX35" s="66" t="s">
        <v>255</v>
      </c>
      <c r="BY35" s="172" t="s">
        <v>246</v>
      </c>
      <c r="BZ35" s="67" t="str">
        <f t="shared" si="24"/>
        <v>ME</v>
      </c>
      <c r="CA35" s="56">
        <v>28</v>
      </c>
      <c r="CB35" s="61">
        <v>77.3</v>
      </c>
      <c r="CC35" s="61">
        <v>92.2</v>
      </c>
      <c r="CD35" s="68">
        <f t="shared" si="25"/>
        <v>0.60000000000000853</v>
      </c>
      <c r="CE35" s="69">
        <f t="shared" si="26"/>
        <v>2.7925590000000398</v>
      </c>
      <c r="CF35" s="69">
        <f t="shared" si="27"/>
        <v>4.7872440000000678</v>
      </c>
      <c r="CG35" s="62">
        <v>68</v>
      </c>
      <c r="CH35" s="62">
        <v>100</v>
      </c>
      <c r="CI35" s="65" t="str">
        <f t="shared" si="28"/>
        <v>ME</v>
      </c>
      <c r="CJ35" s="56">
        <v>28</v>
      </c>
      <c r="CK35" s="61">
        <v>87.8</v>
      </c>
      <c r="CL35" s="61">
        <v>100</v>
      </c>
      <c r="CM35" s="68">
        <f t="shared" si="29"/>
        <v>0.59999999999999432</v>
      </c>
      <c r="CN35" s="68">
        <f t="shared" si="30"/>
        <v>2.792558999999974</v>
      </c>
      <c r="CO35" s="68">
        <f t="shared" si="31"/>
        <v>13.880763579374872</v>
      </c>
      <c r="CP35" s="62">
        <v>51</v>
      </c>
      <c r="CQ35" s="62">
        <v>83</v>
      </c>
      <c r="CR35" s="65" t="str">
        <f t="shared" si="32"/>
        <v>ME</v>
      </c>
      <c r="CS35" s="56">
        <v>28</v>
      </c>
      <c r="CT35" s="61">
        <v>86</v>
      </c>
      <c r="CU35" s="61">
        <v>110.8</v>
      </c>
      <c r="CV35" s="68">
        <f t="shared" si="33"/>
        <v>1.3999999999999915</v>
      </c>
      <c r="CW35" s="68">
        <f t="shared" si="34"/>
        <v>9.3019359999999427</v>
      </c>
      <c r="CX35" s="69">
        <f t="shared" si="35"/>
        <v>0.11627419999999929</v>
      </c>
      <c r="CY35" s="66" t="s">
        <v>256</v>
      </c>
      <c r="CZ35" s="66" t="s">
        <v>241</v>
      </c>
      <c r="DA35" s="66"/>
      <c r="DB35" s="65" t="str">
        <f t="shared" si="36"/>
        <v>ME</v>
      </c>
      <c r="DC35" s="56">
        <v>28</v>
      </c>
      <c r="DD35" s="61">
        <v>91.2</v>
      </c>
      <c r="DE35" s="61">
        <v>103.9</v>
      </c>
      <c r="DF35" s="68">
        <f t="shared" si="37"/>
        <v>5.3000000000000114</v>
      </c>
      <c r="DG35" s="69">
        <f t="shared" si="38"/>
        <v>0.28594151264000062</v>
      </c>
      <c r="DH35" s="68">
        <f t="shared" si="39"/>
        <v>3.5742689080000076</v>
      </c>
      <c r="DI35" s="62">
        <v>86</v>
      </c>
      <c r="DJ35" s="62">
        <v>54</v>
      </c>
      <c r="DK35" s="65" t="str">
        <f t="shared" si="40"/>
        <v>ME</v>
      </c>
      <c r="DL35" s="56">
        <v>28</v>
      </c>
      <c r="DM35" s="63">
        <v>8.09</v>
      </c>
      <c r="DN35" s="64">
        <v>3.1E-2</v>
      </c>
      <c r="DO35" s="64">
        <v>0.03</v>
      </c>
      <c r="DP35" s="64">
        <v>7.0000000000000007E-2</v>
      </c>
      <c r="DQ35" s="63">
        <v>7.22</v>
      </c>
      <c r="DR35" s="61">
        <v>18.5</v>
      </c>
      <c r="DS35" s="64">
        <v>1.901</v>
      </c>
      <c r="DT35" s="61">
        <v>84.7</v>
      </c>
      <c r="DU35" s="63">
        <v>4.28</v>
      </c>
      <c r="DV35" s="64">
        <v>0.80100000000000005</v>
      </c>
      <c r="DW35" s="64">
        <v>1.44</v>
      </c>
      <c r="DX35" s="66" t="s">
        <v>242</v>
      </c>
      <c r="DY35" s="65" t="str">
        <f t="shared" si="41"/>
        <v>ME</v>
      </c>
      <c r="DZ35" s="128">
        <v>28</v>
      </c>
      <c r="EA35" s="173">
        <f t="shared" si="42"/>
        <v>5.3475935828877004E-2</v>
      </c>
      <c r="EB35" s="173">
        <f t="shared" si="43"/>
        <v>9.1911764705882359E-2</v>
      </c>
      <c r="EC35" s="173">
        <f t="shared" si="44"/>
        <v>0.875</v>
      </c>
      <c r="ED35" s="63">
        <v>0.97</v>
      </c>
      <c r="EE35" s="63">
        <v>1.18</v>
      </c>
      <c r="EF35" s="63">
        <v>0.04</v>
      </c>
      <c r="EG35" s="63">
        <v>7.0000000000000007E-2</v>
      </c>
      <c r="EH35" s="127" t="str">
        <f t="shared" si="5"/>
        <v>ME</v>
      </c>
      <c r="EI35" s="56">
        <v>28</v>
      </c>
      <c r="EJ35" s="334" t="s">
        <v>443</v>
      </c>
      <c r="EK35" s="334"/>
      <c r="EL35" s="334"/>
      <c r="EM35" s="334"/>
      <c r="EN35" s="334"/>
      <c r="EO35" s="334"/>
      <c r="EP35" s="334"/>
      <c r="EQ35" s="65" t="str">
        <f t="shared" si="45"/>
        <v>ME</v>
      </c>
      <c r="ER35" s="20"/>
      <c r="ES35" s="20"/>
      <c r="ET35" s="20"/>
      <c r="EU35" s="20"/>
      <c r="EV35" s="20"/>
      <c r="EW35" s="20"/>
      <c r="EX35" s="20"/>
    </row>
    <row r="36" spans="1:154" s="3" customFormat="1" ht="17.149999999999999" customHeight="1" x14ac:dyDescent="0.35">
      <c r="A36" s="56">
        <v>29</v>
      </c>
      <c r="B36" s="57">
        <v>911985</v>
      </c>
      <c r="C36" s="58">
        <f t="shared" si="6"/>
        <v>158</v>
      </c>
      <c r="D36" s="167">
        <v>9.98</v>
      </c>
      <c r="E36" s="59">
        <v>816754</v>
      </c>
      <c r="F36" s="58">
        <f t="shared" si="7"/>
        <v>192</v>
      </c>
      <c r="G36" s="168">
        <v>1.53</v>
      </c>
      <c r="H36" s="57">
        <v>769763</v>
      </c>
      <c r="I36" s="58">
        <f t="shared" si="0"/>
        <v>137</v>
      </c>
      <c r="J36" s="60" t="s">
        <v>194</v>
      </c>
      <c r="K36" s="56">
        <v>29</v>
      </c>
      <c r="L36" s="57">
        <v>71200</v>
      </c>
      <c r="M36" s="58" t="str">
        <f t="shared" si="8"/>
        <v/>
      </c>
      <c r="N36" s="59">
        <v>181680</v>
      </c>
      <c r="O36" s="58">
        <f t="shared" si="9"/>
        <v>27</v>
      </c>
      <c r="P36" s="57">
        <v>194749</v>
      </c>
      <c r="Q36" s="169" t="str">
        <f t="shared" si="1"/>
        <v/>
      </c>
      <c r="R36" s="57">
        <v>690</v>
      </c>
      <c r="S36" s="57">
        <v>698</v>
      </c>
      <c r="T36" s="57">
        <v>145</v>
      </c>
      <c r="U36" s="57">
        <v>142</v>
      </c>
      <c r="V36" s="58" t="str">
        <f t="shared" si="10"/>
        <v>ME</v>
      </c>
      <c r="W36" s="56">
        <v>29</v>
      </c>
      <c r="X36" s="63">
        <v>12056.6</v>
      </c>
      <c r="Y36" s="130">
        <f t="shared" si="11"/>
        <v>2.3299999999999272</v>
      </c>
      <c r="Z36" s="63">
        <v>12825.33</v>
      </c>
      <c r="AA36" s="130">
        <f t="shared" si="12"/>
        <v>2.180000000000291</v>
      </c>
      <c r="AB36" s="63">
        <v>10073.99</v>
      </c>
      <c r="AC36" s="130">
        <f t="shared" si="13"/>
        <v>1.8899999999994179</v>
      </c>
      <c r="AD36" s="63">
        <v>10227.530000000001</v>
      </c>
      <c r="AE36" s="130">
        <f t="shared" si="2"/>
        <v>1.75</v>
      </c>
      <c r="AF36" s="125" t="str">
        <f t="shared" si="14"/>
        <v>ME</v>
      </c>
      <c r="AG36" s="56">
        <v>29</v>
      </c>
      <c r="AH36" s="63">
        <v>48286.36</v>
      </c>
      <c r="AI36" s="130">
        <f t="shared" si="15"/>
        <v>12.190000000002328</v>
      </c>
      <c r="AJ36" s="63">
        <v>50452.09</v>
      </c>
      <c r="AK36" s="130">
        <f>IF(AJ37="","",IF(AJ37=AJ36,"",AJ37-AJ36))</f>
        <v>15.960000000006403</v>
      </c>
      <c r="AL36" s="63">
        <v>592.32000000000005</v>
      </c>
      <c r="AM36" s="130" t="str">
        <f t="shared" si="17"/>
        <v/>
      </c>
      <c r="AN36" s="63">
        <v>553.45000000000005</v>
      </c>
      <c r="AO36" s="130" t="str">
        <f t="shared" si="3"/>
        <v/>
      </c>
      <c r="AP36" s="125" t="str">
        <f t="shared" si="18"/>
        <v>ME</v>
      </c>
      <c r="AQ36" s="56">
        <v>29</v>
      </c>
      <c r="AR36" s="63">
        <v>6966.05</v>
      </c>
      <c r="AS36" s="130">
        <f t="shared" si="19"/>
        <v>1.4299999999993815</v>
      </c>
      <c r="AT36" s="63">
        <v>7794.88</v>
      </c>
      <c r="AU36" s="130">
        <f t="shared" si="20"/>
        <v>2.0999999999994543</v>
      </c>
      <c r="AV36" s="63">
        <v>261.56</v>
      </c>
      <c r="AW36" s="130" t="str">
        <f t="shared" si="21"/>
        <v/>
      </c>
      <c r="AX36" s="63">
        <v>247.9</v>
      </c>
      <c r="AY36" s="130" t="str">
        <f t="shared" si="4"/>
        <v/>
      </c>
      <c r="AZ36" s="125" t="str">
        <f t="shared" si="22"/>
        <v>ME</v>
      </c>
      <c r="BA36" s="56">
        <v>29</v>
      </c>
      <c r="BB36" s="64">
        <v>1.71</v>
      </c>
      <c r="BC36" s="62">
        <v>24</v>
      </c>
      <c r="BD36" s="61">
        <v>7.1</v>
      </c>
      <c r="BE36" s="61">
        <v>14.8</v>
      </c>
      <c r="BF36" s="61">
        <v>15</v>
      </c>
      <c r="BG36" s="61">
        <v>7.1</v>
      </c>
      <c r="BH36" s="64">
        <v>0.20200000000000001</v>
      </c>
      <c r="BI36" s="64">
        <v>0.185</v>
      </c>
      <c r="BJ36" s="64">
        <v>8.4000000000000005E-2</v>
      </c>
      <c r="BK36" s="64">
        <v>5.5E-2</v>
      </c>
      <c r="BL36" s="64">
        <v>5.5E-2</v>
      </c>
      <c r="BM36" s="64">
        <v>5.6000000000000001E-2</v>
      </c>
      <c r="BN36" s="65" t="str">
        <f t="shared" si="23"/>
        <v>ME</v>
      </c>
      <c r="BO36" s="56">
        <v>29</v>
      </c>
      <c r="BP36" s="64">
        <v>9.5000000000000001E-2</v>
      </c>
      <c r="BQ36" s="62">
        <v>0</v>
      </c>
      <c r="BR36" s="61">
        <v>7.2</v>
      </c>
      <c r="BS36" s="61">
        <v>18.600000000000001</v>
      </c>
      <c r="BT36" s="61">
        <v>18.3</v>
      </c>
      <c r="BU36" s="64">
        <v>4.2000000000000003E-2</v>
      </c>
      <c r="BV36" s="63">
        <v>1.1000000000000001</v>
      </c>
      <c r="BW36" s="63">
        <v>0.82</v>
      </c>
      <c r="BX36" s="66" t="s">
        <v>245</v>
      </c>
      <c r="BY36" s="172" t="s">
        <v>246</v>
      </c>
      <c r="BZ36" s="67" t="str">
        <f t="shared" si="24"/>
        <v>ME</v>
      </c>
      <c r="CA36" s="56">
        <v>29</v>
      </c>
      <c r="CB36" s="61">
        <v>91.6</v>
      </c>
      <c r="CC36" s="61"/>
      <c r="CD36" s="68">
        <f t="shared" si="25"/>
        <v>1.6999999999999886</v>
      </c>
      <c r="CE36" s="69">
        <f t="shared" si="26"/>
        <v>7.9122504999999475</v>
      </c>
      <c r="CF36" s="69">
        <f t="shared" si="27"/>
        <v>6.9304383941605376</v>
      </c>
      <c r="CG36" s="62">
        <v>66</v>
      </c>
      <c r="CH36" s="62">
        <v>100</v>
      </c>
      <c r="CI36" s="65" t="str">
        <f t="shared" si="28"/>
        <v>ME</v>
      </c>
      <c r="CJ36" s="56">
        <v>29</v>
      </c>
      <c r="CK36" s="61">
        <v>99.4</v>
      </c>
      <c r="CL36" s="61"/>
      <c r="CM36" s="68">
        <f t="shared" si="29"/>
        <v>1.9000000000000057</v>
      </c>
      <c r="CN36" s="68">
        <f t="shared" si="30"/>
        <v>8.8431035000000264</v>
      </c>
      <c r="CO36" s="68">
        <f t="shared" si="31"/>
        <v>22.256076625158297</v>
      </c>
      <c r="CP36" s="62">
        <v>53</v>
      </c>
      <c r="CQ36" s="62">
        <v>83</v>
      </c>
      <c r="CR36" s="65" t="str">
        <f t="shared" si="32"/>
        <v>ME</v>
      </c>
      <c r="CS36" s="56">
        <v>29</v>
      </c>
      <c r="CT36" s="61">
        <v>109.4</v>
      </c>
      <c r="CU36" s="61"/>
      <c r="CV36" s="68">
        <f t="shared" si="33"/>
        <v>1.8000000000000114</v>
      </c>
      <c r="CW36" s="68">
        <f t="shared" si="34"/>
        <v>11.959632000000076</v>
      </c>
      <c r="CX36" s="69">
        <f t="shared" si="35"/>
        <v>7.5693873417721991E-2</v>
      </c>
      <c r="CY36" s="66" t="s">
        <v>251</v>
      </c>
      <c r="CZ36" s="66" t="s">
        <v>241</v>
      </c>
      <c r="DA36" s="66"/>
      <c r="DB36" s="65" t="str">
        <f t="shared" si="36"/>
        <v>ME</v>
      </c>
      <c r="DC36" s="56">
        <v>29</v>
      </c>
      <c r="DD36" s="61">
        <v>98.6</v>
      </c>
      <c r="DE36" s="61">
        <v>103.3</v>
      </c>
      <c r="DF36" s="68">
        <f t="shared" si="37"/>
        <v>16.099999999999994</v>
      </c>
      <c r="DG36" s="69">
        <f t="shared" si="38"/>
        <v>0.86861478367999967</v>
      </c>
      <c r="DH36" s="68">
        <f t="shared" si="39"/>
        <v>5.497561922025314</v>
      </c>
      <c r="DI36" s="62">
        <v>93</v>
      </c>
      <c r="DJ36" s="62">
        <v>54</v>
      </c>
      <c r="DK36" s="65" t="str">
        <f t="shared" si="40"/>
        <v>ME</v>
      </c>
      <c r="DL36" s="56">
        <v>29</v>
      </c>
      <c r="DM36" s="63">
        <v>8.0299999999999994</v>
      </c>
      <c r="DN36" s="64">
        <v>3.1E-2</v>
      </c>
      <c r="DO36" s="64">
        <v>0.03</v>
      </c>
      <c r="DP36" s="64">
        <v>7.2999999999999995E-2</v>
      </c>
      <c r="DQ36" s="63">
        <v>7.22</v>
      </c>
      <c r="DR36" s="61">
        <v>18.600000000000001</v>
      </c>
      <c r="DS36" s="64">
        <v>1.107</v>
      </c>
      <c r="DT36" s="61">
        <v>88</v>
      </c>
      <c r="DU36" s="63">
        <v>4.21</v>
      </c>
      <c r="DV36" s="64">
        <v>0.71399999999999997</v>
      </c>
      <c r="DW36" s="64">
        <v>0.90600000000000003</v>
      </c>
      <c r="DX36" s="66" t="s">
        <v>247</v>
      </c>
      <c r="DY36" s="65" t="str">
        <f t="shared" si="41"/>
        <v>ME</v>
      </c>
      <c r="DZ36" s="128">
        <v>29</v>
      </c>
      <c r="EA36" s="173">
        <f t="shared" si="42"/>
        <v>0.10561497326203209</v>
      </c>
      <c r="EB36" s="173">
        <f t="shared" si="43"/>
        <v>0.14117647058823529</v>
      </c>
      <c r="EC36" s="173">
        <f t="shared" si="44"/>
        <v>0.86708860759493667</v>
      </c>
      <c r="ED36" s="63">
        <v>1.07</v>
      </c>
      <c r="EE36" s="63">
        <v>1.22</v>
      </c>
      <c r="EF36" s="63">
        <v>0.04</v>
      </c>
      <c r="EG36" s="63">
        <v>0.14000000000000001</v>
      </c>
      <c r="EH36" s="127" t="str">
        <f t="shared" si="5"/>
        <v>ME</v>
      </c>
      <c r="EI36" s="56">
        <v>29</v>
      </c>
      <c r="EJ36" s="334" t="s">
        <v>444</v>
      </c>
      <c r="EK36" s="334"/>
      <c r="EL36" s="334"/>
      <c r="EM36" s="334"/>
      <c r="EN36" s="334"/>
      <c r="EO36" s="334"/>
      <c r="EP36" s="334"/>
      <c r="EQ36" s="65" t="str">
        <f t="shared" si="45"/>
        <v>ME</v>
      </c>
      <c r="ER36" s="20"/>
      <c r="ES36" s="20"/>
      <c r="ET36" s="20"/>
      <c r="EU36" s="20"/>
      <c r="EV36" s="20"/>
      <c r="EW36" s="20"/>
      <c r="EX36" s="20"/>
    </row>
    <row r="37" spans="1:154" s="3" customFormat="1" ht="17.149999999999999" customHeight="1" thickBot="1" x14ac:dyDescent="0.4">
      <c r="A37" s="56">
        <v>30</v>
      </c>
      <c r="B37" s="57">
        <v>912143</v>
      </c>
      <c r="C37" s="58">
        <f>IF(Oct.!B8="","",IF(Oct.!B8=B37,"",(Oct.!B8-B37)))</f>
        <v>160</v>
      </c>
      <c r="D37" s="167">
        <v>9.7100000000000009</v>
      </c>
      <c r="E37" s="59">
        <v>816946</v>
      </c>
      <c r="F37" s="58">
        <f>IF(Oct.!E8="","",IF(Oct.!E8=E37,"",(Oct.!E8-E37)))</f>
        <v>153</v>
      </c>
      <c r="G37" s="168">
        <v>1.26</v>
      </c>
      <c r="H37" s="57">
        <v>769900</v>
      </c>
      <c r="I37" s="58">
        <f>IF(Oct.!H8="","",IF(Oct.!H8=H37,"",(Oct.!H8-H37)))</f>
        <v>138</v>
      </c>
      <c r="J37" s="60" t="s">
        <v>194</v>
      </c>
      <c r="K37" s="56">
        <v>30</v>
      </c>
      <c r="L37" s="57">
        <v>71200</v>
      </c>
      <c r="M37" s="58" t="str">
        <f>IF(Oct.!L8="","",IF(Oct.!L8=L37,"",(Oct.!L8-L37)))</f>
        <v/>
      </c>
      <c r="N37" s="59">
        <v>181707</v>
      </c>
      <c r="O37" s="58">
        <f>IF(Oct.!N8="","",IF(Oct.!N8=N37,"",(Oct.!N8-N37)))</f>
        <v>28</v>
      </c>
      <c r="P37" s="57">
        <v>194749</v>
      </c>
      <c r="Q37" s="58" t="str">
        <f>IF(Oct.!P8="","",IF(Oct.!P8=P37,"",(Oct.!P8-P37)))</f>
        <v/>
      </c>
      <c r="R37" s="57">
        <v>690</v>
      </c>
      <c r="S37" s="57">
        <v>698</v>
      </c>
      <c r="T37" s="57">
        <v>145</v>
      </c>
      <c r="U37" s="57">
        <v>142</v>
      </c>
      <c r="V37" s="58" t="str">
        <f t="shared" si="10"/>
        <v>ME</v>
      </c>
      <c r="W37" s="56">
        <v>30</v>
      </c>
      <c r="X37" s="63">
        <v>12058.93</v>
      </c>
      <c r="Y37" s="130">
        <f>IF(Oct.!X8="","",IF(Oct.!X8=X37,"",Oct.!X8-X37))</f>
        <v>2.2999999999992724</v>
      </c>
      <c r="Z37" s="63">
        <v>12827.51</v>
      </c>
      <c r="AA37" s="130">
        <f>IF(Oct.!Z8="","",IF(Oct.!Z8=Z37,"",Oct.!Z8-Z37))</f>
        <v>2.319999999999709</v>
      </c>
      <c r="AB37" s="63">
        <v>10075.879999999999</v>
      </c>
      <c r="AC37" s="130">
        <f>IF(Oct.!AB8="","",IF(Oct.!AB8=AB37,"",Oct.!AB8-AB37))</f>
        <v>1.8000000000010914</v>
      </c>
      <c r="AD37" s="63">
        <v>10229.280000000001</v>
      </c>
      <c r="AE37" s="130">
        <f>IF(Oct.!AD8="","",IF(Oct.!AD8=AD37,"",Oct.!AD8-AD37))</f>
        <v>1.8699999999989814</v>
      </c>
      <c r="AF37" s="125" t="str">
        <f t="shared" si="14"/>
        <v>ME</v>
      </c>
      <c r="AG37" s="56">
        <v>30</v>
      </c>
      <c r="AH37" s="63">
        <v>48298.55</v>
      </c>
      <c r="AI37" s="130">
        <f>IF(Oct.!AH8="","",IF(Oct.!AH8=AH37,"",Oct.!AH8-AH37))</f>
        <v>19.599999999998545</v>
      </c>
      <c r="AJ37" s="63">
        <v>50468.05</v>
      </c>
      <c r="AK37" s="306">
        <f>IF(Oct.!AJ8="","",IF(Oct.!AJ8=AJ37,"",Oct.!AJ8-AJ37))</f>
        <v>9.9999999947613105E-3</v>
      </c>
      <c r="AL37" s="63">
        <v>592.32000000000005</v>
      </c>
      <c r="AM37" s="130" t="str">
        <f>IF(Oct.!AL8="","",IF(Oct.!AL8=AL37,"",Oct.!AL8-AL37))</f>
        <v/>
      </c>
      <c r="AN37" s="63">
        <v>553.45000000000005</v>
      </c>
      <c r="AO37" s="130" t="str">
        <f>IF(Oct.!AN8="","",IF(Oct.!AN8=AN37,"",Oct.!AN8-AN37))</f>
        <v/>
      </c>
      <c r="AP37" s="125" t="str">
        <f t="shared" si="18"/>
        <v>ME</v>
      </c>
      <c r="AQ37" s="56">
        <v>30</v>
      </c>
      <c r="AR37" s="63">
        <v>6967.48</v>
      </c>
      <c r="AS37" s="130">
        <f>IF(Oct.!AR8="","",IF(Oct.!AR8=AR37,"",Oct.!AR8-AR37))</f>
        <v>1.410000000000764</v>
      </c>
      <c r="AT37" s="63">
        <v>7796.98</v>
      </c>
      <c r="AU37" s="130">
        <f>IF(Oct.!AT8="","",IF(Oct.!AT8=AT37,"",Oct.!AT8-AT37))</f>
        <v>3.3400000000001455</v>
      </c>
      <c r="AV37" s="63">
        <v>261.56</v>
      </c>
      <c r="AW37" s="130" t="str">
        <f>IF(Oct.!AV8="","",IF(Oct.!AV8=AV37,"",Oct.!AV8-AV37))</f>
        <v/>
      </c>
      <c r="AX37" s="63">
        <v>247.9</v>
      </c>
      <c r="AY37" s="130" t="str">
        <f>IF(Oct.!AX8="","",IF(Oct.!AX8=AX37,"",Oct.!AX8-AX37))</f>
        <v/>
      </c>
      <c r="AZ37" s="125" t="str">
        <f t="shared" si="22"/>
        <v>ME</v>
      </c>
      <c r="BA37" s="56">
        <v>30</v>
      </c>
      <c r="BB37" s="64">
        <v>1.63</v>
      </c>
      <c r="BC37" s="62">
        <v>33</v>
      </c>
      <c r="BD37" s="61">
        <v>6.9</v>
      </c>
      <c r="BE37" s="61">
        <v>14.8</v>
      </c>
      <c r="BF37" s="61">
        <v>15.7</v>
      </c>
      <c r="BG37" s="61">
        <v>6.9</v>
      </c>
      <c r="BH37" s="64">
        <v>0.19</v>
      </c>
      <c r="BI37" s="64">
        <v>0.18099999999999999</v>
      </c>
      <c r="BJ37" s="64">
        <v>5.6000000000000001E-2</v>
      </c>
      <c r="BK37" s="64">
        <v>5.3999999999999999E-2</v>
      </c>
      <c r="BL37" s="64">
        <v>6.7000000000000004E-2</v>
      </c>
      <c r="BM37" s="64">
        <v>5.6000000000000001E-2</v>
      </c>
      <c r="BN37" s="65" t="str">
        <f t="shared" si="23"/>
        <v>ME</v>
      </c>
      <c r="BO37" s="56">
        <v>30</v>
      </c>
      <c r="BP37" s="64">
        <v>9.7000000000000003E-2</v>
      </c>
      <c r="BQ37" s="62">
        <v>0</v>
      </c>
      <c r="BR37" s="61">
        <v>7.2</v>
      </c>
      <c r="BS37" s="61">
        <v>18.5</v>
      </c>
      <c r="BT37" s="61">
        <v>18</v>
      </c>
      <c r="BU37" s="64">
        <v>0.02</v>
      </c>
      <c r="BV37" s="63">
        <v>1.1200000000000001</v>
      </c>
      <c r="BW37" s="63">
        <v>0.89</v>
      </c>
      <c r="BX37" s="66" t="s">
        <v>245</v>
      </c>
      <c r="BY37" s="172" t="s">
        <v>246</v>
      </c>
      <c r="BZ37" s="67" t="str">
        <f t="shared" si="24"/>
        <v>ME</v>
      </c>
      <c r="CA37" s="56">
        <v>30</v>
      </c>
      <c r="CB37" s="61">
        <v>89.9</v>
      </c>
      <c r="CC37" s="61"/>
      <c r="CD37" s="68">
        <f>IF(Oct.!CB8="","",IF(CC37="",IF(CB37=Oct.!CB8,"",(CB37-Oct.!CB8)),IF(CC37=Oct.!CB8,"",(CC37-Oct.!CB8))))</f>
        <v>1.1000000000000085</v>
      </c>
      <c r="CE37" s="69">
        <f t="shared" si="26"/>
        <v>5.11969150000004</v>
      </c>
      <c r="CF37" s="69">
        <f t="shared" si="27"/>
        <v>4.4519056521739477</v>
      </c>
      <c r="CG37" s="62">
        <v>68</v>
      </c>
      <c r="CH37" s="62">
        <v>100</v>
      </c>
      <c r="CI37" s="65" t="str">
        <f t="shared" si="28"/>
        <v>ME</v>
      </c>
      <c r="CJ37" s="56">
        <v>30</v>
      </c>
      <c r="CK37" s="61">
        <v>97.5</v>
      </c>
      <c r="CL37" s="61"/>
      <c r="CM37" s="68">
        <f>IF(Oct.!CK8="","",IF(CL37="",IF(CK37=Oct.!CK8,"",(CK37-Oct.!CK8)),IF(CL37=Oct.!CK8,"",(CL37-Oct.!CK8))))</f>
        <v>1.7999999999999972</v>
      </c>
      <c r="CN37" s="68">
        <f t="shared" si="30"/>
        <v>8.3776769999999878</v>
      </c>
      <c r="CO37" s="68">
        <f t="shared" si="31"/>
        <v>20.821145369062471</v>
      </c>
      <c r="CP37" s="62">
        <v>52</v>
      </c>
      <c r="CQ37" s="62">
        <v>83</v>
      </c>
      <c r="CR37" s="65" t="str">
        <f t="shared" si="32"/>
        <v>ME</v>
      </c>
      <c r="CS37" s="56">
        <v>30</v>
      </c>
      <c r="CT37" s="61">
        <v>107.6</v>
      </c>
      <c r="CU37" s="61"/>
      <c r="CV37" s="68">
        <f>IF(Oct.!CT8="","",IF(CU37="",IF(CT37=Oct.!CT8,"",(CT37-Oct.!CT8)),IF(CU37=Oct.!CT8,"",(CU37-Oct.!CT8))))</f>
        <v>1.0999999999999943</v>
      </c>
      <c r="CW37" s="68">
        <f t="shared" si="34"/>
        <v>7.3086639999999612</v>
      </c>
      <c r="CX37" s="69">
        <f t="shared" si="35"/>
        <v>4.5679149999999759E-2</v>
      </c>
      <c r="CY37" s="66" t="s">
        <v>240</v>
      </c>
      <c r="CZ37" s="66" t="s">
        <v>241</v>
      </c>
      <c r="DA37" s="66"/>
      <c r="DB37" s="65" t="str">
        <f t="shared" si="36"/>
        <v>ME</v>
      </c>
      <c r="DC37" s="56">
        <v>30</v>
      </c>
      <c r="DD37" s="61">
        <v>87.2</v>
      </c>
      <c r="DE37" s="61">
        <v>103.3</v>
      </c>
      <c r="DF37" s="68">
        <f>IF(Oct.!DD8="","",IF(DE37="",IF(DD37=Oct.!DD8,"",(DD37-Oct.!DD8)),IF(DE37=Oct.!DD8,"",(DE37-Oct.!DD8))))</f>
        <v>14.799999999999997</v>
      </c>
      <c r="DG37" s="69">
        <f t="shared" si="38"/>
        <v>0.79847818623999989</v>
      </c>
      <c r="DH37" s="68">
        <f t="shared" si="39"/>
        <v>4.990488663999999</v>
      </c>
      <c r="DI37" s="62">
        <v>90</v>
      </c>
      <c r="DJ37" s="62">
        <v>54</v>
      </c>
      <c r="DK37" s="65" t="str">
        <f t="shared" si="40"/>
        <v>ME</v>
      </c>
      <c r="DL37" s="56">
        <v>30</v>
      </c>
      <c r="DM37" s="63">
        <v>8.0500000000000007</v>
      </c>
      <c r="DN37" s="64">
        <v>3.2000000000000001E-2</v>
      </c>
      <c r="DO37" s="64">
        <v>3.1E-2</v>
      </c>
      <c r="DP37" s="64">
        <v>7.2999999999999995E-2</v>
      </c>
      <c r="DQ37" s="63">
        <v>7.21</v>
      </c>
      <c r="DR37" s="61">
        <v>18.5</v>
      </c>
      <c r="DS37" s="64">
        <v>1.121</v>
      </c>
      <c r="DT37" s="61">
        <v>86.7</v>
      </c>
      <c r="DU37" s="63">
        <v>4.2</v>
      </c>
      <c r="DV37" s="64">
        <v>0.70799999999999996</v>
      </c>
      <c r="DW37" s="64">
        <v>1.32</v>
      </c>
      <c r="DX37" s="66" t="s">
        <v>247</v>
      </c>
      <c r="DY37" s="65" t="str">
        <f t="shared" si="41"/>
        <v>ME</v>
      </c>
      <c r="DZ37" s="128">
        <v>30</v>
      </c>
      <c r="EA37" s="173">
        <f t="shared" si="42"/>
        <v>0.10695187165775401</v>
      </c>
      <c r="EB37" s="173">
        <f t="shared" si="43"/>
        <v>0.1125</v>
      </c>
      <c r="EC37" s="173">
        <f t="shared" si="44"/>
        <v>0.86250000000000004</v>
      </c>
      <c r="ED37" s="63">
        <v>1.02</v>
      </c>
      <c r="EE37" s="63">
        <v>1.31</v>
      </c>
      <c r="EF37" s="63">
        <v>0.04</v>
      </c>
      <c r="EG37" s="63">
        <v>0.09</v>
      </c>
      <c r="EH37" s="127" t="str">
        <f t="shared" si="5"/>
        <v>ME</v>
      </c>
      <c r="EI37" s="56">
        <v>30</v>
      </c>
      <c r="EJ37" s="334" t="s">
        <v>446</v>
      </c>
      <c r="EK37" s="334"/>
      <c r="EL37" s="334"/>
      <c r="EM37" s="334"/>
      <c r="EN37" s="334"/>
      <c r="EO37" s="334"/>
      <c r="EP37" s="334"/>
      <c r="EQ37" s="65" t="str">
        <f t="shared" si="45"/>
        <v>ME</v>
      </c>
      <c r="ER37" s="20"/>
      <c r="ES37" s="20"/>
      <c r="ET37" s="20"/>
      <c r="EU37" s="20"/>
      <c r="EV37" s="20"/>
      <c r="EW37" s="20"/>
      <c r="EX37" s="20"/>
    </row>
    <row r="38" spans="1:154" s="3" customFormat="1" ht="17.149999999999999" customHeight="1" thickBot="1" x14ac:dyDescent="0.4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124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  <c r="DR38" s="73"/>
      <c r="DS38" s="73"/>
      <c r="DT38" s="73"/>
      <c r="DU38" s="73"/>
      <c r="DV38" s="73"/>
      <c r="DW38" s="73"/>
      <c r="DX38" s="73"/>
      <c r="DY38" s="73"/>
      <c r="DZ38" s="195" t="s">
        <v>199</v>
      </c>
      <c r="EA38" s="198">
        <f>IF(COUNT(EA6:EA36)=0,"",AVERAGE(EA6:EA36))*100</f>
        <v>12.331735201917757</v>
      </c>
      <c r="EB38" s="199">
        <f>IF(COUNT(EB6:EB36)=0,"",AVERAGE(EB6:EB36))*100</f>
        <v>14.201318458417852</v>
      </c>
      <c r="EC38" s="200">
        <f>IF(COUNT(EC6:EC36)=0,"",AVERAGE(EC6:EC36))*100</f>
        <v>81.955972689849403</v>
      </c>
      <c r="ED38" s="73"/>
      <c r="EE38" s="73"/>
      <c r="EF38" s="73"/>
      <c r="EG38" s="73"/>
      <c r="EH38" s="73"/>
      <c r="EI38" s="73"/>
      <c r="EJ38" s="351"/>
      <c r="EK38" s="351"/>
      <c r="EL38" s="351"/>
      <c r="EM38" s="351"/>
      <c r="EN38" s="351"/>
      <c r="EO38" s="351"/>
      <c r="EP38" s="351"/>
      <c r="EQ38" s="73"/>
      <c r="ER38" s="20"/>
      <c r="ES38" s="20"/>
      <c r="ET38" s="20"/>
      <c r="EU38" s="20"/>
      <c r="EV38" s="20"/>
      <c r="EW38" s="20"/>
      <c r="EX38" s="20"/>
    </row>
    <row r="39" spans="1:154" s="3" customFormat="1" ht="18.649999999999999" customHeight="1" x14ac:dyDescent="0.35">
      <c r="A39" s="73"/>
      <c r="B39" s="74"/>
      <c r="C39" s="74"/>
      <c r="D39" s="75"/>
      <c r="E39" s="74"/>
      <c r="F39" s="74"/>
      <c r="G39" s="75"/>
      <c r="H39" s="74"/>
      <c r="I39" s="74"/>
      <c r="J39" s="73"/>
      <c r="K39" s="73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3"/>
      <c r="W39" s="73"/>
      <c r="X39" s="75"/>
      <c r="Y39" s="75"/>
      <c r="Z39" s="75"/>
      <c r="AA39" s="75"/>
      <c r="AB39" s="75"/>
      <c r="AC39" s="75"/>
      <c r="AD39" s="75"/>
      <c r="AE39" s="75"/>
      <c r="AF39" s="73"/>
      <c r="AG39" s="73"/>
      <c r="AH39" s="75"/>
      <c r="AI39" s="75"/>
      <c r="AJ39" s="75"/>
      <c r="AK39" s="75"/>
      <c r="AL39" s="75"/>
      <c r="AM39" s="75"/>
      <c r="AN39" s="75"/>
      <c r="AO39" s="75"/>
      <c r="AP39" s="73"/>
      <c r="AQ39" s="73"/>
      <c r="AR39" s="75"/>
      <c r="AS39" s="75"/>
      <c r="AT39" s="75"/>
      <c r="AU39" s="75"/>
      <c r="AV39" s="75"/>
      <c r="AW39" s="75"/>
      <c r="AX39" s="75"/>
      <c r="AY39" s="75"/>
      <c r="AZ39" s="73"/>
      <c r="BA39" s="73"/>
      <c r="BB39" s="124"/>
      <c r="BC39" s="74"/>
      <c r="BD39" s="73"/>
      <c r="BE39" s="73"/>
      <c r="BF39" s="73"/>
      <c r="BG39" s="73"/>
      <c r="BH39" s="124"/>
      <c r="BI39" s="124"/>
      <c r="BJ39" s="124"/>
      <c r="BK39" s="124"/>
      <c r="BL39" s="124"/>
      <c r="BM39" s="124"/>
      <c r="BN39" s="73"/>
      <c r="BO39" s="73"/>
      <c r="BP39" s="124"/>
      <c r="BQ39" s="74"/>
      <c r="BR39" s="73"/>
      <c r="BS39" s="73"/>
      <c r="BT39" s="73"/>
      <c r="BU39" s="124"/>
      <c r="BV39" s="75"/>
      <c r="BW39" s="75"/>
      <c r="BX39" s="73"/>
      <c r="BY39" s="73"/>
      <c r="BZ39" s="73"/>
      <c r="CA39" s="73"/>
      <c r="CB39" s="73"/>
      <c r="CC39" s="73"/>
      <c r="CD39" s="73"/>
      <c r="CE39" s="75"/>
      <c r="CF39" s="75"/>
      <c r="CG39" s="74"/>
      <c r="CH39" s="74"/>
      <c r="CI39" s="73"/>
      <c r="CJ39" s="73"/>
      <c r="CK39" s="73"/>
      <c r="CL39" s="73"/>
      <c r="CM39" s="73"/>
      <c r="CN39" s="73"/>
      <c r="CO39" s="73"/>
      <c r="CP39" s="74"/>
      <c r="CQ39" s="74"/>
      <c r="CR39" s="73"/>
      <c r="CS39" s="73"/>
      <c r="CT39" s="73"/>
      <c r="CU39" s="73"/>
      <c r="CV39" s="73"/>
      <c r="CW39" s="73"/>
      <c r="CX39" s="75"/>
      <c r="CY39" s="74"/>
      <c r="CZ39" s="74"/>
      <c r="DA39" s="74"/>
      <c r="DB39" s="73"/>
      <c r="DC39" s="73"/>
      <c r="DD39" s="73"/>
      <c r="DE39" s="73"/>
      <c r="DF39" s="73"/>
      <c r="DG39" s="75"/>
      <c r="DH39" s="73"/>
      <c r="DI39" s="74"/>
      <c r="DJ39" s="74"/>
      <c r="DK39" s="73"/>
      <c r="DL39" s="73"/>
      <c r="DM39" s="75"/>
      <c r="DN39" s="124"/>
      <c r="DO39" s="124"/>
      <c r="DP39" s="124"/>
      <c r="DQ39" s="75"/>
      <c r="DR39" s="73"/>
      <c r="DS39" s="124"/>
      <c r="DT39" s="73"/>
      <c r="DU39" s="75"/>
      <c r="DV39" s="124"/>
      <c r="DW39" s="124"/>
      <c r="DX39" s="124"/>
      <c r="DY39" s="73"/>
      <c r="DZ39" s="84" t="s">
        <v>27</v>
      </c>
      <c r="EA39" s="82">
        <f>IF(COUNT(EA7:EA37)=0,"",MIN(EA7:EA37))*100</f>
        <v>5.3475935828877006</v>
      </c>
      <c r="EB39" s="82">
        <f>IF(COUNT(EB7:EB37)=0,"",MIN(EB7:EB37))*100</f>
        <v>7.867647058823529</v>
      </c>
      <c r="EC39" s="82">
        <f>IF(COUNT(EC7:EC37)=0,"",MIN(EC7:EC37))*100</f>
        <v>62.068965517241381</v>
      </c>
      <c r="ED39" s="259" t="s">
        <v>35</v>
      </c>
      <c r="EE39" s="75"/>
      <c r="EF39" s="75"/>
      <c r="EG39" s="75"/>
      <c r="EH39" s="73"/>
      <c r="EI39" s="73"/>
      <c r="EJ39" s="351"/>
      <c r="EK39" s="351"/>
      <c r="EL39" s="351"/>
      <c r="EM39" s="351"/>
      <c r="EN39" s="351"/>
      <c r="EO39" s="351"/>
      <c r="EP39" s="351"/>
      <c r="EQ39" s="73"/>
      <c r="ER39" s="20"/>
      <c r="ES39" s="20"/>
      <c r="ET39" s="20"/>
      <c r="EU39" s="20"/>
      <c r="EV39" s="20"/>
      <c r="EW39" s="20"/>
      <c r="EX39" s="20"/>
    </row>
    <row r="40" spans="1:154" s="3" customFormat="1" ht="18.649999999999999" customHeight="1" x14ac:dyDescent="0.35">
      <c r="A40" s="56" t="s">
        <v>2</v>
      </c>
      <c r="B40" s="77"/>
      <c r="C40" s="78">
        <f>IF(COUNT(C8:C38)=0,"",SUM(C8:C38))</f>
        <v>5510</v>
      </c>
      <c r="D40" s="75"/>
      <c r="E40" s="74"/>
      <c r="F40" s="78">
        <f>IF(COUNT(F8:F38)=0,"",SUM(F8:F38))</f>
        <v>5754</v>
      </c>
      <c r="G40" s="81"/>
      <c r="H40" s="74"/>
      <c r="I40" s="78">
        <f>IF(COUNT(I8:I38)=0,"",SUM(I8:I38))</f>
        <v>4438</v>
      </c>
      <c r="J40" s="79"/>
      <c r="K40" s="56" t="s">
        <v>2</v>
      </c>
      <c r="L40" s="77"/>
      <c r="M40" s="78">
        <f>IF(COUNT(M8:M38)=0,"",SUM(M8:M38))</f>
        <v>355</v>
      </c>
      <c r="N40" s="74"/>
      <c r="O40" s="78">
        <f>IF(COUNT(O8:O38)=0,"",SUM(O8:O38))</f>
        <v>1133</v>
      </c>
      <c r="P40" s="74"/>
      <c r="Q40" s="78" t="str">
        <f>IF(COUNT(Q8:Q38)=0,"",SUM(Q8:Q38))</f>
        <v/>
      </c>
      <c r="R40" s="77"/>
      <c r="S40" s="77"/>
      <c r="T40" s="77"/>
      <c r="U40" s="77"/>
      <c r="V40" s="79"/>
      <c r="W40" s="56" t="s">
        <v>2</v>
      </c>
      <c r="X40" s="81"/>
      <c r="Y40" s="82">
        <f>IF(COUNT(Y8:Y38)=0,"",SUM(Y8:Y38))</f>
        <v>78.069999999999709</v>
      </c>
      <c r="Z40" s="75"/>
      <c r="AA40" s="82">
        <f>IF(COUNT(AA8:AA38)=0,"",SUM(AA8:AA38))</f>
        <v>77.590000000000146</v>
      </c>
      <c r="AB40" s="75"/>
      <c r="AC40" s="82">
        <f>IF(COUNT(AC8:AC38)=0,"",SUM(AC8:AC38))</f>
        <v>59.300000000001091</v>
      </c>
      <c r="AD40" s="75"/>
      <c r="AE40" s="82">
        <f>IF(COUNT(AE8:AE38)=0,"",SUM(AE8:AE38))</f>
        <v>58.690000000000509</v>
      </c>
      <c r="AF40" s="79"/>
      <c r="AG40" s="56" t="s">
        <v>2</v>
      </c>
      <c r="AH40" s="81"/>
      <c r="AI40" s="82">
        <f>IF(COUNT(AI8:AI38)=0,"",SUM(AI8:AI38))</f>
        <v>368.09000000000378</v>
      </c>
      <c r="AJ40" s="75"/>
      <c r="AK40" s="82">
        <f>IF(COUNT(AK8:AK38)=0,"",SUM(AK8:AK38))</f>
        <v>346.68000000000029</v>
      </c>
      <c r="AL40" s="75"/>
      <c r="AM40" s="82">
        <f>IF(COUNT(AM8:AM38)=0,"",SUM(AM8:AM38))</f>
        <v>0.12000000000000455</v>
      </c>
      <c r="AN40" s="75"/>
      <c r="AO40" s="82">
        <f>IF(COUNT(AO8:AO38)=0,"",SUM(AO8:AO38))</f>
        <v>8.0000000000040927E-2</v>
      </c>
      <c r="AP40" s="79"/>
      <c r="AQ40" s="56" t="s">
        <v>2</v>
      </c>
      <c r="AR40" s="81"/>
      <c r="AS40" s="82">
        <f>IF(COUNT(AS8:AS38)=0,"",SUM(AS8:AS38))</f>
        <v>52.050000000000182</v>
      </c>
      <c r="AT40" s="75"/>
      <c r="AU40" s="82">
        <f>IF(COUNT(AU8:AU38)=0,"",SUM(AU8:AU38))</f>
        <v>96.170000000000073</v>
      </c>
      <c r="AV40" s="75"/>
      <c r="AW40" s="82">
        <f>IF(COUNT(AW8:AW38)=0,"",SUM(AW8:AW38))</f>
        <v>1.1000000000000227</v>
      </c>
      <c r="AX40" s="75"/>
      <c r="AY40" s="82">
        <f>IF(COUNT(AY8:AY38)=0,"",SUM(AY8:AY38))</f>
        <v>1.4500000000000171</v>
      </c>
      <c r="AZ40" s="79"/>
      <c r="BA40" s="264" t="s">
        <v>2</v>
      </c>
      <c r="BB40" s="265">
        <f>COUNTA(BB8:BB37)</f>
        <v>21</v>
      </c>
      <c r="BC40" s="265">
        <f t="shared" ref="BC40:BM40" si="46">COUNTA(BC8:BC37)</f>
        <v>21</v>
      </c>
      <c r="BD40" s="265">
        <f t="shared" si="46"/>
        <v>21</v>
      </c>
      <c r="BE40" s="265">
        <f t="shared" si="46"/>
        <v>21</v>
      </c>
      <c r="BF40" s="265">
        <f t="shared" si="46"/>
        <v>21</v>
      </c>
      <c r="BG40" s="265">
        <f t="shared" si="46"/>
        <v>21</v>
      </c>
      <c r="BH40" s="265">
        <f t="shared" si="46"/>
        <v>21</v>
      </c>
      <c r="BI40" s="265">
        <f t="shared" si="46"/>
        <v>21</v>
      </c>
      <c r="BJ40" s="265">
        <f t="shared" si="46"/>
        <v>21</v>
      </c>
      <c r="BK40" s="265">
        <f t="shared" si="46"/>
        <v>21</v>
      </c>
      <c r="BL40" s="265">
        <f t="shared" si="46"/>
        <v>21</v>
      </c>
      <c r="BM40" s="265">
        <f t="shared" si="46"/>
        <v>21</v>
      </c>
      <c r="BN40" s="266" t="s">
        <v>208</v>
      </c>
      <c r="BO40" s="264" t="s">
        <v>2</v>
      </c>
      <c r="BP40" s="265">
        <f t="shared" ref="BP40:BW40" si="47">COUNTA(BP8:BP37)</f>
        <v>30</v>
      </c>
      <c r="BQ40" s="265">
        <f t="shared" si="47"/>
        <v>25</v>
      </c>
      <c r="BR40" s="265">
        <f t="shared" si="47"/>
        <v>25</v>
      </c>
      <c r="BS40" s="265">
        <f t="shared" si="47"/>
        <v>25</v>
      </c>
      <c r="BT40" s="265">
        <f t="shared" si="47"/>
        <v>25</v>
      </c>
      <c r="BU40" s="265">
        <f t="shared" si="47"/>
        <v>25</v>
      </c>
      <c r="BV40" s="265">
        <f t="shared" si="47"/>
        <v>30</v>
      </c>
      <c r="BW40" s="265">
        <f t="shared" si="47"/>
        <v>30</v>
      </c>
      <c r="BX40" s="267" t="s">
        <v>208</v>
      </c>
      <c r="BY40" s="83"/>
      <c r="BZ40" s="73"/>
      <c r="CA40" s="56" t="s">
        <v>2</v>
      </c>
      <c r="CB40" s="73"/>
      <c r="CC40" s="73"/>
      <c r="CD40" s="80">
        <f>IF(COUNT(CD8:CD38)=0,"",SUM(CD8:CD38))</f>
        <v>46.40000000000002</v>
      </c>
      <c r="CE40" s="82">
        <f>IF(COUNT(CE8:CE38)=0,"",SUM(CE8:CE38))</f>
        <v>215.95789600000012</v>
      </c>
      <c r="CF40" s="75"/>
      <c r="CG40" s="74"/>
      <c r="CH40" s="74"/>
      <c r="CI40" s="73"/>
      <c r="CJ40" s="56" t="s">
        <v>2</v>
      </c>
      <c r="CK40" s="73"/>
      <c r="CL40" s="73"/>
      <c r="CM40" s="80">
        <f>IF(COUNT(CM8:CM38)=0,"",SUM(CM8:CM38))</f>
        <v>66.099999999999994</v>
      </c>
      <c r="CN40" s="80">
        <f>IF(COUNT(CN8:CN38)=0,"",SUM(CN8:CN38))</f>
        <v>307.64691650000003</v>
      </c>
      <c r="CO40" s="73"/>
      <c r="CP40" s="74"/>
      <c r="CQ40" s="74"/>
      <c r="CR40" s="73"/>
      <c r="CS40" s="56" t="s">
        <v>2</v>
      </c>
      <c r="CT40" s="73"/>
      <c r="CU40" s="73"/>
      <c r="CV40" s="80">
        <f>IF(COUNT(CV8:CV38)=0,"",SUM(CV8:CV38))</f>
        <v>56.299999999999969</v>
      </c>
      <c r="CW40" s="80">
        <f>IF(COUNT(CW8:CW38)=0,"",SUM(CW8:CW38))</f>
        <v>374.07071199999984</v>
      </c>
      <c r="CX40" s="75"/>
      <c r="CY40" s="74"/>
      <c r="CZ40" s="74"/>
      <c r="DA40" s="74"/>
      <c r="DB40" s="73"/>
      <c r="DC40" s="56" t="s">
        <v>2</v>
      </c>
      <c r="DD40" s="73"/>
      <c r="DE40" s="73"/>
      <c r="DF40" s="80">
        <f>IF(COUNT(DF8:DF38)=0,"",SUM(DF8:DF38))</f>
        <v>550.79999999999984</v>
      </c>
      <c r="DG40" s="82">
        <f>IF(COUNT(DG8:DG38)=0,"",SUM(DG8:DG38))</f>
        <v>29.716336823039995</v>
      </c>
      <c r="DH40" s="73"/>
      <c r="DI40" s="74"/>
      <c r="DJ40" s="74"/>
      <c r="DK40" s="73"/>
      <c r="DL40" s="56" t="s">
        <v>2</v>
      </c>
      <c r="DM40" s="75"/>
      <c r="DN40" s="124"/>
      <c r="DO40" s="124"/>
      <c r="DP40" s="124"/>
      <c r="DQ40" s="75"/>
      <c r="DR40" s="73"/>
      <c r="DS40" s="124"/>
      <c r="DT40" s="73"/>
      <c r="DU40" s="75"/>
      <c r="DV40" s="124"/>
      <c r="DW40" s="124"/>
      <c r="DX40" s="124"/>
      <c r="DY40" s="73"/>
      <c r="DZ40" s="84" t="s">
        <v>28</v>
      </c>
      <c r="EA40" s="82">
        <f>IF(COUNT(EA7:EA37)=0,"",MAX(EA7:EA37))*100</f>
        <v>26.203208556149733</v>
      </c>
      <c r="EB40" s="82">
        <f>IF(COUNT(EB7:EB37)=0,"",MAX(EB7:EB37))*100</f>
        <v>18.823529411764707</v>
      </c>
      <c r="EC40" s="82">
        <f>IF(COUNT(EC7:EC37)=0,"",MAX(EC7:EC37))*100</f>
        <v>96.794871794871796</v>
      </c>
      <c r="ED40" s="259">
        <f>IF(COUNT(ED8:ED38)=0,"",MIN(ED8:ED38))</f>
        <v>0</v>
      </c>
      <c r="EE40" s="75"/>
      <c r="EF40" s="75"/>
      <c r="EG40" s="75"/>
      <c r="EH40" s="73"/>
      <c r="EI40" s="73"/>
      <c r="EJ40" s="351"/>
      <c r="EK40" s="351"/>
      <c r="EL40" s="351"/>
      <c r="EM40" s="351"/>
      <c r="EN40" s="351"/>
      <c r="EO40" s="351"/>
      <c r="EP40" s="351"/>
      <c r="EQ40" s="73"/>
      <c r="ER40" s="20"/>
      <c r="ES40" s="20"/>
      <c r="ET40" s="20"/>
      <c r="EU40" s="20"/>
      <c r="EV40" s="20"/>
      <c r="EW40" s="20"/>
      <c r="EX40" s="20"/>
    </row>
    <row r="41" spans="1:154" s="3" customFormat="1" ht="18" customHeight="1" x14ac:dyDescent="0.35">
      <c r="A41" s="56" t="s">
        <v>7</v>
      </c>
      <c r="B41" s="77"/>
      <c r="C41" s="78">
        <f>IF(COUNT(C8:C38)=0,"",AVERAGE(C8:C38))</f>
        <v>183.66666666666666</v>
      </c>
      <c r="D41" s="75"/>
      <c r="E41" s="74"/>
      <c r="F41" s="78">
        <f>IF(COUNT(F8:F38)=0,"",AVERAGE(F8:F38))</f>
        <v>191.8</v>
      </c>
      <c r="G41" s="81"/>
      <c r="H41" s="74"/>
      <c r="I41" s="78">
        <f>IF(COUNT(I8:I38)=0,"",AVERAGE(I8:I38))</f>
        <v>147.93333333333334</v>
      </c>
      <c r="J41" s="79"/>
      <c r="K41" s="56" t="s">
        <v>7</v>
      </c>
      <c r="L41" s="77"/>
      <c r="M41" s="78">
        <f>IF(COUNT(M8:M38)=0,"",AVERAGE(M8:M38))</f>
        <v>39.444444444444443</v>
      </c>
      <c r="N41" s="74"/>
      <c r="O41" s="78">
        <f>IF(COUNT(O8:O38)=0,"",AVERAGE(O8:O38))</f>
        <v>37.766666666666666</v>
      </c>
      <c r="P41" s="74"/>
      <c r="Q41" s="78" t="str">
        <f>IF(COUNT(Q8:Q38)=0,"",AVERAGE(Q8:Q38))</f>
        <v/>
      </c>
      <c r="R41" s="77"/>
      <c r="S41" s="77"/>
      <c r="T41" s="77"/>
      <c r="U41" s="77"/>
      <c r="V41" s="79"/>
      <c r="W41" s="56" t="s">
        <v>7</v>
      </c>
      <c r="X41" s="75"/>
      <c r="Y41" s="75"/>
      <c r="Z41" s="75"/>
      <c r="AA41" s="75"/>
      <c r="AB41" s="75"/>
      <c r="AC41" s="75"/>
      <c r="AD41" s="75"/>
      <c r="AE41" s="75"/>
      <c r="AF41" s="79"/>
      <c r="AG41" s="56" t="s">
        <v>7</v>
      </c>
      <c r="AH41" s="75"/>
      <c r="AI41" s="75"/>
      <c r="AJ41" s="75"/>
      <c r="AK41" s="75"/>
      <c r="AL41" s="75"/>
      <c r="AM41" s="75"/>
      <c r="AN41" s="75"/>
      <c r="AO41" s="75"/>
      <c r="AP41" s="79"/>
      <c r="AQ41" s="56" t="s">
        <v>7</v>
      </c>
      <c r="AR41" s="75"/>
      <c r="AS41" s="75"/>
      <c r="AT41" s="75"/>
      <c r="AU41" s="75"/>
      <c r="AV41" s="75"/>
      <c r="AW41" s="75"/>
      <c r="AX41" s="75"/>
      <c r="AY41" s="75"/>
      <c r="AZ41" s="79"/>
      <c r="BA41" s="56" t="s">
        <v>7</v>
      </c>
      <c r="BB41" s="84">
        <f>IF(COUNT(BB8:BB38)=0,"",AVERAGE(BB8:BB38))</f>
        <v>1.5085714285714285</v>
      </c>
      <c r="BC41" s="78">
        <f t="shared" ref="BC41:BM41" si="48">IF(COUNT(BC8:BC38)=0,"",AVERAGE(BC8:BC38))</f>
        <v>34.666666666666664</v>
      </c>
      <c r="BD41" s="80">
        <f t="shared" si="48"/>
        <v>7.0761904761904777</v>
      </c>
      <c r="BE41" s="80">
        <f t="shared" si="48"/>
        <v>17.238095238095241</v>
      </c>
      <c r="BF41" s="80">
        <f t="shared" si="48"/>
        <v>16.385714285714283</v>
      </c>
      <c r="BG41" s="80">
        <f t="shared" si="48"/>
        <v>7.0761904761904777</v>
      </c>
      <c r="BH41" s="84">
        <f t="shared" si="48"/>
        <v>0.21985714285714286</v>
      </c>
      <c r="BI41" s="84">
        <f t="shared" si="48"/>
        <v>0.20147619047619048</v>
      </c>
      <c r="BJ41" s="84">
        <f t="shared" si="48"/>
        <v>6.4095238095238094E-2</v>
      </c>
      <c r="BK41" s="84">
        <f t="shared" si="48"/>
        <v>6.0999999999999999E-2</v>
      </c>
      <c r="BL41" s="84">
        <f t="shared" si="48"/>
        <v>6.1142857142857131E-2</v>
      </c>
      <c r="BM41" s="84">
        <f t="shared" si="48"/>
        <v>5.9857142857142887E-2</v>
      </c>
      <c r="BN41" s="73"/>
      <c r="BO41" s="56" t="s">
        <v>7</v>
      </c>
      <c r="BP41" s="84">
        <f>IF(COUNT(BP8:BP38)=0,"",AVERAGE(BP8:BP38))</f>
        <v>9.5000000000000043E-2</v>
      </c>
      <c r="BQ41" s="78">
        <f t="shared" ref="BQ41:BW41" si="49">IF(COUNT(BQ8:BQ38)=0,"",AVERAGE(BQ8:BQ38))</f>
        <v>0</v>
      </c>
      <c r="BR41" s="80">
        <f t="shared" si="49"/>
        <v>7.1679999999999975</v>
      </c>
      <c r="BS41" s="80">
        <f t="shared" si="49"/>
        <v>19.952000000000002</v>
      </c>
      <c r="BT41" s="80">
        <f t="shared" si="49"/>
        <v>18.364000000000001</v>
      </c>
      <c r="BU41" s="84">
        <f t="shared" si="49"/>
        <v>1.7760000000000001E-2</v>
      </c>
      <c r="BV41" s="82">
        <f t="shared" si="49"/>
        <v>1.1636666666666666</v>
      </c>
      <c r="BW41" s="82">
        <f t="shared" si="49"/>
        <v>0.92866666666666675</v>
      </c>
      <c r="BX41" s="75"/>
      <c r="BY41" s="83"/>
      <c r="BZ41" s="73"/>
      <c r="CA41" s="56" t="s">
        <v>7</v>
      </c>
      <c r="CB41" s="73"/>
      <c r="CC41" s="73"/>
      <c r="CD41" s="80">
        <f>IF(COUNT(CD8:CD38)=0,"",AVERAGE(CD8:CD38))</f>
        <v>1.5466666666666673</v>
      </c>
      <c r="CE41" s="82">
        <f>IF(COUNT(CE8:CE38)=0,"",AVERAGE(CE8:CE38))</f>
        <v>7.1985965333333377</v>
      </c>
      <c r="CF41" s="82">
        <f>IF(COUNT(CF8:CF38)=0,"",AVERAGE(CF8:CF38))</f>
        <v>5.7420143824347569</v>
      </c>
      <c r="CG41" s="74"/>
      <c r="CH41" s="74"/>
      <c r="CI41" s="73"/>
      <c r="CJ41" s="56" t="s">
        <v>7</v>
      </c>
      <c r="CK41" s="73"/>
      <c r="CL41" s="73"/>
      <c r="CM41" s="80">
        <f>IF(COUNT(CM8:CM38)=0,"",AVERAGE(CM8:CM38))</f>
        <v>2.2033333333333331</v>
      </c>
      <c r="CN41" s="80">
        <f>IF(COUNT(CN8:CN38)=0,"",AVERAGE(CN8:CN38))</f>
        <v>10.254897216666668</v>
      </c>
      <c r="CO41" s="80">
        <f>IF(COUNT(CO8:CO38)=0,"",AVERAGE(CO8:CO38))</f>
        <v>22.234471538993471</v>
      </c>
      <c r="CP41" s="74"/>
      <c r="CQ41" s="74"/>
      <c r="CR41" s="73"/>
      <c r="CS41" s="56" t="s">
        <v>7</v>
      </c>
      <c r="CT41" s="73"/>
      <c r="CU41" s="73"/>
      <c r="CV41" s="80">
        <f>IF(COUNT(CV8:CV38)=0,"",AVERAGE(CV8:CV38))</f>
        <v>1.8766666666666656</v>
      </c>
      <c r="CW41" s="80">
        <f>IF(COUNT(CW8:CW38)=0,"",AVERAGE(CW8:CW38))</f>
        <v>12.469023733333328</v>
      </c>
      <c r="CX41" s="82">
        <f>IF(COUNT(CX8:CX38)=0,"",AVERAGE(CX8:CX38))</f>
        <v>6.9125216147387744E-2</v>
      </c>
      <c r="CY41" s="74"/>
      <c r="CZ41" s="74"/>
      <c r="DA41" s="74"/>
      <c r="DB41" s="73"/>
      <c r="DC41" s="56" t="s">
        <v>7</v>
      </c>
      <c r="DD41" s="73"/>
      <c r="DE41" s="73"/>
      <c r="DF41" s="80">
        <f>IF(COUNT(DF8:DF38)=0,"",AVERAGE(DF8:DF38))</f>
        <v>18.359999999999996</v>
      </c>
      <c r="DG41" s="82">
        <f>IF(COUNT(DG8:DG38)=0,"",AVERAGE(DG8:DG38))</f>
        <v>0.99054456076799979</v>
      </c>
      <c r="DH41" s="80">
        <f>IF(COUNT(DH8:DH38)=0,"",AVERAGE(DH8:DH38))</f>
        <v>5.4248298181171579</v>
      </c>
      <c r="DI41" s="74"/>
      <c r="DJ41" s="74"/>
      <c r="DK41" s="73"/>
      <c r="DL41" s="56" t="s">
        <v>7</v>
      </c>
      <c r="DM41" s="82">
        <f t="shared" ref="DM41:DW41" si="50">IF(COUNT(DM8:DM38)=0,"",AVERAGE(DM8:DM38))</f>
        <v>8.2876666666666665</v>
      </c>
      <c r="DN41" s="84">
        <f t="shared" si="50"/>
        <v>3.2666666666666684E-2</v>
      </c>
      <c r="DO41" s="84">
        <f t="shared" si="50"/>
        <v>3.1566666666666687E-2</v>
      </c>
      <c r="DP41" s="84">
        <f t="shared" si="50"/>
        <v>7.5300000000000006E-2</v>
      </c>
      <c r="DQ41" s="82">
        <f t="shared" si="50"/>
        <v>7.1403333333333334</v>
      </c>
      <c r="DR41" s="80">
        <f t="shared" si="50"/>
        <v>20.113333333333337</v>
      </c>
      <c r="DS41" s="84">
        <f t="shared" si="50"/>
        <v>1.1263666666666667</v>
      </c>
      <c r="DT41" s="80">
        <f t="shared" si="50"/>
        <v>86.516666666666666</v>
      </c>
      <c r="DU41" s="82">
        <f t="shared" si="50"/>
        <v>4.2410000000000005</v>
      </c>
      <c r="DV41" s="84">
        <f t="shared" si="50"/>
        <v>1.0553333333333332</v>
      </c>
      <c r="DW41" s="84">
        <f t="shared" si="50"/>
        <v>1.2914000000000001</v>
      </c>
      <c r="DX41" s="124"/>
      <c r="DY41" s="73"/>
      <c r="DZ41" s="84" t="s">
        <v>28</v>
      </c>
      <c r="EA41" s="75"/>
      <c r="EB41" s="76"/>
      <c r="EC41" s="76"/>
      <c r="ED41" s="75"/>
      <c r="EE41" s="82">
        <f>IF(COUNT(EE8:EE38)=0,"",MAX(EE8:EE38))</f>
        <v>5.63</v>
      </c>
      <c r="EF41" s="82">
        <f>IF(COUNT(EF8:EF38)=0,"",MAX(EF8:EF38))</f>
        <v>7.0000000000000007E-2</v>
      </c>
      <c r="EG41" s="82">
        <f>IF(COUNT(EG8:EG38)=0,"",MAX(EG8:EG38))</f>
        <v>0.17</v>
      </c>
      <c r="EH41" s="73"/>
      <c r="EI41" s="73"/>
      <c r="EJ41" s="351"/>
      <c r="EK41" s="351"/>
      <c r="EL41" s="351"/>
      <c r="EM41" s="351"/>
      <c r="EN41" s="351"/>
      <c r="EO41" s="351"/>
      <c r="EP41" s="351"/>
      <c r="EQ41" s="73"/>
      <c r="ER41" s="20"/>
      <c r="ES41" s="20"/>
      <c r="ET41" s="20"/>
      <c r="EU41" s="20"/>
      <c r="EV41" s="20"/>
      <c r="EW41" s="20"/>
      <c r="EX41" s="20"/>
    </row>
    <row r="42" spans="1:154" ht="25.5" customHeight="1" x14ac:dyDescent="0.5">
      <c r="A42" s="314" t="s">
        <v>450</v>
      </c>
      <c r="B42" s="314"/>
      <c r="C42" s="314"/>
      <c r="D42" s="314"/>
      <c r="E42" s="314"/>
      <c r="F42" s="315" t="s">
        <v>115</v>
      </c>
      <c r="G42" s="315"/>
      <c r="H42" s="315"/>
      <c r="I42" s="315"/>
      <c r="J42" s="315"/>
      <c r="K42" s="314" t="str">
        <f>IF(A42="","",A42)</f>
        <v xml:space="preserve"> Drinking Water System</v>
      </c>
      <c r="L42" s="314"/>
      <c r="M42" s="314"/>
      <c r="N42" s="314"/>
      <c r="O42" s="315" t="s">
        <v>125</v>
      </c>
      <c r="P42" s="315"/>
      <c r="Q42" s="315"/>
      <c r="R42" s="315"/>
      <c r="S42" s="315"/>
      <c r="T42" s="315"/>
      <c r="U42" s="315"/>
      <c r="V42" s="315"/>
      <c r="W42" s="314" t="str">
        <f>IF(A42="","",A42)</f>
        <v xml:space="preserve"> Drinking Water System</v>
      </c>
      <c r="X42" s="314"/>
      <c r="Y42" s="314"/>
      <c r="Z42" s="314"/>
      <c r="AA42" s="314"/>
      <c r="AB42" s="315" t="s">
        <v>129</v>
      </c>
      <c r="AC42" s="315"/>
      <c r="AD42" s="315"/>
      <c r="AE42" s="315"/>
      <c r="AF42" s="315"/>
      <c r="AG42" s="314" t="str">
        <f>IF(A42="","",A42)</f>
        <v xml:space="preserve"> Drinking Water System</v>
      </c>
      <c r="AH42" s="314"/>
      <c r="AI42" s="314"/>
      <c r="AJ42" s="314"/>
      <c r="AK42" s="314"/>
      <c r="AL42" s="315" t="s">
        <v>93</v>
      </c>
      <c r="AM42" s="315"/>
      <c r="AN42" s="315"/>
      <c r="AO42" s="315"/>
      <c r="AP42" s="315"/>
      <c r="AQ42" s="314" t="str">
        <f>IF(A42="","",A42)</f>
        <v xml:space="preserve"> Drinking Water System</v>
      </c>
      <c r="AR42" s="314"/>
      <c r="AS42" s="314"/>
      <c r="AT42" s="314"/>
      <c r="AU42" s="314"/>
      <c r="AV42" s="315" t="s">
        <v>135</v>
      </c>
      <c r="AW42" s="315"/>
      <c r="AX42" s="315"/>
      <c r="AY42" s="315"/>
      <c r="AZ42" s="315"/>
      <c r="BA42" s="314" t="str">
        <f>IF(A42="","",A42)</f>
        <v xml:space="preserve"> Drinking Water System</v>
      </c>
      <c r="BB42" s="314"/>
      <c r="BC42" s="314"/>
      <c r="BD42" s="314"/>
      <c r="BE42" s="314"/>
      <c r="BF42" s="352" t="s">
        <v>145</v>
      </c>
      <c r="BG42" s="352"/>
      <c r="BH42" s="352"/>
      <c r="BI42" s="352"/>
      <c r="BJ42" s="352"/>
      <c r="BK42" s="352"/>
      <c r="BL42" s="352"/>
      <c r="BM42" s="352"/>
      <c r="BN42" s="352"/>
      <c r="BO42" s="314" t="str">
        <f>IF(A42="","",A42)</f>
        <v xml:space="preserve"> Drinking Water System</v>
      </c>
      <c r="BP42" s="314"/>
      <c r="BQ42" s="314"/>
      <c r="BR42" s="314"/>
      <c r="BS42" s="314"/>
      <c r="BT42" s="315" t="s">
        <v>100</v>
      </c>
      <c r="BU42" s="315"/>
      <c r="BV42" s="315"/>
      <c r="BW42" s="315"/>
      <c r="BX42" s="315"/>
      <c r="BY42" s="315"/>
      <c r="BZ42" s="315"/>
      <c r="CA42" s="314" t="str">
        <f>IF(A42="","",A42)</f>
        <v xml:space="preserve"> Drinking Water System</v>
      </c>
      <c r="CB42" s="314"/>
      <c r="CC42" s="314"/>
      <c r="CD42" s="314"/>
      <c r="CE42" s="315" t="s">
        <v>154</v>
      </c>
      <c r="CF42" s="315"/>
      <c r="CG42" s="315"/>
      <c r="CH42" s="315"/>
      <c r="CI42" s="315"/>
      <c r="CJ42" s="314" t="str">
        <f>IF(A42="","",A42)</f>
        <v xml:space="preserve"> Drinking Water System</v>
      </c>
      <c r="CK42" s="314"/>
      <c r="CL42" s="314"/>
      <c r="CM42" s="314"/>
      <c r="CN42" s="315" t="s">
        <v>155</v>
      </c>
      <c r="CO42" s="315"/>
      <c r="CP42" s="315"/>
      <c r="CQ42" s="315"/>
      <c r="CR42" s="315"/>
      <c r="CS42" s="314" t="str">
        <f>IF(A42="","",A42)</f>
        <v xml:space="preserve"> Drinking Water System</v>
      </c>
      <c r="CT42" s="314"/>
      <c r="CU42" s="314"/>
      <c r="CV42" s="314"/>
      <c r="CW42" s="315" t="s">
        <v>101</v>
      </c>
      <c r="CX42" s="315"/>
      <c r="CY42" s="315"/>
      <c r="CZ42" s="315"/>
      <c r="DA42" s="315"/>
      <c r="DB42" s="315"/>
      <c r="DC42" s="314" t="str">
        <f>IF(A42="","",A42)</f>
        <v xml:space="preserve"> Drinking Water System</v>
      </c>
      <c r="DD42" s="314"/>
      <c r="DE42" s="314"/>
      <c r="DF42" s="314"/>
      <c r="DG42" s="315" t="s">
        <v>159</v>
      </c>
      <c r="DH42" s="315"/>
      <c r="DI42" s="315"/>
      <c r="DJ42" s="315"/>
      <c r="DK42" s="315"/>
      <c r="DL42" s="324" t="str">
        <f>IF(A42="","",A42)</f>
        <v xml:space="preserve"> Drinking Water System</v>
      </c>
      <c r="DM42" s="324"/>
      <c r="DN42" s="324"/>
      <c r="DO42" s="324"/>
      <c r="DP42" s="324"/>
      <c r="DQ42" s="325" t="s">
        <v>168</v>
      </c>
      <c r="DR42" s="325"/>
      <c r="DS42" s="325"/>
      <c r="DT42" s="325"/>
      <c r="DU42" s="325"/>
      <c r="DV42" s="325"/>
      <c r="DW42" s="325"/>
      <c r="DX42" s="325"/>
      <c r="DY42" s="325"/>
      <c r="DZ42" s="324" t="str">
        <f>IF(A42="","",A42)</f>
        <v xml:space="preserve"> Drinking Water System</v>
      </c>
      <c r="EA42" s="324"/>
      <c r="EB42" s="324"/>
      <c r="EC42" s="324"/>
      <c r="ED42" s="324"/>
      <c r="EE42" s="324"/>
      <c r="EF42" s="325" t="s">
        <v>91</v>
      </c>
      <c r="EG42" s="325"/>
      <c r="EH42" s="325"/>
      <c r="EI42" s="314" t="str">
        <f>IF(A42="","",A42)</f>
        <v xml:space="preserve"> Drinking Water System</v>
      </c>
      <c r="EJ42" s="314"/>
      <c r="EK42" s="314"/>
      <c r="EL42" s="314"/>
      <c r="EM42" s="315" t="s">
        <v>33</v>
      </c>
      <c r="EN42" s="315"/>
      <c r="EO42" s="315"/>
      <c r="EP42" s="315"/>
      <c r="EQ42" s="315"/>
    </row>
    <row r="43" spans="1:154" ht="14.15" customHeight="1" x14ac:dyDescent="0.35"/>
    <row r="44" spans="1:154" s="10" customFormat="1" ht="14.15" customHeight="1" x14ac:dyDescent="0.35">
      <c r="A44" s="20"/>
      <c r="B44" s="5"/>
      <c r="C44" s="5"/>
      <c r="D44" s="23"/>
      <c r="E44" s="5"/>
      <c r="F44" s="5"/>
      <c r="G44" s="23"/>
      <c r="H44" s="5"/>
      <c r="I44" s="5"/>
      <c r="J44" s="20"/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3"/>
      <c r="Y44" s="23"/>
      <c r="Z44" s="23"/>
      <c r="AA44" s="23"/>
      <c r="AB44" s="23"/>
      <c r="AC44" s="23"/>
      <c r="AD44" s="23"/>
      <c r="AE44" s="23"/>
      <c r="AF44" s="22"/>
      <c r="AG44" s="20"/>
      <c r="AH44" s="20"/>
      <c r="AI44" s="5"/>
      <c r="AJ44" s="5"/>
      <c r="AK44" s="5"/>
      <c r="AL44" s="5"/>
      <c r="AM44" s="5"/>
      <c r="AN44" s="5"/>
      <c r="AO44" s="22"/>
      <c r="AP44" s="5"/>
      <c r="AQ44" s="5"/>
      <c r="AR44" s="23"/>
      <c r="AS44" s="23"/>
      <c r="AT44" s="23"/>
      <c r="AU44" s="23"/>
      <c r="AV44" s="23"/>
      <c r="AW44" s="23"/>
      <c r="AX44" s="23"/>
      <c r="AY44" s="23"/>
      <c r="AZ44" s="5"/>
      <c r="BA44" s="38"/>
      <c r="BB44" s="13"/>
      <c r="BC44" s="11"/>
      <c r="BD44" s="12"/>
      <c r="BE44" s="12"/>
      <c r="BF44" s="12"/>
      <c r="BG44" s="12"/>
      <c r="BH44" s="38"/>
      <c r="BI44" s="38"/>
      <c r="BJ44" s="38"/>
      <c r="BK44" s="38"/>
      <c r="BL44" s="38"/>
      <c r="BM44" s="38"/>
      <c r="BN44" s="12"/>
      <c r="BO44" s="13"/>
      <c r="BP44" s="38"/>
      <c r="BQ44" s="11"/>
      <c r="BR44" s="12"/>
      <c r="BS44" s="12"/>
      <c r="BT44" s="12"/>
      <c r="BU44" s="38"/>
      <c r="BV44" s="13"/>
      <c r="BW44" s="13"/>
      <c r="BX44" s="12"/>
      <c r="BY44" s="11"/>
      <c r="BZ44" s="11"/>
      <c r="CB44" s="12"/>
      <c r="CC44" s="12"/>
      <c r="CD44" s="12"/>
      <c r="CE44" s="13"/>
      <c r="CF44" s="13"/>
      <c r="CG44" s="11"/>
      <c r="CH44" s="11"/>
      <c r="CI44" s="12"/>
      <c r="CJ44" s="13"/>
      <c r="CK44" s="12"/>
      <c r="CL44" s="12"/>
      <c r="CM44" s="12"/>
      <c r="CN44" s="12"/>
      <c r="CO44" s="12"/>
      <c r="CU44" s="13"/>
      <c r="CV44" s="11"/>
      <c r="CW44" s="12"/>
      <c r="CX44" s="13"/>
      <c r="CY44" s="12"/>
      <c r="CZ44" s="12"/>
      <c r="DA44" s="38"/>
      <c r="DB44" s="12"/>
      <c r="DC44" s="38"/>
      <c r="DD44" s="12"/>
      <c r="DE44" s="12"/>
      <c r="DF44" s="12"/>
      <c r="DG44" s="13"/>
      <c r="DH44" s="12"/>
      <c r="DI44" s="11"/>
      <c r="DJ44" s="11"/>
      <c r="DK44" s="38"/>
      <c r="DM44" s="13"/>
      <c r="DN44" s="38"/>
      <c r="DO44" s="38"/>
      <c r="DP44" s="38"/>
      <c r="DQ44" s="13"/>
      <c r="DR44" s="12"/>
      <c r="DS44" s="38"/>
      <c r="DT44" s="12"/>
      <c r="DU44" s="13"/>
      <c r="DV44" s="38"/>
      <c r="DW44" s="38"/>
      <c r="EB44" s="55"/>
      <c r="EC44" s="55"/>
      <c r="ED44" s="13"/>
      <c r="EE44" s="13"/>
      <c r="EF44" s="13"/>
      <c r="EG44" s="13"/>
    </row>
    <row r="45" spans="1:154" ht="22.5" customHeight="1" x14ac:dyDescent="0.35"/>
  </sheetData>
  <sheetProtection selectLockedCells="1"/>
  <mergeCells count="282">
    <mergeCell ref="A3:E3"/>
    <mergeCell ref="F3:J3"/>
    <mergeCell ref="K3:N3"/>
    <mergeCell ref="O3:V3"/>
    <mergeCell ref="W3:AA3"/>
    <mergeCell ref="AB3:AF3"/>
    <mergeCell ref="BO1:BZ2"/>
    <mergeCell ref="A1:J2"/>
    <mergeCell ref="K1:V2"/>
    <mergeCell ref="W1:AF2"/>
    <mergeCell ref="AG1:AP2"/>
    <mergeCell ref="AQ1:AZ2"/>
    <mergeCell ref="BA1:BN2"/>
    <mergeCell ref="BT3:BZ3"/>
    <mergeCell ref="AG3:AK3"/>
    <mergeCell ref="AL3:AP3"/>
    <mergeCell ref="EI1:EQ2"/>
    <mergeCell ref="CA1:CI2"/>
    <mergeCell ref="CJ1:CR2"/>
    <mergeCell ref="CS1:DB2"/>
    <mergeCell ref="DC1:DK2"/>
    <mergeCell ref="DL1:DP2"/>
    <mergeCell ref="DZ1:EA2"/>
    <mergeCell ref="EB1:EG2"/>
    <mergeCell ref="EI3:EL3"/>
    <mergeCell ref="EM3:EQ3"/>
    <mergeCell ref="DQ3:DY3"/>
    <mergeCell ref="DZ3:EE3"/>
    <mergeCell ref="EF3:EH3"/>
    <mergeCell ref="CA3:CD3"/>
    <mergeCell ref="CE3:CI3"/>
    <mergeCell ref="CJ3:CM3"/>
    <mergeCell ref="CN3:CR3"/>
    <mergeCell ref="CS3:CV3"/>
    <mergeCell ref="A4:A7"/>
    <mergeCell ref="B4:D4"/>
    <mergeCell ref="E4:G4"/>
    <mergeCell ref="H4:I4"/>
    <mergeCell ref="J4:J7"/>
    <mergeCell ref="CW3:DB3"/>
    <mergeCell ref="AQ3:AU3"/>
    <mergeCell ref="AV3:AZ3"/>
    <mergeCell ref="DL3:DP3"/>
    <mergeCell ref="AZ4:AZ7"/>
    <mergeCell ref="BA4:BA7"/>
    <mergeCell ref="BB4:BF4"/>
    <mergeCell ref="BG4:BG7"/>
    <mergeCell ref="S5:S7"/>
    <mergeCell ref="T5:T7"/>
    <mergeCell ref="U5:U7"/>
    <mergeCell ref="BA3:BE3"/>
    <mergeCell ref="BF3:BN3"/>
    <mergeCell ref="K4:K7"/>
    <mergeCell ref="L4:M4"/>
    <mergeCell ref="N4:O4"/>
    <mergeCell ref="DC3:DF3"/>
    <mergeCell ref="DG3:DK3"/>
    <mergeCell ref="BO3:BS3"/>
    <mergeCell ref="CC4:CC7"/>
    <mergeCell ref="CM4:CM7"/>
    <mergeCell ref="CN4:CN7"/>
    <mergeCell ref="CO4:CO7"/>
    <mergeCell ref="CP4:CP7"/>
    <mergeCell ref="AV6:AV7"/>
    <mergeCell ref="AW6:AW7"/>
    <mergeCell ref="AX6:AX7"/>
    <mergeCell ref="AY6:AY7"/>
    <mergeCell ref="BF5:BF7"/>
    <mergeCell ref="BH4:BI4"/>
    <mergeCell ref="BW4:BY4"/>
    <mergeCell ref="BK5:BK7"/>
    <mergeCell ref="BL5:BL7"/>
    <mergeCell ref="BM5:BM7"/>
    <mergeCell ref="AV5:AW5"/>
    <mergeCell ref="AX5:AY5"/>
    <mergeCell ref="BB5:BB7"/>
    <mergeCell ref="BC5:BC7"/>
    <mergeCell ref="BD5:BD7"/>
    <mergeCell ref="BT5:BT7"/>
    <mergeCell ref="BU5:BU7"/>
    <mergeCell ref="DP5:DP7"/>
    <mergeCell ref="BE5:BE7"/>
    <mergeCell ref="BI5:BI7"/>
    <mergeCell ref="BJ5:BJ7"/>
    <mergeCell ref="BQ5:BQ7"/>
    <mergeCell ref="BP5:BP7"/>
    <mergeCell ref="BR5:BR7"/>
    <mergeCell ref="BS5:BS7"/>
    <mergeCell ref="BW5:BW7"/>
    <mergeCell ref="BX5:BX7"/>
    <mergeCell ref="DJ4:DJ7"/>
    <mergeCell ref="DK4:DK7"/>
    <mergeCell ref="DL4:DL7"/>
    <mergeCell ref="BV5:BV7"/>
    <mergeCell ref="BJ4:BK4"/>
    <mergeCell ref="BL4:BM4"/>
    <mergeCell ref="BN4:BN7"/>
    <mergeCell ref="BO4:BO7"/>
    <mergeCell ref="BP4:BV4"/>
    <mergeCell ref="BH5:BH7"/>
    <mergeCell ref="CI4:CI7"/>
    <mergeCell ref="CJ4:CJ7"/>
    <mergeCell ref="CA4:CA7"/>
    <mergeCell ref="CB4:CB7"/>
    <mergeCell ref="EQ4:EQ7"/>
    <mergeCell ref="B5:B7"/>
    <mergeCell ref="C5:C7"/>
    <mergeCell ref="D5:D7"/>
    <mergeCell ref="E5:E7"/>
    <mergeCell ref="F5:F7"/>
    <mergeCell ref="G5:G7"/>
    <mergeCell ref="H5:H7"/>
    <mergeCell ref="DD4:DD7"/>
    <mergeCell ref="DE4:DE7"/>
    <mergeCell ref="ED4:EE4"/>
    <mergeCell ref="EH4:EH7"/>
    <mergeCell ref="X5:Y5"/>
    <mergeCell ref="Z5:AA5"/>
    <mergeCell ref="AB5:AC5"/>
    <mergeCell ref="AD5:AE5"/>
    <mergeCell ref="DO5:DO7"/>
    <mergeCell ref="DF4:DF7"/>
    <mergeCell ref="DG4:DG7"/>
    <mergeCell ref="DH4:DH7"/>
    <mergeCell ref="I5:I7"/>
    <mergeCell ref="DY4:DY7"/>
    <mergeCell ref="DZ4:DZ7"/>
    <mergeCell ref="EA4:EC4"/>
    <mergeCell ref="DB4:DB7"/>
    <mergeCell ref="DC4:DC7"/>
    <mergeCell ref="AV4:AY4"/>
    <mergeCell ref="DT5:DT7"/>
    <mergeCell ref="DU5:DU7"/>
    <mergeCell ref="CR4:CR7"/>
    <mergeCell ref="DN5:DN7"/>
    <mergeCell ref="DQ5:DQ7"/>
    <mergeCell ref="DR5:DR7"/>
    <mergeCell ref="CS4:CS7"/>
    <mergeCell ref="BY5:BY7"/>
    <mergeCell ref="BZ4:BZ7"/>
    <mergeCell ref="CD4:CD7"/>
    <mergeCell ref="CE4:CE7"/>
    <mergeCell ref="DS5:DS7"/>
    <mergeCell ref="CQ4:CQ7"/>
    <mergeCell ref="CF4:CF7"/>
    <mergeCell ref="CG4:CG7"/>
    <mergeCell ref="CH4:CH7"/>
    <mergeCell ref="CK4:CK7"/>
    <mergeCell ref="DN4:DO4"/>
    <mergeCell ref="DM5:DM7"/>
    <mergeCell ref="DI4:DI7"/>
    <mergeCell ref="DP4:DU4"/>
    <mergeCell ref="L5:L7"/>
    <mergeCell ref="M5:M7"/>
    <mergeCell ref="N5:N7"/>
    <mergeCell ref="O5:O7"/>
    <mergeCell ref="P5:P7"/>
    <mergeCell ref="Q5:Q7"/>
    <mergeCell ref="P4:Q4"/>
    <mergeCell ref="R4:U4"/>
    <mergeCell ref="V4:V7"/>
    <mergeCell ref="W4:W7"/>
    <mergeCell ref="X4:AA4"/>
    <mergeCell ref="AB4:AE4"/>
    <mergeCell ref="R5:R7"/>
    <mergeCell ref="X6:X7"/>
    <mergeCell ref="Y6:Y7"/>
    <mergeCell ref="Z6:Z7"/>
    <mergeCell ref="CZ4:CZ7"/>
    <mergeCell ref="DA4:DA7"/>
    <mergeCell ref="AH4:AO4"/>
    <mergeCell ref="AL5:AM5"/>
    <mergeCell ref="AN5:AO5"/>
    <mergeCell ref="AH5:AI5"/>
    <mergeCell ref="AJ5:AK5"/>
    <mergeCell ref="CL4:CL7"/>
    <mergeCell ref="CT4:CT7"/>
    <mergeCell ref="CU4:CU7"/>
    <mergeCell ref="CV4:CV7"/>
    <mergeCell ref="CW4:CW7"/>
    <mergeCell ref="CX4:CX7"/>
    <mergeCell ref="CY4:CY7"/>
    <mergeCell ref="AA6:AA7"/>
    <mergeCell ref="AB6:AB7"/>
    <mergeCell ref="AC6:AC7"/>
    <mergeCell ref="AD6:AD7"/>
    <mergeCell ref="AE6:AE7"/>
    <mergeCell ref="AH6:AH7"/>
    <mergeCell ref="AO6:AO7"/>
    <mergeCell ref="AR6:AR7"/>
    <mergeCell ref="AS6:AS7"/>
    <mergeCell ref="AQ4:AQ7"/>
    <mergeCell ref="AR4:AU4"/>
    <mergeCell ref="AR5:AS5"/>
    <mergeCell ref="AT5:AU5"/>
    <mergeCell ref="AT6:AT7"/>
    <mergeCell ref="AU6:AU7"/>
    <mergeCell ref="AP4:AP7"/>
    <mergeCell ref="AI6:AI7"/>
    <mergeCell ref="AJ6:AJ7"/>
    <mergeCell ref="AK6:AK7"/>
    <mergeCell ref="AL6:AL7"/>
    <mergeCell ref="AM6:AM7"/>
    <mergeCell ref="AN6:AN7"/>
    <mergeCell ref="AF4:AF7"/>
    <mergeCell ref="AG4:AG7"/>
    <mergeCell ref="EJ9:EP9"/>
    <mergeCell ref="EJ10:EP10"/>
    <mergeCell ref="EJ11:EP11"/>
    <mergeCell ref="EJ12:EP12"/>
    <mergeCell ref="EJ13:EP13"/>
    <mergeCell ref="DV5:DV7"/>
    <mergeCell ref="DW5:DW7"/>
    <mergeCell ref="DX5:DX7"/>
    <mergeCell ref="EA5:EA7"/>
    <mergeCell ref="EJ8:EP8"/>
    <mergeCell ref="EG5:EG7"/>
    <mergeCell ref="EJ4:EP7"/>
    <mergeCell ref="DV4:DX4"/>
    <mergeCell ref="EI4:EI7"/>
    <mergeCell ref="EB5:EB7"/>
    <mergeCell ref="EC5:EC7"/>
    <mergeCell ref="ED5:EE5"/>
    <mergeCell ref="EF5:EF7"/>
    <mergeCell ref="ED6:ED7"/>
    <mergeCell ref="EE6:EE7"/>
    <mergeCell ref="EJ21:EP21"/>
    <mergeCell ref="EJ22:EP22"/>
    <mergeCell ref="EJ23:EP23"/>
    <mergeCell ref="EJ24:EP24"/>
    <mergeCell ref="EJ25:EP25"/>
    <mergeCell ref="EJ14:EP14"/>
    <mergeCell ref="EJ36:EP36"/>
    <mergeCell ref="EJ37:EP37"/>
    <mergeCell ref="EJ38:EP38"/>
    <mergeCell ref="EJ26:EP26"/>
    <mergeCell ref="EJ15:EP15"/>
    <mergeCell ref="EJ16:EP16"/>
    <mergeCell ref="EJ17:EP17"/>
    <mergeCell ref="EJ18:EP18"/>
    <mergeCell ref="EJ19:EP19"/>
    <mergeCell ref="EJ20:EP20"/>
    <mergeCell ref="BF42:BN42"/>
    <mergeCell ref="BO42:BS42"/>
    <mergeCell ref="EJ27:EP27"/>
    <mergeCell ref="EJ28:EP28"/>
    <mergeCell ref="EJ29:EP29"/>
    <mergeCell ref="EJ30:EP30"/>
    <mergeCell ref="EJ31:EP31"/>
    <mergeCell ref="EJ32:EP32"/>
    <mergeCell ref="EJ33:EP33"/>
    <mergeCell ref="EJ34:EP34"/>
    <mergeCell ref="EJ35:EP35"/>
    <mergeCell ref="DC42:DF42"/>
    <mergeCell ref="DG42:DK42"/>
    <mergeCell ref="DL42:DP42"/>
    <mergeCell ref="DQ42:DY42"/>
    <mergeCell ref="DZ42:EE42"/>
    <mergeCell ref="A42:E42"/>
    <mergeCell ref="F42:J42"/>
    <mergeCell ref="K42:N42"/>
    <mergeCell ref="O42:V42"/>
    <mergeCell ref="W42:AA42"/>
    <mergeCell ref="EJ39:EP39"/>
    <mergeCell ref="EJ40:EP40"/>
    <mergeCell ref="EJ41:EP41"/>
    <mergeCell ref="EF42:EH42"/>
    <mergeCell ref="EI42:EL42"/>
    <mergeCell ref="AG42:AK42"/>
    <mergeCell ref="BT42:BZ42"/>
    <mergeCell ref="CA42:CD42"/>
    <mergeCell ref="EM42:EQ42"/>
    <mergeCell ref="CW42:DB42"/>
    <mergeCell ref="AB42:AF42"/>
    <mergeCell ref="CE42:CI42"/>
    <mergeCell ref="CJ42:CM42"/>
    <mergeCell ref="CN42:CR42"/>
    <mergeCell ref="CS42:CV42"/>
    <mergeCell ref="AL42:AP42"/>
    <mergeCell ref="AQ42:AU42"/>
    <mergeCell ref="AV42:AZ42"/>
    <mergeCell ref="BA42:BE42"/>
  </mergeCells>
  <pageMargins left="0.23622047244094491" right="0.23622047244094491" top="0.31496062992125984" bottom="0.74803149606299213" header="0.31496062992125984" footer="0.31496062992125984"/>
  <pageSetup scale="95" pageOrder="overThenDown" orientation="portrait" r:id="rId1"/>
  <headerFooter>
    <evenHeader>&amp;L&amp;28Red Lake WPCP&amp;R&amp;28New Plant</evenHeader>
  </headerFooter>
  <colBreaks count="10" manualBreakCount="10">
    <brk id="10" max="41" man="1"/>
    <brk id="22" max="41" man="1"/>
    <brk id="32" max="41" man="1"/>
    <brk id="42" max="41" man="1"/>
    <brk id="52" max="41" man="1"/>
    <brk id="66" max="41" man="1"/>
    <brk id="78" max="41" man="1"/>
    <brk id="87" max="41" man="1"/>
    <brk id="96" max="41" man="1"/>
    <brk id="115" max="41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EQ45"/>
  <sheetViews>
    <sheetView showGridLines="0" view="pageBreakPreview" zoomScaleNormal="100" zoomScaleSheetLayoutView="100" workbookViewId="0">
      <selection activeCell="D25" sqref="D25"/>
    </sheetView>
  </sheetViews>
  <sheetFormatPr defaultColWidth="9.1796875" defaultRowHeight="14.5" x14ac:dyDescent="0.35"/>
  <cols>
    <col min="1" max="1" width="6" style="20" customWidth="1"/>
    <col min="2" max="2" width="14" style="5" customWidth="1"/>
    <col min="3" max="3" width="8.54296875" style="5" customWidth="1"/>
    <col min="4" max="4" width="9.7265625" style="23" customWidth="1"/>
    <col min="5" max="5" width="14" style="5" customWidth="1"/>
    <col min="6" max="6" width="8.54296875" style="5" customWidth="1"/>
    <col min="7" max="7" width="9.7265625" style="23" customWidth="1"/>
    <col min="8" max="8" width="14" style="5" customWidth="1"/>
    <col min="9" max="9" width="8.54296875" style="5" customWidth="1"/>
    <col min="10" max="10" width="8.26953125" style="20" customWidth="1"/>
    <col min="11" max="11" width="5.54296875" style="20" customWidth="1"/>
    <col min="12" max="12" width="11.453125" style="5" customWidth="1"/>
    <col min="13" max="13" width="8" style="5" customWidth="1"/>
    <col min="14" max="14" width="11.453125" style="5" customWidth="1"/>
    <col min="15" max="15" width="8" style="5" customWidth="1"/>
    <col min="16" max="16" width="11.453125" style="5" customWidth="1"/>
    <col min="17" max="17" width="8" style="5" customWidth="1"/>
    <col min="18" max="21" width="7.453125" style="5" customWidth="1"/>
    <col min="22" max="22" width="7.7265625" style="5" customWidth="1"/>
    <col min="23" max="23" width="6" style="5" customWidth="1"/>
    <col min="24" max="24" width="12.7265625" style="23" customWidth="1"/>
    <col min="25" max="25" width="9" style="23" customWidth="1"/>
    <col min="26" max="26" width="12.7265625" style="23" customWidth="1"/>
    <col min="27" max="27" width="9" style="23" customWidth="1"/>
    <col min="28" max="28" width="12.7265625" style="23" customWidth="1"/>
    <col min="29" max="29" width="9" style="23" customWidth="1"/>
    <col min="30" max="30" width="12.7265625" style="23" customWidth="1"/>
    <col min="31" max="31" width="9" style="23" customWidth="1"/>
    <col min="32" max="32" width="8" style="22" customWidth="1"/>
    <col min="33" max="33" width="6" style="20" customWidth="1"/>
    <col min="34" max="34" width="12.7265625" style="20" customWidth="1"/>
    <col min="35" max="35" width="9" style="5" customWidth="1"/>
    <col min="36" max="36" width="12.7265625" style="5" customWidth="1"/>
    <col min="37" max="37" width="9" style="5" customWidth="1"/>
    <col min="38" max="38" width="12.7265625" style="5" customWidth="1"/>
    <col min="39" max="39" width="9" style="5" customWidth="1"/>
    <col min="40" max="40" width="12.7265625" style="5" customWidth="1"/>
    <col min="41" max="41" width="9" style="22" customWidth="1"/>
    <col min="42" max="42" width="8" style="5" customWidth="1"/>
    <col min="43" max="43" width="6" style="5" customWidth="1"/>
    <col min="44" max="44" width="12.7265625" style="23" customWidth="1"/>
    <col min="45" max="45" width="9" style="23" customWidth="1"/>
    <col min="46" max="46" width="12.7265625" style="23" customWidth="1"/>
    <col min="47" max="47" width="9" style="23" customWidth="1"/>
    <col min="48" max="48" width="12.7265625" style="23" customWidth="1"/>
    <col min="49" max="49" width="9" style="23" customWidth="1"/>
    <col min="50" max="50" width="12.7265625" style="23" customWidth="1"/>
    <col min="51" max="51" width="9" style="23" customWidth="1"/>
    <col min="52" max="52" width="8" style="5" customWidth="1"/>
    <col min="53" max="53" width="5.7265625" style="21" customWidth="1"/>
    <col min="54" max="54" width="7.1796875" style="23" customWidth="1"/>
    <col min="55" max="55" width="6.7265625" style="5" customWidth="1"/>
    <col min="56" max="57" width="6.7265625" style="22" customWidth="1"/>
    <col min="58" max="58" width="7.1796875" style="22" customWidth="1"/>
    <col min="59" max="59" width="6.7265625" style="22" customWidth="1"/>
    <col min="60" max="65" width="8" style="21" customWidth="1"/>
    <col min="66" max="66" width="6.81640625" style="22" customWidth="1"/>
    <col min="67" max="67" width="5.7265625" style="23" customWidth="1"/>
    <col min="68" max="68" width="8.54296875" style="21" customWidth="1"/>
    <col min="69" max="69" width="6.81640625" style="5" customWidth="1"/>
    <col min="70" max="70" width="6.7265625" style="22" customWidth="1"/>
    <col min="71" max="71" width="7.1796875" style="22" customWidth="1"/>
    <col min="72" max="72" width="8" style="22" customWidth="1"/>
    <col min="73" max="73" width="8.453125" style="21" customWidth="1"/>
    <col min="74" max="75" width="8.26953125" style="23" customWidth="1"/>
    <col min="76" max="76" width="8" style="22" customWidth="1"/>
    <col min="77" max="77" width="18.1796875" style="5" customWidth="1"/>
    <col min="78" max="78" width="7.453125" style="5" customWidth="1"/>
    <col min="79" max="79" width="7.1796875" style="20" customWidth="1"/>
    <col min="80" max="82" width="12" style="22" customWidth="1"/>
    <col min="83" max="84" width="12" style="23" customWidth="1"/>
    <col min="85" max="86" width="12" style="5" customWidth="1"/>
    <col min="87" max="87" width="9.1796875" style="22" customWidth="1"/>
    <col min="88" max="88" width="7.1796875" style="23" customWidth="1"/>
    <col min="89" max="93" width="12" style="22" customWidth="1"/>
    <col min="94" max="95" width="12" style="20" customWidth="1"/>
    <col min="96" max="96" width="9.1796875" style="20" customWidth="1"/>
    <col min="97" max="97" width="6.26953125" style="20" customWidth="1"/>
    <col min="98" max="98" width="9.453125" style="20" customWidth="1"/>
    <col min="99" max="99" width="13.81640625" style="23" customWidth="1"/>
    <col min="100" max="100" width="9.7265625" style="5" customWidth="1"/>
    <col min="101" max="101" width="9.7265625" style="22" customWidth="1"/>
    <col min="102" max="102" width="10" style="23" customWidth="1"/>
    <col min="103" max="104" width="12" style="22" customWidth="1"/>
    <col min="105" max="105" width="10.54296875" style="21" customWidth="1"/>
    <col min="106" max="106" width="8" style="22" customWidth="1"/>
    <col min="107" max="107" width="7.1796875" style="21" customWidth="1"/>
    <col min="108" max="110" width="12" style="22" customWidth="1"/>
    <col min="111" max="111" width="12" style="23" customWidth="1"/>
    <col min="112" max="112" width="12" style="22" customWidth="1"/>
    <col min="113" max="114" width="12" style="5" customWidth="1"/>
    <col min="115" max="115" width="9.1796875" style="21" customWidth="1"/>
    <col min="116" max="116" width="4.81640625" style="20" customWidth="1"/>
    <col min="117" max="117" width="6.453125" style="23" customWidth="1"/>
    <col min="118" max="120" width="7.7265625" style="21" customWidth="1"/>
    <col min="121" max="121" width="6.81640625" style="23" customWidth="1"/>
    <col min="122" max="122" width="6.81640625" style="22" customWidth="1"/>
    <col min="123" max="123" width="7.7265625" style="21" customWidth="1"/>
    <col min="124" max="124" width="7.1796875" style="22" customWidth="1"/>
    <col min="125" max="125" width="7.453125" style="23" customWidth="1"/>
    <col min="126" max="127" width="8.54296875" style="21" customWidth="1"/>
    <col min="128" max="128" width="7.1796875" style="20" customWidth="1"/>
    <col min="129" max="129" width="6.81640625" style="20" customWidth="1"/>
    <col min="130" max="130" width="6.54296875" style="20" customWidth="1"/>
    <col min="131" max="131" width="13" style="20" customWidth="1"/>
    <col min="132" max="133" width="13" style="54" customWidth="1"/>
    <col min="134" max="137" width="10" style="23" customWidth="1"/>
    <col min="138" max="138" width="11.453125" style="20" customWidth="1"/>
    <col min="139" max="139" width="7.26953125" style="20" customWidth="1"/>
    <col min="140" max="146" width="12" style="20" customWidth="1"/>
    <col min="147" max="16384" width="9.1796875" style="20"/>
  </cols>
  <sheetData>
    <row r="1" spans="1:147" ht="15" customHeight="1" x14ac:dyDescent="0.35">
      <c r="A1" s="373" t="s">
        <v>234</v>
      </c>
      <c r="B1" s="373"/>
      <c r="C1" s="373"/>
      <c r="D1" s="373"/>
      <c r="E1" s="373"/>
      <c r="F1" s="373"/>
      <c r="G1" s="373"/>
      <c r="H1" s="373"/>
      <c r="I1" s="373"/>
      <c r="J1" s="373"/>
      <c r="K1" s="345" t="str">
        <f>IF(A1="","",A1)</f>
        <v>October 2016</v>
      </c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 t="str">
        <f>IF(A1="","",A1)</f>
        <v>October 2016</v>
      </c>
      <c r="X1" s="345"/>
      <c r="Y1" s="345"/>
      <c r="Z1" s="345"/>
      <c r="AA1" s="345"/>
      <c r="AB1" s="345"/>
      <c r="AC1" s="345"/>
      <c r="AD1" s="345"/>
      <c r="AE1" s="345"/>
      <c r="AF1" s="345"/>
      <c r="AG1" s="345" t="str">
        <f>IF(A1="","",A1)</f>
        <v>October 2016</v>
      </c>
      <c r="AH1" s="345"/>
      <c r="AI1" s="345"/>
      <c r="AJ1" s="345"/>
      <c r="AK1" s="345"/>
      <c r="AL1" s="345"/>
      <c r="AM1" s="345"/>
      <c r="AN1" s="345"/>
      <c r="AO1" s="345"/>
      <c r="AP1" s="345"/>
      <c r="AQ1" s="345" t="str">
        <f>IF(A1="","",A1)</f>
        <v>October 2016</v>
      </c>
      <c r="AR1" s="345"/>
      <c r="AS1" s="345"/>
      <c r="AT1" s="345"/>
      <c r="AU1" s="345"/>
      <c r="AV1" s="345"/>
      <c r="AW1" s="345"/>
      <c r="AX1" s="345"/>
      <c r="AY1" s="345"/>
      <c r="AZ1" s="345"/>
      <c r="BA1" s="371" t="str">
        <f>IF(A1="","",A1)</f>
        <v>October 2016</v>
      </c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07" t="str">
        <f>IF(A1="","",A1)</f>
        <v>October 2016</v>
      </c>
      <c r="BP1" s="307"/>
      <c r="BQ1" s="307"/>
      <c r="BR1" s="307"/>
      <c r="BS1" s="307"/>
      <c r="BT1" s="307"/>
      <c r="BU1" s="307"/>
      <c r="BV1" s="307"/>
      <c r="BW1" s="307"/>
      <c r="BX1" s="307"/>
      <c r="BY1" s="307"/>
      <c r="BZ1" s="307"/>
      <c r="CA1" s="372" t="str">
        <f>IF(A1="","",A1)</f>
        <v>October 2016</v>
      </c>
      <c r="CB1" s="372"/>
      <c r="CC1" s="372"/>
      <c r="CD1" s="372"/>
      <c r="CE1" s="372"/>
      <c r="CF1" s="372"/>
      <c r="CG1" s="372"/>
      <c r="CH1" s="372"/>
      <c r="CI1" s="372"/>
      <c r="CJ1" s="372" t="str">
        <f>IF(A1="","",A1)</f>
        <v>October 2016</v>
      </c>
      <c r="CK1" s="372"/>
      <c r="CL1" s="372"/>
      <c r="CM1" s="372"/>
      <c r="CN1" s="372"/>
      <c r="CO1" s="372"/>
      <c r="CP1" s="372"/>
      <c r="CQ1" s="372"/>
      <c r="CR1" s="372"/>
      <c r="CS1" s="372" t="str">
        <f>IF(A1="","",A1)</f>
        <v>October 2016</v>
      </c>
      <c r="CT1" s="372"/>
      <c r="CU1" s="372"/>
      <c r="CV1" s="372"/>
      <c r="CW1" s="372"/>
      <c r="CX1" s="372"/>
      <c r="CY1" s="372"/>
      <c r="CZ1" s="372"/>
      <c r="DA1" s="372"/>
      <c r="DB1" s="372"/>
      <c r="DC1" s="372" t="str">
        <f>IF(A1="","",A1)</f>
        <v>October 2016</v>
      </c>
      <c r="DD1" s="372"/>
      <c r="DE1" s="372"/>
      <c r="DF1" s="372"/>
      <c r="DG1" s="372"/>
      <c r="DH1" s="372"/>
      <c r="DI1" s="372"/>
      <c r="DJ1" s="372"/>
      <c r="DK1" s="372"/>
      <c r="DL1" s="307" t="str">
        <f>IF(A1="","",A1)</f>
        <v>October 2016</v>
      </c>
      <c r="DM1" s="307"/>
      <c r="DN1" s="307"/>
      <c r="DO1" s="307"/>
      <c r="DP1" s="307"/>
      <c r="DQ1" s="53"/>
      <c r="DR1" s="85"/>
      <c r="DS1" s="39"/>
      <c r="DT1" s="85"/>
      <c r="DU1" s="53"/>
      <c r="DV1" s="39"/>
      <c r="DW1" s="39"/>
      <c r="DX1" s="39"/>
      <c r="DY1" s="126"/>
      <c r="DZ1" s="307" t="str">
        <f>IF(A1="","",A1)</f>
        <v>October 2016</v>
      </c>
      <c r="EA1" s="307"/>
      <c r="EB1" s="308" t="s">
        <v>196</v>
      </c>
      <c r="EC1" s="309"/>
      <c r="ED1" s="309"/>
      <c r="EE1" s="309"/>
      <c r="EF1" s="309"/>
      <c r="EG1" s="310"/>
      <c r="EH1" s="189"/>
      <c r="EI1" s="307" t="str">
        <f>IF(A1="","",A1)</f>
        <v>October 2016</v>
      </c>
      <c r="EJ1" s="307"/>
      <c r="EK1" s="307"/>
      <c r="EL1" s="307"/>
      <c r="EM1" s="307"/>
      <c r="EN1" s="307"/>
      <c r="EO1" s="307"/>
      <c r="EP1" s="307"/>
      <c r="EQ1" s="307"/>
    </row>
    <row r="2" spans="1:147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07"/>
      <c r="BP2" s="307"/>
      <c r="BQ2" s="307"/>
      <c r="BR2" s="307"/>
      <c r="BS2" s="307"/>
      <c r="BT2" s="307"/>
      <c r="BU2" s="307"/>
      <c r="BV2" s="307"/>
      <c r="BW2" s="307"/>
      <c r="BX2" s="307"/>
      <c r="BY2" s="307"/>
      <c r="BZ2" s="307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  <c r="CL2" s="372"/>
      <c r="CM2" s="372"/>
      <c r="CN2" s="372"/>
      <c r="CO2" s="372"/>
      <c r="CP2" s="372"/>
      <c r="CQ2" s="372"/>
      <c r="CR2" s="372"/>
      <c r="CS2" s="372"/>
      <c r="CT2" s="372"/>
      <c r="CU2" s="372"/>
      <c r="CV2" s="372"/>
      <c r="CW2" s="372"/>
      <c r="CX2" s="372"/>
      <c r="CY2" s="372"/>
      <c r="CZ2" s="372"/>
      <c r="DA2" s="372"/>
      <c r="DB2" s="372"/>
      <c r="DC2" s="372"/>
      <c r="DD2" s="372"/>
      <c r="DE2" s="372"/>
      <c r="DF2" s="372"/>
      <c r="DG2" s="372"/>
      <c r="DH2" s="372"/>
      <c r="DI2" s="372"/>
      <c r="DJ2" s="372"/>
      <c r="DK2" s="372"/>
      <c r="DL2" s="307"/>
      <c r="DM2" s="307"/>
      <c r="DN2" s="307"/>
      <c r="DO2" s="307"/>
      <c r="DP2" s="307"/>
      <c r="DQ2" s="53"/>
      <c r="DR2" s="85"/>
      <c r="DS2" s="39"/>
      <c r="DT2" s="85"/>
      <c r="DU2" s="53"/>
      <c r="DV2" s="39"/>
      <c r="DW2" s="39"/>
      <c r="DX2" s="39"/>
      <c r="DY2" s="126"/>
      <c r="DZ2" s="307"/>
      <c r="EA2" s="307"/>
      <c r="EB2" s="311"/>
      <c r="EC2" s="312"/>
      <c r="ED2" s="312"/>
      <c r="EE2" s="312"/>
      <c r="EF2" s="312"/>
      <c r="EG2" s="313"/>
      <c r="EH2" s="189"/>
      <c r="EI2" s="307"/>
      <c r="EJ2" s="307"/>
      <c r="EK2" s="307"/>
      <c r="EL2" s="307"/>
      <c r="EM2" s="307"/>
      <c r="EN2" s="307"/>
      <c r="EO2" s="307"/>
      <c r="EP2" s="307"/>
      <c r="EQ2" s="307"/>
    </row>
    <row r="3" spans="1:147" ht="25.5" customHeight="1" x14ac:dyDescent="0.25">
      <c r="A3" s="314" t="s">
        <v>449</v>
      </c>
      <c r="B3" s="314"/>
      <c r="C3" s="314"/>
      <c r="D3" s="314"/>
      <c r="E3" s="314"/>
      <c r="F3" s="315" t="s">
        <v>114</v>
      </c>
      <c r="G3" s="315"/>
      <c r="H3" s="315"/>
      <c r="I3" s="315"/>
      <c r="J3" s="315"/>
      <c r="K3" s="314" t="str">
        <f>IF(A3="","",A3)</f>
        <v>Drinking Water System</v>
      </c>
      <c r="L3" s="314"/>
      <c r="M3" s="314"/>
      <c r="N3" s="314"/>
      <c r="O3" s="315" t="s">
        <v>125</v>
      </c>
      <c r="P3" s="315"/>
      <c r="Q3" s="315"/>
      <c r="R3" s="315"/>
      <c r="S3" s="315"/>
      <c r="T3" s="315"/>
      <c r="U3" s="315"/>
      <c r="V3" s="315"/>
      <c r="W3" s="314" t="str">
        <f>IF(A3="","",A3)</f>
        <v>Drinking Water System</v>
      </c>
      <c r="X3" s="314"/>
      <c r="Y3" s="314"/>
      <c r="Z3" s="314"/>
      <c r="AA3" s="314"/>
      <c r="AB3" s="315" t="s">
        <v>129</v>
      </c>
      <c r="AC3" s="315"/>
      <c r="AD3" s="315"/>
      <c r="AE3" s="315"/>
      <c r="AF3" s="315"/>
      <c r="AG3" s="314" t="str">
        <f>IF(A3="","",A3)</f>
        <v>Drinking Water System</v>
      </c>
      <c r="AH3" s="314"/>
      <c r="AI3" s="314"/>
      <c r="AJ3" s="314"/>
      <c r="AK3" s="314"/>
      <c r="AL3" s="315" t="s">
        <v>93</v>
      </c>
      <c r="AM3" s="315"/>
      <c r="AN3" s="315"/>
      <c r="AO3" s="315"/>
      <c r="AP3" s="315"/>
      <c r="AQ3" s="314" t="str">
        <f>IF(A3="","",A3)</f>
        <v>Drinking Water System</v>
      </c>
      <c r="AR3" s="314"/>
      <c r="AS3" s="314"/>
      <c r="AT3" s="314"/>
      <c r="AU3" s="314"/>
      <c r="AV3" s="315" t="s">
        <v>135</v>
      </c>
      <c r="AW3" s="315"/>
      <c r="AX3" s="315"/>
      <c r="AY3" s="315"/>
      <c r="AZ3" s="315"/>
      <c r="BA3" s="314" t="str">
        <f>IF(A3="","",A3)</f>
        <v>Drinking Water System</v>
      </c>
      <c r="BB3" s="314"/>
      <c r="BC3" s="314"/>
      <c r="BD3" s="314"/>
      <c r="BE3" s="314"/>
      <c r="BF3" s="369" t="s">
        <v>145</v>
      </c>
      <c r="BG3" s="369"/>
      <c r="BH3" s="369"/>
      <c r="BI3" s="369"/>
      <c r="BJ3" s="369"/>
      <c r="BK3" s="369"/>
      <c r="BL3" s="369"/>
      <c r="BM3" s="369"/>
      <c r="BN3" s="369"/>
      <c r="BO3" s="314" t="str">
        <f>IF(A3="","",A3)</f>
        <v>Drinking Water System</v>
      </c>
      <c r="BP3" s="314"/>
      <c r="BQ3" s="314"/>
      <c r="BR3" s="314"/>
      <c r="BS3" s="314"/>
      <c r="BT3" s="315" t="s">
        <v>100</v>
      </c>
      <c r="BU3" s="315"/>
      <c r="BV3" s="315"/>
      <c r="BW3" s="315"/>
      <c r="BX3" s="315"/>
      <c r="BY3" s="315"/>
      <c r="BZ3" s="315"/>
      <c r="CA3" s="314" t="str">
        <f>IF(A3="","",A3)</f>
        <v>Drinking Water System</v>
      </c>
      <c r="CB3" s="314"/>
      <c r="CC3" s="314"/>
      <c r="CD3" s="314"/>
      <c r="CE3" s="315" t="s">
        <v>154</v>
      </c>
      <c r="CF3" s="315"/>
      <c r="CG3" s="315"/>
      <c r="CH3" s="315"/>
      <c r="CI3" s="315"/>
      <c r="CJ3" s="314" t="str">
        <f>IF(A3="","",A3)</f>
        <v>Drinking Water System</v>
      </c>
      <c r="CK3" s="314"/>
      <c r="CL3" s="314"/>
      <c r="CM3" s="314"/>
      <c r="CN3" s="315" t="s">
        <v>155</v>
      </c>
      <c r="CO3" s="315"/>
      <c r="CP3" s="315"/>
      <c r="CQ3" s="315"/>
      <c r="CR3" s="315"/>
      <c r="CS3" s="314" t="str">
        <f>IF(A3="","",A3)</f>
        <v>Drinking Water System</v>
      </c>
      <c r="CT3" s="314"/>
      <c r="CU3" s="314"/>
      <c r="CV3" s="314"/>
      <c r="CW3" s="315" t="s">
        <v>101</v>
      </c>
      <c r="CX3" s="315"/>
      <c r="CY3" s="315"/>
      <c r="CZ3" s="315"/>
      <c r="DA3" s="315"/>
      <c r="DB3" s="315"/>
      <c r="DC3" s="314" t="str">
        <f>IF(A3="","",A3)</f>
        <v>Drinking Water System</v>
      </c>
      <c r="DD3" s="314"/>
      <c r="DE3" s="314"/>
      <c r="DF3" s="314"/>
      <c r="DG3" s="315" t="s">
        <v>159</v>
      </c>
      <c r="DH3" s="315"/>
      <c r="DI3" s="315"/>
      <c r="DJ3" s="315"/>
      <c r="DK3" s="315"/>
      <c r="DL3" s="329" t="str">
        <f>IF(A3="","",A3)</f>
        <v>Drinking Water System</v>
      </c>
      <c r="DM3" s="329"/>
      <c r="DN3" s="329"/>
      <c r="DO3" s="329"/>
      <c r="DP3" s="329"/>
      <c r="DQ3" s="370" t="s">
        <v>168</v>
      </c>
      <c r="DR3" s="370"/>
      <c r="DS3" s="370"/>
      <c r="DT3" s="370"/>
      <c r="DU3" s="370"/>
      <c r="DV3" s="370"/>
      <c r="DW3" s="370"/>
      <c r="DX3" s="370"/>
      <c r="DY3" s="370"/>
      <c r="DZ3" s="329" t="str">
        <f>IF(A3="","",A3)</f>
        <v>Drinking Water System</v>
      </c>
      <c r="EA3" s="329"/>
      <c r="EB3" s="329"/>
      <c r="EC3" s="329"/>
      <c r="ED3" s="329"/>
      <c r="EE3" s="329"/>
      <c r="EF3" s="370" t="s">
        <v>91</v>
      </c>
      <c r="EG3" s="370"/>
      <c r="EH3" s="370"/>
      <c r="EI3" s="314" t="str">
        <f>IF(A3="","",A3)</f>
        <v>Drinking Water System</v>
      </c>
      <c r="EJ3" s="314"/>
      <c r="EK3" s="314"/>
      <c r="EL3" s="314"/>
      <c r="EM3" s="315" t="s">
        <v>33</v>
      </c>
      <c r="EN3" s="315"/>
      <c r="EO3" s="315"/>
      <c r="EP3" s="315"/>
      <c r="EQ3" s="315"/>
    </row>
    <row r="4" spans="1:147" ht="17.149999999999999" customHeight="1" x14ac:dyDescent="0.35">
      <c r="A4" s="359" t="s">
        <v>1</v>
      </c>
      <c r="B4" s="359" t="s">
        <v>38</v>
      </c>
      <c r="C4" s="359"/>
      <c r="D4" s="359"/>
      <c r="E4" s="317" t="s">
        <v>24</v>
      </c>
      <c r="F4" s="317"/>
      <c r="G4" s="317"/>
      <c r="H4" s="358" t="s">
        <v>112</v>
      </c>
      <c r="I4" s="358"/>
      <c r="J4" s="360" t="s">
        <v>0</v>
      </c>
      <c r="K4" s="359" t="s">
        <v>1</v>
      </c>
      <c r="L4" s="358" t="s">
        <v>117</v>
      </c>
      <c r="M4" s="358"/>
      <c r="N4" s="358" t="s">
        <v>118</v>
      </c>
      <c r="O4" s="358"/>
      <c r="P4" s="358" t="s">
        <v>119</v>
      </c>
      <c r="Q4" s="358"/>
      <c r="R4" s="362" t="s">
        <v>120</v>
      </c>
      <c r="S4" s="363"/>
      <c r="T4" s="363"/>
      <c r="U4" s="364"/>
      <c r="V4" s="360" t="s">
        <v>0</v>
      </c>
      <c r="W4" s="346" t="s">
        <v>1</v>
      </c>
      <c r="X4" s="344" t="s">
        <v>63</v>
      </c>
      <c r="Y4" s="344"/>
      <c r="Z4" s="344"/>
      <c r="AA4" s="344"/>
      <c r="AB4" s="344" t="s">
        <v>126</v>
      </c>
      <c r="AC4" s="344"/>
      <c r="AD4" s="344"/>
      <c r="AE4" s="344"/>
      <c r="AF4" s="342" t="s">
        <v>0</v>
      </c>
      <c r="AG4" s="346" t="s">
        <v>1</v>
      </c>
      <c r="AH4" s="330" t="s">
        <v>93</v>
      </c>
      <c r="AI4" s="331"/>
      <c r="AJ4" s="331"/>
      <c r="AK4" s="331"/>
      <c r="AL4" s="331"/>
      <c r="AM4" s="331"/>
      <c r="AN4" s="331"/>
      <c r="AO4" s="332"/>
      <c r="AP4" s="342" t="s">
        <v>0</v>
      </c>
      <c r="AQ4" s="346" t="s">
        <v>1</v>
      </c>
      <c r="AR4" s="344" t="s">
        <v>132</v>
      </c>
      <c r="AS4" s="344"/>
      <c r="AT4" s="344"/>
      <c r="AU4" s="344"/>
      <c r="AV4" s="344" t="s">
        <v>94</v>
      </c>
      <c r="AW4" s="344"/>
      <c r="AX4" s="344"/>
      <c r="AY4" s="344"/>
      <c r="AZ4" s="342" t="s">
        <v>0</v>
      </c>
      <c r="BA4" s="317" t="s">
        <v>1</v>
      </c>
      <c r="BB4" s="317" t="s">
        <v>38</v>
      </c>
      <c r="BC4" s="317"/>
      <c r="BD4" s="317"/>
      <c r="BE4" s="317"/>
      <c r="BF4" s="317"/>
      <c r="BG4" s="326" t="s">
        <v>146</v>
      </c>
      <c r="BH4" s="316" t="s">
        <v>136</v>
      </c>
      <c r="BI4" s="316"/>
      <c r="BJ4" s="316" t="s">
        <v>139</v>
      </c>
      <c r="BK4" s="316"/>
      <c r="BL4" s="316" t="s">
        <v>142</v>
      </c>
      <c r="BM4" s="316"/>
      <c r="BN4" s="347" t="s">
        <v>0</v>
      </c>
      <c r="BO4" s="317" t="s">
        <v>1</v>
      </c>
      <c r="BP4" s="344" t="s">
        <v>147</v>
      </c>
      <c r="BQ4" s="344"/>
      <c r="BR4" s="344"/>
      <c r="BS4" s="344"/>
      <c r="BT4" s="344"/>
      <c r="BU4" s="344"/>
      <c r="BV4" s="344"/>
      <c r="BW4" s="344" t="s">
        <v>148</v>
      </c>
      <c r="BX4" s="344"/>
      <c r="BY4" s="344"/>
      <c r="BZ4" s="347" t="s">
        <v>0</v>
      </c>
      <c r="CA4" s="317" t="s">
        <v>1</v>
      </c>
      <c r="CB4" s="318" t="s">
        <v>150</v>
      </c>
      <c r="CC4" s="318" t="s">
        <v>151</v>
      </c>
      <c r="CD4" s="318" t="s">
        <v>78</v>
      </c>
      <c r="CE4" s="321" t="s">
        <v>79</v>
      </c>
      <c r="CF4" s="321" t="s">
        <v>77</v>
      </c>
      <c r="CG4" s="336" t="s">
        <v>152</v>
      </c>
      <c r="CH4" s="336" t="s">
        <v>153</v>
      </c>
      <c r="CI4" s="342" t="s">
        <v>0</v>
      </c>
      <c r="CJ4" s="317" t="s">
        <v>1</v>
      </c>
      <c r="CK4" s="318" t="s">
        <v>150</v>
      </c>
      <c r="CL4" s="318" t="s">
        <v>151</v>
      </c>
      <c r="CM4" s="318" t="s">
        <v>78</v>
      </c>
      <c r="CN4" s="318" t="s">
        <v>79</v>
      </c>
      <c r="CO4" s="318" t="s">
        <v>77</v>
      </c>
      <c r="CP4" s="336" t="s">
        <v>152</v>
      </c>
      <c r="CQ4" s="336" t="s">
        <v>153</v>
      </c>
      <c r="CR4" s="342" t="s">
        <v>0</v>
      </c>
      <c r="CS4" s="317" t="s">
        <v>1</v>
      </c>
      <c r="CT4" s="318" t="s">
        <v>150</v>
      </c>
      <c r="CU4" s="318" t="s">
        <v>157</v>
      </c>
      <c r="CV4" s="318" t="s">
        <v>78</v>
      </c>
      <c r="CW4" s="318" t="s">
        <v>158</v>
      </c>
      <c r="CX4" s="321" t="s">
        <v>77</v>
      </c>
      <c r="CY4" s="336" t="s">
        <v>152</v>
      </c>
      <c r="CZ4" s="336" t="s">
        <v>153</v>
      </c>
      <c r="DA4" s="339" t="s">
        <v>156</v>
      </c>
      <c r="DB4" s="342" t="s">
        <v>0</v>
      </c>
      <c r="DC4" s="317" t="s">
        <v>1</v>
      </c>
      <c r="DD4" s="318" t="s">
        <v>150</v>
      </c>
      <c r="DE4" s="318" t="s">
        <v>151</v>
      </c>
      <c r="DF4" s="318" t="s">
        <v>78</v>
      </c>
      <c r="DG4" s="321" t="s">
        <v>160</v>
      </c>
      <c r="DH4" s="318" t="s">
        <v>77</v>
      </c>
      <c r="DI4" s="336" t="s">
        <v>152</v>
      </c>
      <c r="DJ4" s="336" t="s">
        <v>153</v>
      </c>
      <c r="DK4" s="342" t="s">
        <v>0</v>
      </c>
      <c r="DL4" s="317" t="s">
        <v>1</v>
      </c>
      <c r="DM4" s="129" t="s">
        <v>37</v>
      </c>
      <c r="DN4" s="316" t="s">
        <v>76</v>
      </c>
      <c r="DO4" s="316"/>
      <c r="DP4" s="316" t="s">
        <v>92</v>
      </c>
      <c r="DQ4" s="316"/>
      <c r="DR4" s="316"/>
      <c r="DS4" s="316"/>
      <c r="DT4" s="316"/>
      <c r="DU4" s="316"/>
      <c r="DV4" s="316" t="s">
        <v>165</v>
      </c>
      <c r="DW4" s="316"/>
      <c r="DX4" s="316"/>
      <c r="DY4" s="347" t="s">
        <v>0</v>
      </c>
      <c r="DZ4" s="368" t="s">
        <v>1</v>
      </c>
      <c r="EA4" s="344" t="s">
        <v>170</v>
      </c>
      <c r="EB4" s="344"/>
      <c r="EC4" s="344"/>
      <c r="ED4" s="344" t="s">
        <v>104</v>
      </c>
      <c r="EE4" s="344"/>
      <c r="EF4" s="132" t="s">
        <v>121</v>
      </c>
      <c r="EG4" s="132" t="s">
        <v>122</v>
      </c>
      <c r="EH4" s="367" t="s">
        <v>0</v>
      </c>
      <c r="EI4" s="346" t="s">
        <v>1</v>
      </c>
      <c r="EJ4" s="361" t="s">
        <v>34</v>
      </c>
      <c r="EK4" s="361"/>
      <c r="EL4" s="361"/>
      <c r="EM4" s="361"/>
      <c r="EN4" s="361"/>
      <c r="EO4" s="361"/>
      <c r="EP4" s="361"/>
      <c r="EQ4" s="365" t="s">
        <v>0</v>
      </c>
    </row>
    <row r="5" spans="1:147" ht="17.149999999999999" customHeight="1" x14ac:dyDescent="0.35">
      <c r="A5" s="359"/>
      <c r="B5" s="357" t="s">
        <v>83</v>
      </c>
      <c r="C5" s="357" t="s">
        <v>111</v>
      </c>
      <c r="D5" s="356" t="s">
        <v>32</v>
      </c>
      <c r="E5" s="357" t="s">
        <v>83</v>
      </c>
      <c r="F5" s="357" t="s">
        <v>110</v>
      </c>
      <c r="G5" s="356" t="s">
        <v>32</v>
      </c>
      <c r="H5" s="357" t="s">
        <v>83</v>
      </c>
      <c r="I5" s="357" t="s">
        <v>109</v>
      </c>
      <c r="J5" s="360"/>
      <c r="K5" s="359"/>
      <c r="L5" s="357" t="s">
        <v>83</v>
      </c>
      <c r="M5" s="357" t="s">
        <v>116</v>
      </c>
      <c r="N5" s="357" t="s">
        <v>83</v>
      </c>
      <c r="O5" s="357" t="s">
        <v>66</v>
      </c>
      <c r="P5" s="357" t="s">
        <v>83</v>
      </c>
      <c r="Q5" s="357" t="s">
        <v>116</v>
      </c>
      <c r="R5" s="336" t="s">
        <v>121</v>
      </c>
      <c r="S5" s="336" t="s">
        <v>122</v>
      </c>
      <c r="T5" s="336" t="s">
        <v>123</v>
      </c>
      <c r="U5" s="336" t="s">
        <v>124</v>
      </c>
      <c r="V5" s="360"/>
      <c r="W5" s="346"/>
      <c r="X5" s="333" t="s">
        <v>20</v>
      </c>
      <c r="Y5" s="333"/>
      <c r="Z5" s="333" t="s">
        <v>21</v>
      </c>
      <c r="AA5" s="333"/>
      <c r="AB5" s="333" t="s">
        <v>127</v>
      </c>
      <c r="AC5" s="333"/>
      <c r="AD5" s="333" t="s">
        <v>128</v>
      </c>
      <c r="AE5" s="333"/>
      <c r="AF5" s="342"/>
      <c r="AG5" s="346"/>
      <c r="AH5" s="333" t="s">
        <v>130</v>
      </c>
      <c r="AI5" s="333"/>
      <c r="AJ5" s="333" t="s">
        <v>131</v>
      </c>
      <c r="AK5" s="333"/>
      <c r="AL5" s="333" t="s">
        <v>65</v>
      </c>
      <c r="AM5" s="333"/>
      <c r="AN5" s="333" t="s">
        <v>75</v>
      </c>
      <c r="AO5" s="333"/>
      <c r="AP5" s="342"/>
      <c r="AQ5" s="346"/>
      <c r="AR5" s="333" t="s">
        <v>133</v>
      </c>
      <c r="AS5" s="333"/>
      <c r="AT5" s="333" t="s">
        <v>134</v>
      </c>
      <c r="AU5" s="333"/>
      <c r="AV5" s="333" t="s">
        <v>95</v>
      </c>
      <c r="AW5" s="333"/>
      <c r="AX5" s="333" t="s">
        <v>96</v>
      </c>
      <c r="AY5" s="333"/>
      <c r="AZ5" s="342"/>
      <c r="BA5" s="317"/>
      <c r="BB5" s="353" t="s">
        <v>25</v>
      </c>
      <c r="BC5" s="366" t="s">
        <v>29</v>
      </c>
      <c r="BD5" s="335" t="s">
        <v>4</v>
      </c>
      <c r="BE5" s="335" t="s">
        <v>80</v>
      </c>
      <c r="BF5" s="335" t="s">
        <v>81</v>
      </c>
      <c r="BG5" s="326"/>
      <c r="BH5" s="343" t="s">
        <v>137</v>
      </c>
      <c r="BI5" s="343" t="s">
        <v>138</v>
      </c>
      <c r="BJ5" s="343" t="s">
        <v>140</v>
      </c>
      <c r="BK5" s="343" t="s">
        <v>141</v>
      </c>
      <c r="BL5" s="343" t="s">
        <v>143</v>
      </c>
      <c r="BM5" s="343" t="s">
        <v>144</v>
      </c>
      <c r="BN5" s="347"/>
      <c r="BO5" s="317"/>
      <c r="BP5" s="328" t="s">
        <v>31</v>
      </c>
      <c r="BQ5" s="354" t="s">
        <v>22</v>
      </c>
      <c r="BR5" s="326" t="s">
        <v>4</v>
      </c>
      <c r="BS5" s="326" t="s">
        <v>82</v>
      </c>
      <c r="BT5" s="326" t="s">
        <v>149</v>
      </c>
      <c r="BU5" s="328" t="s">
        <v>23</v>
      </c>
      <c r="BV5" s="327" t="s">
        <v>99</v>
      </c>
      <c r="BW5" s="327" t="s">
        <v>98</v>
      </c>
      <c r="BX5" s="355" t="s">
        <v>26</v>
      </c>
      <c r="BY5" s="355" t="s">
        <v>97</v>
      </c>
      <c r="BZ5" s="347"/>
      <c r="CA5" s="317"/>
      <c r="CB5" s="319"/>
      <c r="CC5" s="319"/>
      <c r="CD5" s="319"/>
      <c r="CE5" s="322"/>
      <c r="CF5" s="322"/>
      <c r="CG5" s="337"/>
      <c r="CH5" s="337"/>
      <c r="CI5" s="342"/>
      <c r="CJ5" s="317"/>
      <c r="CK5" s="319"/>
      <c r="CL5" s="319"/>
      <c r="CM5" s="319"/>
      <c r="CN5" s="319"/>
      <c r="CO5" s="319"/>
      <c r="CP5" s="337"/>
      <c r="CQ5" s="337"/>
      <c r="CR5" s="342"/>
      <c r="CS5" s="317"/>
      <c r="CT5" s="319"/>
      <c r="CU5" s="319"/>
      <c r="CV5" s="319"/>
      <c r="CW5" s="319"/>
      <c r="CX5" s="322"/>
      <c r="CY5" s="337"/>
      <c r="CZ5" s="337"/>
      <c r="DA5" s="340"/>
      <c r="DB5" s="342"/>
      <c r="DC5" s="317"/>
      <c r="DD5" s="319"/>
      <c r="DE5" s="319"/>
      <c r="DF5" s="319"/>
      <c r="DG5" s="322"/>
      <c r="DH5" s="319"/>
      <c r="DI5" s="337"/>
      <c r="DJ5" s="337"/>
      <c r="DK5" s="342"/>
      <c r="DL5" s="317"/>
      <c r="DM5" s="327" t="s">
        <v>4</v>
      </c>
      <c r="DN5" s="328" t="s">
        <v>161</v>
      </c>
      <c r="DO5" s="328" t="s">
        <v>162</v>
      </c>
      <c r="DP5" s="328" t="s">
        <v>85</v>
      </c>
      <c r="DQ5" s="327" t="s">
        <v>4</v>
      </c>
      <c r="DR5" s="326" t="s">
        <v>82</v>
      </c>
      <c r="DS5" s="328" t="s">
        <v>163</v>
      </c>
      <c r="DT5" s="326" t="s">
        <v>164</v>
      </c>
      <c r="DU5" s="327" t="s">
        <v>169</v>
      </c>
      <c r="DV5" s="328" t="s">
        <v>172</v>
      </c>
      <c r="DW5" s="328" t="s">
        <v>166</v>
      </c>
      <c r="DX5" s="328" t="s">
        <v>167</v>
      </c>
      <c r="DY5" s="347"/>
      <c r="DZ5" s="368"/>
      <c r="EA5" s="348" t="s">
        <v>173</v>
      </c>
      <c r="EB5" s="348" t="s">
        <v>174</v>
      </c>
      <c r="EC5" s="348" t="s">
        <v>171</v>
      </c>
      <c r="ED5" s="327" t="s">
        <v>86</v>
      </c>
      <c r="EE5" s="327"/>
      <c r="EF5" s="327" t="s">
        <v>84</v>
      </c>
      <c r="EG5" s="327" t="s">
        <v>84</v>
      </c>
      <c r="EH5" s="367"/>
      <c r="EI5" s="346"/>
      <c r="EJ5" s="361"/>
      <c r="EK5" s="361"/>
      <c r="EL5" s="361"/>
      <c r="EM5" s="361"/>
      <c r="EN5" s="361"/>
      <c r="EO5" s="361"/>
      <c r="EP5" s="361"/>
      <c r="EQ5" s="365"/>
    </row>
    <row r="6" spans="1:147" ht="17.149999999999999" customHeight="1" x14ac:dyDescent="0.35">
      <c r="A6" s="359"/>
      <c r="B6" s="357"/>
      <c r="C6" s="357"/>
      <c r="D6" s="356"/>
      <c r="E6" s="357"/>
      <c r="F6" s="357"/>
      <c r="G6" s="356"/>
      <c r="H6" s="357"/>
      <c r="I6" s="357"/>
      <c r="J6" s="360"/>
      <c r="K6" s="359"/>
      <c r="L6" s="357"/>
      <c r="M6" s="357"/>
      <c r="N6" s="357"/>
      <c r="O6" s="357"/>
      <c r="P6" s="357"/>
      <c r="Q6" s="357"/>
      <c r="R6" s="337"/>
      <c r="S6" s="337"/>
      <c r="T6" s="337"/>
      <c r="U6" s="337"/>
      <c r="V6" s="360"/>
      <c r="W6" s="346"/>
      <c r="X6" s="333" t="s">
        <v>5</v>
      </c>
      <c r="Y6" s="333" t="s">
        <v>6</v>
      </c>
      <c r="Z6" s="333" t="s">
        <v>5</v>
      </c>
      <c r="AA6" s="333" t="s">
        <v>6</v>
      </c>
      <c r="AB6" s="333" t="s">
        <v>5</v>
      </c>
      <c r="AC6" s="333" t="s">
        <v>6</v>
      </c>
      <c r="AD6" s="333" t="s">
        <v>5</v>
      </c>
      <c r="AE6" s="333" t="s">
        <v>6</v>
      </c>
      <c r="AF6" s="342"/>
      <c r="AG6" s="346"/>
      <c r="AH6" s="333" t="s">
        <v>5</v>
      </c>
      <c r="AI6" s="333" t="s">
        <v>6</v>
      </c>
      <c r="AJ6" s="333" t="s">
        <v>5</v>
      </c>
      <c r="AK6" s="333" t="s">
        <v>6</v>
      </c>
      <c r="AL6" s="333" t="s">
        <v>5</v>
      </c>
      <c r="AM6" s="333" t="s">
        <v>6</v>
      </c>
      <c r="AN6" s="333" t="s">
        <v>5</v>
      </c>
      <c r="AO6" s="333" t="s">
        <v>6</v>
      </c>
      <c r="AP6" s="342"/>
      <c r="AQ6" s="346"/>
      <c r="AR6" s="333" t="s">
        <v>5</v>
      </c>
      <c r="AS6" s="333" t="s">
        <v>6</v>
      </c>
      <c r="AT6" s="333" t="s">
        <v>5</v>
      </c>
      <c r="AU6" s="333" t="s">
        <v>6</v>
      </c>
      <c r="AV6" s="333" t="s">
        <v>5</v>
      </c>
      <c r="AW6" s="333" t="s">
        <v>6</v>
      </c>
      <c r="AX6" s="333" t="s">
        <v>5</v>
      </c>
      <c r="AY6" s="333" t="s">
        <v>6</v>
      </c>
      <c r="AZ6" s="342"/>
      <c r="BA6" s="317"/>
      <c r="BB6" s="353"/>
      <c r="BC6" s="366"/>
      <c r="BD6" s="335"/>
      <c r="BE6" s="335"/>
      <c r="BF6" s="335"/>
      <c r="BG6" s="326"/>
      <c r="BH6" s="343"/>
      <c r="BI6" s="343"/>
      <c r="BJ6" s="343"/>
      <c r="BK6" s="343"/>
      <c r="BL6" s="343"/>
      <c r="BM6" s="343"/>
      <c r="BN6" s="347"/>
      <c r="BO6" s="317"/>
      <c r="BP6" s="328"/>
      <c r="BQ6" s="354"/>
      <c r="BR6" s="326"/>
      <c r="BS6" s="326"/>
      <c r="BT6" s="326"/>
      <c r="BU6" s="328"/>
      <c r="BV6" s="327"/>
      <c r="BW6" s="327"/>
      <c r="BX6" s="355"/>
      <c r="BY6" s="355"/>
      <c r="BZ6" s="347"/>
      <c r="CA6" s="317"/>
      <c r="CB6" s="319"/>
      <c r="CC6" s="319"/>
      <c r="CD6" s="319"/>
      <c r="CE6" s="322"/>
      <c r="CF6" s="322"/>
      <c r="CG6" s="337"/>
      <c r="CH6" s="337"/>
      <c r="CI6" s="342"/>
      <c r="CJ6" s="317"/>
      <c r="CK6" s="319"/>
      <c r="CL6" s="319"/>
      <c r="CM6" s="319"/>
      <c r="CN6" s="319"/>
      <c r="CO6" s="319"/>
      <c r="CP6" s="337"/>
      <c r="CQ6" s="337"/>
      <c r="CR6" s="342"/>
      <c r="CS6" s="317"/>
      <c r="CT6" s="319"/>
      <c r="CU6" s="319"/>
      <c r="CV6" s="319"/>
      <c r="CW6" s="319"/>
      <c r="CX6" s="322"/>
      <c r="CY6" s="337"/>
      <c r="CZ6" s="337"/>
      <c r="DA6" s="340"/>
      <c r="DB6" s="342"/>
      <c r="DC6" s="317"/>
      <c r="DD6" s="319"/>
      <c r="DE6" s="319"/>
      <c r="DF6" s="319"/>
      <c r="DG6" s="322"/>
      <c r="DH6" s="319"/>
      <c r="DI6" s="337"/>
      <c r="DJ6" s="337"/>
      <c r="DK6" s="342"/>
      <c r="DL6" s="317"/>
      <c r="DM6" s="327"/>
      <c r="DN6" s="328"/>
      <c r="DO6" s="328"/>
      <c r="DP6" s="328"/>
      <c r="DQ6" s="327"/>
      <c r="DR6" s="326"/>
      <c r="DS6" s="328"/>
      <c r="DT6" s="326"/>
      <c r="DU6" s="327"/>
      <c r="DV6" s="328"/>
      <c r="DW6" s="328"/>
      <c r="DX6" s="328"/>
      <c r="DY6" s="347"/>
      <c r="DZ6" s="368"/>
      <c r="EA6" s="348"/>
      <c r="EB6" s="348"/>
      <c r="EC6" s="348"/>
      <c r="ED6" s="327" t="s">
        <v>102</v>
      </c>
      <c r="EE6" s="327" t="s">
        <v>103</v>
      </c>
      <c r="EF6" s="327"/>
      <c r="EG6" s="327"/>
      <c r="EH6" s="367"/>
      <c r="EI6" s="346"/>
      <c r="EJ6" s="361"/>
      <c r="EK6" s="361"/>
      <c r="EL6" s="361"/>
      <c r="EM6" s="361"/>
      <c r="EN6" s="361"/>
      <c r="EO6" s="361"/>
      <c r="EP6" s="361"/>
      <c r="EQ6" s="365"/>
    </row>
    <row r="7" spans="1:147" ht="17.149999999999999" customHeight="1" x14ac:dyDescent="0.35">
      <c r="A7" s="359"/>
      <c r="B7" s="357"/>
      <c r="C7" s="357"/>
      <c r="D7" s="356"/>
      <c r="E7" s="357"/>
      <c r="F7" s="357"/>
      <c r="G7" s="356"/>
      <c r="H7" s="357"/>
      <c r="I7" s="357"/>
      <c r="J7" s="360"/>
      <c r="K7" s="359"/>
      <c r="L7" s="357"/>
      <c r="M7" s="357"/>
      <c r="N7" s="357"/>
      <c r="O7" s="357"/>
      <c r="P7" s="357"/>
      <c r="Q7" s="357"/>
      <c r="R7" s="338"/>
      <c r="S7" s="338"/>
      <c r="T7" s="338"/>
      <c r="U7" s="338"/>
      <c r="V7" s="360"/>
      <c r="W7" s="346"/>
      <c r="X7" s="333"/>
      <c r="Y7" s="333"/>
      <c r="Z7" s="333"/>
      <c r="AA7" s="333"/>
      <c r="AB7" s="333"/>
      <c r="AC7" s="333"/>
      <c r="AD7" s="333"/>
      <c r="AE7" s="333"/>
      <c r="AF7" s="342"/>
      <c r="AG7" s="346"/>
      <c r="AH7" s="333"/>
      <c r="AI7" s="333"/>
      <c r="AJ7" s="333"/>
      <c r="AK7" s="333"/>
      <c r="AL7" s="333"/>
      <c r="AM7" s="333"/>
      <c r="AN7" s="333"/>
      <c r="AO7" s="333"/>
      <c r="AP7" s="342"/>
      <c r="AQ7" s="346"/>
      <c r="AR7" s="333"/>
      <c r="AS7" s="333"/>
      <c r="AT7" s="333"/>
      <c r="AU7" s="333"/>
      <c r="AV7" s="333"/>
      <c r="AW7" s="333"/>
      <c r="AX7" s="333"/>
      <c r="AY7" s="333"/>
      <c r="AZ7" s="342"/>
      <c r="BA7" s="317"/>
      <c r="BB7" s="353"/>
      <c r="BC7" s="366"/>
      <c r="BD7" s="335"/>
      <c r="BE7" s="335"/>
      <c r="BF7" s="335"/>
      <c r="BG7" s="326"/>
      <c r="BH7" s="343"/>
      <c r="BI7" s="343"/>
      <c r="BJ7" s="343"/>
      <c r="BK7" s="343"/>
      <c r="BL7" s="343"/>
      <c r="BM7" s="343"/>
      <c r="BN7" s="347"/>
      <c r="BO7" s="317"/>
      <c r="BP7" s="328"/>
      <c r="BQ7" s="354"/>
      <c r="BR7" s="326"/>
      <c r="BS7" s="326"/>
      <c r="BT7" s="326"/>
      <c r="BU7" s="328"/>
      <c r="BV7" s="327"/>
      <c r="BW7" s="327"/>
      <c r="BX7" s="355"/>
      <c r="BY7" s="355"/>
      <c r="BZ7" s="347"/>
      <c r="CA7" s="317"/>
      <c r="CB7" s="320"/>
      <c r="CC7" s="320"/>
      <c r="CD7" s="320"/>
      <c r="CE7" s="323"/>
      <c r="CF7" s="323"/>
      <c r="CG7" s="338"/>
      <c r="CH7" s="338"/>
      <c r="CI7" s="342"/>
      <c r="CJ7" s="317"/>
      <c r="CK7" s="320"/>
      <c r="CL7" s="320"/>
      <c r="CM7" s="320"/>
      <c r="CN7" s="320"/>
      <c r="CO7" s="320"/>
      <c r="CP7" s="338"/>
      <c r="CQ7" s="338"/>
      <c r="CR7" s="342"/>
      <c r="CS7" s="317"/>
      <c r="CT7" s="320"/>
      <c r="CU7" s="320"/>
      <c r="CV7" s="320"/>
      <c r="CW7" s="320"/>
      <c r="CX7" s="323"/>
      <c r="CY7" s="338"/>
      <c r="CZ7" s="338"/>
      <c r="DA7" s="341"/>
      <c r="DB7" s="342"/>
      <c r="DC7" s="317"/>
      <c r="DD7" s="320"/>
      <c r="DE7" s="320"/>
      <c r="DF7" s="320"/>
      <c r="DG7" s="323"/>
      <c r="DH7" s="320"/>
      <c r="DI7" s="338"/>
      <c r="DJ7" s="338"/>
      <c r="DK7" s="342"/>
      <c r="DL7" s="317"/>
      <c r="DM7" s="327"/>
      <c r="DN7" s="328"/>
      <c r="DO7" s="328"/>
      <c r="DP7" s="328"/>
      <c r="DQ7" s="327"/>
      <c r="DR7" s="326"/>
      <c r="DS7" s="328"/>
      <c r="DT7" s="326"/>
      <c r="DU7" s="327"/>
      <c r="DV7" s="328"/>
      <c r="DW7" s="328"/>
      <c r="DX7" s="328"/>
      <c r="DY7" s="347"/>
      <c r="DZ7" s="368"/>
      <c r="EA7" s="348"/>
      <c r="EB7" s="348"/>
      <c r="EC7" s="348"/>
      <c r="ED7" s="327"/>
      <c r="EE7" s="327"/>
      <c r="EF7" s="327"/>
      <c r="EG7" s="327"/>
      <c r="EH7" s="367"/>
      <c r="EI7" s="346"/>
      <c r="EJ7" s="361"/>
      <c r="EK7" s="361"/>
      <c r="EL7" s="361"/>
      <c r="EM7" s="361"/>
      <c r="EN7" s="361"/>
      <c r="EO7" s="361"/>
      <c r="EP7" s="361"/>
      <c r="EQ7" s="365"/>
    </row>
    <row r="8" spans="1:147" s="3" customFormat="1" ht="17.149999999999999" customHeight="1" x14ac:dyDescent="0.2">
      <c r="A8" s="56">
        <v>1</v>
      </c>
      <c r="B8" s="57">
        <v>912303</v>
      </c>
      <c r="C8" s="58">
        <f>IF(B9="","",IF(B9=B8,"",(B9-B8)))</f>
        <v>198</v>
      </c>
      <c r="D8" s="167">
        <v>9.68</v>
      </c>
      <c r="E8" s="59">
        <v>817099</v>
      </c>
      <c r="F8" s="58">
        <f>IF(E9="","",IF(E9=E8,"",(E9-E8)))</f>
        <v>172</v>
      </c>
      <c r="G8" s="168">
        <v>2.09</v>
      </c>
      <c r="H8" s="57">
        <v>770038</v>
      </c>
      <c r="I8" s="58">
        <f t="shared" ref="I8:I37" si="0">IF(H9="","",IF(H9=H8,"",(H9-H8)))</f>
        <v>132</v>
      </c>
      <c r="J8" s="60" t="s">
        <v>194</v>
      </c>
      <c r="K8" s="56">
        <v>1</v>
      </c>
      <c r="L8" s="57">
        <v>71200</v>
      </c>
      <c r="M8" s="58">
        <f>IF(L9="","",IF(L9=L8,"",(L9-L8)))</f>
        <v>48</v>
      </c>
      <c r="N8" s="59">
        <v>181735</v>
      </c>
      <c r="O8" s="58">
        <f>IF(N9="","",IF(N9=N8,"",(N9-N8)))</f>
        <v>63</v>
      </c>
      <c r="P8" s="57">
        <v>194749</v>
      </c>
      <c r="Q8" s="58" t="str">
        <f t="shared" ref="Q8:Q37" si="1">IF(P9="","",IF(P9=P8,"",(P9-P8)))</f>
        <v/>
      </c>
      <c r="R8" s="57">
        <v>690</v>
      </c>
      <c r="S8" s="57">
        <v>698</v>
      </c>
      <c r="T8" s="170">
        <v>145</v>
      </c>
      <c r="U8" s="57">
        <v>142</v>
      </c>
      <c r="V8" s="58" t="str">
        <f>IF(J8="","",J8)</f>
        <v>ME</v>
      </c>
      <c r="W8" s="56">
        <v>1</v>
      </c>
      <c r="X8" s="63">
        <v>12061.23</v>
      </c>
      <c r="Y8" s="130">
        <f>IF(X9="","",IF(X9=X8,"",X9-X8))</f>
        <v>2.2200000000011642</v>
      </c>
      <c r="Z8" s="63">
        <v>12829.83</v>
      </c>
      <c r="AA8" s="130">
        <f>IF(Z9="","",IF(Z9=Z8,"",Z9-Z8))</f>
        <v>3.6100000000005821</v>
      </c>
      <c r="AB8" s="63">
        <v>10077.68</v>
      </c>
      <c r="AC8" s="130">
        <f>IF(AB9="","",IF(AB9=AB8,"",AB9-AB8))</f>
        <v>1.8099999999994907</v>
      </c>
      <c r="AD8" s="63">
        <v>10231.15</v>
      </c>
      <c r="AE8" s="130">
        <f t="shared" ref="AE8:AE37" si="2">IF(AD9="","",IF(AD9=AD8,"",AD9-AD8))</f>
        <v>1.7000000000007276</v>
      </c>
      <c r="AF8" s="125" t="str">
        <f>IF(J8="","",J8)</f>
        <v>ME</v>
      </c>
      <c r="AG8" s="56">
        <v>1</v>
      </c>
      <c r="AH8" s="63">
        <v>48318.15</v>
      </c>
      <c r="AI8" s="130">
        <f>IF(AH9="","",IF(AH9=AH8,"",AH9-AH8))</f>
        <v>23.549999999995634</v>
      </c>
      <c r="AJ8" s="63">
        <v>50468.06</v>
      </c>
      <c r="AK8" s="130" t="str">
        <f>IF(AJ9="","",IF(AJ9=AJ8,"",AJ9-AJ8))</f>
        <v/>
      </c>
      <c r="AL8" s="63">
        <v>592.32000000000005</v>
      </c>
      <c r="AM8" s="130" t="str">
        <f>IF(AL9="","",IF(AL9=AL8,"",AL9-AL8))</f>
        <v/>
      </c>
      <c r="AN8" s="63">
        <v>553.45000000000005</v>
      </c>
      <c r="AO8" s="130" t="str">
        <f t="shared" ref="AO8:AO37" si="3">IF(AN9="","",IF(AN9=AN8,"",AN9-AN8))</f>
        <v/>
      </c>
      <c r="AP8" s="125" t="str">
        <f>IF(J8="","",J8)</f>
        <v>ME</v>
      </c>
      <c r="AQ8" s="56">
        <v>1</v>
      </c>
      <c r="AR8" s="63">
        <v>6968.89</v>
      </c>
      <c r="AS8" s="130">
        <f>IF(AR9="","",IF(AR9=AR8,"",AR9-AR8))</f>
        <v>2.7199999999993452</v>
      </c>
      <c r="AT8" s="63">
        <v>7800.32</v>
      </c>
      <c r="AU8" s="130">
        <f>IF(AT9="","",IF(AT9=AT8,"",AT9-AT8))</f>
        <v>2.7800000000006548</v>
      </c>
      <c r="AV8" s="63">
        <v>261.56</v>
      </c>
      <c r="AW8" s="130">
        <f>IF(AV9="","",IF(AV9=AV8,"",AV9-AV8))</f>
        <v>0.33999999999997499</v>
      </c>
      <c r="AX8" s="63">
        <v>247.9</v>
      </c>
      <c r="AY8" s="130" t="str">
        <f t="shared" ref="AY8:AY37" si="4">IF(AX9="","",IF(AX9=AX8,"",AX9-AX8))</f>
        <v/>
      </c>
      <c r="AZ8" s="125" t="str">
        <f>IF(J8="","",J8)</f>
        <v>ME</v>
      </c>
      <c r="BA8" s="56">
        <v>1</v>
      </c>
      <c r="BB8" s="63"/>
      <c r="BC8" s="62"/>
      <c r="BD8" s="61"/>
      <c r="BE8" s="61"/>
      <c r="BF8" s="61"/>
      <c r="BG8" s="61"/>
      <c r="BH8" s="64"/>
      <c r="BI8" s="64"/>
      <c r="BJ8" s="64"/>
      <c r="BK8" s="64"/>
      <c r="BL8" s="64"/>
      <c r="BM8" s="64"/>
      <c r="BN8" s="65" t="str">
        <f>IF(J8="","",J8)</f>
        <v>ME</v>
      </c>
      <c r="BO8" s="56">
        <v>1</v>
      </c>
      <c r="BP8" s="64">
        <v>0.09</v>
      </c>
      <c r="BQ8" s="62"/>
      <c r="BR8" s="61"/>
      <c r="BS8" s="61"/>
      <c r="BT8" s="61"/>
      <c r="BU8" s="64"/>
      <c r="BV8" s="63">
        <v>1.1499999999999999</v>
      </c>
      <c r="BW8" s="63">
        <v>0.82</v>
      </c>
      <c r="BX8" s="66" t="s">
        <v>253</v>
      </c>
      <c r="BY8" s="172" t="s">
        <v>246</v>
      </c>
      <c r="BZ8" s="67" t="str">
        <f>IF(J8="","",J8)</f>
        <v>ME</v>
      </c>
      <c r="CA8" s="56">
        <v>1</v>
      </c>
      <c r="CB8" s="61">
        <v>88.8</v>
      </c>
      <c r="CC8" s="61"/>
      <c r="CD8" s="68">
        <f>IF(CB9="","",IF(CC8="",IF(CB8=CB9,"",(CB8-CB9)),IF(CC8=CB9,"",(CC8-CB9))))</f>
        <v>0.39999999999999147</v>
      </c>
      <c r="CE8" s="69">
        <f>IF(CD8="","",(CD8*(0.785*77*77)/1000))</f>
        <v>1.8617059999999603</v>
      </c>
      <c r="CF8" s="69">
        <f>IF(CE8="","",(CE8*0.12*1000)/I8)</f>
        <v>1.6924599999999639</v>
      </c>
      <c r="CG8" s="62">
        <v>66</v>
      </c>
      <c r="CH8" s="62">
        <v>100</v>
      </c>
      <c r="CI8" s="65" t="str">
        <f>IF(J8="","",J8)</f>
        <v>ME</v>
      </c>
      <c r="CJ8" s="56">
        <v>1</v>
      </c>
      <c r="CK8" s="61">
        <v>95.7</v>
      </c>
      <c r="CL8" s="61"/>
      <c r="CM8" s="68">
        <f>IF(CK9="","",IF(CL8="",IF(CK8=CK9,"",(CK8-CK9)),IF(CL8=CK9,"",(CL8-CK9))))</f>
        <v>2.2999999999999972</v>
      </c>
      <c r="CN8" s="68">
        <f>IF(CM8="","",(CM8*(0.785*77*77)/1000))</f>
        <v>10.704809499999987</v>
      </c>
      <c r="CO8" s="68">
        <f>IF(CN8="","",(CN8*0.33*1.205*1000)/C8)</f>
        <v>21.498825745833308</v>
      </c>
      <c r="CP8" s="62">
        <v>52</v>
      </c>
      <c r="CQ8" s="62">
        <v>83</v>
      </c>
      <c r="CR8" s="65" t="str">
        <f>IF(J8="","",J8)</f>
        <v>ME</v>
      </c>
      <c r="CS8" s="56">
        <v>1</v>
      </c>
      <c r="CT8" s="61">
        <v>106.5</v>
      </c>
      <c r="CU8" s="61">
        <v>101.8</v>
      </c>
      <c r="CV8" s="68">
        <f>IF(CT9="","",IF(CU8="",IF(CT8=CT9,"",(CT8-CT9)),IF(CU8=CT9,"",(CU8-CT9))))</f>
        <v>2.2000000000000028</v>
      </c>
      <c r="CW8" s="68">
        <f>IF(CV8="","",(CV8*(0.785*92*92)/1000))</f>
        <v>14.617328000000018</v>
      </c>
      <c r="CX8" s="69">
        <f>IF(CW8="","",(CW8)/C8)</f>
        <v>7.3824888888888981E-2</v>
      </c>
      <c r="CY8" s="66" t="s">
        <v>240</v>
      </c>
      <c r="CZ8" s="66" t="s">
        <v>241</v>
      </c>
      <c r="DA8" s="66" t="s">
        <v>242</v>
      </c>
      <c r="DB8" s="65" t="str">
        <f>IF(J8="","",J8)</f>
        <v>ME</v>
      </c>
      <c r="DC8" s="56">
        <v>1</v>
      </c>
      <c r="DD8" s="61">
        <v>88.5</v>
      </c>
      <c r="DE8" s="61">
        <v>103.9</v>
      </c>
      <c r="DF8" s="68">
        <f>IF(DD9="","",IF(DE8="",IF(DD8=DD9,"",(DD8-DD9)),IF(DE8=DD9,"",(DE8-DD9))))</f>
        <v>18</v>
      </c>
      <c r="DG8" s="69">
        <f>IF(DF8="","",(DF8*(0.785*92*92)*0.00812/1000))</f>
        <v>0.97112211839999996</v>
      </c>
      <c r="DH8" s="68">
        <f>IF(DG8="","",(DG8*1000)/C8)</f>
        <v>4.9046571636363634</v>
      </c>
      <c r="DI8" s="62">
        <v>90</v>
      </c>
      <c r="DJ8" s="62">
        <v>54</v>
      </c>
      <c r="DK8" s="65" t="str">
        <f>IF(J8="","",J8)</f>
        <v>ME</v>
      </c>
      <c r="DL8" s="56">
        <v>1</v>
      </c>
      <c r="DM8" s="63">
        <v>8.0500000000000007</v>
      </c>
      <c r="DN8" s="64">
        <v>3.2000000000000001E-2</v>
      </c>
      <c r="DO8" s="64">
        <v>3.2000000000000001E-2</v>
      </c>
      <c r="DP8" s="64">
        <v>7.1999999999999995E-2</v>
      </c>
      <c r="DQ8" s="63">
        <v>7.22</v>
      </c>
      <c r="DR8" s="61">
        <v>18.399999999999999</v>
      </c>
      <c r="DS8" s="64">
        <v>1.1319999999999999</v>
      </c>
      <c r="DT8" s="61">
        <v>88.6</v>
      </c>
      <c r="DU8" s="63">
        <v>4.2699999999999996</v>
      </c>
      <c r="DV8" s="64">
        <v>0.69599999999999995</v>
      </c>
      <c r="DW8" s="64">
        <v>1.07</v>
      </c>
      <c r="DX8" s="66" t="s">
        <v>247</v>
      </c>
      <c r="DY8" s="65" t="str">
        <f>IF(J8="","",J8)</f>
        <v>ME</v>
      </c>
      <c r="DZ8" s="128">
        <v>1</v>
      </c>
      <c r="EA8" s="173">
        <f>IF(C8="","",C8/1496)</f>
        <v>0.13235294117647059</v>
      </c>
      <c r="EB8" s="173">
        <f>IF(F8="","",IF(Q8="",F8/1360,(F8+Q8)/1360))</f>
        <v>0.12647058823529411</v>
      </c>
      <c r="EC8" s="173">
        <f>IF(I8="","",IF(C8="","",I8/C8))</f>
        <v>0.66666666666666663</v>
      </c>
      <c r="ED8" s="63">
        <v>1.01</v>
      </c>
      <c r="EE8" s="63">
        <v>1.21</v>
      </c>
      <c r="EF8" s="63">
        <v>0.04</v>
      </c>
      <c r="EG8" s="63">
        <v>0.08</v>
      </c>
      <c r="EH8" s="127" t="str">
        <f t="shared" ref="EH8:EH38" si="5">IF(J8="","",J8)</f>
        <v>ME</v>
      </c>
      <c r="EI8" s="56">
        <v>1</v>
      </c>
      <c r="EQ8" s="65" t="str">
        <f>IF(J8="","",J8)</f>
        <v>ME</v>
      </c>
    </row>
    <row r="9" spans="1:147" s="3" customFormat="1" ht="17.149999999999999" customHeight="1" x14ac:dyDescent="0.2">
      <c r="A9" s="56">
        <v>2</v>
      </c>
      <c r="B9" s="57">
        <v>912501</v>
      </c>
      <c r="C9" s="58">
        <f t="shared" ref="C9:C37" si="6">IF(B10="","",IF(B10=B9,"",(B10-B9)))</f>
        <v>171</v>
      </c>
      <c r="D9" s="167">
        <v>9.7200000000000006</v>
      </c>
      <c r="E9" s="57">
        <v>817271</v>
      </c>
      <c r="F9" s="58">
        <f t="shared" ref="F9:F37" si="7">IF(E10="","",IF(E10=E9,"",(E10-E9)))</f>
        <v>217</v>
      </c>
      <c r="G9" s="168">
        <v>0.88</v>
      </c>
      <c r="H9" s="57">
        <v>770170</v>
      </c>
      <c r="I9" s="58">
        <f t="shared" si="0"/>
        <v>142</v>
      </c>
      <c r="J9" s="60" t="s">
        <v>194</v>
      </c>
      <c r="K9" s="56">
        <v>2</v>
      </c>
      <c r="L9" s="57">
        <v>71248</v>
      </c>
      <c r="M9" s="58" t="str">
        <f t="shared" ref="M9:M37" si="8">IF(L10="","",IF(L10=L9,"",(L10-L9)))</f>
        <v/>
      </c>
      <c r="N9" s="57">
        <v>181798</v>
      </c>
      <c r="O9" s="58">
        <f t="shared" ref="O9:O37" si="9">IF(N10="","",IF(N10=N9,"",(N10-N9)))</f>
        <v>43</v>
      </c>
      <c r="P9" s="57">
        <v>194749</v>
      </c>
      <c r="Q9" s="58" t="str">
        <f t="shared" si="1"/>
        <v/>
      </c>
      <c r="R9" s="57">
        <v>691</v>
      </c>
      <c r="S9" s="57">
        <v>698</v>
      </c>
      <c r="T9" s="170">
        <v>145</v>
      </c>
      <c r="U9" s="57">
        <v>142</v>
      </c>
      <c r="V9" s="58" t="str">
        <f t="shared" ref="V9:V38" si="10">IF(J9="","",J9)</f>
        <v>ME</v>
      </c>
      <c r="W9" s="56">
        <v>2</v>
      </c>
      <c r="X9" s="63">
        <v>12063.45</v>
      </c>
      <c r="Y9" s="130">
        <f t="shared" ref="Y9:Y37" si="11">IF(X10="","",IF(X10=X9,"",X10-X9))</f>
        <v>2.4599999999991269</v>
      </c>
      <c r="Z9" s="63">
        <v>12833.44</v>
      </c>
      <c r="AA9" s="130">
        <f t="shared" ref="AA9:AA37" si="12">IF(Z10="","",IF(Z10=Z9,"",Z10-Z9))</f>
        <v>2.3999999999996362</v>
      </c>
      <c r="AB9" s="63">
        <v>10079.49</v>
      </c>
      <c r="AC9" s="130">
        <f t="shared" ref="AC9:AC37" si="13">IF(AB10="","",IF(AB10=AB9,"",AB10-AB9))</f>
        <v>1.8700000000008004</v>
      </c>
      <c r="AD9" s="63">
        <v>10232.85</v>
      </c>
      <c r="AE9" s="130">
        <f t="shared" si="2"/>
        <v>1.9400000000005093</v>
      </c>
      <c r="AF9" s="125" t="str">
        <f t="shared" ref="AF9:AF38" si="14">IF(J9="","",J9)</f>
        <v>ME</v>
      </c>
      <c r="AG9" s="56">
        <v>2</v>
      </c>
      <c r="AH9" s="63">
        <v>48341.7</v>
      </c>
      <c r="AI9" s="130">
        <f t="shared" ref="AI9:AI37" si="15">IF(AH10="","",IF(AH10=AH9,"",AH10-AH9))</f>
        <v>24.620000000002619</v>
      </c>
      <c r="AJ9" s="63">
        <v>50468.06</v>
      </c>
      <c r="AK9" s="130">
        <f t="shared" ref="AK9:AK37" si="16">IF(AJ10="","",IF(AJ10=AJ9,"",AJ10-AJ9))</f>
        <v>3.3700000000026193</v>
      </c>
      <c r="AL9" s="63">
        <v>592.32000000000005</v>
      </c>
      <c r="AM9" s="130" t="str">
        <f t="shared" ref="AM9:AM37" si="17">IF(AL10="","",IF(AL10=AL9,"",AL10-AL9))</f>
        <v/>
      </c>
      <c r="AN9" s="63">
        <v>553.45000000000005</v>
      </c>
      <c r="AO9" s="130" t="str">
        <f t="shared" si="3"/>
        <v/>
      </c>
      <c r="AP9" s="125" t="str">
        <f t="shared" ref="AP9:AP38" si="18">IF(J9="","",J9)</f>
        <v>ME</v>
      </c>
      <c r="AQ9" s="56">
        <v>2</v>
      </c>
      <c r="AR9" s="63">
        <v>6971.61</v>
      </c>
      <c r="AS9" s="130">
        <f t="shared" ref="AS9:AS37" si="19">IF(AR10="","",IF(AR10=AR9,"",AR10-AR9))</f>
        <v>2.2300000000004729</v>
      </c>
      <c r="AT9" s="63">
        <v>7803.1</v>
      </c>
      <c r="AU9" s="130">
        <f t="shared" ref="AU9:AU37" si="20">IF(AT10="","",IF(AT10=AT9,"",AT10-AT9))</f>
        <v>10.899999999999636</v>
      </c>
      <c r="AV9" s="63">
        <v>261.89999999999998</v>
      </c>
      <c r="AW9" s="130" t="str">
        <f t="shared" ref="AW9:AW37" si="21">IF(AV10="","",IF(AV10=AV9,"",AV10-AV9))</f>
        <v/>
      </c>
      <c r="AX9" s="63">
        <v>247.9</v>
      </c>
      <c r="AY9" s="130" t="str">
        <f t="shared" si="4"/>
        <v/>
      </c>
      <c r="AZ9" s="125" t="str">
        <f t="shared" ref="AZ9:AZ38" si="22">IF(J9="","",J9)</f>
        <v>ME</v>
      </c>
      <c r="BA9" s="56">
        <v>2</v>
      </c>
      <c r="BB9" s="63"/>
      <c r="BC9" s="62"/>
      <c r="BD9" s="61"/>
      <c r="BE9" s="61"/>
      <c r="BF9" s="61"/>
      <c r="BG9" s="61"/>
      <c r="BH9" s="64"/>
      <c r="BI9" s="64"/>
      <c r="BJ9" s="64"/>
      <c r="BK9" s="64"/>
      <c r="BL9" s="64"/>
      <c r="BM9" s="64"/>
      <c r="BN9" s="65" t="str">
        <f t="shared" ref="BN9:BN38" si="23">IF(J9="","",J9)</f>
        <v>ME</v>
      </c>
      <c r="BO9" s="56">
        <v>2</v>
      </c>
      <c r="BP9" s="64">
        <v>0.09</v>
      </c>
      <c r="BQ9" s="62"/>
      <c r="BR9" s="61"/>
      <c r="BS9" s="61"/>
      <c r="BT9" s="61"/>
      <c r="BU9" s="64"/>
      <c r="BV9" s="63">
        <v>1.04</v>
      </c>
      <c r="BW9" s="63">
        <v>0.82</v>
      </c>
      <c r="BX9" s="66" t="s">
        <v>253</v>
      </c>
      <c r="BY9" s="172" t="s">
        <v>246</v>
      </c>
      <c r="BZ9" s="67" t="str">
        <f t="shared" ref="BZ9:BZ38" si="24">IF(J9="","",J9)</f>
        <v>ME</v>
      </c>
      <c r="CA9" s="56">
        <v>2</v>
      </c>
      <c r="CB9" s="61">
        <v>88.4</v>
      </c>
      <c r="CC9" s="61"/>
      <c r="CD9" s="68">
        <f t="shared" ref="CD9:CD37" si="25">IF(CB10="","",IF(CC9="",IF(CB9=CB10,"",(CB9-CB10)),IF(CC9=CB10,"",(CC9-CB10))))</f>
        <v>2.3000000000000114</v>
      </c>
      <c r="CE9" s="69">
        <f t="shared" ref="CE9:CE38" si="26">IF(CD9="","",(CD9*(0.785*77*77)/1000))</f>
        <v>10.704809500000055</v>
      </c>
      <c r="CF9" s="69">
        <f t="shared" ref="CF9:CF38" si="27">IF(CE9="","",(CE9*0.12*1000)/I9)</f>
        <v>9.0463178873239887</v>
      </c>
      <c r="CG9" s="62">
        <v>66</v>
      </c>
      <c r="CH9" s="62">
        <v>100</v>
      </c>
      <c r="CI9" s="65" t="str">
        <f t="shared" ref="CI9:CI38" si="28">IF(J9="","",J9)</f>
        <v>ME</v>
      </c>
      <c r="CJ9" s="56">
        <v>2</v>
      </c>
      <c r="CK9" s="61">
        <v>93.4</v>
      </c>
      <c r="CL9" s="61"/>
      <c r="CM9" s="68">
        <f t="shared" ref="CM9:CM37" si="29">IF(CK10="","",IF(CL9="",IF(CK9=CK10,"",(CK9-CK10)),IF(CL9=CK10,"",(CL9-CK10))))</f>
        <v>2</v>
      </c>
      <c r="CN9" s="68">
        <f t="shared" ref="CN9:CN38" si="30">IF(CM9="","",(CM9*(0.785*77*77)/1000))</f>
        <v>9.3085300000000011</v>
      </c>
      <c r="CO9" s="68">
        <f t="shared" ref="CO9:CO38" si="31">IF(CN9="","",(CN9*0.33*1.205*1000)/C9)</f>
        <v>21.646414938596497</v>
      </c>
      <c r="CP9" s="62">
        <v>52</v>
      </c>
      <c r="CQ9" s="62">
        <v>83</v>
      </c>
      <c r="CR9" s="65" t="str">
        <f t="shared" ref="CR9:CR38" si="32">IF(J9="","",J9)</f>
        <v>ME</v>
      </c>
      <c r="CS9" s="56">
        <v>2</v>
      </c>
      <c r="CT9" s="61">
        <v>99.6</v>
      </c>
      <c r="CU9" s="61"/>
      <c r="CV9" s="68">
        <f t="shared" ref="CV9:CV37" si="33">IF(CT10="","",IF(CU9="",IF(CT9=CT10,"",(CT9-CT10)),IF(CU9=CT10,"",(CU9-CT10))))</f>
        <v>1.5999999999999943</v>
      </c>
      <c r="CW9" s="68">
        <f t="shared" ref="CW9:CW38" si="34">IF(CV9="","",(CV9*(0.785*92*92)/1000))</f>
        <v>10.630783999999961</v>
      </c>
      <c r="CX9" s="69">
        <f t="shared" ref="CX9:CX38" si="35">IF(CW9="","",(CW9)/C9)</f>
        <v>6.2168327485379891E-2</v>
      </c>
      <c r="CY9" s="66" t="s">
        <v>240</v>
      </c>
      <c r="CZ9" s="66" t="s">
        <v>241</v>
      </c>
      <c r="DA9" s="66"/>
      <c r="DB9" s="65" t="str">
        <f t="shared" ref="DB9:DB38" si="36">IF(J9="","",J9)</f>
        <v>ME</v>
      </c>
      <c r="DC9" s="56">
        <v>2</v>
      </c>
      <c r="DD9" s="61">
        <v>85.9</v>
      </c>
      <c r="DE9" s="61">
        <v>102.9</v>
      </c>
      <c r="DF9" s="68">
        <f t="shared" ref="DF9:DF37" si="37">IF(DD10="","",IF(DE9="",IF(DD9=DD10,"",(DD9-DD10)),IF(DE9=DD10,"",(DE9-DD10))))</f>
        <v>13.5</v>
      </c>
      <c r="DG9" s="69">
        <f t="shared" ref="DG9:DG38" si="38">IF(DF9="","",(DF9*(0.785*92*92)*0.00812/1000))</f>
        <v>0.72834158879999999</v>
      </c>
      <c r="DH9" s="68">
        <f t="shared" ref="DH9:DH38" si="39">IF(DG9="","",(DG9*1000)/C9)</f>
        <v>4.2593075368421047</v>
      </c>
      <c r="DI9" s="62">
        <v>90</v>
      </c>
      <c r="DJ9" s="62">
        <v>54</v>
      </c>
      <c r="DK9" s="65" t="str">
        <f t="shared" ref="DK9:DK38" si="40">IF(J9="","",J9)</f>
        <v>ME</v>
      </c>
      <c r="DL9" s="56">
        <v>2</v>
      </c>
      <c r="DM9" s="63">
        <v>8.0399999999999991</v>
      </c>
      <c r="DN9" s="64">
        <v>3.5999999999999997E-2</v>
      </c>
      <c r="DO9" s="64">
        <v>3.2000000000000001E-2</v>
      </c>
      <c r="DP9" s="64">
        <v>7.0000000000000007E-2</v>
      </c>
      <c r="DQ9" s="63">
        <v>7.23</v>
      </c>
      <c r="DR9" s="61">
        <v>18.3</v>
      </c>
      <c r="DS9" s="64">
        <v>1.024</v>
      </c>
      <c r="DT9" s="61">
        <v>85.7</v>
      </c>
      <c r="DU9" s="63">
        <v>4.29</v>
      </c>
      <c r="DV9" s="64">
        <v>1.0029999999999999</v>
      </c>
      <c r="DW9" s="64">
        <v>1.52</v>
      </c>
      <c r="DX9" s="66" t="s">
        <v>242</v>
      </c>
      <c r="DY9" s="65" t="str">
        <f t="shared" ref="DY9:DY38" si="41">IF(J9="","",J9)</f>
        <v>ME</v>
      </c>
      <c r="DZ9" s="128">
        <v>2</v>
      </c>
      <c r="EA9" s="173">
        <f t="shared" ref="EA9:EA38" si="42">IF(C9="","",C9/1496)</f>
        <v>0.1143048128342246</v>
      </c>
      <c r="EB9" s="173">
        <f t="shared" ref="EB9:EB38" si="43">IF(F9="","",IF(Q9="",F9/1360,(F9+Q9)/1360))</f>
        <v>0.15955882352941175</v>
      </c>
      <c r="EC9" s="173">
        <f t="shared" ref="EC9:EC38" si="44">IF(I9="","",IF(C9="","",I9/C9))</f>
        <v>0.83040935672514615</v>
      </c>
      <c r="ED9" s="63">
        <v>1</v>
      </c>
      <c r="EE9" s="63">
        <v>1.24</v>
      </c>
      <c r="EF9" s="63">
        <v>0.05</v>
      </c>
      <c r="EG9" s="63">
        <v>7.0000000000000007E-2</v>
      </c>
      <c r="EH9" s="127" t="str">
        <f t="shared" si="5"/>
        <v>ME</v>
      </c>
      <c r="EI9" s="56">
        <v>2</v>
      </c>
      <c r="EJ9" s="334"/>
      <c r="EK9" s="334"/>
      <c r="EL9" s="334"/>
      <c r="EM9" s="334"/>
      <c r="EN9" s="334"/>
      <c r="EO9" s="334"/>
      <c r="EP9" s="334"/>
      <c r="EQ9" s="65" t="str">
        <f t="shared" ref="EQ9:EQ37" si="45">IF(J9="","",J9)</f>
        <v>ME</v>
      </c>
    </row>
    <row r="10" spans="1:147" s="3" customFormat="1" ht="17.149999999999999" customHeight="1" x14ac:dyDescent="0.2">
      <c r="A10" s="56">
        <v>3</v>
      </c>
      <c r="B10" s="57">
        <v>912672</v>
      </c>
      <c r="C10" s="58">
        <f t="shared" si="6"/>
        <v>148</v>
      </c>
      <c r="D10" s="167">
        <v>9.4700000000000006</v>
      </c>
      <c r="E10" s="57">
        <v>817488</v>
      </c>
      <c r="F10" s="58">
        <f t="shared" si="7"/>
        <v>177</v>
      </c>
      <c r="G10" s="168">
        <v>1.77</v>
      </c>
      <c r="H10" s="57">
        <v>770312</v>
      </c>
      <c r="I10" s="58">
        <f t="shared" si="0"/>
        <v>128</v>
      </c>
      <c r="J10" s="60" t="s">
        <v>194</v>
      </c>
      <c r="K10" s="56">
        <v>3</v>
      </c>
      <c r="L10" s="57">
        <v>71248</v>
      </c>
      <c r="M10" s="58" t="str">
        <f t="shared" si="8"/>
        <v/>
      </c>
      <c r="N10" s="57">
        <v>181841</v>
      </c>
      <c r="O10" s="58">
        <f t="shared" si="9"/>
        <v>26</v>
      </c>
      <c r="P10" s="57">
        <v>194749</v>
      </c>
      <c r="Q10" s="58" t="str">
        <f t="shared" si="1"/>
        <v/>
      </c>
      <c r="R10" s="57">
        <v>691</v>
      </c>
      <c r="S10" s="57">
        <v>698</v>
      </c>
      <c r="T10" s="170">
        <v>145</v>
      </c>
      <c r="U10" s="57">
        <v>142</v>
      </c>
      <c r="V10" s="58" t="str">
        <f t="shared" si="10"/>
        <v>ME</v>
      </c>
      <c r="W10" s="56">
        <v>3</v>
      </c>
      <c r="X10" s="63">
        <v>12065.91</v>
      </c>
      <c r="Y10" s="130">
        <f t="shared" si="11"/>
        <v>2.1599999999998545</v>
      </c>
      <c r="Z10" s="63">
        <v>12835.84</v>
      </c>
      <c r="AA10" s="130">
        <f t="shared" si="12"/>
        <v>2.069999999999709</v>
      </c>
      <c r="AB10" s="63">
        <v>10081.36</v>
      </c>
      <c r="AC10" s="130">
        <f t="shared" si="13"/>
        <v>1.6700000000000728</v>
      </c>
      <c r="AD10" s="63">
        <v>10234.790000000001</v>
      </c>
      <c r="AE10" s="130">
        <f t="shared" si="2"/>
        <v>1.7399999999997817</v>
      </c>
      <c r="AF10" s="125" t="str">
        <f t="shared" si="14"/>
        <v>ME</v>
      </c>
      <c r="AG10" s="56">
        <v>3</v>
      </c>
      <c r="AH10" s="63">
        <v>48366.32</v>
      </c>
      <c r="AI10" s="130">
        <f t="shared" si="15"/>
        <v>12.660000000003492</v>
      </c>
      <c r="AJ10" s="63">
        <v>50471.43</v>
      </c>
      <c r="AK10" s="130">
        <f t="shared" si="16"/>
        <v>11.970000000001164</v>
      </c>
      <c r="AL10" s="63">
        <v>592.32000000000005</v>
      </c>
      <c r="AM10" s="130" t="str">
        <f t="shared" si="17"/>
        <v/>
      </c>
      <c r="AN10" s="63">
        <v>553.45000000000005</v>
      </c>
      <c r="AO10" s="130" t="str">
        <f t="shared" si="3"/>
        <v/>
      </c>
      <c r="AP10" s="125" t="str">
        <f t="shared" si="18"/>
        <v>ME</v>
      </c>
      <c r="AQ10" s="56">
        <v>3</v>
      </c>
      <c r="AR10" s="63">
        <v>6973.84</v>
      </c>
      <c r="AS10" s="130">
        <f t="shared" si="19"/>
        <v>1.1399999999994179</v>
      </c>
      <c r="AT10" s="63">
        <v>7814</v>
      </c>
      <c r="AU10" s="130">
        <f t="shared" si="20"/>
        <v>2.2600000000002183</v>
      </c>
      <c r="AV10" s="63">
        <v>261.89999999999998</v>
      </c>
      <c r="AW10" s="130" t="str">
        <f t="shared" si="21"/>
        <v/>
      </c>
      <c r="AX10" s="63">
        <v>247.9</v>
      </c>
      <c r="AY10" s="130" t="str">
        <f t="shared" si="4"/>
        <v/>
      </c>
      <c r="AZ10" s="125" t="str">
        <f t="shared" si="22"/>
        <v>ME</v>
      </c>
      <c r="BA10" s="56">
        <v>3</v>
      </c>
      <c r="BB10" s="63">
        <v>1.5</v>
      </c>
      <c r="BC10" s="62">
        <v>59</v>
      </c>
      <c r="BD10" s="61">
        <v>6.8</v>
      </c>
      <c r="BE10" s="61">
        <v>14.7</v>
      </c>
      <c r="BF10" s="61">
        <v>15.6</v>
      </c>
      <c r="BG10" s="61">
        <v>6.8</v>
      </c>
      <c r="BH10" s="64">
        <v>0.16900000000000001</v>
      </c>
      <c r="BI10" s="64">
        <v>0.16300000000000001</v>
      </c>
      <c r="BJ10" s="64">
        <v>5.0999999999999997E-2</v>
      </c>
      <c r="BK10" s="64">
        <v>5.8000000000000003E-2</v>
      </c>
      <c r="BL10" s="64">
        <v>5.6000000000000001E-2</v>
      </c>
      <c r="BM10" s="64">
        <v>6.3E-2</v>
      </c>
      <c r="BN10" s="65" t="str">
        <f t="shared" si="23"/>
        <v>ME</v>
      </c>
      <c r="BO10" s="56">
        <v>3</v>
      </c>
      <c r="BP10" s="64">
        <v>9.4E-2</v>
      </c>
      <c r="BQ10" s="62">
        <v>0</v>
      </c>
      <c r="BR10" s="61">
        <v>7.3</v>
      </c>
      <c r="BS10" s="61">
        <v>18.2</v>
      </c>
      <c r="BT10" s="61">
        <v>18.5</v>
      </c>
      <c r="BU10" s="64">
        <v>2.9000000000000001E-2</v>
      </c>
      <c r="BV10" s="63">
        <v>1.1399999999999999</v>
      </c>
      <c r="BW10" s="63">
        <v>0.92</v>
      </c>
      <c r="BX10" s="66" t="s">
        <v>447</v>
      </c>
      <c r="BY10" s="172" t="s">
        <v>246</v>
      </c>
      <c r="BZ10" s="67" t="str">
        <f t="shared" si="24"/>
        <v>ME</v>
      </c>
      <c r="CA10" s="56">
        <v>3</v>
      </c>
      <c r="CB10" s="61">
        <v>86.1</v>
      </c>
      <c r="CC10" s="61"/>
      <c r="CD10" s="68">
        <f t="shared" si="25"/>
        <v>1.5</v>
      </c>
      <c r="CE10" s="69">
        <f t="shared" si="26"/>
        <v>6.9813975000000008</v>
      </c>
      <c r="CF10" s="69">
        <f t="shared" si="27"/>
        <v>6.5450601562500008</v>
      </c>
      <c r="CG10" s="62">
        <v>68</v>
      </c>
      <c r="CH10" s="62">
        <v>100</v>
      </c>
      <c r="CI10" s="65" t="str">
        <f t="shared" si="28"/>
        <v>ME</v>
      </c>
      <c r="CJ10" s="56">
        <v>3</v>
      </c>
      <c r="CK10" s="61">
        <v>91.4</v>
      </c>
      <c r="CL10" s="61"/>
      <c r="CM10" s="68">
        <f t="shared" si="29"/>
        <v>1.8000000000000114</v>
      </c>
      <c r="CN10" s="68">
        <f t="shared" si="30"/>
        <v>8.3776770000000536</v>
      </c>
      <c r="CO10" s="68">
        <f t="shared" si="31"/>
        <v>22.509346344932577</v>
      </c>
      <c r="CP10" s="62">
        <v>55</v>
      </c>
      <c r="CQ10" s="62">
        <v>83</v>
      </c>
      <c r="CR10" s="65" t="str">
        <f t="shared" si="32"/>
        <v>ME</v>
      </c>
      <c r="CS10" s="56">
        <v>3</v>
      </c>
      <c r="CT10" s="61">
        <v>98</v>
      </c>
      <c r="CU10" s="61"/>
      <c r="CV10" s="68">
        <f t="shared" si="33"/>
        <v>1.5</v>
      </c>
      <c r="CW10" s="68">
        <f t="shared" si="34"/>
        <v>9.9663599999999999</v>
      </c>
      <c r="CX10" s="69">
        <f t="shared" si="35"/>
        <v>6.7340270270270272E-2</v>
      </c>
      <c r="CY10" s="66" t="s">
        <v>325</v>
      </c>
      <c r="CZ10" s="66" t="s">
        <v>241</v>
      </c>
      <c r="DA10" s="66"/>
      <c r="DB10" s="65" t="str">
        <f t="shared" si="36"/>
        <v>ME</v>
      </c>
      <c r="DC10" s="56">
        <v>3</v>
      </c>
      <c r="DD10" s="61">
        <v>89.4</v>
      </c>
      <c r="DE10" s="61">
        <v>103.4</v>
      </c>
      <c r="DF10" s="68">
        <f t="shared" si="37"/>
        <v>13.900000000000006</v>
      </c>
      <c r="DG10" s="69">
        <f t="shared" si="38"/>
        <v>0.74992208032000029</v>
      </c>
      <c r="DH10" s="68">
        <f t="shared" si="39"/>
        <v>5.0670410832432449</v>
      </c>
      <c r="DI10" s="62">
        <v>96</v>
      </c>
      <c r="DJ10" s="62">
        <v>54</v>
      </c>
      <c r="DK10" s="65" t="str">
        <f t="shared" si="40"/>
        <v>ME</v>
      </c>
      <c r="DL10" s="56">
        <v>3</v>
      </c>
      <c r="DM10" s="63">
        <v>7.7</v>
      </c>
      <c r="DN10" s="64">
        <v>3.7999999999999999E-2</v>
      </c>
      <c r="DO10" s="64">
        <v>3.5000000000000003E-2</v>
      </c>
      <c r="DP10" s="64">
        <v>7.4999999999999997E-2</v>
      </c>
      <c r="DQ10" s="63">
        <v>7.21</v>
      </c>
      <c r="DR10" s="61">
        <v>18.2</v>
      </c>
      <c r="DS10" s="64">
        <v>1.115</v>
      </c>
      <c r="DT10" s="61">
        <v>86.3</v>
      </c>
      <c r="DU10" s="63">
        <v>4.21</v>
      </c>
      <c r="DV10" s="64">
        <v>0.7</v>
      </c>
      <c r="DW10" s="64">
        <v>1.06</v>
      </c>
      <c r="DX10" s="66" t="s">
        <v>247</v>
      </c>
      <c r="DY10" s="65" t="str">
        <f t="shared" si="41"/>
        <v>ME</v>
      </c>
      <c r="DZ10" s="128">
        <v>3</v>
      </c>
      <c r="EA10" s="173">
        <f t="shared" si="42"/>
        <v>9.8930481283422467E-2</v>
      </c>
      <c r="EB10" s="173">
        <f t="shared" si="43"/>
        <v>0.13014705882352942</v>
      </c>
      <c r="EC10" s="173">
        <f t="shared" si="44"/>
        <v>0.86486486486486491</v>
      </c>
      <c r="ED10" s="284">
        <v>0</v>
      </c>
      <c r="EE10" s="284">
        <v>5.63</v>
      </c>
      <c r="EF10" s="63">
        <v>0.04</v>
      </c>
      <c r="EG10" s="63">
        <v>7.0000000000000007E-2</v>
      </c>
      <c r="EH10" s="127" t="str">
        <f t="shared" si="5"/>
        <v>ME</v>
      </c>
      <c r="EI10" s="56">
        <v>3</v>
      </c>
      <c r="EJ10" s="334" t="s">
        <v>448</v>
      </c>
      <c r="EK10" s="334"/>
      <c r="EL10" s="334"/>
      <c r="EM10" s="334"/>
      <c r="EN10" s="334"/>
      <c r="EO10" s="334"/>
      <c r="EP10" s="334"/>
      <c r="EQ10" s="65" t="str">
        <f t="shared" si="45"/>
        <v>ME</v>
      </c>
    </row>
    <row r="11" spans="1:147" s="3" customFormat="1" ht="17.149999999999999" customHeight="1" x14ac:dyDescent="0.2">
      <c r="A11" s="56">
        <v>4</v>
      </c>
      <c r="B11" s="57">
        <v>912820</v>
      </c>
      <c r="C11" s="58" t="str">
        <f t="shared" si="6"/>
        <v/>
      </c>
      <c r="D11" s="167">
        <v>9.58</v>
      </c>
      <c r="E11" s="57">
        <v>817665</v>
      </c>
      <c r="F11" s="58" t="str">
        <f t="shared" si="7"/>
        <v/>
      </c>
      <c r="G11" s="168">
        <v>2.06</v>
      </c>
      <c r="H11" s="57">
        <v>770440</v>
      </c>
      <c r="I11" s="58" t="str">
        <f t="shared" si="0"/>
        <v/>
      </c>
      <c r="J11" s="60" t="s">
        <v>194</v>
      </c>
      <c r="K11" s="56">
        <v>4</v>
      </c>
      <c r="L11" s="57">
        <v>71248</v>
      </c>
      <c r="M11" s="58" t="str">
        <f t="shared" si="8"/>
        <v/>
      </c>
      <c r="N11" s="57">
        <v>181867</v>
      </c>
      <c r="O11" s="58" t="str">
        <f t="shared" si="9"/>
        <v/>
      </c>
      <c r="P11" s="57">
        <v>194749</v>
      </c>
      <c r="Q11" s="169" t="str">
        <f t="shared" si="1"/>
        <v/>
      </c>
      <c r="R11" s="57">
        <v>691</v>
      </c>
      <c r="S11" s="57">
        <v>698</v>
      </c>
      <c r="T11" s="57">
        <v>145</v>
      </c>
      <c r="U11" s="57">
        <v>142</v>
      </c>
      <c r="V11" s="58" t="str">
        <f t="shared" si="10"/>
        <v>ME</v>
      </c>
      <c r="W11" s="56">
        <v>4</v>
      </c>
      <c r="X11" s="63">
        <v>12068.07</v>
      </c>
      <c r="Y11" s="130" t="str">
        <f t="shared" si="11"/>
        <v/>
      </c>
      <c r="Z11" s="63">
        <v>12837.91</v>
      </c>
      <c r="AA11" s="130" t="str">
        <f t="shared" si="12"/>
        <v/>
      </c>
      <c r="AB11" s="63">
        <v>10083.030000000001</v>
      </c>
      <c r="AC11" s="130" t="str">
        <f t="shared" si="13"/>
        <v/>
      </c>
      <c r="AD11" s="63">
        <v>10236.530000000001</v>
      </c>
      <c r="AE11" s="130" t="str">
        <f t="shared" si="2"/>
        <v/>
      </c>
      <c r="AF11" s="125" t="str">
        <f t="shared" si="14"/>
        <v>ME</v>
      </c>
      <c r="AG11" s="56">
        <v>4</v>
      </c>
      <c r="AH11" s="63">
        <v>48378.98</v>
      </c>
      <c r="AI11" s="130" t="str">
        <f t="shared" si="15"/>
        <v/>
      </c>
      <c r="AJ11" s="63">
        <v>50483.4</v>
      </c>
      <c r="AK11" s="130" t="str">
        <f t="shared" si="16"/>
        <v/>
      </c>
      <c r="AL11" s="63">
        <v>592.32000000000005</v>
      </c>
      <c r="AM11" s="130" t="str">
        <f t="shared" si="17"/>
        <v/>
      </c>
      <c r="AN11" s="63">
        <v>553.45000000000005</v>
      </c>
      <c r="AO11" s="130" t="str">
        <f t="shared" si="3"/>
        <v/>
      </c>
      <c r="AP11" s="125" t="str">
        <f t="shared" si="18"/>
        <v>ME</v>
      </c>
      <c r="AQ11" s="56">
        <v>4</v>
      </c>
      <c r="AR11" s="63">
        <v>6974.98</v>
      </c>
      <c r="AS11" s="130" t="str">
        <f t="shared" si="19"/>
        <v/>
      </c>
      <c r="AT11" s="63">
        <v>7816.26</v>
      </c>
      <c r="AU11" s="130" t="str">
        <f t="shared" si="20"/>
        <v/>
      </c>
      <c r="AV11" s="63">
        <v>261.89999999999998</v>
      </c>
      <c r="AW11" s="130" t="str">
        <f t="shared" si="21"/>
        <v/>
      </c>
      <c r="AX11" s="63">
        <v>247.9</v>
      </c>
      <c r="AY11" s="130" t="str">
        <f t="shared" si="4"/>
        <v/>
      </c>
      <c r="AZ11" s="125" t="str">
        <f t="shared" si="22"/>
        <v>ME</v>
      </c>
      <c r="BA11" s="56">
        <v>4</v>
      </c>
      <c r="BB11" s="63"/>
      <c r="BC11" s="62"/>
      <c r="BD11" s="61"/>
      <c r="BE11" s="61"/>
      <c r="BF11" s="61"/>
      <c r="BG11" s="61"/>
      <c r="BH11" s="64"/>
      <c r="BI11" s="64"/>
      <c r="BJ11" s="64"/>
      <c r="BK11" s="64"/>
      <c r="BL11" s="64"/>
      <c r="BM11" s="64"/>
      <c r="BN11" s="65" t="str">
        <f t="shared" si="23"/>
        <v>ME</v>
      </c>
      <c r="BO11" s="56">
        <v>4</v>
      </c>
      <c r="BP11" s="64">
        <v>0.1</v>
      </c>
      <c r="BQ11" s="62">
        <v>0</v>
      </c>
      <c r="BR11" s="61">
        <v>7.1</v>
      </c>
      <c r="BS11" s="61">
        <v>18.100000000000001</v>
      </c>
      <c r="BT11" s="61">
        <v>18.100000000000001</v>
      </c>
      <c r="BU11" s="64">
        <v>2.1999999999999999E-2</v>
      </c>
      <c r="BV11" s="63">
        <v>1.1399999999999999</v>
      </c>
      <c r="BW11" s="63">
        <v>0.9</v>
      </c>
      <c r="BX11" s="66" t="s">
        <v>253</v>
      </c>
      <c r="BY11" s="172" t="s">
        <v>246</v>
      </c>
      <c r="BZ11" s="67" t="str">
        <f t="shared" si="24"/>
        <v>ME</v>
      </c>
      <c r="CA11" s="56">
        <v>4</v>
      </c>
      <c r="CB11" s="61">
        <v>84.6</v>
      </c>
      <c r="CC11" s="61">
        <v>97.6</v>
      </c>
      <c r="CD11" s="68" t="str">
        <f t="shared" si="25"/>
        <v/>
      </c>
      <c r="CE11" s="69" t="str">
        <f t="shared" si="26"/>
        <v/>
      </c>
      <c r="CF11" s="69" t="str">
        <f t="shared" si="27"/>
        <v/>
      </c>
      <c r="CG11" s="62">
        <v>68</v>
      </c>
      <c r="CH11" s="62">
        <v>100</v>
      </c>
      <c r="CI11" s="65" t="str">
        <f t="shared" si="28"/>
        <v>ME</v>
      </c>
      <c r="CJ11" s="56">
        <v>4</v>
      </c>
      <c r="CK11" s="61">
        <v>89.6</v>
      </c>
      <c r="CL11" s="61"/>
      <c r="CM11" s="68" t="str">
        <f t="shared" si="29"/>
        <v/>
      </c>
      <c r="CN11" s="68" t="str">
        <f t="shared" si="30"/>
        <v/>
      </c>
      <c r="CO11" s="68" t="str">
        <f t="shared" si="31"/>
        <v/>
      </c>
      <c r="CP11" s="62">
        <v>52</v>
      </c>
      <c r="CQ11" s="62">
        <v>83</v>
      </c>
      <c r="CR11" s="65" t="str">
        <f t="shared" si="32"/>
        <v>ME</v>
      </c>
      <c r="CS11" s="56">
        <v>4</v>
      </c>
      <c r="CT11" s="61">
        <v>96.5</v>
      </c>
      <c r="CU11" s="61"/>
      <c r="CV11" s="68" t="str">
        <f t="shared" si="33"/>
        <v/>
      </c>
      <c r="CW11" s="68" t="str">
        <f t="shared" si="34"/>
        <v/>
      </c>
      <c r="CX11" s="69" t="str">
        <f t="shared" si="35"/>
        <v/>
      </c>
      <c r="CY11" s="66" t="s">
        <v>251</v>
      </c>
      <c r="CZ11" s="66" t="s">
        <v>241</v>
      </c>
      <c r="DA11" s="66"/>
      <c r="DB11" s="65" t="str">
        <f t="shared" si="36"/>
        <v>ME</v>
      </c>
      <c r="DC11" s="56">
        <v>4</v>
      </c>
      <c r="DD11" s="61">
        <v>89.5</v>
      </c>
      <c r="DE11" s="61">
        <v>104</v>
      </c>
      <c r="DF11" s="68" t="str">
        <f t="shared" si="37"/>
        <v/>
      </c>
      <c r="DG11" s="69" t="str">
        <f t="shared" si="38"/>
        <v/>
      </c>
      <c r="DH11" s="68" t="str">
        <f t="shared" si="39"/>
        <v/>
      </c>
      <c r="DI11" s="62">
        <v>90</v>
      </c>
      <c r="DJ11" s="62">
        <v>54</v>
      </c>
      <c r="DK11" s="65" t="str">
        <f t="shared" si="40"/>
        <v>ME</v>
      </c>
      <c r="DL11" s="56">
        <v>4</v>
      </c>
      <c r="DM11" s="63">
        <v>7.9</v>
      </c>
      <c r="DN11" s="64">
        <v>3.4000000000000002E-2</v>
      </c>
      <c r="DO11" s="64">
        <v>3.1E-2</v>
      </c>
      <c r="DP11" s="64">
        <v>7.2999999999999995E-2</v>
      </c>
      <c r="DQ11" s="63">
        <v>7.22</v>
      </c>
      <c r="DR11" s="61">
        <v>18.100000000000001</v>
      </c>
      <c r="DS11" s="64">
        <v>1.1439999999999999</v>
      </c>
      <c r="DT11" s="61">
        <v>85.6</v>
      </c>
      <c r="DU11" s="63">
        <v>4.21</v>
      </c>
      <c r="DV11" s="64">
        <v>0.69199999999999995</v>
      </c>
      <c r="DW11" s="64">
        <v>1.66</v>
      </c>
      <c r="DX11" s="66" t="s">
        <v>247</v>
      </c>
      <c r="DY11" s="65" t="str">
        <f t="shared" si="41"/>
        <v>ME</v>
      </c>
      <c r="DZ11" s="128">
        <v>4</v>
      </c>
      <c r="EA11" s="173" t="str">
        <f t="shared" si="42"/>
        <v/>
      </c>
      <c r="EB11" s="173" t="str">
        <f t="shared" si="43"/>
        <v/>
      </c>
      <c r="EC11" s="173" t="str">
        <f t="shared" si="44"/>
        <v/>
      </c>
      <c r="ED11" s="63"/>
      <c r="EE11" s="63"/>
      <c r="EF11" s="63"/>
      <c r="EG11" s="63"/>
      <c r="EH11" s="127" t="str">
        <f t="shared" si="5"/>
        <v>ME</v>
      </c>
      <c r="EI11" s="56">
        <v>4</v>
      </c>
      <c r="EJ11" s="334"/>
      <c r="EK11" s="334"/>
      <c r="EL11" s="334"/>
      <c r="EM11" s="334"/>
      <c r="EN11" s="334"/>
      <c r="EO11" s="334"/>
      <c r="EP11" s="334"/>
      <c r="EQ11" s="65" t="str">
        <f t="shared" si="45"/>
        <v>ME</v>
      </c>
    </row>
    <row r="12" spans="1:147" s="3" customFormat="1" ht="17.149999999999999" customHeight="1" x14ac:dyDescent="0.2">
      <c r="A12" s="56">
        <v>5</v>
      </c>
      <c r="B12" s="57"/>
      <c r="C12" s="58" t="str">
        <f t="shared" si="6"/>
        <v/>
      </c>
      <c r="D12" s="167"/>
      <c r="E12" s="57"/>
      <c r="F12" s="58" t="str">
        <f t="shared" si="7"/>
        <v/>
      </c>
      <c r="G12" s="168"/>
      <c r="H12" s="57"/>
      <c r="I12" s="58" t="str">
        <f t="shared" si="0"/>
        <v/>
      </c>
      <c r="J12" s="60"/>
      <c r="K12" s="56">
        <v>5</v>
      </c>
      <c r="L12" s="57"/>
      <c r="M12" s="58" t="str">
        <f t="shared" si="8"/>
        <v/>
      </c>
      <c r="N12" s="57"/>
      <c r="O12" s="58" t="str">
        <f t="shared" si="9"/>
        <v/>
      </c>
      <c r="P12" s="57"/>
      <c r="Q12" s="169" t="str">
        <f t="shared" si="1"/>
        <v/>
      </c>
      <c r="R12" s="57"/>
      <c r="S12" s="57"/>
      <c r="T12" s="57"/>
      <c r="U12" s="57"/>
      <c r="V12" s="58" t="str">
        <f t="shared" si="10"/>
        <v/>
      </c>
      <c r="W12" s="56">
        <v>5</v>
      </c>
      <c r="X12" s="63"/>
      <c r="Y12" s="130" t="str">
        <f t="shared" si="11"/>
        <v/>
      </c>
      <c r="Z12" s="63"/>
      <c r="AA12" s="130" t="str">
        <f t="shared" si="12"/>
        <v/>
      </c>
      <c r="AB12" s="63"/>
      <c r="AC12" s="130" t="str">
        <f t="shared" si="13"/>
        <v/>
      </c>
      <c r="AD12" s="63"/>
      <c r="AE12" s="130" t="str">
        <f t="shared" si="2"/>
        <v/>
      </c>
      <c r="AF12" s="125" t="str">
        <f t="shared" si="14"/>
        <v/>
      </c>
      <c r="AG12" s="56">
        <v>5</v>
      </c>
      <c r="AH12" s="63"/>
      <c r="AI12" s="130" t="str">
        <f t="shared" si="15"/>
        <v/>
      </c>
      <c r="AJ12" s="63"/>
      <c r="AK12" s="130" t="str">
        <f t="shared" si="16"/>
        <v/>
      </c>
      <c r="AL12" s="63"/>
      <c r="AM12" s="130" t="str">
        <f t="shared" si="17"/>
        <v/>
      </c>
      <c r="AN12" s="63"/>
      <c r="AO12" s="130" t="str">
        <f t="shared" si="3"/>
        <v/>
      </c>
      <c r="AP12" s="125" t="str">
        <f t="shared" si="18"/>
        <v/>
      </c>
      <c r="AQ12" s="56">
        <v>5</v>
      </c>
      <c r="AR12" s="63"/>
      <c r="AS12" s="130" t="str">
        <f t="shared" si="19"/>
        <v/>
      </c>
      <c r="AT12" s="63"/>
      <c r="AU12" s="130" t="str">
        <f t="shared" si="20"/>
        <v/>
      </c>
      <c r="AV12" s="63"/>
      <c r="AW12" s="130" t="str">
        <f t="shared" si="21"/>
        <v/>
      </c>
      <c r="AX12" s="63"/>
      <c r="AY12" s="130" t="str">
        <f t="shared" si="4"/>
        <v/>
      </c>
      <c r="AZ12" s="125" t="str">
        <f t="shared" si="22"/>
        <v/>
      </c>
      <c r="BA12" s="56">
        <v>5</v>
      </c>
      <c r="BB12" s="63"/>
      <c r="BC12" s="62"/>
      <c r="BD12" s="61"/>
      <c r="BE12" s="61"/>
      <c r="BF12" s="61"/>
      <c r="BG12" s="61"/>
      <c r="BH12" s="64"/>
      <c r="BI12" s="64"/>
      <c r="BJ12" s="64"/>
      <c r="BK12" s="64"/>
      <c r="BL12" s="64"/>
      <c r="BM12" s="64"/>
      <c r="BN12" s="65" t="str">
        <f t="shared" si="23"/>
        <v/>
      </c>
      <c r="BO12" s="56">
        <v>5</v>
      </c>
      <c r="BP12" s="64"/>
      <c r="BQ12" s="62"/>
      <c r="BR12" s="61"/>
      <c r="BS12" s="61"/>
      <c r="BT12" s="61"/>
      <c r="BU12" s="64"/>
      <c r="BV12" s="63"/>
      <c r="BW12" s="63"/>
      <c r="BX12" s="66"/>
      <c r="BY12" s="172"/>
      <c r="BZ12" s="67" t="str">
        <f t="shared" si="24"/>
        <v/>
      </c>
      <c r="CA12" s="56">
        <v>5</v>
      </c>
      <c r="CB12" s="61"/>
      <c r="CC12" s="61"/>
      <c r="CD12" s="68" t="str">
        <f t="shared" si="25"/>
        <v/>
      </c>
      <c r="CE12" s="69" t="str">
        <f t="shared" si="26"/>
        <v/>
      </c>
      <c r="CF12" s="69" t="str">
        <f t="shared" si="27"/>
        <v/>
      </c>
      <c r="CG12" s="62"/>
      <c r="CH12" s="62"/>
      <c r="CI12" s="65" t="str">
        <f t="shared" si="28"/>
        <v/>
      </c>
      <c r="CJ12" s="56">
        <v>5</v>
      </c>
      <c r="CK12" s="61"/>
      <c r="CL12" s="61"/>
      <c r="CM12" s="68" t="str">
        <f t="shared" si="29"/>
        <v/>
      </c>
      <c r="CN12" s="68" t="str">
        <f t="shared" si="30"/>
        <v/>
      </c>
      <c r="CO12" s="68" t="str">
        <f t="shared" si="31"/>
        <v/>
      </c>
      <c r="CP12" s="62"/>
      <c r="CQ12" s="62"/>
      <c r="CR12" s="65" t="str">
        <f t="shared" si="32"/>
        <v/>
      </c>
      <c r="CS12" s="56">
        <v>5</v>
      </c>
      <c r="CT12" s="61"/>
      <c r="CU12" s="61"/>
      <c r="CV12" s="68" t="str">
        <f t="shared" si="33"/>
        <v/>
      </c>
      <c r="CW12" s="68" t="str">
        <f t="shared" si="34"/>
        <v/>
      </c>
      <c r="CX12" s="69" t="str">
        <f t="shared" si="35"/>
        <v/>
      </c>
      <c r="CY12" s="66"/>
      <c r="CZ12" s="66"/>
      <c r="DA12" s="66"/>
      <c r="DB12" s="65" t="str">
        <f t="shared" si="36"/>
        <v/>
      </c>
      <c r="DC12" s="56">
        <v>5</v>
      </c>
      <c r="DD12" s="61"/>
      <c r="DE12" s="61"/>
      <c r="DF12" s="68" t="str">
        <f t="shared" si="37"/>
        <v/>
      </c>
      <c r="DG12" s="69" t="str">
        <f t="shared" si="38"/>
        <v/>
      </c>
      <c r="DH12" s="68" t="str">
        <f t="shared" si="39"/>
        <v/>
      </c>
      <c r="DI12" s="62"/>
      <c r="DJ12" s="62"/>
      <c r="DK12" s="65" t="str">
        <f t="shared" si="40"/>
        <v/>
      </c>
      <c r="DL12" s="56">
        <v>5</v>
      </c>
      <c r="DM12" s="63"/>
      <c r="DN12" s="64"/>
      <c r="DO12" s="64"/>
      <c r="DP12" s="64"/>
      <c r="DQ12" s="63"/>
      <c r="DR12" s="61"/>
      <c r="DS12" s="64"/>
      <c r="DT12" s="61"/>
      <c r="DU12" s="63"/>
      <c r="DV12" s="64"/>
      <c r="DW12" s="64"/>
      <c r="DX12" s="66"/>
      <c r="DY12" s="65" t="str">
        <f t="shared" si="41"/>
        <v/>
      </c>
      <c r="DZ12" s="128">
        <v>5</v>
      </c>
      <c r="EA12" s="173" t="str">
        <f t="shared" si="42"/>
        <v/>
      </c>
      <c r="EB12" s="173" t="str">
        <f t="shared" si="43"/>
        <v/>
      </c>
      <c r="EC12" s="173" t="str">
        <f t="shared" si="44"/>
        <v/>
      </c>
      <c r="ED12" s="63"/>
      <c r="EE12" s="63"/>
      <c r="EF12" s="63"/>
      <c r="EG12" s="63"/>
      <c r="EH12" s="127" t="str">
        <f t="shared" si="5"/>
        <v/>
      </c>
      <c r="EI12" s="56">
        <v>5</v>
      </c>
      <c r="EJ12" s="334"/>
      <c r="EK12" s="334"/>
      <c r="EL12" s="334"/>
      <c r="EM12" s="334"/>
      <c r="EN12" s="334"/>
      <c r="EO12" s="334"/>
      <c r="EP12" s="334"/>
      <c r="EQ12" s="65" t="str">
        <f t="shared" si="45"/>
        <v/>
      </c>
    </row>
    <row r="13" spans="1:147" s="3" customFormat="1" ht="17.149999999999999" customHeight="1" x14ac:dyDescent="0.2">
      <c r="A13" s="56">
        <v>6</v>
      </c>
      <c r="B13" s="57"/>
      <c r="C13" s="58" t="str">
        <f t="shared" si="6"/>
        <v/>
      </c>
      <c r="D13" s="167"/>
      <c r="E13" s="57"/>
      <c r="F13" s="58" t="str">
        <f t="shared" si="7"/>
        <v/>
      </c>
      <c r="G13" s="168"/>
      <c r="H13" s="57"/>
      <c r="I13" s="58" t="str">
        <f t="shared" si="0"/>
        <v/>
      </c>
      <c r="J13" s="60"/>
      <c r="K13" s="56">
        <v>6</v>
      </c>
      <c r="L13" s="57"/>
      <c r="M13" s="58" t="str">
        <f t="shared" si="8"/>
        <v/>
      </c>
      <c r="N13" s="57"/>
      <c r="O13" s="58" t="str">
        <f t="shared" si="9"/>
        <v/>
      </c>
      <c r="P13" s="57"/>
      <c r="Q13" s="169" t="str">
        <f t="shared" si="1"/>
        <v/>
      </c>
      <c r="R13" s="57"/>
      <c r="S13" s="57"/>
      <c r="T13" s="57"/>
      <c r="U13" s="57"/>
      <c r="V13" s="58" t="str">
        <f t="shared" si="10"/>
        <v/>
      </c>
      <c r="W13" s="56">
        <v>6</v>
      </c>
      <c r="X13" s="63"/>
      <c r="Y13" s="130" t="str">
        <f t="shared" si="11"/>
        <v/>
      </c>
      <c r="Z13" s="63"/>
      <c r="AA13" s="130" t="str">
        <f t="shared" si="12"/>
        <v/>
      </c>
      <c r="AB13" s="63"/>
      <c r="AC13" s="130" t="str">
        <f t="shared" si="13"/>
        <v/>
      </c>
      <c r="AD13" s="63"/>
      <c r="AE13" s="130" t="str">
        <f t="shared" si="2"/>
        <v/>
      </c>
      <c r="AF13" s="125" t="str">
        <f t="shared" si="14"/>
        <v/>
      </c>
      <c r="AG13" s="56">
        <v>6</v>
      </c>
      <c r="AH13" s="63"/>
      <c r="AI13" s="130" t="str">
        <f t="shared" si="15"/>
        <v/>
      </c>
      <c r="AJ13" s="63"/>
      <c r="AK13" s="130" t="str">
        <f t="shared" si="16"/>
        <v/>
      </c>
      <c r="AL13" s="63"/>
      <c r="AM13" s="130" t="str">
        <f t="shared" si="17"/>
        <v/>
      </c>
      <c r="AN13" s="63"/>
      <c r="AO13" s="130" t="str">
        <f t="shared" si="3"/>
        <v/>
      </c>
      <c r="AP13" s="125" t="str">
        <f t="shared" si="18"/>
        <v/>
      </c>
      <c r="AQ13" s="56">
        <v>6</v>
      </c>
      <c r="AR13" s="63"/>
      <c r="AS13" s="130" t="str">
        <f t="shared" si="19"/>
        <v/>
      </c>
      <c r="AT13" s="63"/>
      <c r="AU13" s="130" t="str">
        <f t="shared" si="20"/>
        <v/>
      </c>
      <c r="AV13" s="63"/>
      <c r="AW13" s="130" t="str">
        <f t="shared" si="21"/>
        <v/>
      </c>
      <c r="AX13" s="63"/>
      <c r="AY13" s="130" t="str">
        <f t="shared" si="4"/>
        <v/>
      </c>
      <c r="AZ13" s="125" t="str">
        <f t="shared" si="22"/>
        <v/>
      </c>
      <c r="BA13" s="56">
        <v>6</v>
      </c>
      <c r="BB13" s="63"/>
      <c r="BC13" s="62"/>
      <c r="BD13" s="61"/>
      <c r="BE13" s="61"/>
      <c r="BF13" s="61"/>
      <c r="BG13" s="61"/>
      <c r="BH13" s="64"/>
      <c r="BI13" s="64"/>
      <c r="BJ13" s="64"/>
      <c r="BK13" s="64"/>
      <c r="BL13" s="64"/>
      <c r="BM13" s="64"/>
      <c r="BN13" s="65" t="str">
        <f t="shared" si="23"/>
        <v/>
      </c>
      <c r="BO13" s="56">
        <v>6</v>
      </c>
      <c r="BP13" s="64"/>
      <c r="BQ13" s="62"/>
      <c r="BR13" s="61"/>
      <c r="BS13" s="61"/>
      <c r="BT13" s="61"/>
      <c r="BU13" s="64"/>
      <c r="BV13" s="63"/>
      <c r="BW13" s="63"/>
      <c r="BX13" s="66"/>
      <c r="BY13" s="172"/>
      <c r="BZ13" s="67" t="str">
        <f t="shared" si="24"/>
        <v/>
      </c>
      <c r="CA13" s="56">
        <v>6</v>
      </c>
      <c r="CB13" s="61"/>
      <c r="CC13" s="61"/>
      <c r="CD13" s="68" t="str">
        <f t="shared" si="25"/>
        <v/>
      </c>
      <c r="CE13" s="69" t="str">
        <f t="shared" si="26"/>
        <v/>
      </c>
      <c r="CF13" s="69" t="str">
        <f t="shared" si="27"/>
        <v/>
      </c>
      <c r="CG13" s="62"/>
      <c r="CH13" s="62"/>
      <c r="CI13" s="65" t="str">
        <f t="shared" si="28"/>
        <v/>
      </c>
      <c r="CJ13" s="56">
        <v>6</v>
      </c>
      <c r="CK13" s="61"/>
      <c r="CL13" s="61"/>
      <c r="CM13" s="68" t="str">
        <f t="shared" si="29"/>
        <v/>
      </c>
      <c r="CN13" s="68" t="str">
        <f t="shared" si="30"/>
        <v/>
      </c>
      <c r="CO13" s="68" t="str">
        <f t="shared" si="31"/>
        <v/>
      </c>
      <c r="CP13" s="62"/>
      <c r="CQ13" s="62"/>
      <c r="CR13" s="65" t="str">
        <f t="shared" si="32"/>
        <v/>
      </c>
      <c r="CS13" s="56">
        <v>6</v>
      </c>
      <c r="CT13" s="61"/>
      <c r="CU13" s="61"/>
      <c r="CV13" s="68" t="str">
        <f t="shared" si="33"/>
        <v/>
      </c>
      <c r="CW13" s="68" t="str">
        <f t="shared" si="34"/>
        <v/>
      </c>
      <c r="CX13" s="69" t="str">
        <f t="shared" si="35"/>
        <v/>
      </c>
      <c r="CY13" s="66"/>
      <c r="CZ13" s="66"/>
      <c r="DA13" s="66"/>
      <c r="DB13" s="65" t="str">
        <f t="shared" si="36"/>
        <v/>
      </c>
      <c r="DC13" s="56">
        <v>6</v>
      </c>
      <c r="DD13" s="61"/>
      <c r="DE13" s="61"/>
      <c r="DF13" s="68" t="str">
        <f t="shared" si="37"/>
        <v/>
      </c>
      <c r="DG13" s="69" t="str">
        <f t="shared" si="38"/>
        <v/>
      </c>
      <c r="DH13" s="68" t="str">
        <f t="shared" si="39"/>
        <v/>
      </c>
      <c r="DI13" s="62"/>
      <c r="DJ13" s="62"/>
      <c r="DK13" s="65" t="str">
        <f t="shared" si="40"/>
        <v/>
      </c>
      <c r="DL13" s="56">
        <v>6</v>
      </c>
      <c r="DM13" s="63"/>
      <c r="DN13" s="64"/>
      <c r="DO13" s="64"/>
      <c r="DP13" s="64"/>
      <c r="DQ13" s="63"/>
      <c r="DR13" s="61"/>
      <c r="DS13" s="64"/>
      <c r="DT13" s="61"/>
      <c r="DU13" s="63"/>
      <c r="DV13" s="64"/>
      <c r="DW13" s="64"/>
      <c r="DX13" s="66"/>
      <c r="DY13" s="65" t="str">
        <f t="shared" si="41"/>
        <v/>
      </c>
      <c r="DZ13" s="128">
        <v>6</v>
      </c>
      <c r="EA13" s="173" t="str">
        <f t="shared" si="42"/>
        <v/>
      </c>
      <c r="EB13" s="173" t="str">
        <f t="shared" si="43"/>
        <v/>
      </c>
      <c r="EC13" s="173" t="str">
        <f t="shared" si="44"/>
        <v/>
      </c>
      <c r="ED13" s="63"/>
      <c r="EE13" s="63"/>
      <c r="EF13" s="63"/>
      <c r="EG13" s="63"/>
      <c r="EH13" s="127" t="str">
        <f t="shared" si="5"/>
        <v/>
      </c>
      <c r="EI13" s="56">
        <v>6</v>
      </c>
      <c r="EJ13" s="334"/>
      <c r="EK13" s="334"/>
      <c r="EL13" s="334"/>
      <c r="EM13" s="334"/>
      <c r="EN13" s="334"/>
      <c r="EO13" s="334"/>
      <c r="EP13" s="334"/>
      <c r="EQ13" s="65" t="str">
        <f t="shared" si="45"/>
        <v/>
      </c>
    </row>
    <row r="14" spans="1:147" s="3" customFormat="1" ht="17.149999999999999" customHeight="1" x14ac:dyDescent="0.2">
      <c r="A14" s="56">
        <v>7</v>
      </c>
      <c r="B14" s="57"/>
      <c r="C14" s="58" t="str">
        <f t="shared" si="6"/>
        <v/>
      </c>
      <c r="D14" s="167"/>
      <c r="E14" s="57"/>
      <c r="F14" s="58" t="str">
        <f t="shared" si="7"/>
        <v/>
      </c>
      <c r="G14" s="168"/>
      <c r="H14" s="57"/>
      <c r="I14" s="58" t="str">
        <f t="shared" si="0"/>
        <v/>
      </c>
      <c r="J14" s="60"/>
      <c r="K14" s="56">
        <v>7</v>
      </c>
      <c r="L14" s="57"/>
      <c r="M14" s="58" t="str">
        <f t="shared" si="8"/>
        <v/>
      </c>
      <c r="N14" s="57"/>
      <c r="O14" s="58" t="str">
        <f t="shared" si="9"/>
        <v/>
      </c>
      <c r="P14" s="57"/>
      <c r="Q14" s="169" t="str">
        <f t="shared" si="1"/>
        <v/>
      </c>
      <c r="R14" s="57"/>
      <c r="S14" s="57"/>
      <c r="T14" s="57"/>
      <c r="U14" s="57"/>
      <c r="V14" s="58" t="str">
        <f t="shared" si="10"/>
        <v/>
      </c>
      <c r="W14" s="56">
        <v>7</v>
      </c>
      <c r="X14" s="63"/>
      <c r="Y14" s="130" t="str">
        <f t="shared" si="11"/>
        <v/>
      </c>
      <c r="Z14" s="63"/>
      <c r="AA14" s="130" t="str">
        <f t="shared" si="12"/>
        <v/>
      </c>
      <c r="AB14" s="63"/>
      <c r="AC14" s="130" t="str">
        <f t="shared" si="13"/>
        <v/>
      </c>
      <c r="AD14" s="63"/>
      <c r="AE14" s="130" t="str">
        <f t="shared" si="2"/>
        <v/>
      </c>
      <c r="AF14" s="125" t="str">
        <f t="shared" si="14"/>
        <v/>
      </c>
      <c r="AG14" s="56">
        <v>7</v>
      </c>
      <c r="AH14" s="63"/>
      <c r="AI14" s="130" t="str">
        <f t="shared" si="15"/>
        <v/>
      </c>
      <c r="AJ14" s="63"/>
      <c r="AK14" s="130" t="str">
        <f t="shared" si="16"/>
        <v/>
      </c>
      <c r="AL14" s="63"/>
      <c r="AM14" s="130" t="str">
        <f t="shared" si="17"/>
        <v/>
      </c>
      <c r="AN14" s="63"/>
      <c r="AO14" s="130" t="str">
        <f t="shared" si="3"/>
        <v/>
      </c>
      <c r="AP14" s="125" t="str">
        <f t="shared" si="18"/>
        <v/>
      </c>
      <c r="AQ14" s="56">
        <v>7</v>
      </c>
      <c r="AR14" s="63"/>
      <c r="AS14" s="130" t="str">
        <f t="shared" si="19"/>
        <v/>
      </c>
      <c r="AT14" s="63"/>
      <c r="AU14" s="130" t="str">
        <f t="shared" si="20"/>
        <v/>
      </c>
      <c r="AV14" s="63"/>
      <c r="AW14" s="130" t="str">
        <f t="shared" si="21"/>
        <v/>
      </c>
      <c r="AX14" s="63"/>
      <c r="AY14" s="130" t="str">
        <f t="shared" si="4"/>
        <v/>
      </c>
      <c r="AZ14" s="125" t="str">
        <f t="shared" si="22"/>
        <v/>
      </c>
      <c r="BA14" s="56">
        <v>7</v>
      </c>
      <c r="BB14" s="63"/>
      <c r="BC14" s="62"/>
      <c r="BD14" s="61"/>
      <c r="BE14" s="61"/>
      <c r="BF14" s="61"/>
      <c r="BG14" s="61"/>
      <c r="BH14" s="64"/>
      <c r="BI14" s="64"/>
      <c r="BJ14" s="64"/>
      <c r="BK14" s="64"/>
      <c r="BL14" s="64"/>
      <c r="BM14" s="64"/>
      <c r="BN14" s="65" t="str">
        <f t="shared" si="23"/>
        <v/>
      </c>
      <c r="BO14" s="56">
        <v>7</v>
      </c>
      <c r="BP14" s="64"/>
      <c r="BQ14" s="62"/>
      <c r="BR14" s="61"/>
      <c r="BS14" s="61"/>
      <c r="BT14" s="61"/>
      <c r="BU14" s="64"/>
      <c r="BV14" s="63"/>
      <c r="BW14" s="63"/>
      <c r="BX14" s="66"/>
      <c r="BY14" s="172"/>
      <c r="BZ14" s="67" t="str">
        <f t="shared" si="24"/>
        <v/>
      </c>
      <c r="CA14" s="56">
        <v>7</v>
      </c>
      <c r="CB14" s="61"/>
      <c r="CC14" s="61"/>
      <c r="CD14" s="68" t="str">
        <f t="shared" si="25"/>
        <v/>
      </c>
      <c r="CE14" s="69" t="str">
        <f t="shared" si="26"/>
        <v/>
      </c>
      <c r="CF14" s="69" t="str">
        <f t="shared" si="27"/>
        <v/>
      </c>
      <c r="CG14" s="62"/>
      <c r="CH14" s="62"/>
      <c r="CI14" s="65" t="str">
        <f t="shared" si="28"/>
        <v/>
      </c>
      <c r="CJ14" s="56">
        <v>7</v>
      </c>
      <c r="CK14" s="61"/>
      <c r="CL14" s="61"/>
      <c r="CM14" s="68" t="str">
        <f t="shared" si="29"/>
        <v/>
      </c>
      <c r="CN14" s="68" t="str">
        <f t="shared" si="30"/>
        <v/>
      </c>
      <c r="CO14" s="68" t="str">
        <f t="shared" si="31"/>
        <v/>
      </c>
      <c r="CP14" s="62"/>
      <c r="CQ14" s="62"/>
      <c r="CR14" s="65" t="str">
        <f t="shared" si="32"/>
        <v/>
      </c>
      <c r="CS14" s="56">
        <v>7</v>
      </c>
      <c r="CT14" s="61"/>
      <c r="CU14" s="61"/>
      <c r="CV14" s="68" t="str">
        <f t="shared" si="33"/>
        <v/>
      </c>
      <c r="CW14" s="68" t="str">
        <f t="shared" si="34"/>
        <v/>
      </c>
      <c r="CX14" s="69" t="str">
        <f t="shared" si="35"/>
        <v/>
      </c>
      <c r="CY14" s="66"/>
      <c r="CZ14" s="66"/>
      <c r="DA14" s="66"/>
      <c r="DB14" s="65" t="str">
        <f t="shared" si="36"/>
        <v/>
      </c>
      <c r="DC14" s="56">
        <v>7</v>
      </c>
      <c r="DD14" s="61"/>
      <c r="DE14" s="61"/>
      <c r="DF14" s="68" t="str">
        <f t="shared" si="37"/>
        <v/>
      </c>
      <c r="DG14" s="69" t="str">
        <f t="shared" si="38"/>
        <v/>
      </c>
      <c r="DH14" s="68" t="str">
        <f t="shared" si="39"/>
        <v/>
      </c>
      <c r="DI14" s="62"/>
      <c r="DJ14" s="62"/>
      <c r="DK14" s="65" t="str">
        <f t="shared" si="40"/>
        <v/>
      </c>
      <c r="DL14" s="56">
        <v>7</v>
      </c>
      <c r="DM14" s="63"/>
      <c r="DN14" s="64"/>
      <c r="DO14" s="64"/>
      <c r="DP14" s="64"/>
      <c r="DQ14" s="63"/>
      <c r="DR14" s="61"/>
      <c r="DS14" s="64"/>
      <c r="DT14" s="61"/>
      <c r="DU14" s="63"/>
      <c r="DV14" s="64"/>
      <c r="DW14" s="64"/>
      <c r="DX14" s="66"/>
      <c r="DY14" s="65" t="str">
        <f t="shared" si="41"/>
        <v/>
      </c>
      <c r="DZ14" s="128">
        <v>7</v>
      </c>
      <c r="EA14" s="173" t="str">
        <f t="shared" si="42"/>
        <v/>
      </c>
      <c r="EB14" s="173" t="str">
        <f t="shared" si="43"/>
        <v/>
      </c>
      <c r="EC14" s="173" t="str">
        <f t="shared" si="44"/>
        <v/>
      </c>
      <c r="ED14" s="63"/>
      <c r="EE14" s="63"/>
      <c r="EF14" s="63"/>
      <c r="EG14" s="63"/>
      <c r="EH14" s="305" t="str">
        <f t="shared" si="5"/>
        <v/>
      </c>
      <c r="EI14" s="56">
        <v>7</v>
      </c>
      <c r="EJ14" s="334"/>
      <c r="EK14" s="334"/>
      <c r="EL14" s="334"/>
      <c r="EM14" s="334"/>
      <c r="EN14" s="334"/>
      <c r="EO14" s="334"/>
      <c r="EP14" s="334"/>
      <c r="EQ14" s="65" t="str">
        <f t="shared" si="45"/>
        <v/>
      </c>
    </row>
    <row r="15" spans="1:147" s="3" customFormat="1" ht="17.149999999999999" customHeight="1" x14ac:dyDescent="0.2">
      <c r="A15" s="56">
        <v>8</v>
      </c>
      <c r="B15" s="57"/>
      <c r="C15" s="58" t="str">
        <f t="shared" si="6"/>
        <v/>
      </c>
      <c r="D15" s="167"/>
      <c r="E15" s="57"/>
      <c r="F15" s="58" t="str">
        <f t="shared" si="7"/>
        <v/>
      </c>
      <c r="G15" s="168"/>
      <c r="H15" s="57"/>
      <c r="I15" s="58" t="str">
        <f t="shared" si="0"/>
        <v/>
      </c>
      <c r="J15" s="60"/>
      <c r="K15" s="56">
        <v>8</v>
      </c>
      <c r="L15" s="57"/>
      <c r="M15" s="58" t="str">
        <f t="shared" si="8"/>
        <v/>
      </c>
      <c r="N15" s="57"/>
      <c r="O15" s="58" t="str">
        <f t="shared" si="9"/>
        <v/>
      </c>
      <c r="P15" s="57"/>
      <c r="Q15" s="169" t="str">
        <f t="shared" si="1"/>
        <v/>
      </c>
      <c r="R15" s="57"/>
      <c r="S15" s="57"/>
      <c r="T15" s="57"/>
      <c r="U15" s="57"/>
      <c r="V15" s="58" t="str">
        <f t="shared" si="10"/>
        <v/>
      </c>
      <c r="W15" s="56">
        <v>8</v>
      </c>
      <c r="X15" s="63"/>
      <c r="Y15" s="130" t="str">
        <f t="shared" si="11"/>
        <v/>
      </c>
      <c r="Z15" s="63"/>
      <c r="AA15" s="130" t="str">
        <f t="shared" si="12"/>
        <v/>
      </c>
      <c r="AB15" s="63"/>
      <c r="AC15" s="130" t="str">
        <f t="shared" si="13"/>
        <v/>
      </c>
      <c r="AD15" s="63"/>
      <c r="AE15" s="130" t="str">
        <f t="shared" si="2"/>
        <v/>
      </c>
      <c r="AF15" s="125" t="str">
        <f t="shared" si="14"/>
        <v/>
      </c>
      <c r="AG15" s="56">
        <v>8</v>
      </c>
      <c r="AH15" s="63"/>
      <c r="AI15" s="130" t="str">
        <f t="shared" si="15"/>
        <v/>
      </c>
      <c r="AJ15" s="63"/>
      <c r="AK15" s="130" t="str">
        <f t="shared" si="16"/>
        <v/>
      </c>
      <c r="AL15" s="63"/>
      <c r="AM15" s="130" t="str">
        <f t="shared" si="17"/>
        <v/>
      </c>
      <c r="AN15" s="63"/>
      <c r="AO15" s="130" t="str">
        <f t="shared" si="3"/>
        <v/>
      </c>
      <c r="AP15" s="125" t="str">
        <f t="shared" si="18"/>
        <v/>
      </c>
      <c r="AQ15" s="56">
        <v>8</v>
      </c>
      <c r="AR15" s="63"/>
      <c r="AS15" s="130" t="str">
        <f t="shared" si="19"/>
        <v/>
      </c>
      <c r="AT15" s="63"/>
      <c r="AU15" s="130" t="str">
        <f t="shared" si="20"/>
        <v/>
      </c>
      <c r="AV15" s="63"/>
      <c r="AW15" s="130" t="str">
        <f t="shared" si="21"/>
        <v/>
      </c>
      <c r="AX15" s="63"/>
      <c r="AY15" s="130" t="str">
        <f t="shared" si="4"/>
        <v/>
      </c>
      <c r="AZ15" s="125" t="str">
        <f t="shared" si="22"/>
        <v/>
      </c>
      <c r="BA15" s="56">
        <v>8</v>
      </c>
      <c r="BB15" s="63"/>
      <c r="BC15" s="62"/>
      <c r="BD15" s="61"/>
      <c r="BE15" s="61"/>
      <c r="BF15" s="61"/>
      <c r="BG15" s="61"/>
      <c r="BH15" s="64"/>
      <c r="BI15" s="64"/>
      <c r="BJ15" s="64"/>
      <c r="BK15" s="64"/>
      <c r="BL15" s="64"/>
      <c r="BM15" s="64"/>
      <c r="BN15" s="65" t="str">
        <f t="shared" si="23"/>
        <v/>
      </c>
      <c r="BO15" s="56">
        <v>8</v>
      </c>
      <c r="BP15" s="64"/>
      <c r="BQ15" s="62"/>
      <c r="BR15" s="61"/>
      <c r="BS15" s="61"/>
      <c r="BT15" s="61"/>
      <c r="BU15" s="64"/>
      <c r="BV15" s="63"/>
      <c r="BW15" s="63"/>
      <c r="BX15" s="66"/>
      <c r="BY15" s="172"/>
      <c r="BZ15" s="67" t="str">
        <f t="shared" si="24"/>
        <v/>
      </c>
      <c r="CA15" s="56">
        <v>8</v>
      </c>
      <c r="CB15" s="61"/>
      <c r="CC15" s="61"/>
      <c r="CD15" s="68" t="str">
        <f t="shared" si="25"/>
        <v/>
      </c>
      <c r="CE15" s="69" t="str">
        <f t="shared" si="26"/>
        <v/>
      </c>
      <c r="CF15" s="69" t="str">
        <f t="shared" si="27"/>
        <v/>
      </c>
      <c r="CG15" s="62"/>
      <c r="CH15" s="62"/>
      <c r="CI15" s="65" t="str">
        <f t="shared" si="28"/>
        <v/>
      </c>
      <c r="CJ15" s="56">
        <v>8</v>
      </c>
      <c r="CK15" s="61"/>
      <c r="CL15" s="61"/>
      <c r="CM15" s="68" t="str">
        <f t="shared" si="29"/>
        <v/>
      </c>
      <c r="CN15" s="68" t="str">
        <f t="shared" si="30"/>
        <v/>
      </c>
      <c r="CO15" s="68" t="str">
        <f t="shared" si="31"/>
        <v/>
      </c>
      <c r="CP15" s="62"/>
      <c r="CQ15" s="62"/>
      <c r="CR15" s="65" t="str">
        <f t="shared" si="32"/>
        <v/>
      </c>
      <c r="CS15" s="56">
        <v>8</v>
      </c>
      <c r="CT15" s="61"/>
      <c r="CU15" s="61"/>
      <c r="CV15" s="68" t="str">
        <f t="shared" si="33"/>
        <v/>
      </c>
      <c r="CW15" s="68" t="str">
        <f t="shared" si="34"/>
        <v/>
      </c>
      <c r="CX15" s="69" t="str">
        <f t="shared" si="35"/>
        <v/>
      </c>
      <c r="CY15" s="66"/>
      <c r="CZ15" s="66"/>
      <c r="DA15" s="66"/>
      <c r="DB15" s="65" t="str">
        <f t="shared" si="36"/>
        <v/>
      </c>
      <c r="DC15" s="56">
        <v>8</v>
      </c>
      <c r="DD15" s="61"/>
      <c r="DE15" s="61"/>
      <c r="DF15" s="68" t="str">
        <f t="shared" si="37"/>
        <v/>
      </c>
      <c r="DG15" s="69" t="str">
        <f t="shared" si="38"/>
        <v/>
      </c>
      <c r="DH15" s="68" t="str">
        <f t="shared" si="39"/>
        <v/>
      </c>
      <c r="DI15" s="62"/>
      <c r="DJ15" s="62"/>
      <c r="DK15" s="65" t="str">
        <f t="shared" si="40"/>
        <v/>
      </c>
      <c r="DL15" s="56">
        <v>8</v>
      </c>
      <c r="DM15" s="63"/>
      <c r="DN15" s="64"/>
      <c r="DO15" s="64"/>
      <c r="DP15" s="64"/>
      <c r="DQ15" s="63"/>
      <c r="DR15" s="61"/>
      <c r="DS15" s="64"/>
      <c r="DT15" s="61"/>
      <c r="DU15" s="63"/>
      <c r="DV15" s="64"/>
      <c r="DW15" s="64"/>
      <c r="DX15" s="66"/>
      <c r="DY15" s="65" t="str">
        <f t="shared" si="41"/>
        <v/>
      </c>
      <c r="DZ15" s="128">
        <v>8</v>
      </c>
      <c r="EA15" s="173" t="str">
        <f t="shared" si="42"/>
        <v/>
      </c>
      <c r="EB15" s="173" t="str">
        <f t="shared" si="43"/>
        <v/>
      </c>
      <c r="EC15" s="173" t="str">
        <f t="shared" si="44"/>
        <v/>
      </c>
      <c r="ED15" s="63"/>
      <c r="EE15" s="63"/>
      <c r="EF15" s="63"/>
      <c r="EG15" s="63"/>
      <c r="EH15" s="127" t="str">
        <f t="shared" si="5"/>
        <v/>
      </c>
      <c r="EI15" s="56">
        <v>8</v>
      </c>
      <c r="EJ15" s="334"/>
      <c r="EK15" s="334"/>
      <c r="EL15" s="334"/>
      <c r="EM15" s="334"/>
      <c r="EN15" s="334"/>
      <c r="EO15" s="334"/>
      <c r="EP15" s="334"/>
      <c r="EQ15" s="65" t="str">
        <f t="shared" si="45"/>
        <v/>
      </c>
    </row>
    <row r="16" spans="1:147" s="3" customFormat="1" ht="17.149999999999999" customHeight="1" x14ac:dyDescent="0.2">
      <c r="A16" s="56">
        <v>9</v>
      </c>
      <c r="B16" s="57"/>
      <c r="C16" s="58" t="str">
        <f t="shared" si="6"/>
        <v/>
      </c>
      <c r="D16" s="167"/>
      <c r="E16" s="57"/>
      <c r="F16" s="58" t="str">
        <f t="shared" si="7"/>
        <v/>
      </c>
      <c r="G16" s="168"/>
      <c r="H16" s="57"/>
      <c r="I16" s="58" t="str">
        <f t="shared" si="0"/>
        <v/>
      </c>
      <c r="J16" s="60"/>
      <c r="K16" s="56">
        <v>9</v>
      </c>
      <c r="L16" s="57"/>
      <c r="M16" s="58" t="str">
        <f t="shared" si="8"/>
        <v/>
      </c>
      <c r="N16" s="57"/>
      <c r="O16" s="58" t="str">
        <f t="shared" si="9"/>
        <v/>
      </c>
      <c r="P16" s="57"/>
      <c r="Q16" s="169" t="str">
        <f t="shared" si="1"/>
        <v/>
      </c>
      <c r="R16" s="57"/>
      <c r="S16" s="57"/>
      <c r="T16" s="57"/>
      <c r="U16" s="57"/>
      <c r="V16" s="58" t="str">
        <f t="shared" si="10"/>
        <v/>
      </c>
      <c r="W16" s="56">
        <v>9</v>
      </c>
      <c r="X16" s="63"/>
      <c r="Y16" s="130" t="str">
        <f t="shared" si="11"/>
        <v/>
      </c>
      <c r="Z16" s="63"/>
      <c r="AA16" s="130" t="str">
        <f t="shared" si="12"/>
        <v/>
      </c>
      <c r="AB16" s="63"/>
      <c r="AC16" s="130" t="str">
        <f t="shared" si="13"/>
        <v/>
      </c>
      <c r="AD16" s="63"/>
      <c r="AE16" s="130" t="str">
        <f t="shared" si="2"/>
        <v/>
      </c>
      <c r="AF16" s="125" t="str">
        <f t="shared" si="14"/>
        <v/>
      </c>
      <c r="AG16" s="56">
        <v>9</v>
      </c>
      <c r="AH16" s="63"/>
      <c r="AI16" s="130" t="str">
        <f t="shared" si="15"/>
        <v/>
      </c>
      <c r="AJ16" s="63"/>
      <c r="AK16" s="130" t="str">
        <f t="shared" si="16"/>
        <v/>
      </c>
      <c r="AL16" s="63"/>
      <c r="AM16" s="130" t="str">
        <f t="shared" si="17"/>
        <v/>
      </c>
      <c r="AN16" s="63"/>
      <c r="AO16" s="130" t="str">
        <f t="shared" si="3"/>
        <v/>
      </c>
      <c r="AP16" s="125" t="str">
        <f t="shared" si="18"/>
        <v/>
      </c>
      <c r="AQ16" s="56">
        <v>9</v>
      </c>
      <c r="AR16" s="63"/>
      <c r="AS16" s="130" t="str">
        <f t="shared" si="19"/>
        <v/>
      </c>
      <c r="AT16" s="63"/>
      <c r="AU16" s="130" t="str">
        <f t="shared" si="20"/>
        <v/>
      </c>
      <c r="AV16" s="63"/>
      <c r="AW16" s="130" t="str">
        <f t="shared" si="21"/>
        <v/>
      </c>
      <c r="AX16" s="63"/>
      <c r="AY16" s="130" t="str">
        <f t="shared" si="4"/>
        <v/>
      </c>
      <c r="AZ16" s="125" t="str">
        <f t="shared" si="22"/>
        <v/>
      </c>
      <c r="BA16" s="56">
        <v>9</v>
      </c>
      <c r="BB16" s="63"/>
      <c r="BC16" s="62"/>
      <c r="BD16" s="61"/>
      <c r="BE16" s="61"/>
      <c r="BF16" s="61"/>
      <c r="BG16" s="61"/>
      <c r="BH16" s="64"/>
      <c r="BI16" s="64"/>
      <c r="BJ16" s="64"/>
      <c r="BK16" s="64"/>
      <c r="BL16" s="64"/>
      <c r="BM16" s="64"/>
      <c r="BN16" s="65" t="str">
        <f t="shared" si="23"/>
        <v/>
      </c>
      <c r="BO16" s="56">
        <v>9</v>
      </c>
      <c r="BP16" s="64"/>
      <c r="BQ16" s="62"/>
      <c r="BR16" s="61"/>
      <c r="BS16" s="61"/>
      <c r="BT16" s="61"/>
      <c r="BU16" s="64"/>
      <c r="BV16" s="63"/>
      <c r="BW16" s="63"/>
      <c r="BX16" s="66"/>
      <c r="BY16" s="172"/>
      <c r="BZ16" s="67" t="str">
        <f t="shared" si="24"/>
        <v/>
      </c>
      <c r="CA16" s="56">
        <v>9</v>
      </c>
      <c r="CB16" s="61"/>
      <c r="CC16" s="61"/>
      <c r="CD16" s="68" t="str">
        <f t="shared" si="25"/>
        <v/>
      </c>
      <c r="CE16" s="69" t="str">
        <f t="shared" si="26"/>
        <v/>
      </c>
      <c r="CF16" s="69" t="str">
        <f t="shared" si="27"/>
        <v/>
      </c>
      <c r="CG16" s="62"/>
      <c r="CH16" s="62"/>
      <c r="CI16" s="65" t="str">
        <f t="shared" si="28"/>
        <v/>
      </c>
      <c r="CJ16" s="56">
        <v>9</v>
      </c>
      <c r="CK16" s="61"/>
      <c r="CL16" s="61"/>
      <c r="CM16" s="68" t="str">
        <f t="shared" si="29"/>
        <v/>
      </c>
      <c r="CN16" s="68" t="str">
        <f t="shared" si="30"/>
        <v/>
      </c>
      <c r="CO16" s="68" t="str">
        <f t="shared" si="31"/>
        <v/>
      </c>
      <c r="CP16" s="62"/>
      <c r="CQ16" s="62"/>
      <c r="CR16" s="65" t="str">
        <f t="shared" si="32"/>
        <v/>
      </c>
      <c r="CS16" s="56">
        <v>9</v>
      </c>
      <c r="CT16" s="61"/>
      <c r="CU16" s="61"/>
      <c r="CV16" s="68" t="str">
        <f t="shared" si="33"/>
        <v/>
      </c>
      <c r="CW16" s="68" t="str">
        <f t="shared" si="34"/>
        <v/>
      </c>
      <c r="CX16" s="69" t="str">
        <f t="shared" si="35"/>
        <v/>
      </c>
      <c r="CY16" s="66"/>
      <c r="CZ16" s="66"/>
      <c r="DA16" s="66"/>
      <c r="DB16" s="65" t="str">
        <f t="shared" si="36"/>
        <v/>
      </c>
      <c r="DC16" s="56">
        <v>9</v>
      </c>
      <c r="DD16" s="61"/>
      <c r="DE16" s="61"/>
      <c r="DF16" s="68" t="str">
        <f t="shared" si="37"/>
        <v/>
      </c>
      <c r="DG16" s="69" t="str">
        <f t="shared" si="38"/>
        <v/>
      </c>
      <c r="DH16" s="68" t="str">
        <f t="shared" si="39"/>
        <v/>
      </c>
      <c r="DI16" s="62"/>
      <c r="DJ16" s="62"/>
      <c r="DK16" s="65" t="str">
        <f t="shared" si="40"/>
        <v/>
      </c>
      <c r="DL16" s="56">
        <v>9</v>
      </c>
      <c r="DM16" s="63"/>
      <c r="DN16" s="64"/>
      <c r="DO16" s="64"/>
      <c r="DP16" s="64"/>
      <c r="DQ16" s="63"/>
      <c r="DR16" s="61"/>
      <c r="DS16" s="64"/>
      <c r="DT16" s="61"/>
      <c r="DU16" s="63"/>
      <c r="DV16" s="64"/>
      <c r="DW16" s="64"/>
      <c r="DX16" s="66"/>
      <c r="DY16" s="65" t="str">
        <f t="shared" si="41"/>
        <v/>
      </c>
      <c r="DZ16" s="128">
        <v>9</v>
      </c>
      <c r="EA16" s="173" t="str">
        <f t="shared" si="42"/>
        <v/>
      </c>
      <c r="EB16" s="173" t="str">
        <f t="shared" si="43"/>
        <v/>
      </c>
      <c r="EC16" s="173" t="str">
        <f t="shared" si="44"/>
        <v/>
      </c>
      <c r="ED16" s="63"/>
      <c r="EE16" s="63"/>
      <c r="EF16" s="63"/>
      <c r="EG16" s="63"/>
      <c r="EH16" s="127" t="str">
        <f t="shared" si="5"/>
        <v/>
      </c>
      <c r="EI16" s="56">
        <v>9</v>
      </c>
      <c r="EJ16" s="334"/>
      <c r="EK16" s="334"/>
      <c r="EL16" s="334"/>
      <c r="EM16" s="334"/>
      <c r="EN16" s="334"/>
      <c r="EO16" s="334"/>
      <c r="EP16" s="334"/>
      <c r="EQ16" s="65" t="str">
        <f t="shared" si="45"/>
        <v/>
      </c>
    </row>
    <row r="17" spans="1:147" s="3" customFormat="1" ht="17.149999999999999" customHeight="1" x14ac:dyDescent="0.2">
      <c r="A17" s="56">
        <v>10</v>
      </c>
      <c r="B17" s="57"/>
      <c r="C17" s="58" t="str">
        <f t="shared" si="6"/>
        <v/>
      </c>
      <c r="D17" s="167"/>
      <c r="E17" s="57"/>
      <c r="F17" s="58" t="str">
        <f t="shared" si="7"/>
        <v/>
      </c>
      <c r="G17" s="168"/>
      <c r="H17" s="57"/>
      <c r="I17" s="58" t="str">
        <f t="shared" si="0"/>
        <v/>
      </c>
      <c r="J17" s="60"/>
      <c r="K17" s="56">
        <v>10</v>
      </c>
      <c r="L17" s="57"/>
      <c r="M17" s="58" t="str">
        <f t="shared" si="8"/>
        <v/>
      </c>
      <c r="N17" s="57"/>
      <c r="O17" s="58" t="str">
        <f t="shared" si="9"/>
        <v/>
      </c>
      <c r="P17" s="57"/>
      <c r="Q17" s="169" t="str">
        <f t="shared" si="1"/>
        <v/>
      </c>
      <c r="R17" s="57"/>
      <c r="S17" s="57"/>
      <c r="T17" s="57"/>
      <c r="U17" s="57"/>
      <c r="V17" s="58" t="str">
        <f t="shared" si="10"/>
        <v/>
      </c>
      <c r="W17" s="56">
        <v>10</v>
      </c>
      <c r="X17" s="63"/>
      <c r="Y17" s="130" t="str">
        <f t="shared" si="11"/>
        <v/>
      </c>
      <c r="Z17" s="63"/>
      <c r="AA17" s="130" t="str">
        <f t="shared" si="12"/>
        <v/>
      </c>
      <c r="AB17" s="63"/>
      <c r="AC17" s="130" t="str">
        <f t="shared" si="13"/>
        <v/>
      </c>
      <c r="AD17" s="63"/>
      <c r="AE17" s="130" t="str">
        <f t="shared" si="2"/>
        <v/>
      </c>
      <c r="AF17" s="125" t="str">
        <f t="shared" si="14"/>
        <v/>
      </c>
      <c r="AG17" s="56">
        <v>10</v>
      </c>
      <c r="AH17" s="63"/>
      <c r="AI17" s="130" t="str">
        <f t="shared" si="15"/>
        <v/>
      </c>
      <c r="AJ17" s="63"/>
      <c r="AK17" s="130" t="str">
        <f t="shared" si="16"/>
        <v/>
      </c>
      <c r="AL17" s="63"/>
      <c r="AM17" s="130" t="str">
        <f t="shared" si="17"/>
        <v/>
      </c>
      <c r="AN17" s="63"/>
      <c r="AO17" s="130" t="str">
        <f t="shared" si="3"/>
        <v/>
      </c>
      <c r="AP17" s="125" t="str">
        <f t="shared" si="18"/>
        <v/>
      </c>
      <c r="AQ17" s="56">
        <v>10</v>
      </c>
      <c r="AR17" s="63"/>
      <c r="AS17" s="130" t="str">
        <f t="shared" si="19"/>
        <v/>
      </c>
      <c r="AT17" s="63"/>
      <c r="AU17" s="130" t="str">
        <f t="shared" si="20"/>
        <v/>
      </c>
      <c r="AV17" s="63"/>
      <c r="AW17" s="130" t="str">
        <f t="shared" si="21"/>
        <v/>
      </c>
      <c r="AX17" s="63"/>
      <c r="AY17" s="130" t="str">
        <f t="shared" si="4"/>
        <v/>
      </c>
      <c r="AZ17" s="125" t="str">
        <f t="shared" si="22"/>
        <v/>
      </c>
      <c r="BA17" s="56">
        <v>10</v>
      </c>
      <c r="BB17" s="63"/>
      <c r="BC17" s="62"/>
      <c r="BD17" s="61"/>
      <c r="BE17" s="61"/>
      <c r="BF17" s="61"/>
      <c r="BG17" s="61"/>
      <c r="BH17" s="64"/>
      <c r="BI17" s="64"/>
      <c r="BJ17" s="64"/>
      <c r="BK17" s="64"/>
      <c r="BL17" s="64"/>
      <c r="BM17" s="64"/>
      <c r="BN17" s="65" t="str">
        <f t="shared" si="23"/>
        <v/>
      </c>
      <c r="BO17" s="56">
        <v>10</v>
      </c>
      <c r="BP17" s="64"/>
      <c r="BQ17" s="62"/>
      <c r="BR17" s="61"/>
      <c r="BS17" s="61"/>
      <c r="BT17" s="61"/>
      <c r="BU17" s="64"/>
      <c r="BV17" s="63"/>
      <c r="BW17" s="63"/>
      <c r="BX17" s="66"/>
      <c r="BY17" s="172"/>
      <c r="BZ17" s="67" t="str">
        <f t="shared" si="24"/>
        <v/>
      </c>
      <c r="CA17" s="56">
        <v>10</v>
      </c>
      <c r="CB17" s="61"/>
      <c r="CC17" s="61"/>
      <c r="CD17" s="68" t="str">
        <f t="shared" si="25"/>
        <v/>
      </c>
      <c r="CE17" s="69" t="str">
        <f t="shared" si="26"/>
        <v/>
      </c>
      <c r="CF17" s="69" t="str">
        <f t="shared" si="27"/>
        <v/>
      </c>
      <c r="CG17" s="62"/>
      <c r="CH17" s="62"/>
      <c r="CI17" s="65" t="str">
        <f t="shared" si="28"/>
        <v/>
      </c>
      <c r="CJ17" s="56">
        <v>10</v>
      </c>
      <c r="CK17" s="61"/>
      <c r="CL17" s="61"/>
      <c r="CM17" s="68" t="str">
        <f t="shared" si="29"/>
        <v/>
      </c>
      <c r="CN17" s="68" t="str">
        <f t="shared" si="30"/>
        <v/>
      </c>
      <c r="CO17" s="68" t="str">
        <f t="shared" si="31"/>
        <v/>
      </c>
      <c r="CP17" s="62"/>
      <c r="CQ17" s="62"/>
      <c r="CR17" s="65" t="str">
        <f t="shared" si="32"/>
        <v/>
      </c>
      <c r="CS17" s="56">
        <v>10</v>
      </c>
      <c r="CT17" s="61"/>
      <c r="CU17" s="61"/>
      <c r="CV17" s="68" t="str">
        <f t="shared" si="33"/>
        <v/>
      </c>
      <c r="CW17" s="68" t="str">
        <f t="shared" si="34"/>
        <v/>
      </c>
      <c r="CX17" s="69" t="str">
        <f t="shared" si="35"/>
        <v/>
      </c>
      <c r="CY17" s="66"/>
      <c r="CZ17" s="66"/>
      <c r="DA17" s="66"/>
      <c r="DB17" s="65" t="str">
        <f t="shared" si="36"/>
        <v/>
      </c>
      <c r="DC17" s="56">
        <v>10</v>
      </c>
      <c r="DD17" s="61"/>
      <c r="DE17" s="61"/>
      <c r="DF17" s="68" t="str">
        <f t="shared" si="37"/>
        <v/>
      </c>
      <c r="DG17" s="69" t="str">
        <f t="shared" si="38"/>
        <v/>
      </c>
      <c r="DH17" s="68" t="str">
        <f t="shared" si="39"/>
        <v/>
      </c>
      <c r="DI17" s="62"/>
      <c r="DJ17" s="62"/>
      <c r="DK17" s="65" t="str">
        <f t="shared" si="40"/>
        <v/>
      </c>
      <c r="DL17" s="56">
        <v>10</v>
      </c>
      <c r="DM17" s="63"/>
      <c r="DN17" s="64"/>
      <c r="DO17" s="64"/>
      <c r="DP17" s="64"/>
      <c r="DQ17" s="63"/>
      <c r="DR17" s="61"/>
      <c r="DS17" s="64"/>
      <c r="DT17" s="61"/>
      <c r="DU17" s="63"/>
      <c r="DV17" s="64"/>
      <c r="DW17" s="64"/>
      <c r="DX17" s="66"/>
      <c r="DY17" s="65" t="str">
        <f t="shared" si="41"/>
        <v/>
      </c>
      <c r="DZ17" s="128">
        <v>10</v>
      </c>
      <c r="EA17" s="173" t="str">
        <f t="shared" si="42"/>
        <v/>
      </c>
      <c r="EB17" s="173" t="str">
        <f t="shared" si="43"/>
        <v/>
      </c>
      <c r="EC17" s="173" t="str">
        <f t="shared" si="44"/>
        <v/>
      </c>
      <c r="ED17" s="63"/>
      <c r="EE17" s="63"/>
      <c r="EF17" s="63"/>
      <c r="EG17" s="63"/>
      <c r="EH17" s="127" t="str">
        <f t="shared" si="5"/>
        <v/>
      </c>
      <c r="EI17" s="56">
        <v>10</v>
      </c>
      <c r="EJ17" s="334"/>
      <c r="EK17" s="334"/>
      <c r="EL17" s="334"/>
      <c r="EM17" s="334"/>
      <c r="EN17" s="334"/>
      <c r="EO17" s="334"/>
      <c r="EP17" s="334"/>
      <c r="EQ17" s="65" t="str">
        <f t="shared" si="45"/>
        <v/>
      </c>
    </row>
    <row r="18" spans="1:147" s="3" customFormat="1" ht="17.149999999999999" customHeight="1" x14ac:dyDescent="0.2">
      <c r="A18" s="56">
        <v>11</v>
      </c>
      <c r="B18" s="57"/>
      <c r="C18" s="58" t="str">
        <f t="shared" si="6"/>
        <v/>
      </c>
      <c r="D18" s="167"/>
      <c r="E18" s="57"/>
      <c r="F18" s="58" t="str">
        <f t="shared" si="7"/>
        <v/>
      </c>
      <c r="G18" s="168"/>
      <c r="H18" s="57"/>
      <c r="I18" s="58" t="str">
        <f t="shared" si="0"/>
        <v/>
      </c>
      <c r="J18" s="60"/>
      <c r="K18" s="56">
        <v>11</v>
      </c>
      <c r="L18" s="57"/>
      <c r="M18" s="58" t="str">
        <f t="shared" si="8"/>
        <v/>
      </c>
      <c r="N18" s="57"/>
      <c r="O18" s="58" t="str">
        <f t="shared" si="9"/>
        <v/>
      </c>
      <c r="P18" s="57"/>
      <c r="Q18" s="169" t="str">
        <f t="shared" si="1"/>
        <v/>
      </c>
      <c r="R18" s="57"/>
      <c r="S18" s="57"/>
      <c r="T18" s="57"/>
      <c r="U18" s="57"/>
      <c r="V18" s="58" t="str">
        <f t="shared" si="10"/>
        <v/>
      </c>
      <c r="W18" s="56">
        <v>11</v>
      </c>
      <c r="X18" s="63"/>
      <c r="Y18" s="130" t="str">
        <f t="shared" si="11"/>
        <v/>
      </c>
      <c r="Z18" s="63"/>
      <c r="AA18" s="130" t="str">
        <f t="shared" si="12"/>
        <v/>
      </c>
      <c r="AB18" s="63"/>
      <c r="AC18" s="130" t="str">
        <f t="shared" si="13"/>
        <v/>
      </c>
      <c r="AD18" s="63"/>
      <c r="AE18" s="130" t="str">
        <f t="shared" si="2"/>
        <v/>
      </c>
      <c r="AF18" s="125" t="str">
        <f t="shared" si="14"/>
        <v/>
      </c>
      <c r="AG18" s="56">
        <v>11</v>
      </c>
      <c r="AH18" s="63"/>
      <c r="AI18" s="130" t="str">
        <f t="shared" si="15"/>
        <v/>
      </c>
      <c r="AJ18" s="63"/>
      <c r="AK18" s="130" t="str">
        <f t="shared" si="16"/>
        <v/>
      </c>
      <c r="AL18" s="63"/>
      <c r="AM18" s="130" t="str">
        <f t="shared" si="17"/>
        <v/>
      </c>
      <c r="AN18" s="63"/>
      <c r="AO18" s="130" t="str">
        <f t="shared" si="3"/>
        <v/>
      </c>
      <c r="AP18" s="125" t="str">
        <f t="shared" si="18"/>
        <v/>
      </c>
      <c r="AQ18" s="56">
        <v>11</v>
      </c>
      <c r="AR18" s="63"/>
      <c r="AS18" s="130" t="str">
        <f t="shared" si="19"/>
        <v/>
      </c>
      <c r="AT18" s="63"/>
      <c r="AU18" s="130" t="str">
        <f t="shared" si="20"/>
        <v/>
      </c>
      <c r="AV18" s="63"/>
      <c r="AW18" s="130" t="str">
        <f t="shared" si="21"/>
        <v/>
      </c>
      <c r="AX18" s="63"/>
      <c r="AY18" s="130" t="str">
        <f t="shared" si="4"/>
        <v/>
      </c>
      <c r="AZ18" s="125" t="str">
        <f t="shared" si="22"/>
        <v/>
      </c>
      <c r="BA18" s="56">
        <v>11</v>
      </c>
      <c r="BB18" s="63"/>
      <c r="BC18" s="62"/>
      <c r="BD18" s="61"/>
      <c r="BE18" s="61"/>
      <c r="BF18" s="61"/>
      <c r="BG18" s="61"/>
      <c r="BH18" s="64"/>
      <c r="BI18" s="64"/>
      <c r="BJ18" s="64"/>
      <c r="BK18" s="64"/>
      <c r="BL18" s="64"/>
      <c r="BM18" s="64"/>
      <c r="BN18" s="65" t="str">
        <f t="shared" si="23"/>
        <v/>
      </c>
      <c r="BO18" s="56">
        <v>11</v>
      </c>
      <c r="BP18" s="64"/>
      <c r="BQ18" s="62"/>
      <c r="BR18" s="61"/>
      <c r="BS18" s="61"/>
      <c r="BT18" s="61"/>
      <c r="BU18" s="64"/>
      <c r="BV18" s="63"/>
      <c r="BW18" s="63"/>
      <c r="BX18" s="66"/>
      <c r="BY18" s="172"/>
      <c r="BZ18" s="67" t="str">
        <f t="shared" si="24"/>
        <v/>
      </c>
      <c r="CA18" s="56">
        <v>11</v>
      </c>
      <c r="CB18" s="61"/>
      <c r="CC18" s="61"/>
      <c r="CD18" s="68" t="str">
        <f t="shared" si="25"/>
        <v/>
      </c>
      <c r="CE18" s="69" t="str">
        <f t="shared" si="26"/>
        <v/>
      </c>
      <c r="CF18" s="69" t="str">
        <f t="shared" si="27"/>
        <v/>
      </c>
      <c r="CG18" s="62"/>
      <c r="CH18" s="62"/>
      <c r="CI18" s="65" t="str">
        <f t="shared" si="28"/>
        <v/>
      </c>
      <c r="CJ18" s="56">
        <v>11</v>
      </c>
      <c r="CK18" s="61"/>
      <c r="CL18" s="61"/>
      <c r="CM18" s="68" t="str">
        <f t="shared" si="29"/>
        <v/>
      </c>
      <c r="CN18" s="68" t="str">
        <f t="shared" si="30"/>
        <v/>
      </c>
      <c r="CO18" s="68" t="str">
        <f t="shared" si="31"/>
        <v/>
      </c>
      <c r="CP18" s="62"/>
      <c r="CQ18" s="62"/>
      <c r="CR18" s="65" t="str">
        <f t="shared" si="32"/>
        <v/>
      </c>
      <c r="CS18" s="56">
        <v>11</v>
      </c>
      <c r="CT18" s="61"/>
      <c r="CU18" s="61"/>
      <c r="CV18" s="68" t="str">
        <f t="shared" si="33"/>
        <v/>
      </c>
      <c r="CW18" s="68" t="str">
        <f t="shared" si="34"/>
        <v/>
      </c>
      <c r="CX18" s="69" t="str">
        <f t="shared" si="35"/>
        <v/>
      </c>
      <c r="CY18" s="66"/>
      <c r="CZ18" s="66"/>
      <c r="DA18" s="66"/>
      <c r="DB18" s="65" t="str">
        <f t="shared" si="36"/>
        <v/>
      </c>
      <c r="DC18" s="56">
        <v>11</v>
      </c>
      <c r="DD18" s="61"/>
      <c r="DE18" s="61"/>
      <c r="DF18" s="68" t="str">
        <f t="shared" si="37"/>
        <v/>
      </c>
      <c r="DG18" s="69" t="str">
        <f t="shared" si="38"/>
        <v/>
      </c>
      <c r="DH18" s="68" t="str">
        <f t="shared" si="39"/>
        <v/>
      </c>
      <c r="DI18" s="62"/>
      <c r="DJ18" s="62"/>
      <c r="DK18" s="65" t="str">
        <f t="shared" si="40"/>
        <v/>
      </c>
      <c r="DL18" s="56">
        <v>11</v>
      </c>
      <c r="DM18" s="63"/>
      <c r="DN18" s="64"/>
      <c r="DO18" s="64"/>
      <c r="DP18" s="64"/>
      <c r="DQ18" s="63"/>
      <c r="DR18" s="61"/>
      <c r="DS18" s="64"/>
      <c r="DT18" s="61"/>
      <c r="DU18" s="63"/>
      <c r="DV18" s="64"/>
      <c r="DW18" s="64"/>
      <c r="DX18" s="66"/>
      <c r="DY18" s="65" t="str">
        <f t="shared" si="41"/>
        <v/>
      </c>
      <c r="DZ18" s="128">
        <v>11</v>
      </c>
      <c r="EA18" s="173" t="str">
        <f t="shared" si="42"/>
        <v/>
      </c>
      <c r="EB18" s="173" t="str">
        <f t="shared" si="43"/>
        <v/>
      </c>
      <c r="EC18" s="173" t="str">
        <f t="shared" si="44"/>
        <v/>
      </c>
      <c r="ED18" s="63"/>
      <c r="EE18" s="63"/>
      <c r="EF18" s="63"/>
      <c r="EG18" s="63"/>
      <c r="EH18" s="127" t="str">
        <f t="shared" si="5"/>
        <v/>
      </c>
      <c r="EI18" s="56">
        <v>11</v>
      </c>
      <c r="EQ18" s="65" t="str">
        <f t="shared" si="45"/>
        <v/>
      </c>
    </row>
    <row r="19" spans="1:147" s="3" customFormat="1" ht="17.149999999999999" customHeight="1" x14ac:dyDescent="0.2">
      <c r="A19" s="56">
        <v>12</v>
      </c>
      <c r="B19" s="57"/>
      <c r="C19" s="58" t="str">
        <f t="shared" si="6"/>
        <v/>
      </c>
      <c r="D19" s="167"/>
      <c r="E19" s="57"/>
      <c r="F19" s="58" t="str">
        <f t="shared" si="7"/>
        <v/>
      </c>
      <c r="G19" s="168"/>
      <c r="H19" s="57"/>
      <c r="I19" s="58" t="str">
        <f t="shared" si="0"/>
        <v/>
      </c>
      <c r="J19" s="60"/>
      <c r="K19" s="56">
        <v>12</v>
      </c>
      <c r="L19" s="57"/>
      <c r="M19" s="58" t="str">
        <f t="shared" si="8"/>
        <v/>
      </c>
      <c r="N19" s="57"/>
      <c r="O19" s="58" t="str">
        <f t="shared" si="9"/>
        <v/>
      </c>
      <c r="P19" s="57"/>
      <c r="Q19" s="169" t="str">
        <f t="shared" si="1"/>
        <v/>
      </c>
      <c r="R19" s="57"/>
      <c r="S19" s="57"/>
      <c r="T19" s="57"/>
      <c r="U19" s="57"/>
      <c r="V19" s="58" t="str">
        <f t="shared" si="10"/>
        <v/>
      </c>
      <c r="W19" s="56">
        <v>12</v>
      </c>
      <c r="X19" s="63"/>
      <c r="Y19" s="130" t="str">
        <f t="shared" si="11"/>
        <v/>
      </c>
      <c r="Z19" s="63"/>
      <c r="AA19" s="130" t="str">
        <f t="shared" si="12"/>
        <v/>
      </c>
      <c r="AB19" s="63"/>
      <c r="AC19" s="130" t="str">
        <f t="shared" si="13"/>
        <v/>
      </c>
      <c r="AD19" s="63"/>
      <c r="AE19" s="130" t="str">
        <f t="shared" si="2"/>
        <v/>
      </c>
      <c r="AF19" s="125" t="str">
        <f t="shared" si="14"/>
        <v/>
      </c>
      <c r="AG19" s="56">
        <v>12</v>
      </c>
      <c r="AH19" s="63"/>
      <c r="AI19" s="130" t="str">
        <f t="shared" si="15"/>
        <v/>
      </c>
      <c r="AJ19" s="63"/>
      <c r="AK19" s="130" t="str">
        <f t="shared" si="16"/>
        <v/>
      </c>
      <c r="AL19" s="63"/>
      <c r="AM19" s="130" t="str">
        <f t="shared" si="17"/>
        <v/>
      </c>
      <c r="AN19" s="63"/>
      <c r="AO19" s="130" t="str">
        <f t="shared" si="3"/>
        <v/>
      </c>
      <c r="AP19" s="125" t="str">
        <f t="shared" si="18"/>
        <v/>
      </c>
      <c r="AQ19" s="56">
        <v>12</v>
      </c>
      <c r="AR19" s="63"/>
      <c r="AS19" s="130" t="str">
        <f t="shared" si="19"/>
        <v/>
      </c>
      <c r="AT19" s="63"/>
      <c r="AU19" s="130" t="str">
        <f t="shared" si="20"/>
        <v/>
      </c>
      <c r="AV19" s="63"/>
      <c r="AW19" s="130" t="str">
        <f t="shared" si="21"/>
        <v/>
      </c>
      <c r="AX19" s="63"/>
      <c r="AY19" s="130" t="str">
        <f t="shared" si="4"/>
        <v/>
      </c>
      <c r="AZ19" s="125" t="str">
        <f t="shared" si="22"/>
        <v/>
      </c>
      <c r="BA19" s="56">
        <v>12</v>
      </c>
      <c r="BB19" s="63"/>
      <c r="BC19" s="62"/>
      <c r="BD19" s="61"/>
      <c r="BE19" s="61"/>
      <c r="BF19" s="61"/>
      <c r="BG19" s="61"/>
      <c r="BH19" s="64"/>
      <c r="BI19" s="64"/>
      <c r="BJ19" s="64"/>
      <c r="BK19" s="64"/>
      <c r="BL19" s="64"/>
      <c r="BM19" s="64"/>
      <c r="BN19" s="65" t="str">
        <f t="shared" si="23"/>
        <v/>
      </c>
      <c r="BO19" s="56">
        <v>12</v>
      </c>
      <c r="BP19" s="64"/>
      <c r="BQ19" s="62"/>
      <c r="BR19" s="61"/>
      <c r="BS19" s="61"/>
      <c r="BT19" s="61"/>
      <c r="BU19" s="64"/>
      <c r="BV19" s="63"/>
      <c r="BW19" s="63"/>
      <c r="BX19" s="66"/>
      <c r="BY19" s="172"/>
      <c r="BZ19" s="67" t="str">
        <f t="shared" si="24"/>
        <v/>
      </c>
      <c r="CA19" s="56">
        <v>12</v>
      </c>
      <c r="CB19" s="61"/>
      <c r="CC19" s="61"/>
      <c r="CD19" s="68" t="str">
        <f t="shared" si="25"/>
        <v/>
      </c>
      <c r="CE19" s="69" t="str">
        <f t="shared" si="26"/>
        <v/>
      </c>
      <c r="CF19" s="69" t="str">
        <f t="shared" si="27"/>
        <v/>
      </c>
      <c r="CG19" s="62"/>
      <c r="CH19" s="62"/>
      <c r="CI19" s="65" t="str">
        <f t="shared" si="28"/>
        <v/>
      </c>
      <c r="CJ19" s="56">
        <v>12</v>
      </c>
      <c r="CK19" s="61"/>
      <c r="CL19" s="61"/>
      <c r="CM19" s="68" t="str">
        <f t="shared" si="29"/>
        <v/>
      </c>
      <c r="CN19" s="68" t="str">
        <f t="shared" si="30"/>
        <v/>
      </c>
      <c r="CO19" s="68" t="str">
        <f t="shared" si="31"/>
        <v/>
      </c>
      <c r="CP19" s="62"/>
      <c r="CQ19" s="62"/>
      <c r="CR19" s="65" t="str">
        <f t="shared" si="32"/>
        <v/>
      </c>
      <c r="CS19" s="56">
        <v>12</v>
      </c>
      <c r="CT19" s="61"/>
      <c r="CU19" s="61"/>
      <c r="CV19" s="68" t="str">
        <f t="shared" si="33"/>
        <v/>
      </c>
      <c r="CW19" s="68" t="str">
        <f t="shared" si="34"/>
        <v/>
      </c>
      <c r="CX19" s="69" t="str">
        <f t="shared" si="35"/>
        <v/>
      </c>
      <c r="CY19" s="66"/>
      <c r="CZ19" s="66"/>
      <c r="DA19" s="66"/>
      <c r="DB19" s="65" t="str">
        <f t="shared" si="36"/>
        <v/>
      </c>
      <c r="DC19" s="56">
        <v>12</v>
      </c>
      <c r="DD19" s="61"/>
      <c r="DE19" s="61"/>
      <c r="DF19" s="68" t="str">
        <f t="shared" si="37"/>
        <v/>
      </c>
      <c r="DG19" s="69" t="str">
        <f t="shared" si="38"/>
        <v/>
      </c>
      <c r="DH19" s="68" t="str">
        <f t="shared" si="39"/>
        <v/>
      </c>
      <c r="DI19" s="62"/>
      <c r="DJ19" s="62"/>
      <c r="DK19" s="65" t="str">
        <f t="shared" si="40"/>
        <v/>
      </c>
      <c r="DL19" s="56">
        <v>12</v>
      </c>
      <c r="DM19" s="63"/>
      <c r="DN19" s="64"/>
      <c r="DO19" s="64"/>
      <c r="DP19" s="64"/>
      <c r="DQ19" s="63"/>
      <c r="DR19" s="61"/>
      <c r="DS19" s="64"/>
      <c r="DT19" s="61"/>
      <c r="DU19" s="63"/>
      <c r="DV19" s="64"/>
      <c r="DW19" s="64"/>
      <c r="DX19" s="66"/>
      <c r="DY19" s="65" t="str">
        <f t="shared" si="41"/>
        <v/>
      </c>
      <c r="DZ19" s="128">
        <v>12</v>
      </c>
      <c r="EA19" s="173" t="str">
        <f t="shared" si="42"/>
        <v/>
      </c>
      <c r="EB19" s="173" t="str">
        <f t="shared" si="43"/>
        <v/>
      </c>
      <c r="EC19" s="173" t="str">
        <f t="shared" si="44"/>
        <v/>
      </c>
      <c r="ED19" s="63"/>
      <c r="EE19" s="63"/>
      <c r="EF19" s="63"/>
      <c r="EG19" s="63"/>
      <c r="EH19" s="127" t="str">
        <f t="shared" si="5"/>
        <v/>
      </c>
      <c r="EI19" s="56">
        <v>12</v>
      </c>
      <c r="EJ19" s="334"/>
      <c r="EK19" s="334"/>
      <c r="EL19" s="334"/>
      <c r="EM19" s="334"/>
      <c r="EN19" s="334"/>
      <c r="EO19" s="334"/>
      <c r="EP19" s="334"/>
      <c r="EQ19" s="65" t="str">
        <f t="shared" si="45"/>
        <v/>
      </c>
    </row>
    <row r="20" spans="1:147" s="3" customFormat="1" ht="17.149999999999999" customHeight="1" x14ac:dyDescent="0.2">
      <c r="A20" s="56">
        <v>13</v>
      </c>
      <c r="B20" s="57"/>
      <c r="C20" s="58" t="str">
        <f t="shared" si="6"/>
        <v/>
      </c>
      <c r="D20" s="167"/>
      <c r="E20" s="59"/>
      <c r="F20" s="58" t="str">
        <f t="shared" si="7"/>
        <v/>
      </c>
      <c r="G20" s="168"/>
      <c r="H20" s="57"/>
      <c r="I20" s="58" t="str">
        <f t="shared" si="0"/>
        <v/>
      </c>
      <c r="J20" s="60"/>
      <c r="K20" s="56">
        <v>13</v>
      </c>
      <c r="L20" s="57"/>
      <c r="M20" s="58" t="str">
        <f t="shared" si="8"/>
        <v/>
      </c>
      <c r="N20" s="59"/>
      <c r="O20" s="58" t="str">
        <f t="shared" si="9"/>
        <v/>
      </c>
      <c r="P20" s="57"/>
      <c r="Q20" s="169" t="str">
        <f t="shared" si="1"/>
        <v/>
      </c>
      <c r="R20" s="57"/>
      <c r="S20" s="57"/>
      <c r="T20" s="57"/>
      <c r="U20" s="57"/>
      <c r="V20" s="58" t="str">
        <f t="shared" si="10"/>
        <v/>
      </c>
      <c r="W20" s="56">
        <v>13</v>
      </c>
      <c r="X20" s="63"/>
      <c r="Y20" s="130" t="str">
        <f t="shared" si="11"/>
        <v/>
      </c>
      <c r="Z20" s="63"/>
      <c r="AA20" s="130" t="str">
        <f t="shared" si="12"/>
        <v/>
      </c>
      <c r="AB20" s="63"/>
      <c r="AC20" s="130" t="str">
        <f t="shared" si="13"/>
        <v/>
      </c>
      <c r="AD20" s="63"/>
      <c r="AE20" s="130" t="str">
        <f t="shared" si="2"/>
        <v/>
      </c>
      <c r="AF20" s="125" t="str">
        <f t="shared" si="14"/>
        <v/>
      </c>
      <c r="AG20" s="56">
        <v>13</v>
      </c>
      <c r="AH20" s="63"/>
      <c r="AI20" s="130" t="str">
        <f t="shared" si="15"/>
        <v/>
      </c>
      <c r="AJ20" s="63"/>
      <c r="AK20" s="130" t="str">
        <f t="shared" si="16"/>
        <v/>
      </c>
      <c r="AL20" s="63"/>
      <c r="AM20" s="130" t="str">
        <f t="shared" si="17"/>
        <v/>
      </c>
      <c r="AN20" s="63"/>
      <c r="AO20" s="130" t="str">
        <f t="shared" si="3"/>
        <v/>
      </c>
      <c r="AP20" s="125" t="str">
        <f t="shared" si="18"/>
        <v/>
      </c>
      <c r="AQ20" s="56">
        <v>13</v>
      </c>
      <c r="AR20" s="63"/>
      <c r="AS20" s="130" t="str">
        <f t="shared" si="19"/>
        <v/>
      </c>
      <c r="AT20" s="63"/>
      <c r="AU20" s="130" t="str">
        <f t="shared" si="20"/>
        <v/>
      </c>
      <c r="AV20" s="63"/>
      <c r="AW20" s="130" t="str">
        <f t="shared" si="21"/>
        <v/>
      </c>
      <c r="AX20" s="63"/>
      <c r="AY20" s="130" t="str">
        <f t="shared" si="4"/>
        <v/>
      </c>
      <c r="AZ20" s="125" t="str">
        <f t="shared" si="22"/>
        <v/>
      </c>
      <c r="BA20" s="56">
        <v>13</v>
      </c>
      <c r="BB20" s="63"/>
      <c r="BC20" s="62"/>
      <c r="BD20" s="61"/>
      <c r="BE20" s="61"/>
      <c r="BF20" s="61"/>
      <c r="BG20" s="61"/>
      <c r="BH20" s="64"/>
      <c r="BI20" s="64"/>
      <c r="BJ20" s="64"/>
      <c r="BK20" s="64"/>
      <c r="BL20" s="64"/>
      <c r="BM20" s="64"/>
      <c r="BN20" s="65" t="str">
        <f t="shared" si="23"/>
        <v/>
      </c>
      <c r="BO20" s="56">
        <v>13</v>
      </c>
      <c r="BP20" s="64"/>
      <c r="BQ20" s="62"/>
      <c r="BR20" s="61"/>
      <c r="BS20" s="61"/>
      <c r="BT20" s="61"/>
      <c r="BU20" s="64"/>
      <c r="BV20" s="63"/>
      <c r="BW20" s="63"/>
      <c r="BX20" s="66"/>
      <c r="BY20" s="172"/>
      <c r="BZ20" s="67" t="str">
        <f t="shared" si="24"/>
        <v/>
      </c>
      <c r="CA20" s="56">
        <v>13</v>
      </c>
      <c r="CB20" s="61"/>
      <c r="CC20" s="61"/>
      <c r="CD20" s="68" t="str">
        <f t="shared" si="25"/>
        <v/>
      </c>
      <c r="CE20" s="69" t="str">
        <f t="shared" si="26"/>
        <v/>
      </c>
      <c r="CF20" s="69" t="str">
        <f t="shared" si="27"/>
        <v/>
      </c>
      <c r="CG20" s="62"/>
      <c r="CH20" s="62"/>
      <c r="CI20" s="65" t="str">
        <f t="shared" si="28"/>
        <v/>
      </c>
      <c r="CJ20" s="56">
        <v>13</v>
      </c>
      <c r="CK20" s="61"/>
      <c r="CL20" s="61"/>
      <c r="CM20" s="68" t="str">
        <f t="shared" si="29"/>
        <v/>
      </c>
      <c r="CN20" s="68" t="str">
        <f t="shared" si="30"/>
        <v/>
      </c>
      <c r="CO20" s="68" t="str">
        <f t="shared" si="31"/>
        <v/>
      </c>
      <c r="CP20" s="62"/>
      <c r="CQ20" s="62"/>
      <c r="CR20" s="65" t="str">
        <f t="shared" si="32"/>
        <v/>
      </c>
      <c r="CS20" s="56">
        <v>13</v>
      </c>
      <c r="CT20" s="61"/>
      <c r="CU20" s="61"/>
      <c r="CV20" s="68" t="str">
        <f t="shared" si="33"/>
        <v/>
      </c>
      <c r="CW20" s="68" t="str">
        <f t="shared" si="34"/>
        <v/>
      </c>
      <c r="CX20" s="69" t="str">
        <f t="shared" si="35"/>
        <v/>
      </c>
      <c r="CY20" s="66"/>
      <c r="CZ20" s="66"/>
      <c r="DA20" s="66"/>
      <c r="DB20" s="65" t="str">
        <f t="shared" si="36"/>
        <v/>
      </c>
      <c r="DC20" s="56">
        <v>13</v>
      </c>
      <c r="DD20" s="61"/>
      <c r="DE20" s="61"/>
      <c r="DF20" s="68" t="str">
        <f t="shared" si="37"/>
        <v/>
      </c>
      <c r="DG20" s="69" t="str">
        <f t="shared" si="38"/>
        <v/>
      </c>
      <c r="DH20" s="68" t="str">
        <f t="shared" si="39"/>
        <v/>
      </c>
      <c r="DI20" s="62"/>
      <c r="DJ20" s="62"/>
      <c r="DK20" s="65" t="str">
        <f t="shared" si="40"/>
        <v/>
      </c>
      <c r="DL20" s="56">
        <v>13</v>
      </c>
      <c r="DM20" s="63"/>
      <c r="DN20" s="64"/>
      <c r="DO20" s="64"/>
      <c r="DP20" s="64"/>
      <c r="DQ20" s="63"/>
      <c r="DR20" s="61"/>
      <c r="DS20" s="64"/>
      <c r="DT20" s="61"/>
      <c r="DU20" s="63"/>
      <c r="DV20" s="64"/>
      <c r="DW20" s="64"/>
      <c r="DX20" s="66"/>
      <c r="DY20" s="65" t="str">
        <f t="shared" si="41"/>
        <v/>
      </c>
      <c r="DZ20" s="128">
        <v>13</v>
      </c>
      <c r="EA20" s="173" t="str">
        <f t="shared" si="42"/>
        <v/>
      </c>
      <c r="EB20" s="173" t="str">
        <f t="shared" si="43"/>
        <v/>
      </c>
      <c r="EC20" s="173" t="str">
        <f t="shared" si="44"/>
        <v/>
      </c>
      <c r="ED20" s="63"/>
      <c r="EE20" s="63"/>
      <c r="EF20" s="63"/>
      <c r="EG20" s="63"/>
      <c r="EH20" s="127" t="str">
        <f t="shared" si="5"/>
        <v/>
      </c>
      <c r="EI20" s="56">
        <v>13</v>
      </c>
      <c r="EJ20" s="334"/>
      <c r="EK20" s="334"/>
      <c r="EL20" s="334"/>
      <c r="EM20" s="334"/>
      <c r="EN20" s="334"/>
      <c r="EO20" s="334"/>
      <c r="EP20" s="334"/>
      <c r="EQ20" s="65" t="str">
        <f t="shared" si="45"/>
        <v/>
      </c>
    </row>
    <row r="21" spans="1:147" s="3" customFormat="1" ht="17.149999999999999" customHeight="1" x14ac:dyDescent="0.2">
      <c r="A21" s="56">
        <v>14</v>
      </c>
      <c r="B21" s="57"/>
      <c r="C21" s="58" t="str">
        <f t="shared" si="6"/>
        <v/>
      </c>
      <c r="D21" s="167"/>
      <c r="E21" s="59"/>
      <c r="F21" s="58" t="str">
        <f t="shared" si="7"/>
        <v/>
      </c>
      <c r="G21" s="168"/>
      <c r="H21" s="57"/>
      <c r="I21" s="58" t="str">
        <f t="shared" si="0"/>
        <v/>
      </c>
      <c r="J21" s="60"/>
      <c r="K21" s="56">
        <v>14</v>
      </c>
      <c r="L21" s="57"/>
      <c r="M21" s="58" t="str">
        <f t="shared" si="8"/>
        <v/>
      </c>
      <c r="N21" s="59"/>
      <c r="O21" s="58" t="str">
        <f t="shared" si="9"/>
        <v/>
      </c>
      <c r="P21" s="57"/>
      <c r="Q21" s="169" t="str">
        <f t="shared" si="1"/>
        <v/>
      </c>
      <c r="R21" s="57"/>
      <c r="S21" s="57"/>
      <c r="T21" s="57"/>
      <c r="U21" s="57"/>
      <c r="V21" s="58" t="str">
        <f t="shared" si="10"/>
        <v/>
      </c>
      <c r="W21" s="56">
        <v>14</v>
      </c>
      <c r="X21" s="63"/>
      <c r="Y21" s="130" t="str">
        <f t="shared" si="11"/>
        <v/>
      </c>
      <c r="Z21" s="63"/>
      <c r="AA21" s="130" t="str">
        <f t="shared" si="12"/>
        <v/>
      </c>
      <c r="AB21" s="63"/>
      <c r="AC21" s="130" t="str">
        <f t="shared" si="13"/>
        <v/>
      </c>
      <c r="AD21" s="63"/>
      <c r="AE21" s="130" t="str">
        <f t="shared" si="2"/>
        <v/>
      </c>
      <c r="AF21" s="125" t="str">
        <f t="shared" si="14"/>
        <v/>
      </c>
      <c r="AG21" s="56">
        <v>14</v>
      </c>
      <c r="AH21" s="63"/>
      <c r="AI21" s="130" t="str">
        <f t="shared" si="15"/>
        <v/>
      </c>
      <c r="AJ21" s="63"/>
      <c r="AK21" s="130" t="str">
        <f t="shared" si="16"/>
        <v/>
      </c>
      <c r="AL21" s="63"/>
      <c r="AM21" s="130" t="str">
        <f t="shared" si="17"/>
        <v/>
      </c>
      <c r="AN21" s="63"/>
      <c r="AO21" s="130" t="str">
        <f t="shared" si="3"/>
        <v/>
      </c>
      <c r="AP21" s="125" t="str">
        <f t="shared" si="18"/>
        <v/>
      </c>
      <c r="AQ21" s="56">
        <v>14</v>
      </c>
      <c r="AR21" s="63"/>
      <c r="AS21" s="130" t="str">
        <f t="shared" si="19"/>
        <v/>
      </c>
      <c r="AT21" s="63"/>
      <c r="AU21" s="130" t="str">
        <f t="shared" si="20"/>
        <v/>
      </c>
      <c r="AV21" s="63"/>
      <c r="AW21" s="130" t="str">
        <f t="shared" si="21"/>
        <v/>
      </c>
      <c r="AX21" s="63"/>
      <c r="AY21" s="130" t="str">
        <f t="shared" si="4"/>
        <v/>
      </c>
      <c r="AZ21" s="125" t="str">
        <f t="shared" si="22"/>
        <v/>
      </c>
      <c r="BA21" s="56">
        <v>14</v>
      </c>
      <c r="BB21" s="63"/>
      <c r="BC21" s="62"/>
      <c r="BD21" s="61"/>
      <c r="BE21" s="61"/>
      <c r="BF21" s="61"/>
      <c r="BG21" s="61"/>
      <c r="BH21" s="64"/>
      <c r="BI21" s="64"/>
      <c r="BJ21" s="64"/>
      <c r="BK21" s="64"/>
      <c r="BL21" s="64"/>
      <c r="BM21" s="64"/>
      <c r="BN21" s="65" t="str">
        <f t="shared" si="23"/>
        <v/>
      </c>
      <c r="BO21" s="56">
        <v>14</v>
      </c>
      <c r="BP21" s="64"/>
      <c r="BQ21" s="62"/>
      <c r="BR21" s="61"/>
      <c r="BS21" s="61"/>
      <c r="BT21" s="61"/>
      <c r="BU21" s="64"/>
      <c r="BV21" s="63"/>
      <c r="BW21" s="63"/>
      <c r="BX21" s="66"/>
      <c r="BY21" s="172"/>
      <c r="BZ21" s="67" t="str">
        <f t="shared" si="24"/>
        <v/>
      </c>
      <c r="CA21" s="56">
        <v>14</v>
      </c>
      <c r="CB21" s="61"/>
      <c r="CC21" s="61"/>
      <c r="CD21" s="68" t="str">
        <f t="shared" si="25"/>
        <v/>
      </c>
      <c r="CE21" s="69" t="str">
        <f t="shared" si="26"/>
        <v/>
      </c>
      <c r="CF21" s="69" t="str">
        <f t="shared" si="27"/>
        <v/>
      </c>
      <c r="CG21" s="62"/>
      <c r="CH21" s="62"/>
      <c r="CI21" s="65" t="str">
        <f t="shared" si="28"/>
        <v/>
      </c>
      <c r="CJ21" s="56">
        <v>14</v>
      </c>
      <c r="CK21" s="61"/>
      <c r="CL21" s="61"/>
      <c r="CM21" s="68" t="str">
        <f t="shared" si="29"/>
        <v/>
      </c>
      <c r="CN21" s="68" t="str">
        <f t="shared" si="30"/>
        <v/>
      </c>
      <c r="CO21" s="68" t="str">
        <f t="shared" si="31"/>
        <v/>
      </c>
      <c r="CP21" s="62"/>
      <c r="CQ21" s="62"/>
      <c r="CR21" s="65" t="str">
        <f t="shared" si="32"/>
        <v/>
      </c>
      <c r="CS21" s="56">
        <v>14</v>
      </c>
      <c r="CT21" s="61"/>
      <c r="CU21" s="61"/>
      <c r="CV21" s="68" t="str">
        <f t="shared" si="33"/>
        <v/>
      </c>
      <c r="CW21" s="68" t="str">
        <f t="shared" si="34"/>
        <v/>
      </c>
      <c r="CX21" s="69" t="str">
        <f t="shared" si="35"/>
        <v/>
      </c>
      <c r="CY21" s="66"/>
      <c r="CZ21" s="66"/>
      <c r="DA21" s="66"/>
      <c r="DB21" s="65" t="str">
        <f t="shared" si="36"/>
        <v/>
      </c>
      <c r="DC21" s="56">
        <v>14</v>
      </c>
      <c r="DD21" s="61"/>
      <c r="DE21" s="61"/>
      <c r="DF21" s="68" t="str">
        <f t="shared" si="37"/>
        <v/>
      </c>
      <c r="DG21" s="69" t="str">
        <f t="shared" si="38"/>
        <v/>
      </c>
      <c r="DH21" s="68" t="str">
        <f t="shared" si="39"/>
        <v/>
      </c>
      <c r="DI21" s="62"/>
      <c r="DJ21" s="62"/>
      <c r="DK21" s="65" t="str">
        <f t="shared" si="40"/>
        <v/>
      </c>
      <c r="DL21" s="56">
        <v>14</v>
      </c>
      <c r="DM21" s="63"/>
      <c r="DN21" s="64"/>
      <c r="DO21" s="64"/>
      <c r="DP21" s="64"/>
      <c r="DQ21" s="63"/>
      <c r="DR21" s="61"/>
      <c r="DS21" s="64"/>
      <c r="DT21" s="61"/>
      <c r="DU21" s="63"/>
      <c r="DV21" s="64"/>
      <c r="DW21" s="64"/>
      <c r="DX21" s="66"/>
      <c r="DY21" s="65" t="str">
        <f t="shared" si="41"/>
        <v/>
      </c>
      <c r="DZ21" s="128">
        <v>14</v>
      </c>
      <c r="EA21" s="173" t="str">
        <f t="shared" si="42"/>
        <v/>
      </c>
      <c r="EB21" s="173" t="str">
        <f t="shared" si="43"/>
        <v/>
      </c>
      <c r="EC21" s="173" t="str">
        <f t="shared" si="44"/>
        <v/>
      </c>
      <c r="ED21" s="63"/>
      <c r="EE21" s="63"/>
      <c r="EF21" s="63"/>
      <c r="EG21" s="63"/>
      <c r="EH21" s="127" t="str">
        <f t="shared" si="5"/>
        <v/>
      </c>
      <c r="EI21" s="56">
        <v>14</v>
      </c>
      <c r="EJ21" s="334"/>
      <c r="EK21" s="334"/>
      <c r="EL21" s="334"/>
      <c r="EM21" s="334"/>
      <c r="EN21" s="334"/>
      <c r="EO21" s="334"/>
      <c r="EP21" s="334"/>
      <c r="EQ21" s="65" t="str">
        <f t="shared" si="45"/>
        <v/>
      </c>
    </row>
    <row r="22" spans="1:147" s="3" customFormat="1" ht="17.149999999999999" customHeight="1" x14ac:dyDescent="0.3">
      <c r="A22" s="56">
        <v>15</v>
      </c>
      <c r="B22" s="57"/>
      <c r="C22" s="58" t="str">
        <f t="shared" si="6"/>
        <v/>
      </c>
      <c r="D22" s="167"/>
      <c r="E22" s="59"/>
      <c r="F22" s="58" t="str">
        <f t="shared" si="7"/>
        <v/>
      </c>
      <c r="G22" s="168"/>
      <c r="H22" s="57"/>
      <c r="I22" s="58" t="str">
        <f t="shared" si="0"/>
        <v/>
      </c>
      <c r="J22" s="60"/>
      <c r="K22" s="56">
        <v>15</v>
      </c>
      <c r="L22" s="57"/>
      <c r="M22" s="58" t="str">
        <f t="shared" si="8"/>
        <v/>
      </c>
      <c r="N22" s="59"/>
      <c r="O22" s="58" t="str">
        <f t="shared" si="9"/>
        <v/>
      </c>
      <c r="P22" s="57"/>
      <c r="Q22" s="169" t="str">
        <f t="shared" si="1"/>
        <v/>
      </c>
      <c r="R22" s="57"/>
      <c r="S22" s="57"/>
      <c r="T22" s="57"/>
      <c r="U22" s="57"/>
      <c r="V22" s="58" t="str">
        <f t="shared" si="10"/>
        <v/>
      </c>
      <c r="W22" s="56">
        <v>15</v>
      </c>
      <c r="X22" s="63"/>
      <c r="Y22" s="130" t="str">
        <f t="shared" si="11"/>
        <v/>
      </c>
      <c r="Z22" s="63"/>
      <c r="AA22" s="130" t="str">
        <f t="shared" si="12"/>
        <v/>
      </c>
      <c r="AB22" s="63"/>
      <c r="AC22" s="130" t="str">
        <f t="shared" si="13"/>
        <v/>
      </c>
      <c r="AD22" s="63"/>
      <c r="AE22" s="130" t="str">
        <f t="shared" si="2"/>
        <v/>
      </c>
      <c r="AF22" s="125" t="str">
        <f t="shared" si="14"/>
        <v/>
      </c>
      <c r="AG22" s="56">
        <v>15</v>
      </c>
      <c r="AH22" s="63"/>
      <c r="AI22" s="130" t="str">
        <f t="shared" si="15"/>
        <v/>
      </c>
      <c r="AJ22" s="63"/>
      <c r="AK22" s="130" t="str">
        <f t="shared" si="16"/>
        <v/>
      </c>
      <c r="AL22" s="63"/>
      <c r="AM22" s="130" t="str">
        <f t="shared" si="17"/>
        <v/>
      </c>
      <c r="AN22" s="63"/>
      <c r="AO22" s="130" t="str">
        <f t="shared" si="3"/>
        <v/>
      </c>
      <c r="AP22" s="125" t="str">
        <f t="shared" si="18"/>
        <v/>
      </c>
      <c r="AQ22" s="56">
        <v>15</v>
      </c>
      <c r="AR22" s="63"/>
      <c r="AS22" s="130" t="str">
        <f t="shared" si="19"/>
        <v/>
      </c>
      <c r="AT22" s="63"/>
      <c r="AU22" s="130" t="str">
        <f t="shared" si="20"/>
        <v/>
      </c>
      <c r="AV22" s="63"/>
      <c r="AW22" s="130" t="str">
        <f t="shared" si="21"/>
        <v/>
      </c>
      <c r="AX22" s="63"/>
      <c r="AY22" s="130" t="str">
        <f t="shared" si="4"/>
        <v/>
      </c>
      <c r="AZ22" s="125" t="str">
        <f t="shared" si="22"/>
        <v/>
      </c>
      <c r="BA22" s="56">
        <v>15</v>
      </c>
      <c r="BB22" s="63"/>
      <c r="BC22" s="70"/>
      <c r="BD22" s="71"/>
      <c r="BE22" s="71"/>
      <c r="BF22" s="71"/>
      <c r="BG22" s="71"/>
      <c r="BH22" s="72"/>
      <c r="BI22" s="72"/>
      <c r="BJ22" s="72"/>
      <c r="BK22" s="72"/>
      <c r="BL22" s="64"/>
      <c r="BM22" s="64"/>
      <c r="BN22" s="65" t="str">
        <f t="shared" si="23"/>
        <v/>
      </c>
      <c r="BO22" s="56">
        <v>15</v>
      </c>
      <c r="BP22" s="64"/>
      <c r="BQ22" s="62"/>
      <c r="BR22" s="61"/>
      <c r="BS22" s="61"/>
      <c r="BT22" s="61"/>
      <c r="BU22" s="64"/>
      <c r="BV22" s="63"/>
      <c r="BW22" s="63"/>
      <c r="BX22" s="66"/>
      <c r="BY22" s="172"/>
      <c r="BZ22" s="67" t="str">
        <f t="shared" si="24"/>
        <v/>
      </c>
      <c r="CA22" s="56">
        <v>15</v>
      </c>
      <c r="CB22" s="61"/>
      <c r="CC22" s="61"/>
      <c r="CD22" s="68" t="str">
        <f t="shared" si="25"/>
        <v/>
      </c>
      <c r="CE22" s="69" t="str">
        <f t="shared" si="26"/>
        <v/>
      </c>
      <c r="CF22" s="69" t="str">
        <f t="shared" si="27"/>
        <v/>
      </c>
      <c r="CG22" s="62"/>
      <c r="CH22" s="62"/>
      <c r="CI22" s="65" t="str">
        <f t="shared" si="28"/>
        <v/>
      </c>
      <c r="CJ22" s="56">
        <v>15</v>
      </c>
      <c r="CK22" s="61"/>
      <c r="CL22" s="61"/>
      <c r="CM22" s="68" t="str">
        <f t="shared" si="29"/>
        <v/>
      </c>
      <c r="CN22" s="68" t="str">
        <f t="shared" si="30"/>
        <v/>
      </c>
      <c r="CO22" s="68" t="str">
        <f t="shared" si="31"/>
        <v/>
      </c>
      <c r="CP22" s="62"/>
      <c r="CQ22" s="62"/>
      <c r="CR22" s="65" t="str">
        <f t="shared" si="32"/>
        <v/>
      </c>
      <c r="CS22" s="56">
        <v>15</v>
      </c>
      <c r="CT22" s="61"/>
      <c r="CU22" s="61"/>
      <c r="CV22" s="68" t="str">
        <f t="shared" si="33"/>
        <v/>
      </c>
      <c r="CW22" s="68" t="str">
        <f t="shared" si="34"/>
        <v/>
      </c>
      <c r="CX22" s="69" t="str">
        <f t="shared" si="35"/>
        <v/>
      </c>
      <c r="CY22" s="66"/>
      <c r="CZ22" s="66"/>
      <c r="DA22" s="66"/>
      <c r="DB22" s="65" t="str">
        <f t="shared" si="36"/>
        <v/>
      </c>
      <c r="DC22" s="56">
        <v>15</v>
      </c>
      <c r="DD22" s="61"/>
      <c r="DE22" s="61"/>
      <c r="DF22" s="68" t="str">
        <f t="shared" si="37"/>
        <v/>
      </c>
      <c r="DG22" s="69" t="str">
        <f t="shared" si="38"/>
        <v/>
      </c>
      <c r="DH22" s="68" t="str">
        <f t="shared" si="39"/>
        <v/>
      </c>
      <c r="DI22" s="62"/>
      <c r="DJ22" s="62"/>
      <c r="DK22" s="65" t="str">
        <f t="shared" si="40"/>
        <v/>
      </c>
      <c r="DL22" s="56">
        <v>15</v>
      </c>
      <c r="DM22" s="63"/>
      <c r="DN22" s="64"/>
      <c r="DO22" s="64"/>
      <c r="DP22" s="64"/>
      <c r="DQ22" s="63"/>
      <c r="DR22" s="61"/>
      <c r="DS22" s="64"/>
      <c r="DT22" s="61"/>
      <c r="DU22" s="63"/>
      <c r="DV22" s="64"/>
      <c r="DW22" s="64"/>
      <c r="DX22" s="66"/>
      <c r="DY22" s="65" t="str">
        <f t="shared" si="41"/>
        <v/>
      </c>
      <c r="DZ22" s="128">
        <v>15</v>
      </c>
      <c r="EA22" s="173" t="str">
        <f t="shared" si="42"/>
        <v/>
      </c>
      <c r="EB22" s="173" t="str">
        <f t="shared" si="43"/>
        <v/>
      </c>
      <c r="EC22" s="173" t="str">
        <f t="shared" si="44"/>
        <v/>
      </c>
      <c r="ED22" s="63"/>
      <c r="EE22" s="63"/>
      <c r="EF22" s="63"/>
      <c r="EG22" s="63"/>
      <c r="EH22" s="127" t="str">
        <f t="shared" si="5"/>
        <v/>
      </c>
      <c r="EI22" s="56">
        <v>15</v>
      </c>
      <c r="EJ22" s="334"/>
      <c r="EK22" s="334"/>
      <c r="EL22" s="334"/>
      <c r="EM22" s="334"/>
      <c r="EN22" s="334"/>
      <c r="EO22" s="334"/>
      <c r="EP22" s="334"/>
      <c r="EQ22" s="65" t="str">
        <f t="shared" si="45"/>
        <v/>
      </c>
    </row>
    <row r="23" spans="1:147" s="3" customFormat="1" ht="17.149999999999999" customHeight="1" x14ac:dyDescent="0.3">
      <c r="A23" s="56">
        <v>16</v>
      </c>
      <c r="B23" s="57"/>
      <c r="C23" s="58" t="str">
        <f t="shared" si="6"/>
        <v/>
      </c>
      <c r="D23" s="167"/>
      <c r="E23" s="59"/>
      <c r="F23" s="58" t="str">
        <f t="shared" si="7"/>
        <v/>
      </c>
      <c r="G23" s="168"/>
      <c r="H23" s="57"/>
      <c r="I23" s="58" t="str">
        <f t="shared" si="0"/>
        <v/>
      </c>
      <c r="J23" s="60"/>
      <c r="K23" s="56">
        <v>16</v>
      </c>
      <c r="L23" s="57"/>
      <c r="M23" s="58" t="str">
        <f t="shared" si="8"/>
        <v/>
      </c>
      <c r="N23" s="59"/>
      <c r="O23" s="58" t="str">
        <f t="shared" si="9"/>
        <v/>
      </c>
      <c r="P23" s="57"/>
      <c r="Q23" s="169" t="str">
        <f t="shared" si="1"/>
        <v/>
      </c>
      <c r="R23" s="57"/>
      <c r="S23" s="57"/>
      <c r="T23" s="57"/>
      <c r="U23" s="57"/>
      <c r="V23" s="58" t="str">
        <f t="shared" si="10"/>
        <v/>
      </c>
      <c r="W23" s="56">
        <v>16</v>
      </c>
      <c r="X23" s="63"/>
      <c r="Y23" s="130" t="str">
        <f t="shared" si="11"/>
        <v/>
      </c>
      <c r="Z23" s="63"/>
      <c r="AA23" s="130" t="str">
        <f t="shared" si="12"/>
        <v/>
      </c>
      <c r="AB23" s="63"/>
      <c r="AC23" s="130" t="str">
        <f t="shared" si="13"/>
        <v/>
      </c>
      <c r="AD23" s="63"/>
      <c r="AE23" s="130" t="str">
        <f t="shared" si="2"/>
        <v/>
      </c>
      <c r="AF23" s="125" t="str">
        <f t="shared" si="14"/>
        <v/>
      </c>
      <c r="AG23" s="56">
        <v>16</v>
      </c>
      <c r="AH23" s="63"/>
      <c r="AI23" s="130" t="str">
        <f t="shared" si="15"/>
        <v/>
      </c>
      <c r="AJ23" s="63"/>
      <c r="AK23" s="130" t="str">
        <f t="shared" si="16"/>
        <v/>
      </c>
      <c r="AL23" s="63"/>
      <c r="AM23" s="130" t="str">
        <f t="shared" si="17"/>
        <v/>
      </c>
      <c r="AN23" s="63"/>
      <c r="AO23" s="130" t="str">
        <f t="shared" si="3"/>
        <v/>
      </c>
      <c r="AP23" s="125" t="str">
        <f t="shared" si="18"/>
        <v/>
      </c>
      <c r="AQ23" s="56">
        <v>16</v>
      </c>
      <c r="AR23" s="63"/>
      <c r="AS23" s="130" t="str">
        <f t="shared" si="19"/>
        <v/>
      </c>
      <c r="AT23" s="63"/>
      <c r="AU23" s="130" t="str">
        <f t="shared" si="20"/>
        <v/>
      </c>
      <c r="AV23" s="63"/>
      <c r="AW23" s="130" t="str">
        <f t="shared" si="21"/>
        <v/>
      </c>
      <c r="AX23" s="63"/>
      <c r="AY23" s="130" t="str">
        <f t="shared" si="4"/>
        <v/>
      </c>
      <c r="AZ23" s="125" t="str">
        <f t="shared" si="22"/>
        <v/>
      </c>
      <c r="BA23" s="56">
        <v>16</v>
      </c>
      <c r="BB23" s="63"/>
      <c r="BC23" s="62"/>
      <c r="BD23" s="61"/>
      <c r="BE23" s="61"/>
      <c r="BF23" s="61"/>
      <c r="BG23" s="61"/>
      <c r="BH23" s="64"/>
      <c r="BI23" s="64"/>
      <c r="BJ23" s="64"/>
      <c r="BK23" s="64"/>
      <c r="BL23" s="64"/>
      <c r="BM23" s="64"/>
      <c r="BN23" s="65" t="str">
        <f t="shared" si="23"/>
        <v/>
      </c>
      <c r="BO23" s="56">
        <v>16</v>
      </c>
      <c r="BP23" s="64"/>
      <c r="BQ23" s="62"/>
      <c r="BR23" s="61"/>
      <c r="BS23" s="61"/>
      <c r="BT23" s="61"/>
      <c r="BU23" s="64"/>
      <c r="BV23" s="63"/>
      <c r="BW23" s="63"/>
      <c r="BX23" s="66"/>
      <c r="BY23" s="172"/>
      <c r="BZ23" s="67" t="str">
        <f t="shared" si="24"/>
        <v/>
      </c>
      <c r="CA23" s="56">
        <v>16</v>
      </c>
      <c r="CB23" s="61"/>
      <c r="CC23" s="61"/>
      <c r="CD23" s="68" t="str">
        <f t="shared" si="25"/>
        <v/>
      </c>
      <c r="CE23" s="69" t="str">
        <f t="shared" si="26"/>
        <v/>
      </c>
      <c r="CF23" s="69" t="str">
        <f t="shared" si="27"/>
        <v/>
      </c>
      <c r="CG23" s="62"/>
      <c r="CH23" s="62"/>
      <c r="CI23" s="65" t="str">
        <f t="shared" si="28"/>
        <v/>
      </c>
      <c r="CJ23" s="56">
        <v>16</v>
      </c>
      <c r="CK23" s="61"/>
      <c r="CL23" s="61"/>
      <c r="CM23" s="68" t="str">
        <f t="shared" si="29"/>
        <v/>
      </c>
      <c r="CN23" s="68" t="str">
        <f t="shared" si="30"/>
        <v/>
      </c>
      <c r="CO23" s="68" t="str">
        <f t="shared" si="31"/>
        <v/>
      </c>
      <c r="CP23" s="62"/>
      <c r="CQ23" s="62"/>
      <c r="CR23" s="65" t="str">
        <f t="shared" si="32"/>
        <v/>
      </c>
      <c r="CS23" s="56">
        <v>16</v>
      </c>
      <c r="CT23" s="61"/>
      <c r="CU23" s="61"/>
      <c r="CV23" s="68" t="str">
        <f t="shared" si="33"/>
        <v/>
      </c>
      <c r="CW23" s="68" t="str">
        <f t="shared" si="34"/>
        <v/>
      </c>
      <c r="CX23" s="69" t="str">
        <f t="shared" si="35"/>
        <v/>
      </c>
      <c r="CY23" s="66"/>
      <c r="CZ23" s="66"/>
      <c r="DA23" s="66"/>
      <c r="DB23" s="65" t="str">
        <f t="shared" si="36"/>
        <v/>
      </c>
      <c r="DC23" s="56">
        <v>16</v>
      </c>
      <c r="DD23" s="61"/>
      <c r="DE23" s="61"/>
      <c r="DF23" s="68" t="str">
        <f t="shared" si="37"/>
        <v/>
      </c>
      <c r="DG23" s="69" t="str">
        <f t="shared" si="38"/>
        <v/>
      </c>
      <c r="DH23" s="68" t="str">
        <f t="shared" si="39"/>
        <v/>
      </c>
      <c r="DI23" s="62"/>
      <c r="DJ23" s="62"/>
      <c r="DK23" s="65" t="str">
        <f t="shared" si="40"/>
        <v/>
      </c>
      <c r="DL23" s="56">
        <v>16</v>
      </c>
      <c r="DM23" s="63"/>
      <c r="DN23" s="64"/>
      <c r="DO23" s="64"/>
      <c r="DP23" s="64"/>
      <c r="DQ23" s="63"/>
      <c r="DR23" s="61"/>
      <c r="DS23" s="64"/>
      <c r="DT23" s="61"/>
      <c r="DU23" s="63"/>
      <c r="DV23" s="64"/>
      <c r="DW23" s="64"/>
      <c r="DX23" s="66"/>
      <c r="DY23" s="65" t="str">
        <f t="shared" si="41"/>
        <v/>
      </c>
      <c r="DZ23" s="128">
        <v>16</v>
      </c>
      <c r="EA23" s="173" t="str">
        <f t="shared" si="42"/>
        <v/>
      </c>
      <c r="EB23" s="173" t="str">
        <f t="shared" si="43"/>
        <v/>
      </c>
      <c r="EC23" s="173" t="str">
        <f t="shared" si="44"/>
        <v/>
      </c>
      <c r="ED23" s="63"/>
      <c r="EE23" s="63"/>
      <c r="EF23" s="63"/>
      <c r="EG23" s="63"/>
      <c r="EH23" s="127" t="str">
        <f t="shared" si="5"/>
        <v/>
      </c>
      <c r="EI23" s="56">
        <v>16</v>
      </c>
      <c r="EJ23" s="334"/>
      <c r="EK23" s="334"/>
      <c r="EL23" s="334"/>
      <c r="EM23" s="334"/>
      <c r="EN23" s="334"/>
      <c r="EO23" s="334"/>
      <c r="EP23" s="334"/>
      <c r="EQ23" s="65" t="str">
        <f t="shared" si="45"/>
        <v/>
      </c>
    </row>
    <row r="24" spans="1:147" s="3" customFormat="1" ht="17.149999999999999" customHeight="1" x14ac:dyDescent="0.3">
      <c r="A24" s="56">
        <v>17</v>
      </c>
      <c r="B24" s="57"/>
      <c r="C24" s="58" t="str">
        <f t="shared" si="6"/>
        <v/>
      </c>
      <c r="D24" s="167"/>
      <c r="E24" s="59"/>
      <c r="F24" s="58" t="str">
        <f t="shared" si="7"/>
        <v/>
      </c>
      <c r="G24" s="168"/>
      <c r="H24" s="57"/>
      <c r="I24" s="58" t="str">
        <f t="shared" si="0"/>
        <v/>
      </c>
      <c r="J24" s="60"/>
      <c r="K24" s="56">
        <v>17</v>
      </c>
      <c r="L24" s="57"/>
      <c r="M24" s="58" t="str">
        <f t="shared" si="8"/>
        <v/>
      </c>
      <c r="N24" s="59"/>
      <c r="O24" s="58" t="str">
        <f t="shared" si="9"/>
        <v/>
      </c>
      <c r="P24" s="57"/>
      <c r="Q24" s="169" t="str">
        <f t="shared" si="1"/>
        <v/>
      </c>
      <c r="R24" s="57"/>
      <c r="S24" s="57"/>
      <c r="T24" s="57"/>
      <c r="U24" s="57"/>
      <c r="V24" s="58" t="str">
        <f t="shared" si="10"/>
        <v/>
      </c>
      <c r="W24" s="56">
        <v>17</v>
      </c>
      <c r="X24" s="63"/>
      <c r="Y24" s="130" t="str">
        <f t="shared" si="11"/>
        <v/>
      </c>
      <c r="Z24" s="63"/>
      <c r="AA24" s="130" t="str">
        <f t="shared" si="12"/>
        <v/>
      </c>
      <c r="AB24" s="63"/>
      <c r="AC24" s="130" t="str">
        <f t="shared" si="13"/>
        <v/>
      </c>
      <c r="AD24" s="63"/>
      <c r="AE24" s="130" t="str">
        <f t="shared" si="2"/>
        <v/>
      </c>
      <c r="AF24" s="125" t="str">
        <f t="shared" si="14"/>
        <v/>
      </c>
      <c r="AG24" s="56">
        <v>17</v>
      </c>
      <c r="AH24" s="63"/>
      <c r="AI24" s="130" t="str">
        <f t="shared" si="15"/>
        <v/>
      </c>
      <c r="AJ24" s="63"/>
      <c r="AK24" s="130" t="str">
        <f t="shared" si="16"/>
        <v/>
      </c>
      <c r="AL24" s="63"/>
      <c r="AM24" s="130" t="str">
        <f t="shared" si="17"/>
        <v/>
      </c>
      <c r="AN24" s="63"/>
      <c r="AO24" s="130" t="str">
        <f t="shared" si="3"/>
        <v/>
      </c>
      <c r="AP24" s="125" t="str">
        <f t="shared" si="18"/>
        <v/>
      </c>
      <c r="AQ24" s="56">
        <v>17</v>
      </c>
      <c r="AR24" s="63"/>
      <c r="AS24" s="130" t="str">
        <f t="shared" si="19"/>
        <v/>
      </c>
      <c r="AT24" s="63"/>
      <c r="AU24" s="130" t="str">
        <f t="shared" si="20"/>
        <v/>
      </c>
      <c r="AV24" s="63"/>
      <c r="AW24" s="130" t="str">
        <f t="shared" si="21"/>
        <v/>
      </c>
      <c r="AX24" s="63"/>
      <c r="AY24" s="130" t="str">
        <f t="shared" si="4"/>
        <v/>
      </c>
      <c r="AZ24" s="125" t="str">
        <f t="shared" si="22"/>
        <v/>
      </c>
      <c r="BA24" s="56">
        <v>17</v>
      </c>
      <c r="BB24" s="63"/>
      <c r="BC24" s="62"/>
      <c r="BD24" s="61"/>
      <c r="BE24" s="61"/>
      <c r="BF24" s="61"/>
      <c r="BG24" s="61"/>
      <c r="BH24" s="64"/>
      <c r="BI24" s="64"/>
      <c r="BJ24" s="64"/>
      <c r="BK24" s="64"/>
      <c r="BL24" s="64"/>
      <c r="BM24" s="64"/>
      <c r="BN24" s="65" t="str">
        <f t="shared" si="23"/>
        <v/>
      </c>
      <c r="BO24" s="56">
        <v>17</v>
      </c>
      <c r="BP24" s="64"/>
      <c r="BQ24" s="62"/>
      <c r="BR24" s="61"/>
      <c r="BS24" s="61"/>
      <c r="BT24" s="61"/>
      <c r="BU24" s="64"/>
      <c r="BV24" s="63"/>
      <c r="BW24" s="63"/>
      <c r="BX24" s="66"/>
      <c r="BY24" s="172"/>
      <c r="BZ24" s="67" t="str">
        <f t="shared" si="24"/>
        <v/>
      </c>
      <c r="CA24" s="56">
        <v>17</v>
      </c>
      <c r="CB24" s="61"/>
      <c r="CC24" s="61"/>
      <c r="CD24" s="68" t="str">
        <f t="shared" si="25"/>
        <v/>
      </c>
      <c r="CE24" s="69" t="str">
        <f t="shared" si="26"/>
        <v/>
      </c>
      <c r="CF24" s="69" t="str">
        <f t="shared" si="27"/>
        <v/>
      </c>
      <c r="CG24" s="62"/>
      <c r="CH24" s="62"/>
      <c r="CI24" s="65" t="str">
        <f t="shared" si="28"/>
        <v/>
      </c>
      <c r="CJ24" s="56">
        <v>17</v>
      </c>
      <c r="CK24" s="61"/>
      <c r="CL24" s="61"/>
      <c r="CM24" s="68" t="str">
        <f t="shared" si="29"/>
        <v/>
      </c>
      <c r="CN24" s="68" t="str">
        <f t="shared" si="30"/>
        <v/>
      </c>
      <c r="CO24" s="68" t="str">
        <f t="shared" si="31"/>
        <v/>
      </c>
      <c r="CP24" s="62"/>
      <c r="CQ24" s="62"/>
      <c r="CR24" s="65" t="str">
        <f t="shared" si="32"/>
        <v/>
      </c>
      <c r="CS24" s="56">
        <v>17</v>
      </c>
      <c r="CT24" s="61"/>
      <c r="CU24" s="61"/>
      <c r="CV24" s="68" t="str">
        <f t="shared" si="33"/>
        <v/>
      </c>
      <c r="CW24" s="68" t="str">
        <f t="shared" si="34"/>
        <v/>
      </c>
      <c r="CX24" s="69" t="str">
        <f t="shared" si="35"/>
        <v/>
      </c>
      <c r="CY24" s="66"/>
      <c r="CZ24" s="66"/>
      <c r="DA24" s="66"/>
      <c r="DB24" s="65" t="str">
        <f t="shared" si="36"/>
        <v/>
      </c>
      <c r="DC24" s="56">
        <v>17</v>
      </c>
      <c r="DD24" s="61"/>
      <c r="DE24" s="61"/>
      <c r="DF24" s="68" t="str">
        <f t="shared" si="37"/>
        <v/>
      </c>
      <c r="DG24" s="69" t="str">
        <f t="shared" si="38"/>
        <v/>
      </c>
      <c r="DH24" s="68" t="str">
        <f t="shared" si="39"/>
        <v/>
      </c>
      <c r="DI24" s="62"/>
      <c r="DJ24" s="62"/>
      <c r="DK24" s="65" t="str">
        <f t="shared" si="40"/>
        <v/>
      </c>
      <c r="DL24" s="56">
        <v>17</v>
      </c>
      <c r="DM24" s="63"/>
      <c r="DN24" s="64"/>
      <c r="DO24" s="64"/>
      <c r="DP24" s="64"/>
      <c r="DQ24" s="63"/>
      <c r="DR24" s="61"/>
      <c r="DS24" s="64"/>
      <c r="DT24" s="61"/>
      <c r="DU24" s="63"/>
      <c r="DV24" s="64"/>
      <c r="DW24" s="64"/>
      <c r="DX24" s="66"/>
      <c r="DY24" s="65" t="str">
        <f t="shared" si="41"/>
        <v/>
      </c>
      <c r="DZ24" s="128">
        <v>17</v>
      </c>
      <c r="EA24" s="173" t="str">
        <f t="shared" si="42"/>
        <v/>
      </c>
      <c r="EB24" s="173" t="str">
        <f t="shared" si="43"/>
        <v/>
      </c>
      <c r="EC24" s="173" t="str">
        <f t="shared" si="44"/>
        <v/>
      </c>
      <c r="ED24" s="63"/>
      <c r="EE24" s="63"/>
      <c r="EF24" s="63"/>
      <c r="EG24" s="63"/>
      <c r="EH24" s="127" t="str">
        <f t="shared" si="5"/>
        <v/>
      </c>
      <c r="EI24" s="56">
        <v>17</v>
      </c>
      <c r="EJ24" s="334"/>
      <c r="EK24" s="334"/>
      <c r="EL24" s="334"/>
      <c r="EM24" s="334"/>
      <c r="EN24" s="334"/>
      <c r="EO24" s="334"/>
      <c r="EP24" s="334"/>
      <c r="EQ24" s="65" t="str">
        <f t="shared" si="45"/>
        <v/>
      </c>
    </row>
    <row r="25" spans="1:147" s="3" customFormat="1" ht="17.149999999999999" customHeight="1" x14ac:dyDescent="0.3">
      <c r="A25" s="56">
        <v>18</v>
      </c>
      <c r="B25" s="57"/>
      <c r="C25" s="58" t="str">
        <f t="shared" si="6"/>
        <v/>
      </c>
      <c r="D25" s="167"/>
      <c r="E25" s="59"/>
      <c r="F25" s="58" t="str">
        <f t="shared" si="7"/>
        <v/>
      </c>
      <c r="G25" s="168"/>
      <c r="H25" s="57"/>
      <c r="I25" s="58" t="str">
        <f t="shared" si="0"/>
        <v/>
      </c>
      <c r="J25" s="60"/>
      <c r="K25" s="56">
        <v>18</v>
      </c>
      <c r="L25" s="57"/>
      <c r="M25" s="58" t="str">
        <f t="shared" si="8"/>
        <v/>
      </c>
      <c r="N25" s="59"/>
      <c r="O25" s="58" t="str">
        <f t="shared" si="9"/>
        <v/>
      </c>
      <c r="P25" s="57"/>
      <c r="Q25" s="169" t="str">
        <f t="shared" si="1"/>
        <v/>
      </c>
      <c r="R25" s="57"/>
      <c r="S25" s="57"/>
      <c r="T25" s="57"/>
      <c r="U25" s="57"/>
      <c r="V25" s="58" t="str">
        <f t="shared" si="10"/>
        <v/>
      </c>
      <c r="W25" s="56">
        <v>18</v>
      </c>
      <c r="X25" s="63"/>
      <c r="Y25" s="130" t="str">
        <f t="shared" si="11"/>
        <v/>
      </c>
      <c r="Z25" s="63"/>
      <c r="AA25" s="130" t="str">
        <f t="shared" si="12"/>
        <v/>
      </c>
      <c r="AB25" s="63"/>
      <c r="AC25" s="130" t="str">
        <f t="shared" si="13"/>
        <v/>
      </c>
      <c r="AD25" s="63"/>
      <c r="AE25" s="130" t="str">
        <f t="shared" si="2"/>
        <v/>
      </c>
      <c r="AF25" s="125" t="str">
        <f t="shared" si="14"/>
        <v/>
      </c>
      <c r="AG25" s="56">
        <v>18</v>
      </c>
      <c r="AH25" s="63"/>
      <c r="AI25" s="130" t="str">
        <f t="shared" si="15"/>
        <v/>
      </c>
      <c r="AJ25" s="63"/>
      <c r="AK25" s="130" t="str">
        <f t="shared" si="16"/>
        <v/>
      </c>
      <c r="AL25" s="63"/>
      <c r="AM25" s="130" t="str">
        <f t="shared" si="17"/>
        <v/>
      </c>
      <c r="AN25" s="63"/>
      <c r="AO25" s="130" t="str">
        <f t="shared" si="3"/>
        <v/>
      </c>
      <c r="AP25" s="125" t="str">
        <f t="shared" si="18"/>
        <v/>
      </c>
      <c r="AQ25" s="56">
        <v>18</v>
      </c>
      <c r="AR25" s="63"/>
      <c r="AS25" s="130" t="str">
        <f t="shared" si="19"/>
        <v/>
      </c>
      <c r="AT25" s="63"/>
      <c r="AU25" s="130" t="str">
        <f t="shared" si="20"/>
        <v/>
      </c>
      <c r="AV25" s="63"/>
      <c r="AW25" s="130" t="str">
        <f t="shared" si="21"/>
        <v/>
      </c>
      <c r="AX25" s="63"/>
      <c r="AY25" s="130" t="str">
        <f t="shared" si="4"/>
        <v/>
      </c>
      <c r="AZ25" s="125" t="str">
        <f t="shared" si="22"/>
        <v/>
      </c>
      <c r="BA25" s="56">
        <v>18</v>
      </c>
      <c r="BB25" s="171"/>
      <c r="BC25" s="62"/>
      <c r="BD25" s="61"/>
      <c r="BE25" s="61"/>
      <c r="BF25" s="61"/>
      <c r="BG25" s="61"/>
      <c r="BH25" s="64"/>
      <c r="BI25" s="64"/>
      <c r="BJ25" s="64"/>
      <c r="BK25" s="64"/>
      <c r="BL25" s="64"/>
      <c r="BM25" s="64"/>
      <c r="BN25" s="65" t="str">
        <f t="shared" si="23"/>
        <v/>
      </c>
      <c r="BO25" s="56">
        <v>18</v>
      </c>
      <c r="BP25" s="64"/>
      <c r="BQ25" s="62"/>
      <c r="BR25" s="61"/>
      <c r="BS25" s="61"/>
      <c r="BT25" s="61"/>
      <c r="BU25" s="64"/>
      <c r="BV25" s="63"/>
      <c r="BW25" s="63"/>
      <c r="BX25" s="66"/>
      <c r="BY25" s="172"/>
      <c r="BZ25" s="67" t="str">
        <f t="shared" si="24"/>
        <v/>
      </c>
      <c r="CA25" s="56">
        <v>18</v>
      </c>
      <c r="CB25" s="61"/>
      <c r="CC25" s="61"/>
      <c r="CD25" s="68" t="str">
        <f t="shared" si="25"/>
        <v/>
      </c>
      <c r="CE25" s="69" t="str">
        <f t="shared" si="26"/>
        <v/>
      </c>
      <c r="CF25" s="69" t="str">
        <f t="shared" si="27"/>
        <v/>
      </c>
      <c r="CG25" s="62"/>
      <c r="CH25" s="62"/>
      <c r="CI25" s="65" t="str">
        <f t="shared" si="28"/>
        <v/>
      </c>
      <c r="CJ25" s="56">
        <v>18</v>
      </c>
      <c r="CK25" s="61"/>
      <c r="CL25" s="61"/>
      <c r="CM25" s="68" t="str">
        <f t="shared" si="29"/>
        <v/>
      </c>
      <c r="CN25" s="68" t="str">
        <f t="shared" si="30"/>
        <v/>
      </c>
      <c r="CO25" s="68" t="str">
        <f t="shared" si="31"/>
        <v/>
      </c>
      <c r="CP25" s="62"/>
      <c r="CQ25" s="62"/>
      <c r="CR25" s="65" t="str">
        <f t="shared" si="32"/>
        <v/>
      </c>
      <c r="CS25" s="56">
        <v>18</v>
      </c>
      <c r="CT25" s="61"/>
      <c r="CU25" s="61"/>
      <c r="CV25" s="68" t="str">
        <f t="shared" si="33"/>
        <v/>
      </c>
      <c r="CW25" s="68" t="str">
        <f t="shared" si="34"/>
        <v/>
      </c>
      <c r="CX25" s="69" t="str">
        <f t="shared" si="35"/>
        <v/>
      </c>
      <c r="CY25" s="66"/>
      <c r="CZ25" s="66"/>
      <c r="DA25" s="66"/>
      <c r="DB25" s="65" t="str">
        <f t="shared" si="36"/>
        <v/>
      </c>
      <c r="DC25" s="56">
        <v>18</v>
      </c>
      <c r="DD25" s="61"/>
      <c r="DE25" s="61"/>
      <c r="DF25" s="68" t="str">
        <f t="shared" si="37"/>
        <v/>
      </c>
      <c r="DG25" s="69" t="str">
        <f t="shared" si="38"/>
        <v/>
      </c>
      <c r="DH25" s="68" t="str">
        <f t="shared" si="39"/>
        <v/>
      </c>
      <c r="DI25" s="62"/>
      <c r="DJ25" s="62"/>
      <c r="DK25" s="65" t="str">
        <f t="shared" si="40"/>
        <v/>
      </c>
      <c r="DL25" s="56">
        <v>18</v>
      </c>
      <c r="DM25" s="63"/>
      <c r="DN25" s="64"/>
      <c r="DO25" s="64"/>
      <c r="DP25" s="64"/>
      <c r="DQ25" s="63"/>
      <c r="DR25" s="61"/>
      <c r="DS25" s="64"/>
      <c r="DT25" s="61"/>
      <c r="DU25" s="63"/>
      <c r="DV25" s="64"/>
      <c r="DW25" s="64"/>
      <c r="DX25" s="66"/>
      <c r="DY25" s="65" t="str">
        <f t="shared" si="41"/>
        <v/>
      </c>
      <c r="DZ25" s="128">
        <v>18</v>
      </c>
      <c r="EA25" s="173" t="str">
        <f t="shared" si="42"/>
        <v/>
      </c>
      <c r="EB25" s="173" t="str">
        <f t="shared" si="43"/>
        <v/>
      </c>
      <c r="EC25" s="173" t="str">
        <f t="shared" si="44"/>
        <v/>
      </c>
      <c r="ED25" s="63"/>
      <c r="EE25" s="63"/>
      <c r="EF25" s="63"/>
      <c r="EG25" s="63"/>
      <c r="EH25" s="127" t="str">
        <f t="shared" si="5"/>
        <v/>
      </c>
      <c r="EI25" s="56">
        <v>18</v>
      </c>
      <c r="EJ25" s="334"/>
      <c r="EK25" s="334"/>
      <c r="EL25" s="334"/>
      <c r="EM25" s="334"/>
      <c r="EN25" s="334"/>
      <c r="EO25" s="334"/>
      <c r="EP25" s="334"/>
      <c r="EQ25" s="65" t="str">
        <f t="shared" si="45"/>
        <v/>
      </c>
    </row>
    <row r="26" spans="1:147" s="3" customFormat="1" ht="17.149999999999999" customHeight="1" x14ac:dyDescent="0.3">
      <c r="A26" s="56">
        <v>19</v>
      </c>
      <c r="B26" s="57"/>
      <c r="C26" s="58" t="str">
        <f t="shared" si="6"/>
        <v/>
      </c>
      <c r="D26" s="167"/>
      <c r="E26" s="59"/>
      <c r="F26" s="58" t="str">
        <f t="shared" si="7"/>
        <v/>
      </c>
      <c r="G26" s="168"/>
      <c r="H26" s="57"/>
      <c r="I26" s="58" t="str">
        <f t="shared" si="0"/>
        <v/>
      </c>
      <c r="J26" s="60"/>
      <c r="K26" s="56">
        <v>19</v>
      </c>
      <c r="L26" s="57"/>
      <c r="M26" s="58" t="str">
        <f t="shared" si="8"/>
        <v/>
      </c>
      <c r="N26" s="59"/>
      <c r="O26" s="58" t="str">
        <f t="shared" si="9"/>
        <v/>
      </c>
      <c r="P26" s="57"/>
      <c r="Q26" s="169" t="str">
        <f t="shared" si="1"/>
        <v/>
      </c>
      <c r="R26" s="57"/>
      <c r="S26" s="57"/>
      <c r="T26" s="57"/>
      <c r="U26" s="57"/>
      <c r="V26" s="58" t="str">
        <f t="shared" si="10"/>
        <v/>
      </c>
      <c r="W26" s="56">
        <v>19</v>
      </c>
      <c r="X26" s="63"/>
      <c r="Y26" s="130" t="str">
        <f t="shared" si="11"/>
        <v/>
      </c>
      <c r="Z26" s="63"/>
      <c r="AA26" s="130" t="str">
        <f t="shared" si="12"/>
        <v/>
      </c>
      <c r="AB26" s="63"/>
      <c r="AC26" s="130" t="str">
        <f t="shared" si="13"/>
        <v/>
      </c>
      <c r="AD26" s="63"/>
      <c r="AE26" s="130" t="str">
        <f t="shared" si="2"/>
        <v/>
      </c>
      <c r="AF26" s="125" t="str">
        <f t="shared" si="14"/>
        <v/>
      </c>
      <c r="AG26" s="56">
        <v>19</v>
      </c>
      <c r="AH26" s="63"/>
      <c r="AI26" s="130" t="str">
        <f t="shared" si="15"/>
        <v/>
      </c>
      <c r="AJ26" s="63"/>
      <c r="AK26" s="130" t="str">
        <f t="shared" si="16"/>
        <v/>
      </c>
      <c r="AL26" s="63"/>
      <c r="AM26" s="130" t="str">
        <f t="shared" si="17"/>
        <v/>
      </c>
      <c r="AN26" s="63"/>
      <c r="AO26" s="130" t="str">
        <f t="shared" si="3"/>
        <v/>
      </c>
      <c r="AP26" s="125" t="str">
        <f t="shared" si="18"/>
        <v/>
      </c>
      <c r="AQ26" s="56">
        <v>19</v>
      </c>
      <c r="AR26" s="63"/>
      <c r="AS26" s="130" t="str">
        <f t="shared" si="19"/>
        <v/>
      </c>
      <c r="AT26" s="63"/>
      <c r="AU26" s="130" t="str">
        <f t="shared" si="20"/>
        <v/>
      </c>
      <c r="AV26" s="63"/>
      <c r="AW26" s="130" t="str">
        <f t="shared" si="21"/>
        <v/>
      </c>
      <c r="AX26" s="63"/>
      <c r="AY26" s="130" t="str">
        <f t="shared" si="4"/>
        <v/>
      </c>
      <c r="AZ26" s="125" t="str">
        <f t="shared" si="22"/>
        <v/>
      </c>
      <c r="BA26" s="56">
        <v>19</v>
      </c>
      <c r="BB26" s="63"/>
      <c r="BC26" s="62"/>
      <c r="BD26" s="61"/>
      <c r="BE26" s="61"/>
      <c r="BF26" s="61"/>
      <c r="BG26" s="61"/>
      <c r="BH26" s="64"/>
      <c r="BI26" s="64"/>
      <c r="BJ26" s="64"/>
      <c r="BK26" s="64"/>
      <c r="BL26" s="64"/>
      <c r="BM26" s="64"/>
      <c r="BN26" s="65" t="str">
        <f t="shared" si="23"/>
        <v/>
      </c>
      <c r="BO26" s="56">
        <v>19</v>
      </c>
      <c r="BP26" s="64"/>
      <c r="BQ26" s="62"/>
      <c r="BR26" s="61"/>
      <c r="BS26" s="61"/>
      <c r="BT26" s="61"/>
      <c r="BU26" s="64"/>
      <c r="BV26" s="63"/>
      <c r="BW26" s="63"/>
      <c r="BX26" s="66"/>
      <c r="BY26" s="172"/>
      <c r="BZ26" s="67" t="str">
        <f t="shared" si="24"/>
        <v/>
      </c>
      <c r="CA26" s="56">
        <v>19</v>
      </c>
      <c r="CB26" s="61"/>
      <c r="CC26" s="61"/>
      <c r="CD26" s="68" t="str">
        <f t="shared" si="25"/>
        <v/>
      </c>
      <c r="CE26" s="69" t="str">
        <f t="shared" si="26"/>
        <v/>
      </c>
      <c r="CF26" s="69" t="str">
        <f t="shared" si="27"/>
        <v/>
      </c>
      <c r="CG26" s="62"/>
      <c r="CH26" s="62"/>
      <c r="CI26" s="65" t="str">
        <f t="shared" si="28"/>
        <v/>
      </c>
      <c r="CJ26" s="56">
        <v>19</v>
      </c>
      <c r="CK26" s="61"/>
      <c r="CL26" s="61"/>
      <c r="CM26" s="68" t="str">
        <f t="shared" si="29"/>
        <v/>
      </c>
      <c r="CN26" s="68" t="str">
        <f t="shared" si="30"/>
        <v/>
      </c>
      <c r="CO26" s="68" t="str">
        <f t="shared" si="31"/>
        <v/>
      </c>
      <c r="CP26" s="62"/>
      <c r="CQ26" s="62"/>
      <c r="CR26" s="65" t="str">
        <f t="shared" si="32"/>
        <v/>
      </c>
      <c r="CS26" s="56">
        <v>19</v>
      </c>
      <c r="CT26" s="61"/>
      <c r="CU26" s="61"/>
      <c r="CV26" s="68" t="str">
        <f t="shared" si="33"/>
        <v/>
      </c>
      <c r="CW26" s="68" t="str">
        <f t="shared" si="34"/>
        <v/>
      </c>
      <c r="CX26" s="69" t="str">
        <f t="shared" si="35"/>
        <v/>
      </c>
      <c r="CY26" s="66"/>
      <c r="CZ26" s="66"/>
      <c r="DA26" s="66"/>
      <c r="DB26" s="65" t="str">
        <f t="shared" si="36"/>
        <v/>
      </c>
      <c r="DC26" s="56">
        <v>19</v>
      </c>
      <c r="DD26" s="61"/>
      <c r="DE26" s="61"/>
      <c r="DF26" s="68" t="str">
        <f t="shared" si="37"/>
        <v/>
      </c>
      <c r="DG26" s="69" t="str">
        <f t="shared" si="38"/>
        <v/>
      </c>
      <c r="DH26" s="68" t="str">
        <f t="shared" si="39"/>
        <v/>
      </c>
      <c r="DI26" s="62"/>
      <c r="DJ26" s="62"/>
      <c r="DK26" s="65" t="str">
        <f t="shared" si="40"/>
        <v/>
      </c>
      <c r="DL26" s="56">
        <v>19</v>
      </c>
      <c r="DM26" s="63"/>
      <c r="DN26" s="64"/>
      <c r="DO26" s="64"/>
      <c r="DP26" s="64"/>
      <c r="DQ26" s="63"/>
      <c r="DR26" s="61"/>
      <c r="DS26" s="64"/>
      <c r="DT26" s="61"/>
      <c r="DU26" s="63"/>
      <c r="DV26" s="64"/>
      <c r="DW26" s="64"/>
      <c r="DX26" s="66"/>
      <c r="DY26" s="65" t="str">
        <f t="shared" si="41"/>
        <v/>
      </c>
      <c r="DZ26" s="128">
        <v>19</v>
      </c>
      <c r="EA26" s="173" t="str">
        <f t="shared" si="42"/>
        <v/>
      </c>
      <c r="EB26" s="173" t="str">
        <f t="shared" si="43"/>
        <v/>
      </c>
      <c r="EC26" s="173" t="str">
        <f t="shared" si="44"/>
        <v/>
      </c>
      <c r="ED26" s="63"/>
      <c r="EE26" s="63"/>
      <c r="EF26" s="63"/>
      <c r="EG26" s="63"/>
      <c r="EH26" s="127" t="str">
        <f t="shared" si="5"/>
        <v/>
      </c>
      <c r="EI26" s="56">
        <v>19</v>
      </c>
      <c r="EJ26" s="334"/>
      <c r="EK26" s="334"/>
      <c r="EL26" s="334"/>
      <c r="EM26" s="334"/>
      <c r="EN26" s="334"/>
      <c r="EO26" s="334"/>
      <c r="EP26" s="334"/>
      <c r="EQ26" s="65" t="str">
        <f t="shared" si="45"/>
        <v/>
      </c>
    </row>
    <row r="27" spans="1:147" s="3" customFormat="1" ht="17.149999999999999" customHeight="1" x14ac:dyDescent="0.3">
      <c r="A27" s="56">
        <v>20</v>
      </c>
      <c r="B27" s="57"/>
      <c r="C27" s="58" t="str">
        <f t="shared" si="6"/>
        <v/>
      </c>
      <c r="D27" s="167"/>
      <c r="E27" s="59"/>
      <c r="F27" s="58" t="str">
        <f t="shared" si="7"/>
        <v/>
      </c>
      <c r="G27" s="168"/>
      <c r="H27" s="57"/>
      <c r="I27" s="58" t="str">
        <f t="shared" si="0"/>
        <v/>
      </c>
      <c r="J27" s="60"/>
      <c r="K27" s="56">
        <v>20</v>
      </c>
      <c r="L27" s="57"/>
      <c r="M27" s="58" t="str">
        <f t="shared" si="8"/>
        <v/>
      </c>
      <c r="N27" s="59"/>
      <c r="O27" s="58" t="str">
        <f t="shared" si="9"/>
        <v/>
      </c>
      <c r="P27" s="57"/>
      <c r="Q27" s="169" t="str">
        <f t="shared" si="1"/>
        <v/>
      </c>
      <c r="R27" s="57"/>
      <c r="S27" s="57"/>
      <c r="T27" s="57"/>
      <c r="U27" s="57"/>
      <c r="V27" s="58" t="str">
        <f t="shared" si="10"/>
        <v/>
      </c>
      <c r="W27" s="56">
        <v>20</v>
      </c>
      <c r="X27" s="63"/>
      <c r="Y27" s="130" t="str">
        <f t="shared" si="11"/>
        <v/>
      </c>
      <c r="Z27" s="63"/>
      <c r="AA27" s="130" t="str">
        <f t="shared" si="12"/>
        <v/>
      </c>
      <c r="AB27" s="63"/>
      <c r="AC27" s="130" t="str">
        <f t="shared" si="13"/>
        <v/>
      </c>
      <c r="AD27" s="63"/>
      <c r="AE27" s="130" t="str">
        <f t="shared" si="2"/>
        <v/>
      </c>
      <c r="AF27" s="125" t="str">
        <f t="shared" si="14"/>
        <v/>
      </c>
      <c r="AG27" s="56">
        <v>20</v>
      </c>
      <c r="AH27" s="63"/>
      <c r="AI27" s="130" t="str">
        <f t="shared" si="15"/>
        <v/>
      </c>
      <c r="AJ27" s="63"/>
      <c r="AK27" s="130" t="str">
        <f t="shared" si="16"/>
        <v/>
      </c>
      <c r="AL27" s="63"/>
      <c r="AM27" s="130" t="str">
        <f t="shared" si="17"/>
        <v/>
      </c>
      <c r="AN27" s="63"/>
      <c r="AO27" s="130" t="str">
        <f t="shared" si="3"/>
        <v/>
      </c>
      <c r="AP27" s="125" t="str">
        <f t="shared" si="18"/>
        <v/>
      </c>
      <c r="AQ27" s="56">
        <v>20</v>
      </c>
      <c r="AR27" s="63"/>
      <c r="AS27" s="130" t="str">
        <f t="shared" si="19"/>
        <v/>
      </c>
      <c r="AT27" s="63"/>
      <c r="AU27" s="130" t="str">
        <f t="shared" si="20"/>
        <v/>
      </c>
      <c r="AV27" s="63"/>
      <c r="AW27" s="130" t="str">
        <f t="shared" si="21"/>
        <v/>
      </c>
      <c r="AX27" s="63"/>
      <c r="AY27" s="130" t="str">
        <f t="shared" si="4"/>
        <v/>
      </c>
      <c r="AZ27" s="125" t="str">
        <f t="shared" si="22"/>
        <v/>
      </c>
      <c r="BA27" s="56">
        <v>20</v>
      </c>
      <c r="BB27" s="63"/>
      <c r="BC27" s="62"/>
      <c r="BD27" s="61"/>
      <c r="BE27" s="61"/>
      <c r="BF27" s="61"/>
      <c r="BG27" s="61"/>
      <c r="BH27" s="64"/>
      <c r="BI27" s="64"/>
      <c r="BJ27" s="64"/>
      <c r="BK27" s="64"/>
      <c r="BL27" s="64"/>
      <c r="BM27" s="64"/>
      <c r="BN27" s="65" t="str">
        <f t="shared" si="23"/>
        <v/>
      </c>
      <c r="BO27" s="56">
        <v>20</v>
      </c>
      <c r="BP27" s="64"/>
      <c r="BQ27" s="62"/>
      <c r="BR27" s="61"/>
      <c r="BS27" s="61"/>
      <c r="BT27" s="61"/>
      <c r="BU27" s="64"/>
      <c r="BV27" s="63"/>
      <c r="BW27" s="63"/>
      <c r="BX27" s="66"/>
      <c r="BY27" s="172"/>
      <c r="BZ27" s="67" t="str">
        <f t="shared" si="24"/>
        <v/>
      </c>
      <c r="CA27" s="56">
        <v>20</v>
      </c>
      <c r="CB27" s="61"/>
      <c r="CC27" s="61"/>
      <c r="CD27" s="68" t="str">
        <f t="shared" si="25"/>
        <v/>
      </c>
      <c r="CE27" s="69" t="str">
        <f t="shared" si="26"/>
        <v/>
      </c>
      <c r="CF27" s="69" t="str">
        <f t="shared" si="27"/>
        <v/>
      </c>
      <c r="CG27" s="62"/>
      <c r="CH27" s="62"/>
      <c r="CI27" s="65" t="str">
        <f t="shared" si="28"/>
        <v/>
      </c>
      <c r="CJ27" s="56">
        <v>20</v>
      </c>
      <c r="CK27" s="61"/>
      <c r="CL27" s="61"/>
      <c r="CM27" s="68" t="str">
        <f t="shared" si="29"/>
        <v/>
      </c>
      <c r="CN27" s="68" t="str">
        <f t="shared" si="30"/>
        <v/>
      </c>
      <c r="CO27" s="68" t="str">
        <f t="shared" si="31"/>
        <v/>
      </c>
      <c r="CP27" s="62"/>
      <c r="CQ27" s="62"/>
      <c r="CR27" s="65" t="str">
        <f t="shared" si="32"/>
        <v/>
      </c>
      <c r="CS27" s="56">
        <v>20</v>
      </c>
      <c r="CT27" s="61"/>
      <c r="CU27" s="61"/>
      <c r="CV27" s="68" t="str">
        <f t="shared" si="33"/>
        <v/>
      </c>
      <c r="CW27" s="68" t="str">
        <f t="shared" si="34"/>
        <v/>
      </c>
      <c r="CX27" s="69" t="str">
        <f t="shared" si="35"/>
        <v/>
      </c>
      <c r="CY27" s="66"/>
      <c r="CZ27" s="66"/>
      <c r="DA27" s="66"/>
      <c r="DB27" s="65" t="str">
        <f t="shared" si="36"/>
        <v/>
      </c>
      <c r="DC27" s="56">
        <v>20</v>
      </c>
      <c r="DD27" s="61"/>
      <c r="DE27" s="61"/>
      <c r="DF27" s="68" t="str">
        <f t="shared" si="37"/>
        <v/>
      </c>
      <c r="DG27" s="69" t="str">
        <f t="shared" si="38"/>
        <v/>
      </c>
      <c r="DH27" s="68" t="str">
        <f t="shared" si="39"/>
        <v/>
      </c>
      <c r="DI27" s="62"/>
      <c r="DJ27" s="62"/>
      <c r="DK27" s="65" t="str">
        <f t="shared" si="40"/>
        <v/>
      </c>
      <c r="DL27" s="56">
        <v>20</v>
      </c>
      <c r="DM27" s="63"/>
      <c r="DN27" s="64"/>
      <c r="DO27" s="64"/>
      <c r="DP27" s="64"/>
      <c r="DQ27" s="63"/>
      <c r="DR27" s="61"/>
      <c r="DS27" s="64"/>
      <c r="DT27" s="61"/>
      <c r="DU27" s="63"/>
      <c r="DV27" s="64"/>
      <c r="DW27" s="64"/>
      <c r="DX27" s="66"/>
      <c r="DY27" s="65" t="str">
        <f t="shared" si="41"/>
        <v/>
      </c>
      <c r="DZ27" s="128">
        <v>20</v>
      </c>
      <c r="EA27" s="173" t="str">
        <f t="shared" si="42"/>
        <v/>
      </c>
      <c r="EB27" s="173" t="str">
        <f t="shared" si="43"/>
        <v/>
      </c>
      <c r="EC27" s="173" t="str">
        <f t="shared" si="44"/>
        <v/>
      </c>
      <c r="ED27" s="63"/>
      <c r="EE27" s="63"/>
      <c r="EF27" s="63"/>
      <c r="EG27" s="63"/>
      <c r="EH27" s="127" t="str">
        <f t="shared" si="5"/>
        <v/>
      </c>
      <c r="EI27" s="56">
        <v>20</v>
      </c>
      <c r="EJ27" s="334"/>
      <c r="EK27" s="334"/>
      <c r="EL27" s="334"/>
      <c r="EM27" s="334"/>
      <c r="EN27" s="334"/>
      <c r="EO27" s="334"/>
      <c r="EP27" s="334"/>
      <c r="EQ27" s="65" t="str">
        <f t="shared" si="45"/>
        <v/>
      </c>
    </row>
    <row r="28" spans="1:147" s="3" customFormat="1" ht="17.149999999999999" customHeight="1" x14ac:dyDescent="0.3">
      <c r="A28" s="56">
        <v>21</v>
      </c>
      <c r="B28" s="57"/>
      <c r="C28" s="58" t="str">
        <f t="shared" si="6"/>
        <v/>
      </c>
      <c r="D28" s="167"/>
      <c r="E28" s="59"/>
      <c r="F28" s="58" t="str">
        <f t="shared" si="7"/>
        <v/>
      </c>
      <c r="G28" s="168"/>
      <c r="H28" s="57"/>
      <c r="I28" s="58" t="str">
        <f t="shared" si="0"/>
        <v/>
      </c>
      <c r="J28" s="60"/>
      <c r="K28" s="56">
        <v>21</v>
      </c>
      <c r="L28" s="57"/>
      <c r="M28" s="58" t="str">
        <f t="shared" si="8"/>
        <v/>
      </c>
      <c r="N28" s="59"/>
      <c r="O28" s="58" t="str">
        <f t="shared" si="9"/>
        <v/>
      </c>
      <c r="P28" s="57"/>
      <c r="Q28" s="169" t="str">
        <f t="shared" si="1"/>
        <v/>
      </c>
      <c r="R28" s="57"/>
      <c r="S28" s="57"/>
      <c r="T28" s="57"/>
      <c r="U28" s="57"/>
      <c r="V28" s="58" t="str">
        <f t="shared" si="10"/>
        <v/>
      </c>
      <c r="W28" s="56">
        <v>21</v>
      </c>
      <c r="X28" s="63"/>
      <c r="Y28" s="130" t="str">
        <f t="shared" si="11"/>
        <v/>
      </c>
      <c r="Z28" s="63"/>
      <c r="AA28" s="130" t="str">
        <f t="shared" si="12"/>
        <v/>
      </c>
      <c r="AB28" s="63"/>
      <c r="AC28" s="130" t="str">
        <f t="shared" si="13"/>
        <v/>
      </c>
      <c r="AD28" s="63"/>
      <c r="AE28" s="130" t="str">
        <f t="shared" si="2"/>
        <v/>
      </c>
      <c r="AF28" s="125" t="str">
        <f t="shared" si="14"/>
        <v/>
      </c>
      <c r="AG28" s="56">
        <v>21</v>
      </c>
      <c r="AH28" s="63"/>
      <c r="AI28" s="130" t="str">
        <f t="shared" si="15"/>
        <v/>
      </c>
      <c r="AJ28" s="63"/>
      <c r="AK28" s="130" t="str">
        <f t="shared" si="16"/>
        <v/>
      </c>
      <c r="AL28" s="63"/>
      <c r="AM28" s="130" t="str">
        <f t="shared" si="17"/>
        <v/>
      </c>
      <c r="AN28" s="63"/>
      <c r="AO28" s="130" t="str">
        <f t="shared" si="3"/>
        <v/>
      </c>
      <c r="AP28" s="125" t="str">
        <f t="shared" si="18"/>
        <v/>
      </c>
      <c r="AQ28" s="56">
        <v>21</v>
      </c>
      <c r="AR28" s="63"/>
      <c r="AS28" s="130" t="str">
        <f t="shared" si="19"/>
        <v/>
      </c>
      <c r="AT28" s="63"/>
      <c r="AU28" s="130" t="str">
        <f t="shared" si="20"/>
        <v/>
      </c>
      <c r="AV28" s="63"/>
      <c r="AW28" s="130" t="str">
        <f t="shared" si="21"/>
        <v/>
      </c>
      <c r="AX28" s="63"/>
      <c r="AY28" s="130" t="str">
        <f t="shared" si="4"/>
        <v/>
      </c>
      <c r="AZ28" s="125" t="str">
        <f t="shared" si="22"/>
        <v/>
      </c>
      <c r="BA28" s="56">
        <v>21</v>
      </c>
      <c r="BB28" s="63"/>
      <c r="BC28" s="62"/>
      <c r="BD28" s="61"/>
      <c r="BE28" s="61"/>
      <c r="BF28" s="61"/>
      <c r="BG28" s="61"/>
      <c r="BH28" s="64"/>
      <c r="BI28" s="64"/>
      <c r="BJ28" s="64"/>
      <c r="BK28" s="64"/>
      <c r="BL28" s="64"/>
      <c r="BM28" s="64"/>
      <c r="BN28" s="65" t="str">
        <f t="shared" si="23"/>
        <v/>
      </c>
      <c r="BO28" s="56">
        <v>21</v>
      </c>
      <c r="BP28" s="64"/>
      <c r="BQ28" s="62"/>
      <c r="BR28" s="61"/>
      <c r="BS28" s="61"/>
      <c r="BT28" s="61"/>
      <c r="BU28" s="64"/>
      <c r="BV28" s="63"/>
      <c r="BW28" s="63"/>
      <c r="BX28" s="66"/>
      <c r="BY28" s="172"/>
      <c r="BZ28" s="67" t="str">
        <f t="shared" si="24"/>
        <v/>
      </c>
      <c r="CA28" s="56">
        <v>21</v>
      </c>
      <c r="CB28" s="61"/>
      <c r="CC28" s="61"/>
      <c r="CD28" s="68" t="str">
        <f t="shared" si="25"/>
        <v/>
      </c>
      <c r="CE28" s="69" t="str">
        <f t="shared" si="26"/>
        <v/>
      </c>
      <c r="CF28" s="69" t="str">
        <f t="shared" si="27"/>
        <v/>
      </c>
      <c r="CG28" s="62"/>
      <c r="CH28" s="62"/>
      <c r="CI28" s="65" t="str">
        <f t="shared" si="28"/>
        <v/>
      </c>
      <c r="CJ28" s="56">
        <v>21</v>
      </c>
      <c r="CK28" s="61"/>
      <c r="CL28" s="61"/>
      <c r="CM28" s="68" t="str">
        <f t="shared" si="29"/>
        <v/>
      </c>
      <c r="CN28" s="68" t="str">
        <f t="shared" si="30"/>
        <v/>
      </c>
      <c r="CO28" s="68" t="str">
        <f t="shared" si="31"/>
        <v/>
      </c>
      <c r="CP28" s="62"/>
      <c r="CQ28" s="62"/>
      <c r="CR28" s="65" t="str">
        <f t="shared" si="32"/>
        <v/>
      </c>
      <c r="CS28" s="56">
        <v>21</v>
      </c>
      <c r="CT28" s="61"/>
      <c r="CU28" s="61"/>
      <c r="CV28" s="68" t="str">
        <f t="shared" si="33"/>
        <v/>
      </c>
      <c r="CW28" s="68" t="str">
        <f t="shared" si="34"/>
        <v/>
      </c>
      <c r="CX28" s="69" t="str">
        <f t="shared" si="35"/>
        <v/>
      </c>
      <c r="CY28" s="66"/>
      <c r="CZ28" s="66"/>
      <c r="DA28" s="66"/>
      <c r="DB28" s="65" t="str">
        <f t="shared" si="36"/>
        <v/>
      </c>
      <c r="DC28" s="56">
        <v>21</v>
      </c>
      <c r="DD28" s="61"/>
      <c r="DE28" s="61"/>
      <c r="DF28" s="68" t="str">
        <f t="shared" si="37"/>
        <v/>
      </c>
      <c r="DG28" s="69" t="str">
        <f t="shared" si="38"/>
        <v/>
      </c>
      <c r="DH28" s="68" t="str">
        <f t="shared" si="39"/>
        <v/>
      </c>
      <c r="DI28" s="62"/>
      <c r="DJ28" s="62"/>
      <c r="DK28" s="65" t="str">
        <f t="shared" si="40"/>
        <v/>
      </c>
      <c r="DL28" s="56">
        <v>21</v>
      </c>
      <c r="DM28" s="63"/>
      <c r="DN28" s="64"/>
      <c r="DO28" s="64"/>
      <c r="DP28" s="64"/>
      <c r="DQ28" s="63"/>
      <c r="DR28" s="61"/>
      <c r="DS28" s="64"/>
      <c r="DT28" s="61"/>
      <c r="DU28" s="63"/>
      <c r="DV28" s="64"/>
      <c r="DW28" s="64"/>
      <c r="DX28" s="66"/>
      <c r="DY28" s="65" t="str">
        <f t="shared" si="41"/>
        <v/>
      </c>
      <c r="DZ28" s="128">
        <v>21</v>
      </c>
      <c r="EA28" s="173" t="str">
        <f t="shared" si="42"/>
        <v/>
      </c>
      <c r="EB28" s="173" t="str">
        <f t="shared" si="43"/>
        <v/>
      </c>
      <c r="EC28" s="173" t="str">
        <f t="shared" si="44"/>
        <v/>
      </c>
      <c r="ED28" s="63"/>
      <c r="EE28" s="63"/>
      <c r="EF28" s="63"/>
      <c r="EG28" s="63"/>
      <c r="EH28" s="127" t="str">
        <f t="shared" si="5"/>
        <v/>
      </c>
      <c r="EI28" s="56">
        <v>21</v>
      </c>
      <c r="EJ28" s="334"/>
      <c r="EK28" s="334"/>
      <c r="EL28" s="334"/>
      <c r="EM28" s="334"/>
      <c r="EN28" s="334"/>
      <c r="EO28" s="334"/>
      <c r="EP28" s="334"/>
      <c r="EQ28" s="65" t="str">
        <f t="shared" si="45"/>
        <v/>
      </c>
    </row>
    <row r="29" spans="1:147" s="3" customFormat="1" ht="17.149999999999999" customHeight="1" x14ac:dyDescent="0.3">
      <c r="A29" s="56">
        <v>22</v>
      </c>
      <c r="B29" s="57"/>
      <c r="C29" s="58" t="str">
        <f t="shared" si="6"/>
        <v/>
      </c>
      <c r="D29" s="167"/>
      <c r="E29" s="59"/>
      <c r="F29" s="58" t="str">
        <f t="shared" si="7"/>
        <v/>
      </c>
      <c r="G29" s="168"/>
      <c r="H29" s="57"/>
      <c r="I29" s="58" t="str">
        <f t="shared" si="0"/>
        <v/>
      </c>
      <c r="J29" s="60"/>
      <c r="K29" s="56">
        <v>22</v>
      </c>
      <c r="L29" s="57"/>
      <c r="M29" s="58" t="str">
        <f t="shared" si="8"/>
        <v/>
      </c>
      <c r="N29" s="59"/>
      <c r="O29" s="58" t="str">
        <f t="shared" si="9"/>
        <v/>
      </c>
      <c r="P29" s="57"/>
      <c r="Q29" s="169" t="str">
        <f t="shared" si="1"/>
        <v/>
      </c>
      <c r="R29" s="57"/>
      <c r="S29" s="57"/>
      <c r="T29" s="57"/>
      <c r="U29" s="57"/>
      <c r="V29" s="58" t="str">
        <f t="shared" si="10"/>
        <v/>
      </c>
      <c r="W29" s="56">
        <v>22</v>
      </c>
      <c r="X29" s="63"/>
      <c r="Y29" s="130" t="str">
        <f t="shared" si="11"/>
        <v/>
      </c>
      <c r="Z29" s="63"/>
      <c r="AA29" s="130" t="str">
        <f t="shared" si="12"/>
        <v/>
      </c>
      <c r="AB29" s="63"/>
      <c r="AC29" s="130" t="str">
        <f t="shared" si="13"/>
        <v/>
      </c>
      <c r="AD29" s="63"/>
      <c r="AE29" s="130" t="str">
        <f t="shared" si="2"/>
        <v/>
      </c>
      <c r="AF29" s="125" t="str">
        <f t="shared" si="14"/>
        <v/>
      </c>
      <c r="AG29" s="56">
        <v>22</v>
      </c>
      <c r="AH29" s="63"/>
      <c r="AI29" s="130" t="str">
        <f t="shared" si="15"/>
        <v/>
      </c>
      <c r="AJ29" s="63"/>
      <c r="AK29" s="130" t="str">
        <f t="shared" si="16"/>
        <v/>
      </c>
      <c r="AL29" s="63"/>
      <c r="AM29" s="130" t="str">
        <f t="shared" si="17"/>
        <v/>
      </c>
      <c r="AN29" s="63"/>
      <c r="AO29" s="130" t="str">
        <f t="shared" si="3"/>
        <v/>
      </c>
      <c r="AP29" s="125" t="str">
        <f t="shared" si="18"/>
        <v/>
      </c>
      <c r="AQ29" s="56">
        <v>22</v>
      </c>
      <c r="AR29" s="63"/>
      <c r="AS29" s="130" t="str">
        <f t="shared" si="19"/>
        <v/>
      </c>
      <c r="AT29" s="63"/>
      <c r="AU29" s="130" t="str">
        <f t="shared" si="20"/>
        <v/>
      </c>
      <c r="AV29" s="63"/>
      <c r="AW29" s="130" t="str">
        <f t="shared" si="21"/>
        <v/>
      </c>
      <c r="AX29" s="63"/>
      <c r="AY29" s="130" t="str">
        <f t="shared" si="4"/>
        <v/>
      </c>
      <c r="AZ29" s="125" t="str">
        <f t="shared" si="22"/>
        <v/>
      </c>
      <c r="BA29" s="56">
        <v>22</v>
      </c>
      <c r="BB29" s="63"/>
      <c r="BC29" s="62"/>
      <c r="BD29" s="61"/>
      <c r="BE29" s="61"/>
      <c r="BF29" s="61"/>
      <c r="BG29" s="61"/>
      <c r="BH29" s="64"/>
      <c r="BI29" s="64"/>
      <c r="BJ29" s="64"/>
      <c r="BK29" s="64"/>
      <c r="BL29" s="64"/>
      <c r="BM29" s="64"/>
      <c r="BN29" s="65" t="str">
        <f t="shared" si="23"/>
        <v/>
      </c>
      <c r="BO29" s="56">
        <v>22</v>
      </c>
      <c r="BP29" s="64"/>
      <c r="BQ29" s="62"/>
      <c r="BR29" s="61"/>
      <c r="BS29" s="61"/>
      <c r="BT29" s="61"/>
      <c r="BU29" s="64"/>
      <c r="BV29" s="63"/>
      <c r="BW29" s="63"/>
      <c r="BX29" s="66"/>
      <c r="BY29" s="172"/>
      <c r="BZ29" s="67" t="str">
        <f t="shared" si="24"/>
        <v/>
      </c>
      <c r="CA29" s="56">
        <v>22</v>
      </c>
      <c r="CB29" s="61"/>
      <c r="CC29" s="61"/>
      <c r="CD29" s="68" t="str">
        <f t="shared" si="25"/>
        <v/>
      </c>
      <c r="CE29" s="69" t="str">
        <f t="shared" si="26"/>
        <v/>
      </c>
      <c r="CF29" s="69" t="str">
        <f t="shared" si="27"/>
        <v/>
      </c>
      <c r="CG29" s="62"/>
      <c r="CH29" s="62"/>
      <c r="CI29" s="65" t="str">
        <f t="shared" si="28"/>
        <v/>
      </c>
      <c r="CJ29" s="56">
        <v>22</v>
      </c>
      <c r="CK29" s="61"/>
      <c r="CL29" s="61"/>
      <c r="CM29" s="68" t="str">
        <f t="shared" si="29"/>
        <v/>
      </c>
      <c r="CN29" s="68" t="str">
        <f t="shared" si="30"/>
        <v/>
      </c>
      <c r="CO29" s="68" t="str">
        <f t="shared" si="31"/>
        <v/>
      </c>
      <c r="CP29" s="62"/>
      <c r="CQ29" s="62"/>
      <c r="CR29" s="65" t="str">
        <f t="shared" si="32"/>
        <v/>
      </c>
      <c r="CS29" s="56">
        <v>22</v>
      </c>
      <c r="CT29" s="61"/>
      <c r="CU29" s="61"/>
      <c r="CV29" s="68" t="str">
        <f t="shared" si="33"/>
        <v/>
      </c>
      <c r="CW29" s="68" t="str">
        <f t="shared" si="34"/>
        <v/>
      </c>
      <c r="CX29" s="69" t="str">
        <f t="shared" si="35"/>
        <v/>
      </c>
      <c r="CY29" s="66"/>
      <c r="CZ29" s="66"/>
      <c r="DA29" s="66"/>
      <c r="DB29" s="65" t="str">
        <f t="shared" si="36"/>
        <v/>
      </c>
      <c r="DC29" s="56">
        <v>22</v>
      </c>
      <c r="DD29" s="61"/>
      <c r="DE29" s="61"/>
      <c r="DF29" s="68" t="str">
        <f t="shared" si="37"/>
        <v/>
      </c>
      <c r="DG29" s="69" t="str">
        <f t="shared" si="38"/>
        <v/>
      </c>
      <c r="DH29" s="68" t="str">
        <f t="shared" si="39"/>
        <v/>
      </c>
      <c r="DI29" s="62"/>
      <c r="DJ29" s="62"/>
      <c r="DK29" s="65" t="str">
        <f t="shared" si="40"/>
        <v/>
      </c>
      <c r="DL29" s="56">
        <v>22</v>
      </c>
      <c r="DM29" s="63"/>
      <c r="DN29" s="64"/>
      <c r="DO29" s="64"/>
      <c r="DP29" s="64"/>
      <c r="DQ29" s="63"/>
      <c r="DR29" s="61"/>
      <c r="DS29" s="64"/>
      <c r="DT29" s="61"/>
      <c r="DU29" s="63"/>
      <c r="DV29" s="64"/>
      <c r="DW29" s="64"/>
      <c r="DX29" s="66"/>
      <c r="DY29" s="65" t="str">
        <f t="shared" si="41"/>
        <v/>
      </c>
      <c r="DZ29" s="128">
        <v>22</v>
      </c>
      <c r="EA29" s="173" t="str">
        <f t="shared" si="42"/>
        <v/>
      </c>
      <c r="EB29" s="173" t="str">
        <f t="shared" si="43"/>
        <v/>
      </c>
      <c r="EC29" s="173" t="str">
        <f t="shared" si="44"/>
        <v/>
      </c>
      <c r="ED29" s="63"/>
      <c r="EE29" s="63"/>
      <c r="EF29" s="63"/>
      <c r="EG29" s="63"/>
      <c r="EH29" s="127" t="str">
        <f t="shared" si="5"/>
        <v/>
      </c>
      <c r="EI29" s="56">
        <v>22</v>
      </c>
      <c r="EJ29" s="334"/>
      <c r="EK29" s="334"/>
      <c r="EL29" s="334"/>
      <c r="EM29" s="334"/>
      <c r="EN29" s="334"/>
      <c r="EO29" s="334"/>
      <c r="EP29" s="334"/>
      <c r="EQ29" s="65" t="str">
        <f t="shared" si="45"/>
        <v/>
      </c>
    </row>
    <row r="30" spans="1:147" s="3" customFormat="1" ht="17.149999999999999" customHeight="1" x14ac:dyDescent="0.3">
      <c r="A30" s="56">
        <v>23</v>
      </c>
      <c r="B30" s="57"/>
      <c r="C30" s="58" t="str">
        <f t="shared" si="6"/>
        <v/>
      </c>
      <c r="D30" s="167"/>
      <c r="E30" s="59"/>
      <c r="F30" s="58" t="str">
        <f t="shared" si="7"/>
        <v/>
      </c>
      <c r="G30" s="168"/>
      <c r="H30" s="57"/>
      <c r="I30" s="58" t="str">
        <f t="shared" si="0"/>
        <v/>
      </c>
      <c r="J30" s="60"/>
      <c r="K30" s="56">
        <v>23</v>
      </c>
      <c r="L30" s="57"/>
      <c r="M30" s="58" t="str">
        <f t="shared" si="8"/>
        <v/>
      </c>
      <c r="N30" s="59"/>
      <c r="O30" s="58" t="str">
        <f t="shared" si="9"/>
        <v/>
      </c>
      <c r="P30" s="57"/>
      <c r="Q30" s="169" t="str">
        <f t="shared" si="1"/>
        <v/>
      </c>
      <c r="R30" s="57"/>
      <c r="S30" s="57"/>
      <c r="T30" s="57"/>
      <c r="U30" s="57"/>
      <c r="V30" s="58" t="str">
        <f t="shared" si="10"/>
        <v/>
      </c>
      <c r="W30" s="56">
        <v>23</v>
      </c>
      <c r="X30" s="63"/>
      <c r="Y30" s="130" t="str">
        <f t="shared" si="11"/>
        <v/>
      </c>
      <c r="Z30" s="63"/>
      <c r="AA30" s="130" t="str">
        <f t="shared" si="12"/>
        <v/>
      </c>
      <c r="AB30" s="63"/>
      <c r="AC30" s="130" t="str">
        <f t="shared" si="13"/>
        <v/>
      </c>
      <c r="AD30" s="63"/>
      <c r="AE30" s="130" t="str">
        <f t="shared" si="2"/>
        <v/>
      </c>
      <c r="AF30" s="125" t="str">
        <f t="shared" si="14"/>
        <v/>
      </c>
      <c r="AG30" s="56">
        <v>23</v>
      </c>
      <c r="AH30" s="63"/>
      <c r="AI30" s="130" t="str">
        <f t="shared" si="15"/>
        <v/>
      </c>
      <c r="AJ30" s="63"/>
      <c r="AK30" s="130" t="str">
        <f t="shared" si="16"/>
        <v/>
      </c>
      <c r="AL30" s="63"/>
      <c r="AM30" s="130" t="str">
        <f t="shared" si="17"/>
        <v/>
      </c>
      <c r="AN30" s="63"/>
      <c r="AO30" s="130" t="str">
        <f t="shared" si="3"/>
        <v/>
      </c>
      <c r="AP30" s="125" t="str">
        <f t="shared" si="18"/>
        <v/>
      </c>
      <c r="AQ30" s="56">
        <v>23</v>
      </c>
      <c r="AR30" s="63"/>
      <c r="AS30" s="130" t="str">
        <f t="shared" si="19"/>
        <v/>
      </c>
      <c r="AT30" s="63"/>
      <c r="AU30" s="130" t="str">
        <f t="shared" si="20"/>
        <v/>
      </c>
      <c r="AV30" s="63"/>
      <c r="AW30" s="130" t="str">
        <f t="shared" si="21"/>
        <v/>
      </c>
      <c r="AX30" s="63"/>
      <c r="AY30" s="130" t="str">
        <f t="shared" si="4"/>
        <v/>
      </c>
      <c r="AZ30" s="125" t="str">
        <f t="shared" si="22"/>
        <v/>
      </c>
      <c r="BA30" s="56">
        <v>23</v>
      </c>
      <c r="BB30" s="63"/>
      <c r="BC30" s="62"/>
      <c r="BD30" s="61"/>
      <c r="BE30" s="61"/>
      <c r="BF30" s="61"/>
      <c r="BG30" s="61"/>
      <c r="BH30" s="64"/>
      <c r="BI30" s="64"/>
      <c r="BJ30" s="64"/>
      <c r="BK30" s="64"/>
      <c r="BL30" s="64"/>
      <c r="BM30" s="64"/>
      <c r="BN30" s="65" t="str">
        <f t="shared" si="23"/>
        <v/>
      </c>
      <c r="BO30" s="56">
        <v>23</v>
      </c>
      <c r="BP30" s="64"/>
      <c r="BQ30" s="62"/>
      <c r="BR30" s="61"/>
      <c r="BS30" s="61"/>
      <c r="BT30" s="61"/>
      <c r="BU30" s="64"/>
      <c r="BV30" s="63"/>
      <c r="BW30" s="63"/>
      <c r="BX30" s="66"/>
      <c r="BY30" s="172"/>
      <c r="BZ30" s="67" t="str">
        <f t="shared" si="24"/>
        <v/>
      </c>
      <c r="CA30" s="56">
        <v>23</v>
      </c>
      <c r="CB30" s="61"/>
      <c r="CC30" s="61"/>
      <c r="CD30" s="68" t="str">
        <f t="shared" si="25"/>
        <v/>
      </c>
      <c r="CE30" s="69" t="str">
        <f t="shared" si="26"/>
        <v/>
      </c>
      <c r="CF30" s="69" t="str">
        <f t="shared" si="27"/>
        <v/>
      </c>
      <c r="CG30" s="62"/>
      <c r="CH30" s="62"/>
      <c r="CI30" s="65" t="str">
        <f t="shared" si="28"/>
        <v/>
      </c>
      <c r="CJ30" s="56">
        <v>23</v>
      </c>
      <c r="CK30" s="61"/>
      <c r="CL30" s="61"/>
      <c r="CM30" s="68" t="str">
        <f t="shared" si="29"/>
        <v/>
      </c>
      <c r="CN30" s="68" t="str">
        <f t="shared" si="30"/>
        <v/>
      </c>
      <c r="CO30" s="68" t="str">
        <f t="shared" si="31"/>
        <v/>
      </c>
      <c r="CP30" s="62"/>
      <c r="CQ30" s="62"/>
      <c r="CR30" s="65" t="str">
        <f t="shared" si="32"/>
        <v/>
      </c>
      <c r="CS30" s="56">
        <v>23</v>
      </c>
      <c r="CT30" s="61"/>
      <c r="CU30" s="61"/>
      <c r="CV30" s="68" t="str">
        <f t="shared" si="33"/>
        <v/>
      </c>
      <c r="CW30" s="68" t="str">
        <f t="shared" si="34"/>
        <v/>
      </c>
      <c r="CX30" s="69" t="str">
        <f t="shared" si="35"/>
        <v/>
      </c>
      <c r="CY30" s="66"/>
      <c r="CZ30" s="66"/>
      <c r="DA30" s="66"/>
      <c r="DB30" s="65" t="str">
        <f t="shared" si="36"/>
        <v/>
      </c>
      <c r="DC30" s="56">
        <v>23</v>
      </c>
      <c r="DD30" s="61"/>
      <c r="DE30" s="61"/>
      <c r="DF30" s="68" t="str">
        <f t="shared" si="37"/>
        <v/>
      </c>
      <c r="DG30" s="69" t="str">
        <f t="shared" si="38"/>
        <v/>
      </c>
      <c r="DH30" s="68" t="str">
        <f t="shared" si="39"/>
        <v/>
      </c>
      <c r="DI30" s="62"/>
      <c r="DJ30" s="62"/>
      <c r="DK30" s="65" t="str">
        <f t="shared" si="40"/>
        <v/>
      </c>
      <c r="DL30" s="56">
        <v>23</v>
      </c>
      <c r="DM30" s="63"/>
      <c r="DN30" s="64"/>
      <c r="DO30" s="64"/>
      <c r="DP30" s="64"/>
      <c r="DQ30" s="63"/>
      <c r="DR30" s="61"/>
      <c r="DS30" s="64"/>
      <c r="DT30" s="61"/>
      <c r="DU30" s="63"/>
      <c r="DV30" s="64"/>
      <c r="DW30" s="64"/>
      <c r="DX30" s="66"/>
      <c r="DY30" s="65" t="str">
        <f t="shared" si="41"/>
        <v/>
      </c>
      <c r="DZ30" s="128">
        <v>23</v>
      </c>
      <c r="EA30" s="173" t="str">
        <f t="shared" si="42"/>
        <v/>
      </c>
      <c r="EB30" s="173" t="str">
        <f t="shared" si="43"/>
        <v/>
      </c>
      <c r="EC30" s="173" t="str">
        <f t="shared" si="44"/>
        <v/>
      </c>
      <c r="ED30" s="63"/>
      <c r="EE30" s="63"/>
      <c r="EF30" s="63"/>
      <c r="EG30" s="63"/>
      <c r="EH30" s="127" t="str">
        <f t="shared" si="5"/>
        <v/>
      </c>
      <c r="EI30" s="56">
        <v>23</v>
      </c>
      <c r="EJ30" s="334"/>
      <c r="EK30" s="334"/>
      <c r="EL30" s="334"/>
      <c r="EM30" s="334"/>
      <c r="EN30" s="334"/>
      <c r="EO30" s="334"/>
      <c r="EP30" s="334"/>
      <c r="EQ30" s="65" t="str">
        <f t="shared" si="45"/>
        <v/>
      </c>
    </row>
    <row r="31" spans="1:147" s="3" customFormat="1" ht="17.149999999999999" customHeight="1" x14ac:dyDescent="0.3">
      <c r="A31" s="56">
        <v>24</v>
      </c>
      <c r="B31" s="57"/>
      <c r="C31" s="58" t="str">
        <f t="shared" si="6"/>
        <v/>
      </c>
      <c r="D31" s="167"/>
      <c r="E31" s="59"/>
      <c r="F31" s="58" t="str">
        <f t="shared" si="7"/>
        <v/>
      </c>
      <c r="G31" s="168"/>
      <c r="H31" s="57"/>
      <c r="I31" s="58" t="str">
        <f t="shared" si="0"/>
        <v/>
      </c>
      <c r="J31" s="60"/>
      <c r="K31" s="56">
        <v>24</v>
      </c>
      <c r="L31" s="57"/>
      <c r="M31" s="58" t="str">
        <f t="shared" si="8"/>
        <v/>
      </c>
      <c r="N31" s="59"/>
      <c r="O31" s="58" t="str">
        <f t="shared" si="9"/>
        <v/>
      </c>
      <c r="P31" s="57"/>
      <c r="Q31" s="169" t="str">
        <f t="shared" si="1"/>
        <v/>
      </c>
      <c r="R31" s="57"/>
      <c r="S31" s="57"/>
      <c r="T31" s="57"/>
      <c r="U31" s="57"/>
      <c r="V31" s="58" t="str">
        <f t="shared" si="10"/>
        <v/>
      </c>
      <c r="W31" s="56">
        <v>24</v>
      </c>
      <c r="X31" s="63"/>
      <c r="Y31" s="130" t="str">
        <f t="shared" si="11"/>
        <v/>
      </c>
      <c r="Z31" s="63"/>
      <c r="AA31" s="130" t="str">
        <f t="shared" si="12"/>
        <v/>
      </c>
      <c r="AB31" s="63"/>
      <c r="AC31" s="130" t="str">
        <f t="shared" si="13"/>
        <v/>
      </c>
      <c r="AD31" s="63"/>
      <c r="AE31" s="130" t="str">
        <f t="shared" si="2"/>
        <v/>
      </c>
      <c r="AF31" s="125" t="str">
        <f t="shared" si="14"/>
        <v/>
      </c>
      <c r="AG31" s="56">
        <v>24</v>
      </c>
      <c r="AH31" s="63"/>
      <c r="AI31" s="130" t="str">
        <f t="shared" si="15"/>
        <v/>
      </c>
      <c r="AJ31" s="63"/>
      <c r="AK31" s="130" t="str">
        <f t="shared" si="16"/>
        <v/>
      </c>
      <c r="AL31" s="63"/>
      <c r="AM31" s="130" t="str">
        <f t="shared" si="17"/>
        <v/>
      </c>
      <c r="AN31" s="63"/>
      <c r="AO31" s="130" t="str">
        <f t="shared" si="3"/>
        <v/>
      </c>
      <c r="AP31" s="125" t="str">
        <f t="shared" si="18"/>
        <v/>
      </c>
      <c r="AQ31" s="56">
        <v>24</v>
      </c>
      <c r="AR31" s="63"/>
      <c r="AS31" s="130" t="str">
        <f t="shared" si="19"/>
        <v/>
      </c>
      <c r="AT31" s="63"/>
      <c r="AU31" s="130" t="str">
        <f t="shared" si="20"/>
        <v/>
      </c>
      <c r="AV31" s="63"/>
      <c r="AW31" s="130" t="str">
        <f t="shared" si="21"/>
        <v/>
      </c>
      <c r="AX31" s="63"/>
      <c r="AY31" s="130" t="str">
        <f t="shared" si="4"/>
        <v/>
      </c>
      <c r="AZ31" s="125" t="str">
        <f t="shared" si="22"/>
        <v/>
      </c>
      <c r="BA31" s="56">
        <v>24</v>
      </c>
      <c r="BB31" s="63"/>
      <c r="BC31" s="62"/>
      <c r="BD31" s="61"/>
      <c r="BE31" s="61"/>
      <c r="BF31" s="61"/>
      <c r="BG31" s="61"/>
      <c r="BH31" s="64"/>
      <c r="BI31" s="64"/>
      <c r="BJ31" s="64"/>
      <c r="BK31" s="64"/>
      <c r="BL31" s="64"/>
      <c r="BM31" s="64"/>
      <c r="BN31" s="65" t="str">
        <f t="shared" si="23"/>
        <v/>
      </c>
      <c r="BO31" s="56">
        <v>24</v>
      </c>
      <c r="BP31" s="64"/>
      <c r="BQ31" s="62"/>
      <c r="BR31" s="61"/>
      <c r="BS31" s="61"/>
      <c r="BT31" s="61"/>
      <c r="BU31" s="64"/>
      <c r="BV31" s="63"/>
      <c r="BW31" s="63"/>
      <c r="BX31" s="66"/>
      <c r="BY31" s="172"/>
      <c r="BZ31" s="67" t="str">
        <f t="shared" si="24"/>
        <v/>
      </c>
      <c r="CA31" s="56">
        <v>24</v>
      </c>
      <c r="CB31" s="61"/>
      <c r="CC31" s="61"/>
      <c r="CD31" s="68" t="str">
        <f t="shared" si="25"/>
        <v/>
      </c>
      <c r="CE31" s="69" t="str">
        <f t="shared" si="26"/>
        <v/>
      </c>
      <c r="CF31" s="69" t="str">
        <f t="shared" si="27"/>
        <v/>
      </c>
      <c r="CG31" s="62"/>
      <c r="CH31" s="62"/>
      <c r="CI31" s="65" t="str">
        <f t="shared" si="28"/>
        <v/>
      </c>
      <c r="CJ31" s="56">
        <v>24</v>
      </c>
      <c r="CK31" s="61"/>
      <c r="CL31" s="61"/>
      <c r="CM31" s="68" t="str">
        <f t="shared" si="29"/>
        <v/>
      </c>
      <c r="CN31" s="68" t="str">
        <f t="shared" si="30"/>
        <v/>
      </c>
      <c r="CO31" s="68" t="str">
        <f t="shared" si="31"/>
        <v/>
      </c>
      <c r="CP31" s="62"/>
      <c r="CQ31" s="62"/>
      <c r="CR31" s="65" t="str">
        <f t="shared" si="32"/>
        <v/>
      </c>
      <c r="CS31" s="56">
        <v>24</v>
      </c>
      <c r="CT31" s="61"/>
      <c r="CU31" s="61"/>
      <c r="CV31" s="68" t="str">
        <f t="shared" si="33"/>
        <v/>
      </c>
      <c r="CW31" s="68" t="str">
        <f t="shared" si="34"/>
        <v/>
      </c>
      <c r="CX31" s="69" t="str">
        <f t="shared" si="35"/>
        <v/>
      </c>
      <c r="CY31" s="66"/>
      <c r="CZ31" s="66"/>
      <c r="DA31" s="66"/>
      <c r="DB31" s="65" t="str">
        <f t="shared" si="36"/>
        <v/>
      </c>
      <c r="DC31" s="56">
        <v>24</v>
      </c>
      <c r="DD31" s="61"/>
      <c r="DE31" s="61"/>
      <c r="DF31" s="68" t="str">
        <f t="shared" si="37"/>
        <v/>
      </c>
      <c r="DG31" s="69" t="str">
        <f t="shared" si="38"/>
        <v/>
      </c>
      <c r="DH31" s="68" t="str">
        <f t="shared" si="39"/>
        <v/>
      </c>
      <c r="DI31" s="62"/>
      <c r="DJ31" s="62"/>
      <c r="DK31" s="65" t="str">
        <f t="shared" si="40"/>
        <v/>
      </c>
      <c r="DL31" s="56">
        <v>24</v>
      </c>
      <c r="DM31" s="63"/>
      <c r="DN31" s="64"/>
      <c r="DO31" s="64"/>
      <c r="DP31" s="64"/>
      <c r="DQ31" s="63"/>
      <c r="DR31" s="61"/>
      <c r="DS31" s="64"/>
      <c r="DT31" s="61"/>
      <c r="DU31" s="63"/>
      <c r="DV31" s="64"/>
      <c r="DW31" s="64"/>
      <c r="DX31" s="66"/>
      <c r="DY31" s="65" t="str">
        <f t="shared" si="41"/>
        <v/>
      </c>
      <c r="DZ31" s="128">
        <v>24</v>
      </c>
      <c r="EA31" s="173" t="str">
        <f t="shared" si="42"/>
        <v/>
      </c>
      <c r="EB31" s="173" t="str">
        <f t="shared" si="43"/>
        <v/>
      </c>
      <c r="EC31" s="173" t="str">
        <f t="shared" si="44"/>
        <v/>
      </c>
      <c r="ED31" s="63"/>
      <c r="EE31" s="63"/>
      <c r="EF31" s="63"/>
      <c r="EG31" s="63"/>
      <c r="EH31" s="127" t="str">
        <f t="shared" si="5"/>
        <v/>
      </c>
      <c r="EI31" s="56">
        <v>24</v>
      </c>
      <c r="EJ31" s="334"/>
      <c r="EK31" s="334"/>
      <c r="EL31" s="334"/>
      <c r="EM31" s="334"/>
      <c r="EN31" s="334"/>
      <c r="EO31" s="334"/>
      <c r="EP31" s="334"/>
      <c r="EQ31" s="65" t="str">
        <f t="shared" si="45"/>
        <v/>
      </c>
    </row>
    <row r="32" spans="1:147" s="3" customFormat="1" ht="17.149999999999999" customHeight="1" x14ac:dyDescent="0.3">
      <c r="A32" s="56">
        <v>25</v>
      </c>
      <c r="B32" s="57"/>
      <c r="C32" s="58" t="str">
        <f t="shared" si="6"/>
        <v/>
      </c>
      <c r="D32" s="167"/>
      <c r="E32" s="59"/>
      <c r="F32" s="58" t="str">
        <f t="shared" si="7"/>
        <v/>
      </c>
      <c r="G32" s="168"/>
      <c r="H32" s="57"/>
      <c r="I32" s="58" t="str">
        <f t="shared" si="0"/>
        <v/>
      </c>
      <c r="J32" s="60"/>
      <c r="K32" s="56">
        <v>25</v>
      </c>
      <c r="L32" s="57"/>
      <c r="M32" s="58" t="str">
        <f t="shared" si="8"/>
        <v/>
      </c>
      <c r="N32" s="59"/>
      <c r="O32" s="58" t="str">
        <f t="shared" si="9"/>
        <v/>
      </c>
      <c r="P32" s="57"/>
      <c r="Q32" s="169" t="str">
        <f t="shared" si="1"/>
        <v/>
      </c>
      <c r="R32" s="57"/>
      <c r="S32" s="57"/>
      <c r="T32" s="57"/>
      <c r="U32" s="57"/>
      <c r="V32" s="58" t="str">
        <f t="shared" si="10"/>
        <v/>
      </c>
      <c r="W32" s="56">
        <v>25</v>
      </c>
      <c r="X32" s="63"/>
      <c r="Y32" s="130" t="str">
        <f t="shared" si="11"/>
        <v/>
      </c>
      <c r="Z32" s="63"/>
      <c r="AA32" s="130" t="str">
        <f t="shared" si="12"/>
        <v/>
      </c>
      <c r="AB32" s="63"/>
      <c r="AC32" s="130" t="str">
        <f t="shared" si="13"/>
        <v/>
      </c>
      <c r="AD32" s="63"/>
      <c r="AE32" s="130" t="str">
        <f t="shared" si="2"/>
        <v/>
      </c>
      <c r="AF32" s="125" t="str">
        <f t="shared" si="14"/>
        <v/>
      </c>
      <c r="AG32" s="56">
        <v>25</v>
      </c>
      <c r="AH32" s="63"/>
      <c r="AI32" s="130" t="str">
        <f t="shared" si="15"/>
        <v/>
      </c>
      <c r="AJ32" s="63"/>
      <c r="AK32" s="130" t="str">
        <f t="shared" si="16"/>
        <v/>
      </c>
      <c r="AL32" s="63"/>
      <c r="AM32" s="130" t="str">
        <f t="shared" si="17"/>
        <v/>
      </c>
      <c r="AN32" s="63"/>
      <c r="AO32" s="130" t="str">
        <f t="shared" si="3"/>
        <v/>
      </c>
      <c r="AP32" s="125" t="str">
        <f t="shared" si="18"/>
        <v/>
      </c>
      <c r="AQ32" s="56">
        <v>25</v>
      </c>
      <c r="AR32" s="63"/>
      <c r="AS32" s="130" t="str">
        <f t="shared" si="19"/>
        <v/>
      </c>
      <c r="AT32" s="63"/>
      <c r="AU32" s="130" t="str">
        <f t="shared" si="20"/>
        <v/>
      </c>
      <c r="AV32" s="63"/>
      <c r="AW32" s="130" t="str">
        <f t="shared" si="21"/>
        <v/>
      </c>
      <c r="AX32" s="63"/>
      <c r="AY32" s="130" t="str">
        <f t="shared" si="4"/>
        <v/>
      </c>
      <c r="AZ32" s="125" t="str">
        <f t="shared" si="22"/>
        <v/>
      </c>
      <c r="BA32" s="56">
        <v>25</v>
      </c>
      <c r="BB32" s="63"/>
      <c r="BC32" s="62"/>
      <c r="BD32" s="61"/>
      <c r="BE32" s="61"/>
      <c r="BF32" s="61"/>
      <c r="BG32" s="61"/>
      <c r="BH32" s="64"/>
      <c r="BI32" s="64"/>
      <c r="BJ32" s="64"/>
      <c r="BK32" s="64"/>
      <c r="BL32" s="64"/>
      <c r="BM32" s="64"/>
      <c r="BN32" s="65" t="str">
        <f t="shared" si="23"/>
        <v/>
      </c>
      <c r="BO32" s="56">
        <v>25</v>
      </c>
      <c r="BP32" s="64"/>
      <c r="BQ32" s="62"/>
      <c r="BR32" s="61"/>
      <c r="BS32" s="61"/>
      <c r="BT32" s="61"/>
      <c r="BU32" s="64"/>
      <c r="BV32" s="63"/>
      <c r="BW32" s="63"/>
      <c r="BX32" s="66"/>
      <c r="BY32" s="172"/>
      <c r="BZ32" s="67" t="str">
        <f t="shared" si="24"/>
        <v/>
      </c>
      <c r="CA32" s="56">
        <v>25</v>
      </c>
      <c r="CB32" s="61"/>
      <c r="CC32" s="61"/>
      <c r="CD32" s="68" t="str">
        <f t="shared" si="25"/>
        <v/>
      </c>
      <c r="CE32" s="69" t="str">
        <f t="shared" si="26"/>
        <v/>
      </c>
      <c r="CF32" s="69" t="str">
        <f t="shared" si="27"/>
        <v/>
      </c>
      <c r="CG32" s="62"/>
      <c r="CH32" s="62"/>
      <c r="CI32" s="65" t="str">
        <f t="shared" si="28"/>
        <v/>
      </c>
      <c r="CJ32" s="56">
        <v>25</v>
      </c>
      <c r="CK32" s="61"/>
      <c r="CL32" s="61"/>
      <c r="CM32" s="68" t="str">
        <f t="shared" si="29"/>
        <v/>
      </c>
      <c r="CN32" s="68" t="str">
        <f t="shared" si="30"/>
        <v/>
      </c>
      <c r="CO32" s="68" t="str">
        <f t="shared" si="31"/>
        <v/>
      </c>
      <c r="CP32" s="62"/>
      <c r="CQ32" s="62"/>
      <c r="CR32" s="65" t="str">
        <f t="shared" si="32"/>
        <v/>
      </c>
      <c r="CS32" s="56">
        <v>25</v>
      </c>
      <c r="CT32" s="61"/>
      <c r="CU32" s="61"/>
      <c r="CV32" s="68" t="str">
        <f t="shared" si="33"/>
        <v/>
      </c>
      <c r="CW32" s="68" t="str">
        <f t="shared" si="34"/>
        <v/>
      </c>
      <c r="CX32" s="69" t="str">
        <f t="shared" si="35"/>
        <v/>
      </c>
      <c r="CY32" s="66"/>
      <c r="CZ32" s="66"/>
      <c r="DA32" s="66"/>
      <c r="DB32" s="65" t="str">
        <f t="shared" si="36"/>
        <v/>
      </c>
      <c r="DC32" s="56">
        <v>25</v>
      </c>
      <c r="DD32" s="61"/>
      <c r="DE32" s="61"/>
      <c r="DF32" s="68" t="str">
        <f t="shared" si="37"/>
        <v/>
      </c>
      <c r="DG32" s="69" t="str">
        <f t="shared" si="38"/>
        <v/>
      </c>
      <c r="DH32" s="68" t="str">
        <f t="shared" si="39"/>
        <v/>
      </c>
      <c r="DI32" s="62"/>
      <c r="DJ32" s="62"/>
      <c r="DK32" s="65" t="str">
        <f t="shared" si="40"/>
        <v/>
      </c>
      <c r="DL32" s="56">
        <v>25</v>
      </c>
      <c r="DM32" s="63"/>
      <c r="DN32" s="64"/>
      <c r="DO32" s="64"/>
      <c r="DP32" s="64"/>
      <c r="DQ32" s="63"/>
      <c r="DR32" s="61"/>
      <c r="DS32" s="64"/>
      <c r="DT32" s="61"/>
      <c r="DU32" s="63"/>
      <c r="DV32" s="64"/>
      <c r="DW32" s="64"/>
      <c r="DX32" s="66"/>
      <c r="DY32" s="65" t="str">
        <f t="shared" si="41"/>
        <v/>
      </c>
      <c r="DZ32" s="128">
        <v>25</v>
      </c>
      <c r="EA32" s="173" t="str">
        <f t="shared" si="42"/>
        <v/>
      </c>
      <c r="EB32" s="173" t="str">
        <f t="shared" si="43"/>
        <v/>
      </c>
      <c r="EC32" s="173" t="str">
        <f t="shared" si="44"/>
        <v/>
      </c>
      <c r="ED32" s="63"/>
      <c r="EE32" s="63"/>
      <c r="EF32" s="63"/>
      <c r="EG32" s="63"/>
      <c r="EH32" s="127" t="str">
        <f t="shared" si="5"/>
        <v/>
      </c>
      <c r="EI32" s="56">
        <v>25</v>
      </c>
      <c r="EJ32" s="334"/>
      <c r="EK32" s="334"/>
      <c r="EL32" s="334"/>
      <c r="EM32" s="334"/>
      <c r="EN32" s="334"/>
      <c r="EO32" s="334"/>
      <c r="EP32" s="334"/>
      <c r="EQ32" s="65" t="str">
        <f t="shared" si="45"/>
        <v/>
      </c>
    </row>
    <row r="33" spans="1:147" s="3" customFormat="1" ht="17.149999999999999" customHeight="1" x14ac:dyDescent="0.3">
      <c r="A33" s="56">
        <v>26</v>
      </c>
      <c r="B33" s="57"/>
      <c r="C33" s="58" t="str">
        <f t="shared" si="6"/>
        <v/>
      </c>
      <c r="D33" s="167"/>
      <c r="E33" s="59"/>
      <c r="F33" s="58" t="str">
        <f t="shared" si="7"/>
        <v/>
      </c>
      <c r="G33" s="168"/>
      <c r="H33" s="57"/>
      <c r="I33" s="58" t="str">
        <f t="shared" si="0"/>
        <v/>
      </c>
      <c r="J33" s="60"/>
      <c r="K33" s="56">
        <v>26</v>
      </c>
      <c r="L33" s="57"/>
      <c r="M33" s="58" t="str">
        <f t="shared" si="8"/>
        <v/>
      </c>
      <c r="N33" s="59"/>
      <c r="O33" s="58" t="str">
        <f t="shared" si="9"/>
        <v/>
      </c>
      <c r="P33" s="57"/>
      <c r="Q33" s="169" t="str">
        <f t="shared" si="1"/>
        <v/>
      </c>
      <c r="R33" s="57"/>
      <c r="S33" s="57"/>
      <c r="T33" s="57"/>
      <c r="U33" s="57"/>
      <c r="V33" s="58" t="str">
        <f t="shared" si="10"/>
        <v/>
      </c>
      <c r="W33" s="56">
        <v>26</v>
      </c>
      <c r="X33" s="63"/>
      <c r="Y33" s="130" t="str">
        <f t="shared" si="11"/>
        <v/>
      </c>
      <c r="Z33" s="63"/>
      <c r="AA33" s="130" t="str">
        <f t="shared" si="12"/>
        <v/>
      </c>
      <c r="AB33" s="63"/>
      <c r="AC33" s="130" t="str">
        <f t="shared" si="13"/>
        <v/>
      </c>
      <c r="AD33" s="63"/>
      <c r="AE33" s="130" t="str">
        <f t="shared" si="2"/>
        <v/>
      </c>
      <c r="AF33" s="125" t="str">
        <f t="shared" si="14"/>
        <v/>
      </c>
      <c r="AG33" s="56">
        <v>26</v>
      </c>
      <c r="AH33" s="63"/>
      <c r="AI33" s="130" t="str">
        <f t="shared" si="15"/>
        <v/>
      </c>
      <c r="AJ33" s="63"/>
      <c r="AK33" s="130" t="str">
        <f t="shared" si="16"/>
        <v/>
      </c>
      <c r="AL33" s="63"/>
      <c r="AM33" s="130" t="str">
        <f t="shared" si="17"/>
        <v/>
      </c>
      <c r="AN33" s="63"/>
      <c r="AO33" s="130" t="str">
        <f t="shared" si="3"/>
        <v/>
      </c>
      <c r="AP33" s="125" t="str">
        <f t="shared" si="18"/>
        <v/>
      </c>
      <c r="AQ33" s="56">
        <v>26</v>
      </c>
      <c r="AR33" s="63"/>
      <c r="AS33" s="130" t="str">
        <f t="shared" si="19"/>
        <v/>
      </c>
      <c r="AT33" s="63"/>
      <c r="AU33" s="130" t="str">
        <f t="shared" si="20"/>
        <v/>
      </c>
      <c r="AV33" s="63"/>
      <c r="AW33" s="130" t="str">
        <f t="shared" si="21"/>
        <v/>
      </c>
      <c r="AX33" s="63"/>
      <c r="AY33" s="130" t="str">
        <f t="shared" si="4"/>
        <v/>
      </c>
      <c r="AZ33" s="125" t="str">
        <f t="shared" si="22"/>
        <v/>
      </c>
      <c r="BA33" s="56">
        <v>26</v>
      </c>
      <c r="BB33" s="63"/>
      <c r="BC33" s="62"/>
      <c r="BD33" s="61"/>
      <c r="BE33" s="61"/>
      <c r="BF33" s="61"/>
      <c r="BG33" s="61"/>
      <c r="BH33" s="64"/>
      <c r="BI33" s="64"/>
      <c r="BJ33" s="64"/>
      <c r="BK33" s="64"/>
      <c r="BL33" s="64"/>
      <c r="BM33" s="64"/>
      <c r="BN33" s="65" t="str">
        <f t="shared" si="23"/>
        <v/>
      </c>
      <c r="BO33" s="56">
        <v>26</v>
      </c>
      <c r="BP33" s="64"/>
      <c r="BQ33" s="62"/>
      <c r="BR33" s="61"/>
      <c r="BS33" s="61"/>
      <c r="BT33" s="61"/>
      <c r="BU33" s="64"/>
      <c r="BV33" s="63"/>
      <c r="BW33" s="63"/>
      <c r="BX33" s="66"/>
      <c r="BY33" s="172"/>
      <c r="BZ33" s="67" t="str">
        <f t="shared" si="24"/>
        <v/>
      </c>
      <c r="CA33" s="56">
        <v>26</v>
      </c>
      <c r="CB33" s="61"/>
      <c r="CC33" s="61"/>
      <c r="CD33" s="68" t="str">
        <f t="shared" si="25"/>
        <v/>
      </c>
      <c r="CE33" s="69" t="str">
        <f t="shared" si="26"/>
        <v/>
      </c>
      <c r="CF33" s="69" t="str">
        <f t="shared" si="27"/>
        <v/>
      </c>
      <c r="CG33" s="62"/>
      <c r="CH33" s="62"/>
      <c r="CI33" s="65" t="str">
        <f t="shared" si="28"/>
        <v/>
      </c>
      <c r="CJ33" s="56">
        <v>26</v>
      </c>
      <c r="CK33" s="61"/>
      <c r="CL33" s="61"/>
      <c r="CM33" s="68" t="str">
        <f t="shared" si="29"/>
        <v/>
      </c>
      <c r="CN33" s="68" t="str">
        <f t="shared" si="30"/>
        <v/>
      </c>
      <c r="CO33" s="68" t="str">
        <f t="shared" si="31"/>
        <v/>
      </c>
      <c r="CP33" s="62"/>
      <c r="CQ33" s="62"/>
      <c r="CR33" s="65" t="str">
        <f t="shared" si="32"/>
        <v/>
      </c>
      <c r="CS33" s="56">
        <v>26</v>
      </c>
      <c r="CT33" s="61"/>
      <c r="CU33" s="61"/>
      <c r="CV33" s="68" t="str">
        <f t="shared" si="33"/>
        <v/>
      </c>
      <c r="CW33" s="68" t="str">
        <f t="shared" si="34"/>
        <v/>
      </c>
      <c r="CX33" s="69" t="str">
        <f t="shared" si="35"/>
        <v/>
      </c>
      <c r="CY33" s="66"/>
      <c r="CZ33" s="66"/>
      <c r="DA33" s="66"/>
      <c r="DB33" s="65" t="str">
        <f t="shared" si="36"/>
        <v/>
      </c>
      <c r="DC33" s="56">
        <v>26</v>
      </c>
      <c r="DD33" s="61"/>
      <c r="DE33" s="61"/>
      <c r="DF33" s="68" t="str">
        <f t="shared" si="37"/>
        <v/>
      </c>
      <c r="DG33" s="69" t="str">
        <f t="shared" si="38"/>
        <v/>
      </c>
      <c r="DH33" s="68" t="str">
        <f t="shared" si="39"/>
        <v/>
      </c>
      <c r="DI33" s="62"/>
      <c r="DJ33" s="62"/>
      <c r="DK33" s="65" t="str">
        <f t="shared" si="40"/>
        <v/>
      </c>
      <c r="DL33" s="56">
        <v>26</v>
      </c>
      <c r="DM33" s="63"/>
      <c r="DN33" s="64"/>
      <c r="DO33" s="64"/>
      <c r="DP33" s="64"/>
      <c r="DQ33" s="63"/>
      <c r="DR33" s="61"/>
      <c r="DS33" s="64"/>
      <c r="DT33" s="61"/>
      <c r="DU33" s="63"/>
      <c r="DV33" s="64"/>
      <c r="DW33" s="64"/>
      <c r="DX33" s="66"/>
      <c r="DY33" s="65" t="str">
        <f t="shared" si="41"/>
        <v/>
      </c>
      <c r="DZ33" s="128">
        <v>26</v>
      </c>
      <c r="EA33" s="173" t="str">
        <f t="shared" si="42"/>
        <v/>
      </c>
      <c r="EB33" s="173" t="str">
        <f t="shared" si="43"/>
        <v/>
      </c>
      <c r="EC33" s="173" t="str">
        <f t="shared" si="44"/>
        <v/>
      </c>
      <c r="ED33" s="63"/>
      <c r="EE33" s="63"/>
      <c r="EF33" s="63"/>
      <c r="EG33" s="63"/>
      <c r="EH33" s="127" t="str">
        <f t="shared" si="5"/>
        <v/>
      </c>
      <c r="EI33" s="56">
        <v>26</v>
      </c>
      <c r="EJ33" s="334"/>
      <c r="EK33" s="334"/>
      <c r="EL33" s="334"/>
      <c r="EM33" s="334"/>
      <c r="EN33" s="334"/>
      <c r="EO33" s="334"/>
      <c r="EP33" s="334"/>
      <c r="EQ33" s="65" t="str">
        <f t="shared" si="45"/>
        <v/>
      </c>
    </row>
    <row r="34" spans="1:147" s="3" customFormat="1" ht="17.149999999999999" customHeight="1" x14ac:dyDescent="0.3">
      <c r="A34" s="56">
        <v>27</v>
      </c>
      <c r="B34" s="57"/>
      <c r="C34" s="58" t="str">
        <f t="shared" si="6"/>
        <v/>
      </c>
      <c r="D34" s="167"/>
      <c r="E34" s="59"/>
      <c r="F34" s="58" t="str">
        <f t="shared" si="7"/>
        <v/>
      </c>
      <c r="G34" s="168"/>
      <c r="H34" s="57"/>
      <c r="I34" s="58" t="str">
        <f t="shared" si="0"/>
        <v/>
      </c>
      <c r="J34" s="60"/>
      <c r="K34" s="56">
        <v>27</v>
      </c>
      <c r="L34" s="57"/>
      <c r="M34" s="58" t="str">
        <f t="shared" si="8"/>
        <v/>
      </c>
      <c r="N34" s="59"/>
      <c r="O34" s="58" t="str">
        <f t="shared" si="9"/>
        <v/>
      </c>
      <c r="P34" s="57"/>
      <c r="Q34" s="169" t="str">
        <f t="shared" si="1"/>
        <v/>
      </c>
      <c r="R34" s="57"/>
      <c r="S34" s="57"/>
      <c r="T34" s="57"/>
      <c r="U34" s="57"/>
      <c r="V34" s="58" t="str">
        <f t="shared" si="10"/>
        <v/>
      </c>
      <c r="W34" s="56">
        <v>27</v>
      </c>
      <c r="X34" s="63"/>
      <c r="Y34" s="130" t="str">
        <f t="shared" si="11"/>
        <v/>
      </c>
      <c r="Z34" s="63"/>
      <c r="AA34" s="130" t="str">
        <f t="shared" si="12"/>
        <v/>
      </c>
      <c r="AB34" s="63"/>
      <c r="AC34" s="130" t="str">
        <f t="shared" si="13"/>
        <v/>
      </c>
      <c r="AD34" s="63"/>
      <c r="AE34" s="130" t="str">
        <f t="shared" si="2"/>
        <v/>
      </c>
      <c r="AF34" s="125" t="str">
        <f t="shared" si="14"/>
        <v/>
      </c>
      <c r="AG34" s="56">
        <v>27</v>
      </c>
      <c r="AH34" s="63"/>
      <c r="AI34" s="130" t="str">
        <f t="shared" si="15"/>
        <v/>
      </c>
      <c r="AJ34" s="63"/>
      <c r="AK34" s="130" t="str">
        <f t="shared" si="16"/>
        <v/>
      </c>
      <c r="AL34" s="63"/>
      <c r="AM34" s="130" t="str">
        <f t="shared" si="17"/>
        <v/>
      </c>
      <c r="AN34" s="63"/>
      <c r="AO34" s="130" t="str">
        <f t="shared" si="3"/>
        <v/>
      </c>
      <c r="AP34" s="125" t="str">
        <f t="shared" si="18"/>
        <v/>
      </c>
      <c r="AQ34" s="56">
        <v>27</v>
      </c>
      <c r="AR34" s="63"/>
      <c r="AS34" s="130" t="str">
        <f t="shared" si="19"/>
        <v/>
      </c>
      <c r="AT34" s="63"/>
      <c r="AU34" s="130" t="str">
        <f t="shared" si="20"/>
        <v/>
      </c>
      <c r="AV34" s="63"/>
      <c r="AW34" s="130" t="str">
        <f t="shared" si="21"/>
        <v/>
      </c>
      <c r="AX34" s="63"/>
      <c r="AY34" s="130" t="str">
        <f t="shared" si="4"/>
        <v/>
      </c>
      <c r="AZ34" s="125" t="str">
        <f t="shared" si="22"/>
        <v/>
      </c>
      <c r="BA34" s="56">
        <v>27</v>
      </c>
      <c r="BB34" s="63"/>
      <c r="BC34" s="62"/>
      <c r="BD34" s="61"/>
      <c r="BE34" s="61"/>
      <c r="BF34" s="61"/>
      <c r="BG34" s="61"/>
      <c r="BH34" s="64"/>
      <c r="BI34" s="64"/>
      <c r="BJ34" s="64"/>
      <c r="BK34" s="64"/>
      <c r="BL34" s="64"/>
      <c r="BM34" s="64"/>
      <c r="BN34" s="65" t="str">
        <f t="shared" si="23"/>
        <v/>
      </c>
      <c r="BO34" s="56">
        <v>27</v>
      </c>
      <c r="BP34" s="64"/>
      <c r="BQ34" s="62"/>
      <c r="BR34" s="61"/>
      <c r="BS34" s="61"/>
      <c r="BT34" s="61"/>
      <c r="BU34" s="64"/>
      <c r="BV34" s="63"/>
      <c r="BW34" s="63"/>
      <c r="BX34" s="66"/>
      <c r="BY34" s="172"/>
      <c r="BZ34" s="67" t="str">
        <f t="shared" si="24"/>
        <v/>
      </c>
      <c r="CA34" s="56">
        <v>27</v>
      </c>
      <c r="CB34" s="61"/>
      <c r="CC34" s="61"/>
      <c r="CD34" s="68" t="str">
        <f t="shared" si="25"/>
        <v/>
      </c>
      <c r="CE34" s="69" t="str">
        <f t="shared" si="26"/>
        <v/>
      </c>
      <c r="CF34" s="69" t="str">
        <f t="shared" si="27"/>
        <v/>
      </c>
      <c r="CG34" s="62"/>
      <c r="CH34" s="62"/>
      <c r="CI34" s="65" t="str">
        <f t="shared" si="28"/>
        <v/>
      </c>
      <c r="CJ34" s="56">
        <v>27</v>
      </c>
      <c r="CK34" s="61"/>
      <c r="CL34" s="61"/>
      <c r="CM34" s="68" t="str">
        <f t="shared" si="29"/>
        <v/>
      </c>
      <c r="CN34" s="68" t="str">
        <f t="shared" si="30"/>
        <v/>
      </c>
      <c r="CO34" s="68" t="str">
        <f t="shared" si="31"/>
        <v/>
      </c>
      <c r="CP34" s="62"/>
      <c r="CQ34" s="62"/>
      <c r="CR34" s="65" t="str">
        <f t="shared" si="32"/>
        <v/>
      </c>
      <c r="CS34" s="56">
        <v>27</v>
      </c>
      <c r="CT34" s="61"/>
      <c r="CU34" s="61"/>
      <c r="CV34" s="68" t="str">
        <f t="shared" si="33"/>
        <v/>
      </c>
      <c r="CW34" s="68" t="str">
        <f t="shared" si="34"/>
        <v/>
      </c>
      <c r="CX34" s="69" t="str">
        <f t="shared" si="35"/>
        <v/>
      </c>
      <c r="CY34" s="66"/>
      <c r="CZ34" s="66"/>
      <c r="DA34" s="66"/>
      <c r="DB34" s="65" t="str">
        <f t="shared" si="36"/>
        <v/>
      </c>
      <c r="DC34" s="56">
        <v>27</v>
      </c>
      <c r="DD34" s="61"/>
      <c r="DE34" s="61"/>
      <c r="DF34" s="68" t="str">
        <f t="shared" si="37"/>
        <v/>
      </c>
      <c r="DG34" s="69" t="str">
        <f t="shared" si="38"/>
        <v/>
      </c>
      <c r="DH34" s="68" t="str">
        <f t="shared" si="39"/>
        <v/>
      </c>
      <c r="DI34" s="62"/>
      <c r="DJ34" s="62"/>
      <c r="DK34" s="65" t="str">
        <f t="shared" si="40"/>
        <v/>
      </c>
      <c r="DL34" s="56">
        <v>27</v>
      </c>
      <c r="DM34" s="63"/>
      <c r="DN34" s="64"/>
      <c r="DO34" s="64"/>
      <c r="DP34" s="64"/>
      <c r="DQ34" s="63"/>
      <c r="DR34" s="61"/>
      <c r="DS34" s="64"/>
      <c r="DT34" s="61"/>
      <c r="DU34" s="63"/>
      <c r="DV34" s="64"/>
      <c r="DW34" s="64"/>
      <c r="DX34" s="66"/>
      <c r="DY34" s="65" t="str">
        <f t="shared" si="41"/>
        <v/>
      </c>
      <c r="DZ34" s="128">
        <v>27</v>
      </c>
      <c r="EA34" s="173" t="str">
        <f t="shared" si="42"/>
        <v/>
      </c>
      <c r="EB34" s="173" t="str">
        <f t="shared" si="43"/>
        <v/>
      </c>
      <c r="EC34" s="173" t="str">
        <f t="shared" si="44"/>
        <v/>
      </c>
      <c r="ED34" s="63"/>
      <c r="EE34" s="63"/>
      <c r="EF34" s="63"/>
      <c r="EG34" s="63"/>
      <c r="EH34" s="127" t="str">
        <f t="shared" si="5"/>
        <v/>
      </c>
      <c r="EI34" s="56">
        <v>27</v>
      </c>
      <c r="EJ34" s="334"/>
      <c r="EK34" s="334"/>
      <c r="EL34" s="334"/>
      <c r="EM34" s="334"/>
      <c r="EN34" s="334"/>
      <c r="EO34" s="334"/>
      <c r="EP34" s="334"/>
      <c r="EQ34" s="65" t="str">
        <f t="shared" si="45"/>
        <v/>
      </c>
    </row>
    <row r="35" spans="1:147" s="3" customFormat="1" ht="17.149999999999999" customHeight="1" x14ac:dyDescent="0.3">
      <c r="A35" s="56">
        <v>28</v>
      </c>
      <c r="B35" s="57"/>
      <c r="C35" s="58" t="str">
        <f t="shared" si="6"/>
        <v/>
      </c>
      <c r="D35" s="167"/>
      <c r="E35" s="59"/>
      <c r="F35" s="58" t="str">
        <f t="shared" si="7"/>
        <v/>
      </c>
      <c r="G35" s="168"/>
      <c r="H35" s="57"/>
      <c r="I35" s="58" t="str">
        <f t="shared" si="0"/>
        <v/>
      </c>
      <c r="J35" s="60"/>
      <c r="K35" s="56">
        <v>28</v>
      </c>
      <c r="L35" s="57"/>
      <c r="M35" s="58" t="str">
        <f t="shared" si="8"/>
        <v/>
      </c>
      <c r="N35" s="59"/>
      <c r="O35" s="58" t="str">
        <f t="shared" si="9"/>
        <v/>
      </c>
      <c r="P35" s="57"/>
      <c r="Q35" s="169" t="str">
        <f t="shared" si="1"/>
        <v/>
      </c>
      <c r="R35" s="57"/>
      <c r="S35" s="57"/>
      <c r="T35" s="57"/>
      <c r="U35" s="57"/>
      <c r="V35" s="58" t="str">
        <f t="shared" si="10"/>
        <v/>
      </c>
      <c r="W35" s="56">
        <v>28</v>
      </c>
      <c r="X35" s="63"/>
      <c r="Y35" s="130" t="str">
        <f t="shared" si="11"/>
        <v/>
      </c>
      <c r="Z35" s="63"/>
      <c r="AA35" s="130" t="str">
        <f t="shared" si="12"/>
        <v/>
      </c>
      <c r="AB35" s="63"/>
      <c r="AC35" s="130" t="str">
        <f t="shared" si="13"/>
        <v/>
      </c>
      <c r="AD35" s="63"/>
      <c r="AE35" s="130" t="str">
        <f t="shared" si="2"/>
        <v/>
      </c>
      <c r="AF35" s="125" t="str">
        <f t="shared" si="14"/>
        <v/>
      </c>
      <c r="AG35" s="56">
        <v>28</v>
      </c>
      <c r="AH35" s="63"/>
      <c r="AI35" s="130" t="str">
        <f t="shared" si="15"/>
        <v/>
      </c>
      <c r="AJ35" s="63"/>
      <c r="AK35" s="130" t="str">
        <f t="shared" si="16"/>
        <v/>
      </c>
      <c r="AL35" s="63"/>
      <c r="AM35" s="130" t="str">
        <f t="shared" si="17"/>
        <v/>
      </c>
      <c r="AN35" s="63"/>
      <c r="AO35" s="130" t="str">
        <f t="shared" si="3"/>
        <v/>
      </c>
      <c r="AP35" s="125" t="str">
        <f t="shared" si="18"/>
        <v/>
      </c>
      <c r="AQ35" s="56">
        <v>28</v>
      </c>
      <c r="AR35" s="63"/>
      <c r="AS35" s="130" t="str">
        <f t="shared" si="19"/>
        <v/>
      </c>
      <c r="AT35" s="63"/>
      <c r="AU35" s="130" t="str">
        <f t="shared" si="20"/>
        <v/>
      </c>
      <c r="AV35" s="63"/>
      <c r="AW35" s="130" t="str">
        <f t="shared" si="21"/>
        <v/>
      </c>
      <c r="AX35" s="63"/>
      <c r="AY35" s="130" t="str">
        <f t="shared" si="4"/>
        <v/>
      </c>
      <c r="AZ35" s="125" t="str">
        <f t="shared" si="22"/>
        <v/>
      </c>
      <c r="BA35" s="56">
        <v>28</v>
      </c>
      <c r="BB35" s="63"/>
      <c r="BC35" s="62"/>
      <c r="BD35" s="61"/>
      <c r="BE35" s="61"/>
      <c r="BF35" s="61"/>
      <c r="BG35" s="61"/>
      <c r="BH35" s="64"/>
      <c r="BI35" s="64"/>
      <c r="BJ35" s="64"/>
      <c r="BK35" s="64"/>
      <c r="BL35" s="64"/>
      <c r="BM35" s="64"/>
      <c r="BN35" s="65" t="str">
        <f t="shared" si="23"/>
        <v/>
      </c>
      <c r="BO35" s="56">
        <v>28</v>
      </c>
      <c r="BP35" s="64"/>
      <c r="BQ35" s="62"/>
      <c r="BR35" s="61"/>
      <c r="BS35" s="61"/>
      <c r="BT35" s="61"/>
      <c r="BU35" s="64"/>
      <c r="BV35" s="63"/>
      <c r="BW35" s="63"/>
      <c r="BX35" s="66"/>
      <c r="BY35" s="172"/>
      <c r="BZ35" s="67" t="str">
        <f t="shared" si="24"/>
        <v/>
      </c>
      <c r="CA35" s="56">
        <v>28</v>
      </c>
      <c r="CB35" s="61"/>
      <c r="CC35" s="61"/>
      <c r="CD35" s="68" t="str">
        <f t="shared" si="25"/>
        <v/>
      </c>
      <c r="CE35" s="69" t="str">
        <f t="shared" si="26"/>
        <v/>
      </c>
      <c r="CF35" s="69" t="str">
        <f t="shared" si="27"/>
        <v/>
      </c>
      <c r="CG35" s="62"/>
      <c r="CH35" s="62"/>
      <c r="CI35" s="65" t="str">
        <f t="shared" si="28"/>
        <v/>
      </c>
      <c r="CJ35" s="56">
        <v>28</v>
      </c>
      <c r="CK35" s="61"/>
      <c r="CL35" s="61"/>
      <c r="CM35" s="68" t="str">
        <f t="shared" si="29"/>
        <v/>
      </c>
      <c r="CN35" s="68" t="str">
        <f t="shared" si="30"/>
        <v/>
      </c>
      <c r="CO35" s="68" t="str">
        <f t="shared" si="31"/>
        <v/>
      </c>
      <c r="CP35" s="62"/>
      <c r="CQ35" s="62"/>
      <c r="CR35" s="65" t="str">
        <f t="shared" si="32"/>
        <v/>
      </c>
      <c r="CS35" s="56">
        <v>28</v>
      </c>
      <c r="CT35" s="61"/>
      <c r="CU35" s="61"/>
      <c r="CV35" s="68" t="str">
        <f t="shared" si="33"/>
        <v/>
      </c>
      <c r="CW35" s="68" t="str">
        <f t="shared" si="34"/>
        <v/>
      </c>
      <c r="CX35" s="69" t="str">
        <f t="shared" si="35"/>
        <v/>
      </c>
      <c r="CY35" s="66"/>
      <c r="CZ35" s="66"/>
      <c r="DA35" s="66"/>
      <c r="DB35" s="65" t="str">
        <f t="shared" si="36"/>
        <v/>
      </c>
      <c r="DC35" s="56">
        <v>28</v>
      </c>
      <c r="DD35" s="61"/>
      <c r="DE35" s="61"/>
      <c r="DF35" s="68" t="str">
        <f t="shared" si="37"/>
        <v/>
      </c>
      <c r="DG35" s="69" t="str">
        <f t="shared" si="38"/>
        <v/>
      </c>
      <c r="DH35" s="68" t="str">
        <f t="shared" si="39"/>
        <v/>
      </c>
      <c r="DI35" s="62"/>
      <c r="DJ35" s="62"/>
      <c r="DK35" s="65" t="str">
        <f t="shared" si="40"/>
        <v/>
      </c>
      <c r="DL35" s="56">
        <v>28</v>
      </c>
      <c r="DM35" s="63"/>
      <c r="DN35" s="64"/>
      <c r="DO35" s="64"/>
      <c r="DP35" s="64"/>
      <c r="DQ35" s="63"/>
      <c r="DR35" s="61"/>
      <c r="DS35" s="64"/>
      <c r="DT35" s="61"/>
      <c r="DU35" s="63"/>
      <c r="DV35" s="64"/>
      <c r="DW35" s="64"/>
      <c r="DX35" s="66"/>
      <c r="DY35" s="65" t="str">
        <f t="shared" si="41"/>
        <v/>
      </c>
      <c r="DZ35" s="128">
        <v>28</v>
      </c>
      <c r="EA35" s="173" t="str">
        <f t="shared" si="42"/>
        <v/>
      </c>
      <c r="EB35" s="173" t="str">
        <f t="shared" si="43"/>
        <v/>
      </c>
      <c r="EC35" s="173" t="str">
        <f t="shared" si="44"/>
        <v/>
      </c>
      <c r="ED35" s="63"/>
      <c r="EE35" s="63"/>
      <c r="EF35" s="63"/>
      <c r="EG35" s="63"/>
      <c r="EH35" s="127" t="str">
        <f t="shared" si="5"/>
        <v/>
      </c>
      <c r="EI35" s="56">
        <v>28</v>
      </c>
      <c r="EJ35" s="334"/>
      <c r="EK35" s="334"/>
      <c r="EL35" s="334"/>
      <c r="EM35" s="334"/>
      <c r="EN35" s="334"/>
      <c r="EO35" s="334"/>
      <c r="EP35" s="334"/>
      <c r="EQ35" s="65" t="str">
        <f t="shared" si="45"/>
        <v/>
      </c>
    </row>
    <row r="36" spans="1:147" s="3" customFormat="1" ht="17.149999999999999" customHeight="1" x14ac:dyDescent="0.3">
      <c r="A36" s="56">
        <v>29</v>
      </c>
      <c r="B36" s="57"/>
      <c r="C36" s="58" t="str">
        <f t="shared" si="6"/>
        <v/>
      </c>
      <c r="D36" s="167"/>
      <c r="E36" s="59"/>
      <c r="F36" s="58" t="str">
        <f t="shared" si="7"/>
        <v/>
      </c>
      <c r="G36" s="168"/>
      <c r="H36" s="57"/>
      <c r="I36" s="58" t="str">
        <f t="shared" si="0"/>
        <v/>
      </c>
      <c r="J36" s="60"/>
      <c r="K36" s="56">
        <v>29</v>
      </c>
      <c r="L36" s="57"/>
      <c r="M36" s="58" t="str">
        <f t="shared" si="8"/>
        <v/>
      </c>
      <c r="N36" s="59"/>
      <c r="O36" s="58" t="str">
        <f t="shared" si="9"/>
        <v/>
      </c>
      <c r="P36" s="57"/>
      <c r="Q36" s="169" t="str">
        <f t="shared" si="1"/>
        <v/>
      </c>
      <c r="R36" s="57"/>
      <c r="S36" s="57"/>
      <c r="T36" s="57"/>
      <c r="U36" s="57"/>
      <c r="V36" s="58" t="str">
        <f t="shared" si="10"/>
        <v/>
      </c>
      <c r="W36" s="56">
        <v>29</v>
      </c>
      <c r="X36" s="63"/>
      <c r="Y36" s="130" t="str">
        <f t="shared" si="11"/>
        <v/>
      </c>
      <c r="Z36" s="63"/>
      <c r="AA36" s="130" t="str">
        <f t="shared" si="12"/>
        <v/>
      </c>
      <c r="AB36" s="63"/>
      <c r="AC36" s="130" t="str">
        <f t="shared" si="13"/>
        <v/>
      </c>
      <c r="AD36" s="63"/>
      <c r="AE36" s="130" t="str">
        <f t="shared" si="2"/>
        <v/>
      </c>
      <c r="AF36" s="125" t="str">
        <f t="shared" si="14"/>
        <v/>
      </c>
      <c r="AG36" s="56">
        <v>29</v>
      </c>
      <c r="AH36" s="63"/>
      <c r="AI36" s="130" t="str">
        <f t="shared" si="15"/>
        <v/>
      </c>
      <c r="AJ36" s="63"/>
      <c r="AK36" s="130" t="str">
        <f t="shared" si="16"/>
        <v/>
      </c>
      <c r="AL36" s="63"/>
      <c r="AM36" s="130" t="str">
        <f t="shared" si="17"/>
        <v/>
      </c>
      <c r="AN36" s="63"/>
      <c r="AO36" s="130" t="str">
        <f t="shared" si="3"/>
        <v/>
      </c>
      <c r="AP36" s="125" t="str">
        <f t="shared" si="18"/>
        <v/>
      </c>
      <c r="AQ36" s="56">
        <v>29</v>
      </c>
      <c r="AR36" s="63"/>
      <c r="AS36" s="130" t="str">
        <f t="shared" si="19"/>
        <v/>
      </c>
      <c r="AT36" s="63"/>
      <c r="AU36" s="130" t="str">
        <f t="shared" si="20"/>
        <v/>
      </c>
      <c r="AV36" s="63"/>
      <c r="AW36" s="130" t="str">
        <f t="shared" si="21"/>
        <v/>
      </c>
      <c r="AX36" s="63"/>
      <c r="AY36" s="130" t="str">
        <f t="shared" si="4"/>
        <v/>
      </c>
      <c r="AZ36" s="125" t="str">
        <f t="shared" si="22"/>
        <v/>
      </c>
      <c r="BA36" s="56">
        <v>1.8</v>
      </c>
      <c r="BB36" s="63"/>
      <c r="BC36" s="62"/>
      <c r="BD36" s="61"/>
      <c r="BE36" s="61"/>
      <c r="BF36" s="61"/>
      <c r="BG36" s="61"/>
      <c r="BH36" s="64"/>
      <c r="BI36" s="260"/>
      <c r="BJ36" s="64"/>
      <c r="BK36" s="64"/>
      <c r="BL36" s="64"/>
      <c r="BM36" s="64"/>
      <c r="BN36" s="65" t="str">
        <f t="shared" si="23"/>
        <v/>
      </c>
      <c r="BO36" s="56">
        <v>29</v>
      </c>
      <c r="BP36" s="64"/>
      <c r="BQ36" s="62"/>
      <c r="BR36" s="61"/>
      <c r="BS36" s="61"/>
      <c r="BT36" s="61"/>
      <c r="BU36" s="64"/>
      <c r="BV36" s="63"/>
      <c r="BW36" s="63"/>
      <c r="BX36" s="66"/>
      <c r="BY36" s="172"/>
      <c r="BZ36" s="67" t="str">
        <f t="shared" si="24"/>
        <v/>
      </c>
      <c r="CA36" s="56">
        <v>29</v>
      </c>
      <c r="CB36" s="61"/>
      <c r="CC36" s="61"/>
      <c r="CD36" s="68" t="str">
        <f t="shared" si="25"/>
        <v/>
      </c>
      <c r="CE36" s="69" t="str">
        <f t="shared" si="26"/>
        <v/>
      </c>
      <c r="CF36" s="69" t="str">
        <f t="shared" si="27"/>
        <v/>
      </c>
      <c r="CG36" s="62"/>
      <c r="CH36" s="62"/>
      <c r="CI36" s="65" t="str">
        <f t="shared" si="28"/>
        <v/>
      </c>
      <c r="CJ36" s="56">
        <v>29</v>
      </c>
      <c r="CK36" s="61"/>
      <c r="CL36" s="61"/>
      <c r="CM36" s="68" t="str">
        <f t="shared" si="29"/>
        <v/>
      </c>
      <c r="CN36" s="68" t="str">
        <f t="shared" si="30"/>
        <v/>
      </c>
      <c r="CO36" s="68" t="str">
        <f t="shared" si="31"/>
        <v/>
      </c>
      <c r="CP36" s="62"/>
      <c r="CQ36" s="62"/>
      <c r="CR36" s="65" t="str">
        <f t="shared" si="32"/>
        <v/>
      </c>
      <c r="CS36" s="56">
        <v>29</v>
      </c>
      <c r="CT36" s="61"/>
      <c r="CU36" s="61"/>
      <c r="CV36" s="68" t="str">
        <f t="shared" si="33"/>
        <v/>
      </c>
      <c r="CW36" s="68" t="str">
        <f t="shared" si="34"/>
        <v/>
      </c>
      <c r="CX36" s="69" t="str">
        <f t="shared" si="35"/>
        <v/>
      </c>
      <c r="CY36" s="66"/>
      <c r="CZ36" s="66"/>
      <c r="DA36" s="66"/>
      <c r="DB36" s="65" t="str">
        <f t="shared" si="36"/>
        <v/>
      </c>
      <c r="DC36" s="56">
        <v>29</v>
      </c>
      <c r="DD36" s="61"/>
      <c r="DE36" s="61"/>
      <c r="DF36" s="68" t="str">
        <f t="shared" si="37"/>
        <v/>
      </c>
      <c r="DG36" s="69" t="str">
        <f t="shared" si="38"/>
        <v/>
      </c>
      <c r="DH36" s="68" t="str">
        <f t="shared" si="39"/>
        <v/>
      </c>
      <c r="DI36" s="62"/>
      <c r="DJ36" s="62"/>
      <c r="DK36" s="65" t="str">
        <f t="shared" si="40"/>
        <v/>
      </c>
      <c r="DL36" s="56">
        <v>29</v>
      </c>
      <c r="DM36" s="63"/>
      <c r="DN36" s="64"/>
      <c r="DO36" s="64"/>
      <c r="DP36" s="64"/>
      <c r="DQ36" s="63"/>
      <c r="DR36" s="61"/>
      <c r="DS36" s="64"/>
      <c r="DT36" s="61"/>
      <c r="DU36" s="63"/>
      <c r="DV36" s="64"/>
      <c r="DW36" s="64"/>
      <c r="DX36" s="66"/>
      <c r="DY36" s="65" t="str">
        <f t="shared" si="41"/>
        <v/>
      </c>
      <c r="DZ36" s="128">
        <v>29</v>
      </c>
      <c r="EA36" s="173" t="str">
        <f t="shared" si="42"/>
        <v/>
      </c>
      <c r="EB36" s="173" t="str">
        <f t="shared" si="43"/>
        <v/>
      </c>
      <c r="EC36" s="173" t="str">
        <f t="shared" si="44"/>
        <v/>
      </c>
      <c r="ED36" s="63"/>
      <c r="EE36" s="63"/>
      <c r="EF36" s="63"/>
      <c r="EG36" s="63"/>
      <c r="EH36" s="127" t="str">
        <f t="shared" si="5"/>
        <v/>
      </c>
      <c r="EI36" s="56">
        <v>29</v>
      </c>
      <c r="EJ36" s="334"/>
      <c r="EK36" s="334"/>
      <c r="EL36" s="334"/>
      <c r="EM36" s="334"/>
      <c r="EN36" s="334"/>
      <c r="EO36" s="334"/>
      <c r="EP36" s="334"/>
      <c r="EQ36" s="65" t="str">
        <f t="shared" si="45"/>
        <v/>
      </c>
    </row>
    <row r="37" spans="1:147" s="3" customFormat="1" ht="17.149999999999999" customHeight="1" x14ac:dyDescent="0.3">
      <c r="A37" s="56">
        <v>30</v>
      </c>
      <c r="B37" s="57"/>
      <c r="C37" s="58" t="str">
        <f t="shared" si="6"/>
        <v/>
      </c>
      <c r="D37" s="167"/>
      <c r="E37" s="59"/>
      <c r="F37" s="58" t="str">
        <f t="shared" si="7"/>
        <v/>
      </c>
      <c r="G37" s="168"/>
      <c r="H37" s="57"/>
      <c r="I37" s="58" t="str">
        <f t="shared" si="0"/>
        <v/>
      </c>
      <c r="J37" s="60"/>
      <c r="K37" s="56">
        <v>30</v>
      </c>
      <c r="L37" s="57"/>
      <c r="M37" s="58" t="str">
        <f t="shared" si="8"/>
        <v/>
      </c>
      <c r="N37" s="59"/>
      <c r="O37" s="58" t="str">
        <f t="shared" si="9"/>
        <v/>
      </c>
      <c r="P37" s="57"/>
      <c r="Q37" s="169" t="str">
        <f t="shared" si="1"/>
        <v/>
      </c>
      <c r="R37" s="57"/>
      <c r="S37" s="57"/>
      <c r="T37" s="57"/>
      <c r="U37" s="57"/>
      <c r="V37" s="58" t="str">
        <f t="shared" si="10"/>
        <v/>
      </c>
      <c r="W37" s="56">
        <v>30</v>
      </c>
      <c r="X37" s="63"/>
      <c r="Y37" s="130" t="str">
        <f t="shared" si="11"/>
        <v/>
      </c>
      <c r="Z37" s="63"/>
      <c r="AA37" s="130" t="str">
        <f t="shared" si="12"/>
        <v/>
      </c>
      <c r="AB37" s="63"/>
      <c r="AC37" s="130" t="str">
        <f t="shared" si="13"/>
        <v/>
      </c>
      <c r="AD37" s="63"/>
      <c r="AE37" s="130" t="str">
        <f t="shared" si="2"/>
        <v/>
      </c>
      <c r="AF37" s="125" t="str">
        <f t="shared" si="14"/>
        <v/>
      </c>
      <c r="AG37" s="56">
        <v>30</v>
      </c>
      <c r="AH37" s="63"/>
      <c r="AI37" s="130" t="str">
        <f t="shared" si="15"/>
        <v/>
      </c>
      <c r="AJ37" s="63"/>
      <c r="AK37" s="130" t="str">
        <f t="shared" si="16"/>
        <v/>
      </c>
      <c r="AL37" s="63"/>
      <c r="AM37" s="130" t="str">
        <f t="shared" si="17"/>
        <v/>
      </c>
      <c r="AN37" s="63"/>
      <c r="AO37" s="130" t="str">
        <f t="shared" si="3"/>
        <v/>
      </c>
      <c r="AP37" s="125" t="str">
        <f t="shared" si="18"/>
        <v/>
      </c>
      <c r="AQ37" s="56">
        <v>30</v>
      </c>
      <c r="AR37" s="63"/>
      <c r="AS37" s="130" t="str">
        <f t="shared" si="19"/>
        <v/>
      </c>
      <c r="AT37" s="63"/>
      <c r="AU37" s="130" t="str">
        <f t="shared" si="20"/>
        <v/>
      </c>
      <c r="AV37" s="63"/>
      <c r="AW37" s="130" t="str">
        <f t="shared" si="21"/>
        <v/>
      </c>
      <c r="AX37" s="63"/>
      <c r="AY37" s="130" t="str">
        <f t="shared" si="4"/>
        <v/>
      </c>
      <c r="AZ37" s="125" t="str">
        <f t="shared" si="22"/>
        <v/>
      </c>
      <c r="BA37" s="56">
        <v>30</v>
      </c>
      <c r="BB37" s="63"/>
      <c r="BC37" s="62"/>
      <c r="BD37" s="61"/>
      <c r="BE37" s="61"/>
      <c r="BF37" s="61"/>
      <c r="BG37" s="61"/>
      <c r="BH37" s="64"/>
      <c r="BI37" s="64"/>
      <c r="BJ37" s="64"/>
      <c r="BK37" s="64"/>
      <c r="BL37" s="64"/>
      <c r="BM37" s="64"/>
      <c r="BN37" s="65" t="str">
        <f t="shared" si="23"/>
        <v/>
      </c>
      <c r="BO37" s="56">
        <v>30</v>
      </c>
      <c r="BP37" s="64"/>
      <c r="BQ37" s="62"/>
      <c r="BR37" s="61"/>
      <c r="BS37" s="61"/>
      <c r="BT37" s="61"/>
      <c r="BU37" s="64"/>
      <c r="BV37" s="63"/>
      <c r="BW37" s="63"/>
      <c r="BX37" s="66"/>
      <c r="BY37" s="172"/>
      <c r="BZ37" s="67" t="str">
        <f t="shared" si="24"/>
        <v/>
      </c>
      <c r="CA37" s="56">
        <v>30</v>
      </c>
      <c r="CB37" s="61"/>
      <c r="CC37" s="61"/>
      <c r="CD37" s="68" t="str">
        <f t="shared" si="25"/>
        <v/>
      </c>
      <c r="CE37" s="69" t="str">
        <f t="shared" si="26"/>
        <v/>
      </c>
      <c r="CF37" s="69" t="str">
        <f t="shared" si="27"/>
        <v/>
      </c>
      <c r="CG37" s="62"/>
      <c r="CH37" s="62"/>
      <c r="CI37" s="65" t="str">
        <f t="shared" si="28"/>
        <v/>
      </c>
      <c r="CJ37" s="56">
        <v>30</v>
      </c>
      <c r="CK37" s="61"/>
      <c r="CL37" s="61"/>
      <c r="CM37" s="68" t="str">
        <f t="shared" si="29"/>
        <v/>
      </c>
      <c r="CN37" s="68" t="str">
        <f t="shared" si="30"/>
        <v/>
      </c>
      <c r="CO37" s="68" t="str">
        <f t="shared" si="31"/>
        <v/>
      </c>
      <c r="CP37" s="62"/>
      <c r="CQ37" s="62"/>
      <c r="CR37" s="65" t="str">
        <f t="shared" si="32"/>
        <v/>
      </c>
      <c r="CS37" s="56">
        <v>30</v>
      </c>
      <c r="CT37" s="61"/>
      <c r="CU37" s="61"/>
      <c r="CV37" s="68" t="str">
        <f t="shared" si="33"/>
        <v/>
      </c>
      <c r="CW37" s="68" t="str">
        <f t="shared" si="34"/>
        <v/>
      </c>
      <c r="CX37" s="69" t="str">
        <f t="shared" si="35"/>
        <v/>
      </c>
      <c r="CY37" s="66"/>
      <c r="CZ37" s="66"/>
      <c r="DA37" s="66"/>
      <c r="DB37" s="65" t="str">
        <f t="shared" si="36"/>
        <v/>
      </c>
      <c r="DC37" s="56">
        <v>30</v>
      </c>
      <c r="DD37" s="61"/>
      <c r="DE37" s="61"/>
      <c r="DF37" s="68" t="str">
        <f t="shared" si="37"/>
        <v/>
      </c>
      <c r="DG37" s="69" t="str">
        <f t="shared" si="38"/>
        <v/>
      </c>
      <c r="DH37" s="68" t="str">
        <f t="shared" si="39"/>
        <v/>
      </c>
      <c r="DI37" s="62"/>
      <c r="DJ37" s="62"/>
      <c r="DK37" s="65" t="str">
        <f t="shared" si="40"/>
        <v/>
      </c>
      <c r="DL37" s="56">
        <v>30</v>
      </c>
      <c r="DM37" s="63"/>
      <c r="DN37" s="64"/>
      <c r="DO37" s="64"/>
      <c r="DP37" s="64"/>
      <c r="DQ37" s="63"/>
      <c r="DR37" s="61"/>
      <c r="DS37" s="64"/>
      <c r="DT37" s="61"/>
      <c r="DU37" s="63"/>
      <c r="DV37" s="64"/>
      <c r="DW37" s="64"/>
      <c r="DX37" s="66"/>
      <c r="DY37" s="65" t="str">
        <f t="shared" si="41"/>
        <v/>
      </c>
      <c r="DZ37" s="128">
        <v>30</v>
      </c>
      <c r="EA37" s="173" t="str">
        <f t="shared" si="42"/>
        <v/>
      </c>
      <c r="EB37" s="173" t="str">
        <f t="shared" si="43"/>
        <v/>
      </c>
      <c r="EC37" s="173" t="str">
        <f t="shared" si="44"/>
        <v/>
      </c>
      <c r="ED37" s="63"/>
      <c r="EE37" s="63"/>
      <c r="EF37" s="63"/>
      <c r="EG37" s="63"/>
      <c r="EH37" s="127" t="str">
        <f t="shared" si="5"/>
        <v/>
      </c>
      <c r="EI37" s="56">
        <v>30</v>
      </c>
      <c r="EJ37" s="334"/>
      <c r="EK37" s="334"/>
      <c r="EL37" s="334"/>
      <c r="EM37" s="334"/>
      <c r="EN37" s="334"/>
      <c r="EO37" s="334"/>
      <c r="EP37" s="334"/>
      <c r="EQ37" s="65" t="str">
        <f t="shared" si="45"/>
        <v/>
      </c>
    </row>
    <row r="38" spans="1:147" s="3" customFormat="1" ht="17.149999999999999" customHeight="1" thickBot="1" x14ac:dyDescent="0.35">
      <c r="A38" s="56">
        <v>31</v>
      </c>
      <c r="B38" s="57"/>
      <c r="C38" s="58" t="str">
        <f>IF(Nov.!B8="","",IF(Nov.!B8=B38,"",(Nov.!B8-B38)))</f>
        <v/>
      </c>
      <c r="D38" s="167"/>
      <c r="E38" s="59"/>
      <c r="F38" s="58" t="str">
        <f>IF(Nov.!E8="","",IF(Nov.!E8=E38,"",(Nov.!E8-E38)))</f>
        <v/>
      </c>
      <c r="G38" s="168"/>
      <c r="H38" s="57"/>
      <c r="I38" s="58" t="str">
        <f>IF(Nov.!H8="","",IF(Nov.!H8=H38,"",(Nov.!H8-H38)))</f>
        <v/>
      </c>
      <c r="J38" s="60"/>
      <c r="K38" s="56">
        <v>31</v>
      </c>
      <c r="L38" s="57"/>
      <c r="M38" s="58" t="str">
        <f>IF(Nov.!L8="","",IF(Nov.!L8=L38,"",(Nov.!L8-L38)))</f>
        <v/>
      </c>
      <c r="N38" s="59"/>
      <c r="O38" s="58" t="str">
        <f>IF(Nov.!N8="","",IF(Nov.!N8=N38,"",(Nov.!N8-N38)))</f>
        <v/>
      </c>
      <c r="P38" s="57"/>
      <c r="Q38" s="58" t="str">
        <f>IF(Nov.!P8="","",IF(Nov.!P8=P38,"",(Nov.!P8-P38)))</f>
        <v/>
      </c>
      <c r="R38" s="57"/>
      <c r="S38" s="57"/>
      <c r="T38" s="57"/>
      <c r="U38" s="57"/>
      <c r="V38" s="58" t="str">
        <f t="shared" si="10"/>
        <v/>
      </c>
      <c r="W38" s="56">
        <v>31</v>
      </c>
      <c r="X38" s="63"/>
      <c r="Y38" s="130" t="str">
        <f>IF(Nov.!X8="","",IF(Nov.!X8=X38,"",Nov.!X8-X38))</f>
        <v/>
      </c>
      <c r="Z38" s="63"/>
      <c r="AA38" s="130" t="str">
        <f>IF(Nov.!Z8="","",IF(Nov.!Z8=Z38,"",Nov.!Z8-Z38))</f>
        <v/>
      </c>
      <c r="AB38" s="63"/>
      <c r="AC38" s="130" t="str">
        <f>IF(Nov.!AB8="","",IF(Nov.!AB8=AB38,"",Nov.!AB8-AB38))</f>
        <v/>
      </c>
      <c r="AD38" s="63"/>
      <c r="AE38" s="130" t="str">
        <f>IF(Nov.!AD8="","",IF(Nov.!AD8=AD38,"",Nov.!AD8-AD38))</f>
        <v/>
      </c>
      <c r="AF38" s="125" t="str">
        <f t="shared" si="14"/>
        <v/>
      </c>
      <c r="AG38" s="56">
        <v>31</v>
      </c>
      <c r="AH38" s="63"/>
      <c r="AI38" s="130" t="str">
        <f>IF(Nov.!AH8="","",IF(Nov.!AH8=AH38,"",Nov.!AH8-AH38))</f>
        <v/>
      </c>
      <c r="AJ38" s="63"/>
      <c r="AK38" s="130" t="str">
        <f>IF(Nov.!AJ8="","",IF(Nov.!AJ8=AJ38,"",Nov.!AJ8-AJ38))</f>
        <v/>
      </c>
      <c r="AL38" s="63"/>
      <c r="AM38" s="130" t="str">
        <f>IF(Nov.!AL8="","",IF(Nov.!AL8=AL38,"",Nov.!AL8-AL38))</f>
        <v/>
      </c>
      <c r="AN38" s="63"/>
      <c r="AO38" s="130" t="str">
        <f>IF(Nov.!AN8="","",IF(Nov.!AN8=AN38,"",Nov.!AN8-AN38))</f>
        <v/>
      </c>
      <c r="AP38" s="125" t="str">
        <f t="shared" si="18"/>
        <v/>
      </c>
      <c r="AQ38" s="56">
        <v>31</v>
      </c>
      <c r="AR38" s="63"/>
      <c r="AS38" s="130" t="str">
        <f>IF(Nov.!AR8="","",IF(Nov.!AR8=AR38,"",Nov.!AR8-AR38))</f>
        <v/>
      </c>
      <c r="AT38" s="63"/>
      <c r="AU38" s="130" t="str">
        <f>IF(Nov.!AT8="","",IF(Nov.!AT8=AT38,"",Nov.!AT8-AT38))</f>
        <v/>
      </c>
      <c r="AV38" s="63"/>
      <c r="AW38" s="130" t="str">
        <f>IF(Nov.!AV8="","",IF(Nov.!AV8=AV38,"",Nov.!AV8-AV38))</f>
        <v/>
      </c>
      <c r="AX38" s="63"/>
      <c r="AY38" s="130" t="str">
        <f>IF(Nov.!AX8="","",IF(Nov.!AX8=AX38,"",Nov.!AX8-AX38))</f>
        <v/>
      </c>
      <c r="AZ38" s="125" t="str">
        <f t="shared" si="22"/>
        <v/>
      </c>
      <c r="BA38" s="56">
        <v>31</v>
      </c>
      <c r="BB38" s="63"/>
      <c r="BC38" s="62"/>
      <c r="BD38" s="61"/>
      <c r="BE38" s="61"/>
      <c r="BF38" s="61"/>
      <c r="BG38" s="61"/>
      <c r="BH38" s="64"/>
      <c r="BI38" s="64"/>
      <c r="BJ38" s="64"/>
      <c r="BK38" s="64"/>
      <c r="BL38" s="64"/>
      <c r="BM38" s="64"/>
      <c r="BN38" s="65" t="str">
        <f t="shared" si="23"/>
        <v/>
      </c>
      <c r="BO38" s="56">
        <v>31</v>
      </c>
      <c r="BP38" s="64"/>
      <c r="BQ38" s="62"/>
      <c r="BR38" s="61"/>
      <c r="BS38" s="61"/>
      <c r="BT38" s="61"/>
      <c r="BU38" s="64"/>
      <c r="BV38" s="63"/>
      <c r="BW38" s="63"/>
      <c r="BX38" s="66"/>
      <c r="BY38" s="172"/>
      <c r="BZ38" s="67" t="str">
        <f t="shared" si="24"/>
        <v/>
      </c>
      <c r="CA38" s="56">
        <v>31</v>
      </c>
      <c r="CB38" s="61"/>
      <c r="CC38" s="61"/>
      <c r="CD38" s="68" t="str">
        <f>IF(Nov.!CB8="","",IF(CC38="",IF(CB38=Nov.!CB8,"",(CB38-Nov.!CB8)),IF(CC38=Nov.!CB8,"",(CC38-Nov.!CB8))))</f>
        <v/>
      </c>
      <c r="CE38" s="69" t="str">
        <f t="shared" si="26"/>
        <v/>
      </c>
      <c r="CF38" s="69" t="str">
        <f t="shared" si="27"/>
        <v/>
      </c>
      <c r="CG38" s="62"/>
      <c r="CH38" s="62"/>
      <c r="CI38" s="65" t="str">
        <f t="shared" si="28"/>
        <v/>
      </c>
      <c r="CJ38" s="56">
        <v>31</v>
      </c>
      <c r="CK38" s="61"/>
      <c r="CL38" s="61"/>
      <c r="CM38" s="68" t="str">
        <f>IF(Nov.!CK8="","",IF(CL38="",IF(CK38=Nov.!CK8,"",(CK38-Nov.!CK8)),IF(CL38=Nov.!CK8,"",(CL38-Nov.!CK8))))</f>
        <v/>
      </c>
      <c r="CN38" s="68" t="str">
        <f t="shared" si="30"/>
        <v/>
      </c>
      <c r="CO38" s="68" t="str">
        <f t="shared" si="31"/>
        <v/>
      </c>
      <c r="CP38" s="62"/>
      <c r="CQ38" s="62"/>
      <c r="CR38" s="65" t="str">
        <f t="shared" si="32"/>
        <v/>
      </c>
      <c r="CS38" s="56">
        <v>31</v>
      </c>
      <c r="CT38" s="61"/>
      <c r="CU38" s="61"/>
      <c r="CV38" s="68" t="str">
        <f>IF(Nov.!CT8="","",IF(CU38="",IF(CT38=Nov.!CT8,"",(CT38-Nov.!CT8)),IF(CU38=Nov.!CT8,"",(CU38-Nov.!CT8))))</f>
        <v/>
      </c>
      <c r="CW38" s="68" t="str">
        <f t="shared" si="34"/>
        <v/>
      </c>
      <c r="CX38" s="69" t="str">
        <f t="shared" si="35"/>
        <v/>
      </c>
      <c r="CY38" s="66"/>
      <c r="CZ38" s="66"/>
      <c r="DA38" s="66"/>
      <c r="DB38" s="65" t="str">
        <f t="shared" si="36"/>
        <v/>
      </c>
      <c r="DC38" s="56">
        <v>31</v>
      </c>
      <c r="DD38" s="61"/>
      <c r="DE38" s="61"/>
      <c r="DF38" s="68" t="str">
        <f>IF(Nov.!DD8="","",IF(DE38="",IF(DD38=Nov.!DD8,"",(DD38-Nov.!DD8)),IF(DE38=Nov.!DD8,"",(DE38-Nov.!DD8))))</f>
        <v/>
      </c>
      <c r="DG38" s="69" t="str">
        <f t="shared" si="38"/>
        <v/>
      </c>
      <c r="DH38" s="68" t="str">
        <f t="shared" si="39"/>
        <v/>
      </c>
      <c r="DI38" s="62"/>
      <c r="DJ38" s="62"/>
      <c r="DK38" s="65" t="str">
        <f t="shared" si="40"/>
        <v/>
      </c>
      <c r="DL38" s="56">
        <v>31</v>
      </c>
      <c r="DM38" s="63"/>
      <c r="DN38" s="64"/>
      <c r="DO38" s="64"/>
      <c r="DP38" s="64"/>
      <c r="DQ38" s="63"/>
      <c r="DR38" s="61"/>
      <c r="DS38" s="64"/>
      <c r="DT38" s="61"/>
      <c r="DU38" s="63"/>
      <c r="DV38" s="64"/>
      <c r="DW38" s="64"/>
      <c r="DX38" s="66"/>
      <c r="DY38" s="65" t="str">
        <f t="shared" si="41"/>
        <v/>
      </c>
      <c r="DZ38" s="128">
        <v>31</v>
      </c>
      <c r="EA38" s="173" t="str">
        <f t="shared" si="42"/>
        <v/>
      </c>
      <c r="EB38" s="173" t="str">
        <f t="shared" si="43"/>
        <v/>
      </c>
      <c r="EC38" s="173" t="str">
        <f t="shared" si="44"/>
        <v/>
      </c>
      <c r="ED38" s="63"/>
      <c r="EE38" s="63"/>
      <c r="EF38" s="63"/>
      <c r="EG38" s="63"/>
      <c r="EH38" s="127" t="str">
        <f t="shared" si="5"/>
        <v/>
      </c>
      <c r="EI38" s="56">
        <v>31</v>
      </c>
      <c r="EJ38" s="334"/>
      <c r="EK38" s="334"/>
      <c r="EL38" s="334"/>
      <c r="EM38" s="334"/>
      <c r="EN38" s="334"/>
      <c r="EO38" s="334"/>
      <c r="EP38" s="334"/>
      <c r="EQ38" s="65" t="str">
        <f t="shared" ref="EQ38" si="46">IF(J38="","",J38)</f>
        <v/>
      </c>
    </row>
    <row r="39" spans="1:147" s="3" customFormat="1" ht="18.649999999999999" customHeight="1" thickBot="1" x14ac:dyDescent="0.35">
      <c r="A39" s="73"/>
      <c r="B39" s="74"/>
      <c r="C39" s="74"/>
      <c r="D39" s="75"/>
      <c r="E39" s="74"/>
      <c r="F39" s="74"/>
      <c r="G39" s="75"/>
      <c r="H39" s="74"/>
      <c r="I39" s="74"/>
      <c r="J39" s="73"/>
      <c r="K39" s="73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3"/>
      <c r="W39" s="73"/>
      <c r="X39" s="75"/>
      <c r="Y39" s="75"/>
      <c r="Z39" s="75"/>
      <c r="AA39" s="75"/>
      <c r="AB39" s="75"/>
      <c r="AC39" s="75"/>
      <c r="AD39" s="75"/>
      <c r="AE39" s="75"/>
      <c r="AF39" s="73"/>
      <c r="AG39" s="73"/>
      <c r="AH39" s="75"/>
      <c r="AI39" s="75"/>
      <c r="AJ39" s="75"/>
      <c r="AK39" s="75"/>
      <c r="AL39" s="75"/>
      <c r="AM39" s="75"/>
      <c r="AN39" s="75"/>
      <c r="AO39" s="75"/>
      <c r="AP39" s="73"/>
      <c r="AQ39" s="73"/>
      <c r="AR39" s="75"/>
      <c r="AS39" s="75"/>
      <c r="AT39" s="75"/>
      <c r="AU39" s="75"/>
      <c r="AV39" s="75"/>
      <c r="AW39" s="75"/>
      <c r="AX39" s="75"/>
      <c r="AY39" s="75"/>
      <c r="AZ39" s="73"/>
      <c r="BA39" s="73"/>
      <c r="BB39" s="75"/>
      <c r="BC39" s="74"/>
      <c r="BD39" s="73"/>
      <c r="BE39" s="73"/>
      <c r="BF39" s="73"/>
      <c r="BG39" s="73"/>
      <c r="BH39" s="124"/>
      <c r="BI39" s="124"/>
      <c r="BJ39" s="124"/>
      <c r="BK39" s="124"/>
      <c r="BL39" s="124"/>
      <c r="BM39" s="124"/>
      <c r="BN39" s="73"/>
      <c r="BO39" s="73"/>
      <c r="BP39" s="124"/>
      <c r="BQ39" s="74"/>
      <c r="BR39" s="73"/>
      <c r="BS39" s="73"/>
      <c r="BT39" s="73"/>
      <c r="BU39" s="124"/>
      <c r="BV39" s="75"/>
      <c r="BW39" s="75"/>
      <c r="BX39" s="73"/>
      <c r="BY39" s="73"/>
      <c r="BZ39" s="73"/>
      <c r="CA39" s="73"/>
      <c r="CB39" s="73"/>
      <c r="CC39" s="73"/>
      <c r="CD39" s="73"/>
      <c r="CE39" s="75"/>
      <c r="CF39" s="75"/>
      <c r="CG39" s="74"/>
      <c r="CH39" s="74"/>
      <c r="CI39" s="73"/>
      <c r="CJ39" s="73"/>
      <c r="CK39" s="73"/>
      <c r="CL39" s="73"/>
      <c r="CM39" s="73"/>
      <c r="CN39" s="73"/>
      <c r="CO39" s="73"/>
      <c r="CP39" s="74"/>
      <c r="CQ39" s="74"/>
      <c r="CR39" s="73"/>
      <c r="CS39" s="73"/>
      <c r="CT39" s="73"/>
      <c r="CU39" s="73"/>
      <c r="CV39" s="73"/>
      <c r="CW39" s="73"/>
      <c r="CX39" s="75"/>
      <c r="CY39" s="74"/>
      <c r="CZ39" s="74"/>
      <c r="DA39" s="74"/>
      <c r="DB39" s="73"/>
      <c r="DC39" s="73"/>
      <c r="DD39" s="73"/>
      <c r="DE39" s="73"/>
      <c r="DF39" s="73"/>
      <c r="DG39" s="75"/>
      <c r="DH39" s="73"/>
      <c r="DI39" s="74"/>
      <c r="DJ39" s="74"/>
      <c r="DK39" s="73"/>
      <c r="DL39" s="73"/>
      <c r="DM39" s="75"/>
      <c r="DN39" s="124"/>
      <c r="DO39" s="124"/>
      <c r="DP39" s="124"/>
      <c r="DQ39" s="75"/>
      <c r="DR39" s="73"/>
      <c r="DS39" s="124"/>
      <c r="DT39" s="73"/>
      <c r="DU39" s="75"/>
      <c r="DV39" s="124"/>
      <c r="DW39" s="124"/>
      <c r="DX39" s="124"/>
      <c r="DY39" s="73"/>
      <c r="DZ39" s="195" t="s">
        <v>199</v>
      </c>
      <c r="EA39" s="198">
        <f>IF(COUNT(EA7:EA37)=0,"",AVERAGE(EA7:EA37))*100</f>
        <v>11.519607843137255</v>
      </c>
      <c r="EB39" s="199">
        <f>IF(COUNT(EB7:EB37)=0,"",AVERAGE(EB7:EB37))*100</f>
        <v>13.872549019607842</v>
      </c>
      <c r="EC39" s="200">
        <f>IF(COUNT(EC7:EC37)=0,"",AVERAGE(EC7:EC37))*100</f>
        <v>78.731362941889259</v>
      </c>
      <c r="ED39" s="75"/>
      <c r="EE39" s="75"/>
      <c r="EF39" s="75"/>
      <c r="EG39" s="75"/>
      <c r="EH39" s="73"/>
      <c r="EI39" s="73"/>
      <c r="EJ39" s="351"/>
      <c r="EK39" s="351"/>
      <c r="EL39" s="351"/>
      <c r="EM39" s="351"/>
      <c r="EN39" s="351"/>
      <c r="EO39" s="351"/>
      <c r="EP39" s="351"/>
      <c r="EQ39" s="73"/>
    </row>
    <row r="40" spans="1:147" s="3" customFormat="1" ht="18.649999999999999" customHeight="1" x14ac:dyDescent="0.3">
      <c r="A40" s="56" t="s">
        <v>2</v>
      </c>
      <c r="B40" s="77"/>
      <c r="C40" s="78">
        <f>IF(COUNT(C8:C38)=0,"",SUM(C8:C38))</f>
        <v>517</v>
      </c>
      <c r="D40" s="75"/>
      <c r="E40" s="74"/>
      <c r="F40" s="78">
        <f>IF(COUNT(F8:F38)=0,"",SUM(F8:F38))</f>
        <v>566</v>
      </c>
      <c r="G40" s="81"/>
      <c r="H40" s="74"/>
      <c r="I40" s="78">
        <f>IF(COUNT(I8:I38)=0,"",SUM(I8:I38))</f>
        <v>402</v>
      </c>
      <c r="J40" s="79"/>
      <c r="K40" s="56" t="s">
        <v>2</v>
      </c>
      <c r="L40" s="77"/>
      <c r="M40" s="78">
        <f>IF(COUNT(M8:M38)=0,"",SUM(M8:M38))</f>
        <v>48</v>
      </c>
      <c r="N40" s="74"/>
      <c r="O40" s="78">
        <f>IF(COUNT(O8:O38)=0,"",SUM(O8:O38))</f>
        <v>132</v>
      </c>
      <c r="P40" s="74"/>
      <c r="Q40" s="78" t="str">
        <f>IF(COUNT(Q8:Q38)=0,"",SUM(Q8:Q38))</f>
        <v/>
      </c>
      <c r="R40" s="77"/>
      <c r="S40" s="77"/>
      <c r="T40" s="77"/>
      <c r="U40" s="77"/>
      <c r="V40" s="79"/>
      <c r="W40" s="56" t="s">
        <v>2</v>
      </c>
      <c r="X40" s="81"/>
      <c r="Y40" s="82">
        <f>IF(COUNT(Y8:Y38)=0,"",SUM(Y8:Y38))</f>
        <v>6.8400000000001455</v>
      </c>
      <c r="Z40" s="75"/>
      <c r="AA40" s="82">
        <f>IF(COUNT(AA8:AA38)=0,"",SUM(AA8:AA38))</f>
        <v>8.0799999999999272</v>
      </c>
      <c r="AB40" s="75"/>
      <c r="AC40" s="82">
        <f>IF(COUNT(AC8:AC38)=0,"",SUM(AC8:AC38))</f>
        <v>5.3500000000003638</v>
      </c>
      <c r="AD40" s="75"/>
      <c r="AE40" s="82">
        <f>IF(COUNT(AE8:AE38)=0,"",SUM(AE8:AE38))</f>
        <v>5.3800000000010186</v>
      </c>
      <c r="AF40" s="79"/>
      <c r="AG40" s="56" t="s">
        <v>2</v>
      </c>
      <c r="AH40" s="81"/>
      <c r="AI40" s="82">
        <f>IF(COUNT(AI8:AI38)=0,"",SUM(AI8:AI38))</f>
        <v>60.830000000001746</v>
      </c>
      <c r="AJ40" s="75"/>
      <c r="AK40" s="82">
        <f>IF(COUNT(AK8:AK38)=0,"",SUM(AK8:AK38))</f>
        <v>15.340000000003783</v>
      </c>
      <c r="AL40" s="75"/>
      <c r="AM40" s="82" t="str">
        <f>IF(COUNT(AM8:AM38)=0,"",SUM(AM8:AM38))</f>
        <v/>
      </c>
      <c r="AN40" s="75"/>
      <c r="AO40" s="82" t="str">
        <f>IF(COUNT(AO8:AO38)=0,"",SUM(AO8:AO38))</f>
        <v/>
      </c>
      <c r="AP40" s="79"/>
      <c r="AQ40" s="56" t="s">
        <v>2</v>
      </c>
      <c r="AR40" s="81"/>
      <c r="AS40" s="82">
        <f>IF(COUNT(AS8:AS38)=0,"",SUM(AS8:AS38))</f>
        <v>6.089999999999236</v>
      </c>
      <c r="AT40" s="75"/>
      <c r="AU40" s="82">
        <f>IF(COUNT(AU8:AU38)=0,"",SUM(AU8:AU38))</f>
        <v>15.940000000000509</v>
      </c>
      <c r="AV40" s="75"/>
      <c r="AW40" s="82">
        <f>IF(COUNT(AW8:AW38)=0,"",SUM(AW8:AW38))</f>
        <v>0.33999999999997499</v>
      </c>
      <c r="AX40" s="75"/>
      <c r="AY40" s="82" t="str">
        <f>IF(COUNT(AY8:AY38)=0,"",SUM(AY8:AY38))</f>
        <v/>
      </c>
      <c r="AZ40" s="79"/>
      <c r="BA40" s="264" t="s">
        <v>2</v>
      </c>
      <c r="BB40" s="265">
        <f>COUNTA(BB8:BB38)</f>
        <v>1</v>
      </c>
      <c r="BC40" s="265">
        <f t="shared" ref="BC40:BM40" si="47">COUNTA(BC8:BC38)</f>
        <v>1</v>
      </c>
      <c r="BD40" s="265">
        <f t="shared" si="47"/>
        <v>1</v>
      </c>
      <c r="BE40" s="265">
        <f t="shared" si="47"/>
        <v>1</v>
      </c>
      <c r="BF40" s="265">
        <f t="shared" si="47"/>
        <v>1</v>
      </c>
      <c r="BG40" s="265">
        <f t="shared" si="47"/>
        <v>1</v>
      </c>
      <c r="BH40" s="265">
        <f t="shared" si="47"/>
        <v>1</v>
      </c>
      <c r="BI40" s="265">
        <f t="shared" si="47"/>
        <v>1</v>
      </c>
      <c r="BJ40" s="265">
        <f t="shared" si="47"/>
        <v>1</v>
      </c>
      <c r="BK40" s="265">
        <f t="shared" si="47"/>
        <v>1</v>
      </c>
      <c r="BL40" s="265">
        <f t="shared" si="47"/>
        <v>1</v>
      </c>
      <c r="BM40" s="265">
        <f t="shared" si="47"/>
        <v>1</v>
      </c>
      <c r="BN40" s="266" t="s">
        <v>208</v>
      </c>
      <c r="BO40" s="264" t="s">
        <v>2</v>
      </c>
      <c r="BP40" s="265">
        <f t="shared" ref="BP40:BW40" si="48">COUNTA(BP8:BP38)</f>
        <v>4</v>
      </c>
      <c r="BQ40" s="265">
        <f t="shared" si="48"/>
        <v>2</v>
      </c>
      <c r="BR40" s="265">
        <f t="shared" si="48"/>
        <v>2</v>
      </c>
      <c r="BS40" s="265">
        <f t="shared" si="48"/>
        <v>2</v>
      </c>
      <c r="BT40" s="265">
        <f t="shared" si="48"/>
        <v>2</v>
      </c>
      <c r="BU40" s="265">
        <f t="shared" si="48"/>
        <v>2</v>
      </c>
      <c r="BV40" s="265">
        <f t="shared" si="48"/>
        <v>4</v>
      </c>
      <c r="BW40" s="265">
        <f t="shared" si="48"/>
        <v>4</v>
      </c>
      <c r="BX40" s="267" t="s">
        <v>208</v>
      </c>
      <c r="BY40" s="83"/>
      <c r="BZ40" s="73"/>
      <c r="CA40" s="56" t="s">
        <v>2</v>
      </c>
      <c r="CB40" s="73"/>
      <c r="CC40" s="73"/>
      <c r="CD40" s="80">
        <f>IF(COUNT(CD8:CD38)=0,"",SUM(CD8:CD38))</f>
        <v>4.2000000000000028</v>
      </c>
      <c r="CE40" s="82">
        <f>IF(COUNT(CE8:CE38)=0,"",SUM(CE8:CE38))</f>
        <v>19.547913000000015</v>
      </c>
      <c r="CF40" s="75"/>
      <c r="CG40" s="74"/>
      <c r="CH40" s="74"/>
      <c r="CI40" s="73"/>
      <c r="CJ40" s="56" t="s">
        <v>2</v>
      </c>
      <c r="CK40" s="73"/>
      <c r="CL40" s="73"/>
      <c r="CM40" s="80">
        <f>IF(COUNT(CM8:CM38)=0,"",SUM(CM8:CM38))</f>
        <v>6.1000000000000085</v>
      </c>
      <c r="CN40" s="80">
        <f>IF(COUNT(CN8:CN38)=0,"",SUM(CN8:CN38))</f>
        <v>28.391016500000042</v>
      </c>
      <c r="CO40" s="73"/>
      <c r="CP40" s="74"/>
      <c r="CQ40" s="74"/>
      <c r="CR40" s="73"/>
      <c r="CS40" s="56" t="s">
        <v>2</v>
      </c>
      <c r="CT40" s="73"/>
      <c r="CU40" s="73"/>
      <c r="CV40" s="80">
        <f>IF(COUNT(CV8:CV38)=0,"",SUM(CV8:CV38))</f>
        <v>5.2999999999999972</v>
      </c>
      <c r="CW40" s="80">
        <f>IF(COUNT(CW8:CW38)=0,"",SUM(CW8:CW38))</f>
        <v>35.214471999999979</v>
      </c>
      <c r="CX40" s="75"/>
      <c r="CY40" s="74"/>
      <c r="CZ40" s="74"/>
      <c r="DA40" s="74"/>
      <c r="DB40" s="73"/>
      <c r="DC40" s="56" t="s">
        <v>2</v>
      </c>
      <c r="DD40" s="73"/>
      <c r="DE40" s="73"/>
      <c r="DF40" s="80">
        <f>IF(COUNT(DF8:DF38)=0,"",SUM(DF8:DF38))</f>
        <v>45.400000000000006</v>
      </c>
      <c r="DG40" s="82">
        <f>IF(COUNT(DG8:DG38)=0,"",SUM(DG8:DG38))</f>
        <v>2.4493857875200002</v>
      </c>
      <c r="DH40" s="73"/>
      <c r="DI40" s="74"/>
      <c r="DJ40" s="74"/>
      <c r="DK40" s="73"/>
      <c r="DL40" s="56" t="s">
        <v>2</v>
      </c>
      <c r="DM40" s="75"/>
      <c r="DN40" s="124"/>
      <c r="DO40" s="124"/>
      <c r="DP40" s="124"/>
      <c r="DQ40" s="75"/>
      <c r="DR40" s="73"/>
      <c r="DS40" s="124"/>
      <c r="DT40" s="73"/>
      <c r="DU40" s="75"/>
      <c r="DV40" s="124"/>
      <c r="DW40" s="124"/>
      <c r="DX40" s="124"/>
      <c r="DY40" s="73"/>
      <c r="DZ40" s="84" t="s">
        <v>27</v>
      </c>
      <c r="EA40" s="82">
        <f>IF(COUNT(EA8:EA38)=0,"",MIN(EA8:EA38))*100</f>
        <v>9.8930481283422473</v>
      </c>
      <c r="EB40" s="82">
        <f>IF(COUNT(EB8:EB38)=0,"",MIN(EB8:EB38))*100</f>
        <v>12.647058823529411</v>
      </c>
      <c r="EC40" s="82">
        <f>IF(COUNT(EC8:EC38)=0,"",MIN(EC8:EC38))*100</f>
        <v>66.666666666666657</v>
      </c>
      <c r="ED40" s="82">
        <f>IF(COUNT(ED8:ED38)=0,"",MIN(ED8:ED38))</f>
        <v>0</v>
      </c>
      <c r="EE40" s="75"/>
      <c r="EF40" s="75"/>
      <c r="EG40" s="75"/>
      <c r="EH40" s="73"/>
      <c r="EI40" s="73"/>
      <c r="EJ40" s="351"/>
      <c r="EK40" s="351"/>
      <c r="EL40" s="351"/>
      <c r="EM40" s="351"/>
      <c r="EN40" s="351"/>
      <c r="EO40" s="351"/>
      <c r="EP40" s="351"/>
      <c r="EQ40" s="73"/>
    </row>
    <row r="41" spans="1:147" s="3" customFormat="1" ht="18" customHeight="1" x14ac:dyDescent="0.3">
      <c r="A41" s="56" t="s">
        <v>7</v>
      </c>
      <c r="B41" s="77"/>
      <c r="C41" s="78">
        <f>IF(COUNT(C8:C38)=0,"",AVERAGE(C8:C38))</f>
        <v>172.33333333333334</v>
      </c>
      <c r="D41" s="75"/>
      <c r="E41" s="74"/>
      <c r="F41" s="78">
        <f>IF(COUNT(F8:F38)=0,"",AVERAGE(F8:F38))</f>
        <v>188.66666666666666</v>
      </c>
      <c r="G41" s="81"/>
      <c r="H41" s="74"/>
      <c r="I41" s="78">
        <f>IF(COUNT(I8:I38)=0,"",AVERAGE(I8:I38))</f>
        <v>134</v>
      </c>
      <c r="J41" s="79"/>
      <c r="K41" s="56" t="s">
        <v>7</v>
      </c>
      <c r="L41" s="77"/>
      <c r="M41" s="78">
        <f>IF(COUNT(M8:M38)=0,"",AVERAGE(M8:M38))</f>
        <v>48</v>
      </c>
      <c r="N41" s="74"/>
      <c r="O41" s="78">
        <f>IF(COUNT(O8:O38)=0,"",AVERAGE(O8:O38))</f>
        <v>44</v>
      </c>
      <c r="P41" s="74"/>
      <c r="Q41" s="78" t="str">
        <f>IF(COUNT(Q8:Q38)=0,"",AVERAGE(Q8:Q38))</f>
        <v/>
      </c>
      <c r="R41" s="77"/>
      <c r="S41" s="77"/>
      <c r="T41" s="77"/>
      <c r="U41" s="77"/>
      <c r="V41" s="79"/>
      <c r="W41" s="56" t="s">
        <v>7</v>
      </c>
      <c r="X41" s="75"/>
      <c r="Y41" s="75"/>
      <c r="Z41" s="75"/>
      <c r="AA41" s="75"/>
      <c r="AB41" s="75"/>
      <c r="AC41" s="75"/>
      <c r="AD41" s="75"/>
      <c r="AE41" s="75"/>
      <c r="AF41" s="79"/>
      <c r="AG41" s="56" t="s">
        <v>7</v>
      </c>
      <c r="AH41" s="75"/>
      <c r="AI41" s="75"/>
      <c r="AJ41" s="75"/>
      <c r="AK41" s="75"/>
      <c r="AL41" s="75"/>
      <c r="AM41" s="75"/>
      <c r="AN41" s="75"/>
      <c r="AO41" s="75"/>
      <c r="AP41" s="79"/>
      <c r="AQ41" s="56" t="s">
        <v>7</v>
      </c>
      <c r="AR41" s="75"/>
      <c r="AS41" s="75"/>
      <c r="AT41" s="75"/>
      <c r="AU41" s="75"/>
      <c r="AV41" s="75"/>
      <c r="AW41" s="75"/>
      <c r="AX41" s="75"/>
      <c r="AY41" s="75"/>
      <c r="AZ41" s="79"/>
      <c r="BA41" s="56" t="s">
        <v>7</v>
      </c>
      <c r="BB41" s="82">
        <f>IF(COUNT(BB8:BB38)=0,"",AVERAGE(BB8:BB38))</f>
        <v>1.5</v>
      </c>
      <c r="BC41" s="78">
        <f t="shared" ref="BC41:BM41" si="49">IF(COUNT(BC8:BC38)=0,"",AVERAGE(BC8:BC38))</f>
        <v>59</v>
      </c>
      <c r="BD41" s="80">
        <f t="shared" si="49"/>
        <v>6.8</v>
      </c>
      <c r="BE41" s="80">
        <f t="shared" si="49"/>
        <v>14.7</v>
      </c>
      <c r="BF41" s="80">
        <f t="shared" si="49"/>
        <v>15.6</v>
      </c>
      <c r="BG41" s="80">
        <f t="shared" si="49"/>
        <v>6.8</v>
      </c>
      <c r="BH41" s="84">
        <f t="shared" si="49"/>
        <v>0.16900000000000001</v>
      </c>
      <c r="BI41" s="84">
        <f t="shared" si="49"/>
        <v>0.16300000000000001</v>
      </c>
      <c r="BJ41" s="84">
        <f t="shared" si="49"/>
        <v>5.0999999999999997E-2</v>
      </c>
      <c r="BK41" s="84">
        <f t="shared" si="49"/>
        <v>5.8000000000000003E-2</v>
      </c>
      <c r="BL41" s="84">
        <f t="shared" si="49"/>
        <v>5.6000000000000001E-2</v>
      </c>
      <c r="BM41" s="84">
        <f t="shared" si="49"/>
        <v>6.3E-2</v>
      </c>
      <c r="BN41" s="73"/>
      <c r="BO41" s="56" t="s">
        <v>7</v>
      </c>
      <c r="BP41" s="84">
        <f>IF(COUNT(BP8:BP38)=0,"",AVERAGE(BP8:BP38))</f>
        <v>9.35E-2</v>
      </c>
      <c r="BQ41" s="78">
        <f t="shared" ref="BQ41:BW41" si="50">IF(COUNT(BQ8:BQ38)=0,"",AVERAGE(BQ8:BQ38))</f>
        <v>0</v>
      </c>
      <c r="BR41" s="80">
        <f t="shared" si="50"/>
        <v>7.1999999999999993</v>
      </c>
      <c r="BS41" s="80">
        <f t="shared" si="50"/>
        <v>18.149999999999999</v>
      </c>
      <c r="BT41" s="80">
        <f t="shared" si="50"/>
        <v>18.3</v>
      </c>
      <c r="BU41" s="84">
        <f t="shared" si="50"/>
        <v>2.5500000000000002E-2</v>
      </c>
      <c r="BV41" s="82">
        <f t="shared" si="50"/>
        <v>1.1174999999999999</v>
      </c>
      <c r="BW41" s="82">
        <f t="shared" si="50"/>
        <v>0.86499999999999999</v>
      </c>
      <c r="BX41" s="75"/>
      <c r="BY41" s="83"/>
      <c r="BZ41" s="73"/>
      <c r="CA41" s="56" t="s">
        <v>7</v>
      </c>
      <c r="CB41" s="73"/>
      <c r="CC41" s="73"/>
      <c r="CD41" s="80">
        <f>IF(COUNT(CD8:CD38)=0,"",AVERAGE(CD8:CD38))</f>
        <v>1.400000000000001</v>
      </c>
      <c r="CE41" s="82">
        <f>IF(COUNT(CE8:CE38)=0,"",AVERAGE(CE8:CE38))</f>
        <v>6.5159710000000048</v>
      </c>
      <c r="CF41" s="82">
        <f>IF(COUNT(CF8:CF38)=0,"",AVERAGE(CF8:CF38))</f>
        <v>5.7612793478579833</v>
      </c>
      <c r="CG41" s="74"/>
      <c r="CH41" s="74"/>
      <c r="CI41" s="73"/>
      <c r="CJ41" s="56" t="s">
        <v>7</v>
      </c>
      <c r="CK41" s="73"/>
      <c r="CL41" s="73"/>
      <c r="CM41" s="80">
        <f>IF(COUNT(CM8:CM38)=0,"",AVERAGE(CM8:CM38))</f>
        <v>2.0333333333333363</v>
      </c>
      <c r="CN41" s="80">
        <f>IF(COUNT(CN8:CN38)=0,"",AVERAGE(CN8:CN38))</f>
        <v>9.4636721666666812</v>
      </c>
      <c r="CO41" s="80">
        <f>IF(COUNT(CO8:CO38)=0,"",AVERAGE(CO8:CO38))</f>
        <v>21.884862343120798</v>
      </c>
      <c r="CP41" s="74"/>
      <c r="CQ41" s="74"/>
      <c r="CR41" s="73"/>
      <c r="CS41" s="56" t="s">
        <v>7</v>
      </c>
      <c r="CT41" s="73"/>
      <c r="CU41" s="73"/>
      <c r="CV41" s="80">
        <f>IF(COUNT(CV8:CV38)=0,"",AVERAGE(CV8:CV38))</f>
        <v>1.7666666666666657</v>
      </c>
      <c r="CW41" s="80">
        <f>IF(COUNT(CW8:CW38)=0,"",AVERAGE(CW8:CW38))</f>
        <v>11.738157333333326</v>
      </c>
      <c r="CX41" s="82">
        <f>IF(COUNT(CX8:CX38)=0,"",AVERAGE(CX8:CX38))</f>
        <v>6.7777828881513055E-2</v>
      </c>
      <c r="CY41" s="74"/>
      <c r="CZ41" s="74"/>
      <c r="DA41" s="74"/>
      <c r="DB41" s="73"/>
      <c r="DC41" s="56" t="s">
        <v>7</v>
      </c>
      <c r="DD41" s="73"/>
      <c r="DE41" s="73"/>
      <c r="DF41" s="80">
        <f>IF(COUNT(DF8:DF38)=0,"",AVERAGE(DF8:DF38))</f>
        <v>15.133333333333335</v>
      </c>
      <c r="DG41" s="82">
        <f>IF(COUNT(DG8:DG38)=0,"",AVERAGE(DG8:DG38))</f>
        <v>0.81646192917333338</v>
      </c>
      <c r="DH41" s="80">
        <f>IF(COUNT(DH8:DH38)=0,"",AVERAGE(DH8:DH38))</f>
        <v>4.7436685945739043</v>
      </c>
      <c r="DI41" s="74"/>
      <c r="DJ41" s="74"/>
      <c r="DK41" s="73"/>
      <c r="DL41" s="56" t="s">
        <v>7</v>
      </c>
      <c r="DM41" s="82">
        <f t="shared" ref="DM41:DW41" si="51">IF(COUNT(DM8:DM38)=0,"",AVERAGE(DM8:DM38))</f>
        <v>7.9224999999999994</v>
      </c>
      <c r="DN41" s="84">
        <f t="shared" si="51"/>
        <v>3.5000000000000003E-2</v>
      </c>
      <c r="DO41" s="84">
        <f t="shared" si="51"/>
        <v>3.2500000000000001E-2</v>
      </c>
      <c r="DP41" s="84">
        <f t="shared" si="51"/>
        <v>7.2500000000000009E-2</v>
      </c>
      <c r="DQ41" s="82">
        <f t="shared" si="51"/>
        <v>7.22</v>
      </c>
      <c r="DR41" s="80">
        <f t="shared" si="51"/>
        <v>18.25</v>
      </c>
      <c r="DS41" s="84">
        <f t="shared" si="51"/>
        <v>1.10375</v>
      </c>
      <c r="DT41" s="80">
        <f t="shared" si="51"/>
        <v>86.550000000000011</v>
      </c>
      <c r="DU41" s="82">
        <f t="shared" si="51"/>
        <v>4.2450000000000001</v>
      </c>
      <c r="DV41" s="84">
        <f t="shared" si="51"/>
        <v>0.77275000000000005</v>
      </c>
      <c r="DW41" s="84">
        <f t="shared" si="51"/>
        <v>1.3274999999999999</v>
      </c>
      <c r="DX41" s="124"/>
      <c r="DY41" s="73"/>
      <c r="DZ41" s="84" t="s">
        <v>28</v>
      </c>
      <c r="EA41" s="82">
        <f>IF(COUNT(EA8:EA38)=0,"",MAX(EA8:EA38))*100</f>
        <v>13.23529411764706</v>
      </c>
      <c r="EB41" s="82">
        <f>IF(COUNT(EB8:EB38)=0,"",MAX(EB8:EB38))*100</f>
        <v>15.955882352941176</v>
      </c>
      <c r="EC41" s="82">
        <f>IF(COUNT(EC8:EC38)=0,"",MAX(EC8:EC38))*100</f>
        <v>86.486486486486484</v>
      </c>
      <c r="ED41" s="75"/>
      <c r="EE41" s="82">
        <f>IF(COUNT(EE8:EE38)=0,"",MAX(EE8:EE38))</f>
        <v>5.63</v>
      </c>
      <c r="EF41" s="82">
        <f>IF(COUNT(EF8:EF38)=0,"",MAX(EF8:EF38))</f>
        <v>0.05</v>
      </c>
      <c r="EG41" s="82">
        <f>IF(COUNT(EG8:EG38)=0,"",MAX(EG8:EG38))</f>
        <v>0.08</v>
      </c>
      <c r="EH41" s="73"/>
      <c r="EI41" s="73"/>
      <c r="EJ41" s="351"/>
      <c r="EK41" s="351"/>
      <c r="EL41" s="351"/>
      <c r="EM41" s="351"/>
      <c r="EN41" s="351"/>
      <c r="EO41" s="351"/>
      <c r="EP41" s="351"/>
      <c r="EQ41" s="73"/>
    </row>
    <row r="42" spans="1:147" ht="25.5" customHeight="1" x14ac:dyDescent="0.5">
      <c r="A42" s="314" t="s">
        <v>449</v>
      </c>
      <c r="B42" s="314"/>
      <c r="C42" s="314"/>
      <c r="D42" s="314"/>
      <c r="E42" s="314"/>
      <c r="F42" s="315" t="s">
        <v>115</v>
      </c>
      <c r="G42" s="315"/>
      <c r="H42" s="315"/>
      <c r="I42" s="315"/>
      <c r="J42" s="315"/>
      <c r="K42" s="314" t="str">
        <f>IF(A42="","",A42)</f>
        <v>Drinking Water System</v>
      </c>
      <c r="L42" s="314"/>
      <c r="M42" s="314"/>
      <c r="N42" s="314"/>
      <c r="O42" s="315" t="s">
        <v>125</v>
      </c>
      <c r="P42" s="315"/>
      <c r="Q42" s="315"/>
      <c r="R42" s="315"/>
      <c r="S42" s="315"/>
      <c r="T42" s="315"/>
      <c r="U42" s="315"/>
      <c r="V42" s="315"/>
      <c r="W42" s="314" t="str">
        <f>IF(A42="","",A42)</f>
        <v>Drinking Water System</v>
      </c>
      <c r="X42" s="314"/>
      <c r="Y42" s="314"/>
      <c r="Z42" s="314"/>
      <c r="AA42" s="314"/>
      <c r="AB42" s="315" t="s">
        <v>129</v>
      </c>
      <c r="AC42" s="315"/>
      <c r="AD42" s="315"/>
      <c r="AE42" s="315"/>
      <c r="AF42" s="315"/>
      <c r="AG42" s="314" t="str">
        <f>IF(A42="","",A42)</f>
        <v>Drinking Water System</v>
      </c>
      <c r="AH42" s="314"/>
      <c r="AI42" s="314"/>
      <c r="AJ42" s="314"/>
      <c r="AK42" s="314"/>
      <c r="AL42" s="315" t="s">
        <v>93</v>
      </c>
      <c r="AM42" s="315"/>
      <c r="AN42" s="315"/>
      <c r="AO42" s="315"/>
      <c r="AP42" s="315"/>
      <c r="AQ42" s="314" t="str">
        <f>IF(A42="","",A42)</f>
        <v>Drinking Water System</v>
      </c>
      <c r="AR42" s="314"/>
      <c r="AS42" s="314"/>
      <c r="AT42" s="314"/>
      <c r="AU42" s="314"/>
      <c r="AV42" s="315" t="s">
        <v>135</v>
      </c>
      <c r="AW42" s="315"/>
      <c r="AX42" s="315"/>
      <c r="AY42" s="315"/>
      <c r="AZ42" s="315"/>
      <c r="BA42" s="314" t="str">
        <f>IF(A42="","",A42)</f>
        <v>Drinking Water System</v>
      </c>
      <c r="BB42" s="314"/>
      <c r="BC42" s="314"/>
      <c r="BD42" s="314"/>
      <c r="BE42" s="314"/>
      <c r="BF42" s="352" t="s">
        <v>145</v>
      </c>
      <c r="BG42" s="352"/>
      <c r="BH42" s="352"/>
      <c r="BI42" s="352"/>
      <c r="BJ42" s="352"/>
      <c r="BK42" s="352"/>
      <c r="BL42" s="352"/>
      <c r="BM42" s="352"/>
      <c r="BN42" s="352"/>
      <c r="BO42" s="314" t="str">
        <f>IF(A42="","",A42)</f>
        <v>Drinking Water System</v>
      </c>
      <c r="BP42" s="314"/>
      <c r="BQ42" s="314"/>
      <c r="BR42" s="314"/>
      <c r="BS42" s="314"/>
      <c r="BT42" s="315" t="s">
        <v>100</v>
      </c>
      <c r="BU42" s="315"/>
      <c r="BV42" s="315"/>
      <c r="BW42" s="315"/>
      <c r="BX42" s="315"/>
      <c r="BY42" s="315"/>
      <c r="BZ42" s="315"/>
      <c r="CA42" s="314" t="str">
        <f>IF(A42="","",A42)</f>
        <v>Drinking Water System</v>
      </c>
      <c r="CB42" s="314"/>
      <c r="CC42" s="314"/>
      <c r="CD42" s="314"/>
      <c r="CE42" s="315" t="s">
        <v>154</v>
      </c>
      <c r="CF42" s="315"/>
      <c r="CG42" s="315"/>
      <c r="CH42" s="315"/>
      <c r="CI42" s="315"/>
      <c r="CJ42" s="314" t="str">
        <f>IF(A42="","",A42)</f>
        <v>Drinking Water System</v>
      </c>
      <c r="CK42" s="314"/>
      <c r="CL42" s="314"/>
      <c r="CM42" s="314"/>
      <c r="CN42" s="315" t="s">
        <v>155</v>
      </c>
      <c r="CO42" s="315"/>
      <c r="CP42" s="315"/>
      <c r="CQ42" s="315"/>
      <c r="CR42" s="315"/>
      <c r="CS42" s="314" t="str">
        <f>IF(A42="","",A42)</f>
        <v>Drinking Water System</v>
      </c>
      <c r="CT42" s="314"/>
      <c r="CU42" s="314"/>
      <c r="CV42" s="314"/>
      <c r="CW42" s="315" t="s">
        <v>101</v>
      </c>
      <c r="CX42" s="315"/>
      <c r="CY42" s="315"/>
      <c r="CZ42" s="315"/>
      <c r="DA42" s="315"/>
      <c r="DB42" s="315"/>
      <c r="DC42" s="314" t="str">
        <f>IF(A42="","",A42)</f>
        <v>Drinking Water System</v>
      </c>
      <c r="DD42" s="314"/>
      <c r="DE42" s="314"/>
      <c r="DF42" s="314"/>
      <c r="DG42" s="315" t="s">
        <v>159</v>
      </c>
      <c r="DH42" s="315"/>
      <c r="DI42" s="315"/>
      <c r="DJ42" s="315"/>
      <c r="DK42" s="315"/>
      <c r="DL42" s="324" t="str">
        <f>IF(A42="","",A42)</f>
        <v>Drinking Water System</v>
      </c>
      <c r="DM42" s="324"/>
      <c r="DN42" s="324"/>
      <c r="DO42" s="324"/>
      <c r="DP42" s="324"/>
      <c r="DQ42" s="325" t="s">
        <v>168</v>
      </c>
      <c r="DR42" s="325"/>
      <c r="DS42" s="325"/>
      <c r="DT42" s="325"/>
      <c r="DU42" s="325"/>
      <c r="DV42" s="325"/>
      <c r="DW42" s="325"/>
      <c r="DX42" s="325"/>
      <c r="DY42" s="325"/>
      <c r="DZ42" s="324" t="str">
        <f>IF(A42="","",A42)</f>
        <v>Drinking Water System</v>
      </c>
      <c r="EA42" s="324"/>
      <c r="EB42" s="324"/>
      <c r="EC42" s="324"/>
      <c r="ED42" s="324"/>
      <c r="EE42" s="324"/>
      <c r="EF42" s="325" t="s">
        <v>91</v>
      </c>
      <c r="EG42" s="325"/>
      <c r="EH42" s="325"/>
      <c r="EI42" s="314" t="str">
        <f>IF(A42="","",A42)</f>
        <v>Drinking Water System</v>
      </c>
      <c r="EJ42" s="314"/>
      <c r="EK42" s="314"/>
      <c r="EL42" s="314"/>
      <c r="EM42" s="315" t="s">
        <v>33</v>
      </c>
      <c r="EN42" s="315"/>
      <c r="EO42" s="315"/>
      <c r="EP42" s="315"/>
      <c r="EQ42" s="315"/>
    </row>
    <row r="43" spans="1:147" ht="14.15" customHeight="1" x14ac:dyDescent="0.35"/>
    <row r="44" spans="1:147" s="10" customFormat="1" ht="14.15" customHeight="1" x14ac:dyDescent="0.35">
      <c r="A44" s="20"/>
      <c r="B44" s="5"/>
      <c r="C44" s="5"/>
      <c r="D44" s="23"/>
      <c r="E44" s="5"/>
      <c r="F44" s="5"/>
      <c r="G44" s="23"/>
      <c r="H44" s="5"/>
      <c r="I44" s="5"/>
      <c r="J44" s="20"/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3"/>
      <c r="Y44" s="23"/>
      <c r="Z44" s="23"/>
      <c r="AA44" s="23"/>
      <c r="AB44" s="23"/>
      <c r="AC44" s="23"/>
      <c r="AD44" s="23"/>
      <c r="AE44" s="23"/>
      <c r="AF44" s="22"/>
      <c r="AG44" s="20"/>
      <c r="AH44" s="20"/>
      <c r="AI44" s="5"/>
      <c r="AJ44" s="5"/>
      <c r="AK44" s="5"/>
      <c r="AL44" s="5"/>
      <c r="AM44" s="5"/>
      <c r="AN44" s="5"/>
      <c r="AO44" s="22"/>
      <c r="AP44" s="5"/>
      <c r="AQ44" s="5"/>
      <c r="AR44" s="23"/>
      <c r="AS44" s="23"/>
      <c r="AT44" s="23"/>
      <c r="AU44" s="23"/>
      <c r="AV44" s="23"/>
      <c r="AW44" s="23"/>
      <c r="AX44" s="23"/>
      <c r="AY44" s="23"/>
      <c r="AZ44" s="5"/>
      <c r="BA44" s="38"/>
      <c r="BB44" s="13"/>
      <c r="BC44" s="11"/>
      <c r="BD44" s="12"/>
      <c r="BE44" s="12"/>
      <c r="BF44" s="12"/>
      <c r="BG44" s="12"/>
      <c r="BH44" s="38"/>
      <c r="BI44" s="38"/>
      <c r="BJ44" s="38"/>
      <c r="BK44" s="38"/>
      <c r="BL44" s="38"/>
      <c r="BM44" s="38"/>
      <c r="BN44" s="12"/>
      <c r="BO44" s="13"/>
      <c r="BP44" s="38"/>
      <c r="BQ44" s="11"/>
      <c r="BR44" s="12"/>
      <c r="BS44" s="12"/>
      <c r="BT44" s="12"/>
      <c r="BU44" s="38"/>
      <c r="BV44" s="13"/>
      <c r="BW44" s="13"/>
      <c r="BX44" s="12"/>
      <c r="BY44" s="11"/>
      <c r="BZ44" s="11"/>
      <c r="CB44" s="12"/>
      <c r="CC44" s="12"/>
      <c r="CD44" s="12"/>
      <c r="CE44" s="13"/>
      <c r="CF44" s="13"/>
      <c r="CG44" s="11"/>
      <c r="CH44" s="11"/>
      <c r="CI44" s="12"/>
      <c r="CJ44" s="13"/>
      <c r="CK44" s="12"/>
      <c r="CL44" s="12"/>
      <c r="CM44" s="12"/>
      <c r="CN44" s="12"/>
      <c r="CO44" s="12"/>
      <c r="CU44" s="13"/>
      <c r="CV44" s="11"/>
      <c r="CW44" s="12"/>
      <c r="CX44" s="13"/>
      <c r="CY44" s="12"/>
      <c r="CZ44" s="12"/>
      <c r="DA44" s="38"/>
      <c r="DB44" s="12"/>
      <c r="DC44" s="38"/>
      <c r="DD44" s="12"/>
      <c r="DE44" s="12"/>
      <c r="DF44" s="12"/>
      <c r="DG44" s="13"/>
      <c r="DH44" s="12"/>
      <c r="DI44" s="11"/>
      <c r="DJ44" s="11"/>
      <c r="DK44" s="38"/>
      <c r="DM44" s="13"/>
      <c r="DN44" s="38"/>
      <c r="DO44" s="38"/>
      <c r="DP44" s="38"/>
      <c r="DQ44" s="13"/>
      <c r="DR44" s="12"/>
      <c r="DS44" s="38"/>
      <c r="DT44" s="12"/>
      <c r="DU44" s="13"/>
      <c r="DV44" s="38"/>
      <c r="DW44" s="38"/>
      <c r="EB44" s="55"/>
      <c r="EC44" s="55"/>
      <c r="ED44" s="13"/>
      <c r="EE44" s="13"/>
      <c r="EF44" s="13"/>
      <c r="EG44" s="13"/>
    </row>
    <row r="45" spans="1:147" ht="22.5" customHeight="1" x14ac:dyDescent="0.35"/>
  </sheetData>
  <sheetProtection selectLockedCells="1"/>
  <mergeCells count="280">
    <mergeCell ref="A4:A7"/>
    <mergeCell ref="B4:D4"/>
    <mergeCell ref="E4:G4"/>
    <mergeCell ref="H4:I4"/>
    <mergeCell ref="J4:J7"/>
    <mergeCell ref="AZ4:AZ7"/>
    <mergeCell ref="BA4:BA7"/>
    <mergeCell ref="BB4:BF4"/>
    <mergeCell ref="BG4:BG7"/>
    <mergeCell ref="S5:S7"/>
    <mergeCell ref="T5:T7"/>
    <mergeCell ref="U5:U7"/>
    <mergeCell ref="BC5:BC7"/>
    <mergeCell ref="BD5:BD7"/>
    <mergeCell ref="L5:L7"/>
    <mergeCell ref="M5:M7"/>
    <mergeCell ref="N5:N7"/>
    <mergeCell ref="O5:O7"/>
    <mergeCell ref="P5:P7"/>
    <mergeCell ref="Q5:Q7"/>
    <mergeCell ref="P4:Q4"/>
    <mergeCell ref="L4:M4"/>
    <mergeCell ref="N4:O4"/>
    <mergeCell ref="K4:K7"/>
    <mergeCell ref="BO1:BZ2"/>
    <mergeCell ref="A1:J2"/>
    <mergeCell ref="K1:V2"/>
    <mergeCell ref="W1:AF2"/>
    <mergeCell ref="AG1:AP2"/>
    <mergeCell ref="AQ1:AZ2"/>
    <mergeCell ref="BA1:BN2"/>
    <mergeCell ref="BT3:BZ3"/>
    <mergeCell ref="AG3:AK3"/>
    <mergeCell ref="AL3:AP3"/>
    <mergeCell ref="AQ3:AU3"/>
    <mergeCell ref="AV3:AZ3"/>
    <mergeCell ref="BA3:BE3"/>
    <mergeCell ref="BF3:BN3"/>
    <mergeCell ref="A3:E3"/>
    <mergeCell ref="F3:J3"/>
    <mergeCell ref="K3:N3"/>
    <mergeCell ref="O3:V3"/>
    <mergeCell ref="W3:AA3"/>
    <mergeCell ref="AB3:AF3"/>
    <mergeCell ref="BO3:BS3"/>
    <mergeCell ref="EI1:EQ2"/>
    <mergeCell ref="CA1:CI2"/>
    <mergeCell ref="CJ1:CR2"/>
    <mergeCell ref="CS1:DB2"/>
    <mergeCell ref="DC1:DK2"/>
    <mergeCell ref="DL1:DP2"/>
    <mergeCell ref="DZ1:EA2"/>
    <mergeCell ref="EB1:EG2"/>
    <mergeCell ref="EI3:EL3"/>
    <mergeCell ref="EM3:EQ3"/>
    <mergeCell ref="DQ3:DY3"/>
    <mergeCell ref="DZ3:EE3"/>
    <mergeCell ref="EF3:EH3"/>
    <mergeCell ref="CA3:CD3"/>
    <mergeCell ref="CE3:CI3"/>
    <mergeCell ref="CJ3:CM3"/>
    <mergeCell ref="CN3:CR3"/>
    <mergeCell ref="CS3:CV3"/>
    <mergeCell ref="CW3:DB3"/>
    <mergeCell ref="DL3:DP3"/>
    <mergeCell ref="DC3:DF3"/>
    <mergeCell ref="DG3:DK3"/>
    <mergeCell ref="CP4:CP7"/>
    <mergeCell ref="AV6:AV7"/>
    <mergeCell ref="AW6:AW7"/>
    <mergeCell ref="AX6:AX7"/>
    <mergeCell ref="AY6:AY7"/>
    <mergeCell ref="BF5:BF7"/>
    <mergeCell ref="BH4:BI4"/>
    <mergeCell ref="BW4:BY4"/>
    <mergeCell ref="BK5:BK7"/>
    <mergeCell ref="BL5:BL7"/>
    <mergeCell ref="BM5:BM7"/>
    <mergeCell ref="AV5:AW5"/>
    <mergeCell ref="AX5:AY5"/>
    <mergeCell ref="BB5:BB7"/>
    <mergeCell ref="BV5:BV7"/>
    <mergeCell ref="BJ4:BK4"/>
    <mergeCell ref="BL4:BM4"/>
    <mergeCell ref="BN4:BN7"/>
    <mergeCell ref="BO4:BO7"/>
    <mergeCell ref="BP4:BV4"/>
    <mergeCell ref="CL4:CL7"/>
    <mergeCell ref="EQ4:EQ7"/>
    <mergeCell ref="B5:B7"/>
    <mergeCell ref="C5:C7"/>
    <mergeCell ref="D5:D7"/>
    <mergeCell ref="E5:E7"/>
    <mergeCell ref="F5:F7"/>
    <mergeCell ref="G5:G7"/>
    <mergeCell ref="H5:H7"/>
    <mergeCell ref="DD4:DD7"/>
    <mergeCell ref="DE4:DE7"/>
    <mergeCell ref="ED4:EE4"/>
    <mergeCell ref="EH4:EH7"/>
    <mergeCell ref="X5:Y5"/>
    <mergeCell ref="Z5:AA5"/>
    <mergeCell ref="AB5:AC5"/>
    <mergeCell ref="AD5:AE5"/>
    <mergeCell ref="DO5:DO7"/>
    <mergeCell ref="DF4:DF7"/>
    <mergeCell ref="DG4:DG7"/>
    <mergeCell ref="DH4:DH7"/>
    <mergeCell ref="CC4:CC7"/>
    <mergeCell ref="CM4:CM7"/>
    <mergeCell ref="I5:I7"/>
    <mergeCell ref="DY4:DY7"/>
    <mergeCell ref="DB4:DB7"/>
    <mergeCell ref="DC4:DC7"/>
    <mergeCell ref="AV4:AY4"/>
    <mergeCell ref="DT5:DT7"/>
    <mergeCell ref="DU5:DU7"/>
    <mergeCell ref="CR4:CR7"/>
    <mergeCell ref="DN5:DN7"/>
    <mergeCell ref="DQ5:DQ7"/>
    <mergeCell ref="DR5:DR7"/>
    <mergeCell ref="CS4:CS7"/>
    <mergeCell ref="BY5:BY7"/>
    <mergeCell ref="BZ4:BZ7"/>
    <mergeCell ref="CD4:CD7"/>
    <mergeCell ref="CE4:CE7"/>
    <mergeCell ref="DS5:DS7"/>
    <mergeCell ref="CQ4:CQ7"/>
    <mergeCell ref="CF4:CF7"/>
    <mergeCell ref="CG4:CG7"/>
    <mergeCell ref="BH5:BH7"/>
    <mergeCell ref="CH4:CH7"/>
    <mergeCell ref="CK4:CK7"/>
    <mergeCell ref="CZ4:CZ7"/>
    <mergeCell ref="CN4:CN7"/>
    <mergeCell ref="CO4:CO7"/>
    <mergeCell ref="W4:W7"/>
    <mergeCell ref="X4:AA4"/>
    <mergeCell ref="AB4:AE4"/>
    <mergeCell ref="R5:R7"/>
    <mergeCell ref="X6:X7"/>
    <mergeCell ref="Y6:Y7"/>
    <mergeCell ref="Z6:Z7"/>
    <mergeCell ref="R4:U4"/>
    <mergeCell ref="V4:V7"/>
    <mergeCell ref="AK6:AK7"/>
    <mergeCell ref="AL6:AL7"/>
    <mergeCell ref="AM6:AM7"/>
    <mergeCell ref="AN6:AN7"/>
    <mergeCell ref="AF4:AF7"/>
    <mergeCell ref="AN5:AO5"/>
    <mergeCell ref="AG4:AG7"/>
    <mergeCell ref="BT5:BT7"/>
    <mergeCell ref="BU5:BU7"/>
    <mergeCell ref="AH5:AI5"/>
    <mergeCell ref="AJ5:AK5"/>
    <mergeCell ref="DA4:DA7"/>
    <mergeCell ref="AH4:AO4"/>
    <mergeCell ref="AL5:AM5"/>
    <mergeCell ref="CI4:CI7"/>
    <mergeCell ref="CJ4:CJ7"/>
    <mergeCell ref="CA4:CA7"/>
    <mergeCell ref="CB4:CB7"/>
    <mergeCell ref="BE5:BE7"/>
    <mergeCell ref="BI5:BI7"/>
    <mergeCell ref="BJ5:BJ7"/>
    <mergeCell ref="BQ5:BQ7"/>
    <mergeCell ref="BP5:BP7"/>
    <mergeCell ref="BR5:BR7"/>
    <mergeCell ref="BS5:BS7"/>
    <mergeCell ref="BW5:BW7"/>
    <mergeCell ref="BX5:BX7"/>
    <mergeCell ref="CT4:CT7"/>
    <mergeCell ref="CU4:CU7"/>
    <mergeCell ref="CV4:CV7"/>
    <mergeCell ref="CW4:CW7"/>
    <mergeCell ref="CX4:CX7"/>
    <mergeCell ref="AI6:AI7"/>
    <mergeCell ref="AJ6:AJ7"/>
    <mergeCell ref="CY4:CY7"/>
    <mergeCell ref="DN4:DO4"/>
    <mergeCell ref="DM5:DM7"/>
    <mergeCell ref="DI4:DI7"/>
    <mergeCell ref="DP4:DU4"/>
    <mergeCell ref="DP5:DP7"/>
    <mergeCell ref="DJ4:DJ7"/>
    <mergeCell ref="DK4:DK7"/>
    <mergeCell ref="DL4:DL7"/>
    <mergeCell ref="AA6:AA7"/>
    <mergeCell ref="AB6:AB7"/>
    <mergeCell ref="AC6:AC7"/>
    <mergeCell ref="AD6:AD7"/>
    <mergeCell ref="AE6:AE7"/>
    <mergeCell ref="AH6:AH7"/>
    <mergeCell ref="AO6:AO7"/>
    <mergeCell ref="AR6:AR7"/>
    <mergeCell ref="AS6:AS7"/>
    <mergeCell ref="AQ4:AQ7"/>
    <mergeCell ref="AR4:AU4"/>
    <mergeCell ref="AR5:AS5"/>
    <mergeCell ref="AT5:AU5"/>
    <mergeCell ref="AT6:AT7"/>
    <mergeCell ref="AU6:AU7"/>
    <mergeCell ref="AP4:AP7"/>
    <mergeCell ref="EJ10:EP10"/>
    <mergeCell ref="EJ11:EP11"/>
    <mergeCell ref="EJ12:EP12"/>
    <mergeCell ref="EJ13:EP13"/>
    <mergeCell ref="DV5:DV7"/>
    <mergeCell ref="DW5:DW7"/>
    <mergeCell ref="DX5:DX7"/>
    <mergeCell ref="EA5:EA7"/>
    <mergeCell ref="EG5:EG7"/>
    <mergeCell ref="EJ4:EP7"/>
    <mergeCell ref="DV4:DX4"/>
    <mergeCell ref="EI4:EI7"/>
    <mergeCell ref="EB5:EB7"/>
    <mergeCell ref="EC5:EC7"/>
    <mergeCell ref="ED5:EE5"/>
    <mergeCell ref="EF5:EF7"/>
    <mergeCell ref="ED6:ED7"/>
    <mergeCell ref="EE6:EE7"/>
    <mergeCell ref="EJ9:EP9"/>
    <mergeCell ref="DZ4:DZ7"/>
    <mergeCell ref="EA4:EC4"/>
    <mergeCell ref="EJ14:EP14"/>
    <mergeCell ref="EJ36:EP36"/>
    <mergeCell ref="EJ37:EP37"/>
    <mergeCell ref="EJ38:EP38"/>
    <mergeCell ref="EJ26:EP26"/>
    <mergeCell ref="EJ15:EP15"/>
    <mergeCell ref="EJ16:EP16"/>
    <mergeCell ref="EJ17:EP17"/>
    <mergeCell ref="EJ19:EP19"/>
    <mergeCell ref="EJ20:EP20"/>
    <mergeCell ref="EJ27:EP27"/>
    <mergeCell ref="EJ28:EP28"/>
    <mergeCell ref="EJ29:EP29"/>
    <mergeCell ref="EJ30:EP30"/>
    <mergeCell ref="EJ31:EP31"/>
    <mergeCell ref="EJ32:EP32"/>
    <mergeCell ref="EJ33:EP33"/>
    <mergeCell ref="EJ34:EP34"/>
    <mergeCell ref="EJ35:EP35"/>
    <mergeCell ref="A42:E42"/>
    <mergeCell ref="F42:J42"/>
    <mergeCell ref="K42:N42"/>
    <mergeCell ref="O42:V42"/>
    <mergeCell ref="W42:AA42"/>
    <mergeCell ref="EJ21:EP21"/>
    <mergeCell ref="EJ22:EP22"/>
    <mergeCell ref="EJ23:EP23"/>
    <mergeCell ref="EJ24:EP24"/>
    <mergeCell ref="EJ25:EP25"/>
    <mergeCell ref="EJ39:EP39"/>
    <mergeCell ref="EJ40:EP40"/>
    <mergeCell ref="EJ41:EP41"/>
    <mergeCell ref="EI42:EL42"/>
    <mergeCell ref="EM42:EQ42"/>
    <mergeCell ref="EF42:EH42"/>
    <mergeCell ref="AG42:AK42"/>
    <mergeCell ref="BT42:BZ42"/>
    <mergeCell ref="CA42:CD42"/>
    <mergeCell ref="CW42:DB42"/>
    <mergeCell ref="AB42:AF42"/>
    <mergeCell ref="CE42:CI42"/>
    <mergeCell ref="CJ42:CM42"/>
    <mergeCell ref="CN42:CR42"/>
    <mergeCell ref="DL42:DP42"/>
    <mergeCell ref="DQ42:DY42"/>
    <mergeCell ref="DZ42:EE42"/>
    <mergeCell ref="CS42:CV42"/>
    <mergeCell ref="AL42:AP42"/>
    <mergeCell ref="AQ42:AU42"/>
    <mergeCell ref="AV42:AZ42"/>
    <mergeCell ref="BA42:BE42"/>
    <mergeCell ref="BF42:BN42"/>
    <mergeCell ref="BO42:BS42"/>
    <mergeCell ref="DC42:DF42"/>
    <mergeCell ref="DG42:DK42"/>
  </mergeCells>
  <pageMargins left="0.23622047244094491" right="0.23622047244094491" top="0.31496062992125984" bottom="0.74803149606299213" header="0.31496062992125984" footer="0.31496062992125984"/>
  <pageSetup scale="95" pageOrder="overThenDown" orientation="portrait" r:id="rId1"/>
  <headerFooter>
    <evenHeader>&amp;L&amp;28Red Lake WPCP&amp;R&amp;28New Plant</evenHeader>
  </headerFooter>
  <colBreaks count="13" manualBreakCount="13">
    <brk id="10" max="1048575" man="1"/>
    <brk id="22" max="1048575" man="1"/>
    <brk id="32" max="1048575" man="1"/>
    <brk id="42" max="1048575" man="1"/>
    <brk id="52" max="1048575" man="1"/>
    <brk id="66" max="1048575" man="1"/>
    <brk id="78" max="1048575" man="1"/>
    <brk id="87" max="1048575" man="1"/>
    <brk id="96" max="1048575" man="1"/>
    <brk id="106" max="1048575" man="1"/>
    <brk id="115" max="1048575" man="1"/>
    <brk id="129" max="1048575" man="1"/>
    <brk id="138" max="41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EX45"/>
  <sheetViews>
    <sheetView showGridLines="0" view="pageLayout" zoomScale="50" zoomScaleNormal="100" zoomScaleSheetLayoutView="100" zoomScalePageLayoutView="50" workbookViewId="0">
      <selection activeCell="A3" sqref="A3:E3"/>
    </sheetView>
  </sheetViews>
  <sheetFormatPr defaultColWidth="9.1796875" defaultRowHeight="14.5" x14ac:dyDescent="0.35"/>
  <cols>
    <col min="1" max="1" width="6" style="20" customWidth="1"/>
    <col min="2" max="2" width="14" style="5" customWidth="1"/>
    <col min="3" max="3" width="8.54296875" style="5" customWidth="1"/>
    <col min="4" max="4" width="9.7265625" style="23" customWidth="1"/>
    <col min="5" max="5" width="14" style="5" customWidth="1"/>
    <col min="6" max="6" width="8.54296875" style="5" customWidth="1"/>
    <col min="7" max="7" width="9.7265625" style="23" customWidth="1"/>
    <col min="8" max="8" width="14" style="5" customWidth="1"/>
    <col min="9" max="9" width="8.54296875" style="5" customWidth="1"/>
    <col min="10" max="10" width="8.26953125" style="20" customWidth="1"/>
    <col min="11" max="11" width="5.54296875" style="20" customWidth="1"/>
    <col min="12" max="12" width="11.453125" style="5" customWidth="1"/>
    <col min="13" max="13" width="8" style="5" customWidth="1"/>
    <col min="14" max="14" width="11.453125" style="5" customWidth="1"/>
    <col min="15" max="15" width="8" style="5" customWidth="1"/>
    <col min="16" max="16" width="11.453125" style="5" customWidth="1"/>
    <col min="17" max="17" width="8" style="5" customWidth="1"/>
    <col min="18" max="21" width="7.453125" style="5" customWidth="1"/>
    <col min="22" max="22" width="7.7265625" style="5" customWidth="1"/>
    <col min="23" max="23" width="6" style="5" customWidth="1"/>
    <col min="24" max="24" width="12.7265625" style="23" customWidth="1"/>
    <col min="25" max="25" width="9" style="23" customWidth="1"/>
    <col min="26" max="26" width="12.7265625" style="23" customWidth="1"/>
    <col min="27" max="27" width="9" style="23" customWidth="1"/>
    <col min="28" max="28" width="12.7265625" style="23" customWidth="1"/>
    <col min="29" max="29" width="9" style="23" customWidth="1"/>
    <col min="30" max="30" width="12.7265625" style="23" customWidth="1"/>
    <col min="31" max="31" width="9" style="23" customWidth="1"/>
    <col min="32" max="32" width="8" style="22" customWidth="1"/>
    <col min="33" max="33" width="6" style="20" customWidth="1"/>
    <col min="34" max="34" width="12.7265625" style="20" customWidth="1"/>
    <col min="35" max="35" width="9" style="5" customWidth="1"/>
    <col min="36" max="36" width="12.7265625" style="5" customWidth="1"/>
    <col min="37" max="37" width="9" style="5" customWidth="1"/>
    <col min="38" max="38" width="12.7265625" style="5" customWidth="1"/>
    <col min="39" max="39" width="9" style="5" customWidth="1"/>
    <col min="40" max="40" width="12.7265625" style="5" customWidth="1"/>
    <col min="41" max="41" width="9" style="22" customWidth="1"/>
    <col min="42" max="42" width="8" style="5" customWidth="1"/>
    <col min="43" max="43" width="6" style="5" customWidth="1"/>
    <col min="44" max="44" width="12.7265625" style="23" customWidth="1"/>
    <col min="45" max="45" width="9" style="23" customWidth="1"/>
    <col min="46" max="46" width="12.7265625" style="23" customWidth="1"/>
    <col min="47" max="47" width="9" style="23" customWidth="1"/>
    <col min="48" max="48" width="12.7265625" style="23" customWidth="1"/>
    <col min="49" max="49" width="9" style="23" customWidth="1"/>
    <col min="50" max="50" width="12.7265625" style="23" customWidth="1"/>
    <col min="51" max="51" width="9" style="23" customWidth="1"/>
    <col min="52" max="52" width="8" style="5" customWidth="1"/>
    <col min="53" max="53" width="5.7265625" style="21" customWidth="1"/>
    <col min="54" max="54" width="7.1796875" style="23" customWidth="1"/>
    <col min="55" max="55" width="6.7265625" style="5" customWidth="1"/>
    <col min="56" max="57" width="6.7265625" style="22" customWidth="1"/>
    <col min="58" max="58" width="7.1796875" style="22" customWidth="1"/>
    <col min="59" max="59" width="6.7265625" style="22" customWidth="1"/>
    <col min="60" max="65" width="8" style="21" customWidth="1"/>
    <col min="66" max="66" width="6.81640625" style="22" customWidth="1"/>
    <col min="67" max="67" width="5.7265625" style="23" customWidth="1"/>
    <col min="68" max="68" width="8.54296875" style="21" customWidth="1"/>
    <col min="69" max="69" width="6.81640625" style="5" customWidth="1"/>
    <col min="70" max="70" width="6.7265625" style="22" customWidth="1"/>
    <col min="71" max="71" width="7.1796875" style="22" customWidth="1"/>
    <col min="72" max="72" width="8" style="22" customWidth="1"/>
    <col min="73" max="73" width="8.453125" style="21" customWidth="1"/>
    <col min="74" max="75" width="8.26953125" style="23" customWidth="1"/>
    <col min="76" max="76" width="8" style="22" customWidth="1"/>
    <col min="77" max="77" width="18.1796875" style="5" customWidth="1"/>
    <col min="78" max="78" width="7.453125" style="5" customWidth="1"/>
    <col min="79" max="79" width="7.1796875" style="20" customWidth="1"/>
    <col min="80" max="82" width="12" style="22" customWidth="1"/>
    <col min="83" max="84" width="12" style="23" customWidth="1"/>
    <col min="85" max="86" width="12" style="5" customWidth="1"/>
    <col min="87" max="87" width="9.1796875" style="22" customWidth="1"/>
    <col min="88" max="88" width="7.1796875" style="23" customWidth="1"/>
    <col min="89" max="93" width="12" style="22" customWidth="1"/>
    <col min="94" max="95" width="12" style="20" customWidth="1"/>
    <col min="96" max="96" width="9.1796875" style="20" customWidth="1"/>
    <col min="97" max="97" width="6.26953125" style="20" customWidth="1"/>
    <col min="98" max="98" width="9.453125" style="20" customWidth="1"/>
    <col min="99" max="99" width="13.81640625" style="23" customWidth="1"/>
    <col min="100" max="100" width="9.7265625" style="5" customWidth="1"/>
    <col min="101" max="101" width="9.7265625" style="22" customWidth="1"/>
    <col min="102" max="102" width="10" style="23" customWidth="1"/>
    <col min="103" max="104" width="12" style="22" customWidth="1"/>
    <col min="105" max="105" width="10.54296875" style="21" customWidth="1"/>
    <col min="106" max="106" width="8" style="22" customWidth="1"/>
    <col min="107" max="107" width="7.1796875" style="21" customWidth="1"/>
    <col min="108" max="110" width="12" style="22" customWidth="1"/>
    <col min="111" max="111" width="12" style="23" customWidth="1"/>
    <col min="112" max="112" width="12" style="22" customWidth="1"/>
    <col min="113" max="114" width="12" style="5" customWidth="1"/>
    <col min="115" max="115" width="9.1796875" style="21" customWidth="1"/>
    <col min="116" max="116" width="4.81640625" style="20" customWidth="1"/>
    <col min="117" max="117" width="6.453125" style="23" customWidth="1"/>
    <col min="118" max="120" width="7.7265625" style="21" customWidth="1"/>
    <col min="121" max="121" width="6.81640625" style="23" customWidth="1"/>
    <col min="122" max="122" width="6.81640625" style="22" customWidth="1"/>
    <col min="123" max="123" width="7.7265625" style="21" customWidth="1"/>
    <col min="124" max="124" width="7.1796875" style="22" customWidth="1"/>
    <col min="125" max="125" width="7.453125" style="23" customWidth="1"/>
    <col min="126" max="127" width="8.54296875" style="21" customWidth="1"/>
    <col min="128" max="128" width="7.1796875" style="20" customWidth="1"/>
    <col min="129" max="129" width="6.81640625" style="20" customWidth="1"/>
    <col min="130" max="130" width="6.54296875" style="20" customWidth="1"/>
    <col min="131" max="131" width="13" style="20" customWidth="1"/>
    <col min="132" max="133" width="13" style="54" customWidth="1"/>
    <col min="134" max="137" width="10" style="23" customWidth="1"/>
    <col min="138" max="138" width="11.453125" style="20" customWidth="1"/>
    <col min="139" max="139" width="7.26953125" style="20" customWidth="1"/>
    <col min="140" max="146" width="12" style="20" customWidth="1"/>
    <col min="147" max="16384" width="9.1796875" style="20"/>
  </cols>
  <sheetData>
    <row r="1" spans="1:154" ht="15" customHeight="1" x14ac:dyDescent="0.35">
      <c r="A1" s="373" t="s">
        <v>235</v>
      </c>
      <c r="B1" s="373"/>
      <c r="C1" s="373"/>
      <c r="D1" s="373"/>
      <c r="E1" s="373"/>
      <c r="F1" s="373"/>
      <c r="G1" s="373"/>
      <c r="H1" s="373"/>
      <c r="I1" s="373"/>
      <c r="J1" s="373"/>
      <c r="K1" s="345" t="str">
        <f>IF(A1="","",A1)</f>
        <v>November 2016</v>
      </c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 t="str">
        <f>IF(A1="","",A1)</f>
        <v>November 2016</v>
      </c>
      <c r="X1" s="345"/>
      <c r="Y1" s="345"/>
      <c r="Z1" s="345"/>
      <c r="AA1" s="345"/>
      <c r="AB1" s="345"/>
      <c r="AC1" s="345"/>
      <c r="AD1" s="345"/>
      <c r="AE1" s="345"/>
      <c r="AF1" s="345"/>
      <c r="AG1" s="345" t="str">
        <f>IF(A1="","",A1)</f>
        <v>November 2016</v>
      </c>
      <c r="AH1" s="345"/>
      <c r="AI1" s="345"/>
      <c r="AJ1" s="345"/>
      <c r="AK1" s="345"/>
      <c r="AL1" s="345"/>
      <c r="AM1" s="345"/>
      <c r="AN1" s="345"/>
      <c r="AO1" s="345"/>
      <c r="AP1" s="345"/>
      <c r="AQ1" s="345" t="str">
        <f>IF(A1="","",A1)</f>
        <v>November 2016</v>
      </c>
      <c r="AR1" s="345"/>
      <c r="AS1" s="345"/>
      <c r="AT1" s="345"/>
      <c r="AU1" s="345"/>
      <c r="AV1" s="345"/>
      <c r="AW1" s="345"/>
      <c r="AX1" s="345"/>
      <c r="AY1" s="345"/>
      <c r="AZ1" s="345"/>
      <c r="BA1" s="371" t="str">
        <f>IF(A1="","",A1)</f>
        <v>November 2016</v>
      </c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07" t="str">
        <f>IF(A1="","",A1)</f>
        <v>November 2016</v>
      </c>
      <c r="BP1" s="307"/>
      <c r="BQ1" s="307"/>
      <c r="BR1" s="307"/>
      <c r="BS1" s="307"/>
      <c r="BT1" s="307"/>
      <c r="BU1" s="307"/>
      <c r="BV1" s="307"/>
      <c r="BW1" s="307"/>
      <c r="BX1" s="307"/>
      <c r="BY1" s="307"/>
      <c r="BZ1" s="307"/>
      <c r="CA1" s="372" t="str">
        <f>IF(A1="","",A1)</f>
        <v>November 2016</v>
      </c>
      <c r="CB1" s="372"/>
      <c r="CC1" s="372"/>
      <c r="CD1" s="372"/>
      <c r="CE1" s="372"/>
      <c r="CF1" s="372"/>
      <c r="CG1" s="372"/>
      <c r="CH1" s="372"/>
      <c r="CI1" s="372"/>
      <c r="CJ1" s="372" t="str">
        <f>IF(A1="","",A1)</f>
        <v>November 2016</v>
      </c>
      <c r="CK1" s="372"/>
      <c r="CL1" s="372"/>
      <c r="CM1" s="372"/>
      <c r="CN1" s="372"/>
      <c r="CO1" s="372"/>
      <c r="CP1" s="372"/>
      <c r="CQ1" s="372"/>
      <c r="CR1" s="372"/>
      <c r="CS1" s="372" t="str">
        <f>IF(A1="","",A1)</f>
        <v>November 2016</v>
      </c>
      <c r="CT1" s="372"/>
      <c r="CU1" s="372"/>
      <c r="CV1" s="372"/>
      <c r="CW1" s="372"/>
      <c r="CX1" s="372"/>
      <c r="CY1" s="372"/>
      <c r="CZ1" s="372"/>
      <c r="DA1" s="372"/>
      <c r="DB1" s="372"/>
      <c r="DC1" s="372" t="str">
        <f>IF(A1="","",A1)</f>
        <v>November 2016</v>
      </c>
      <c r="DD1" s="372"/>
      <c r="DE1" s="372"/>
      <c r="DF1" s="372"/>
      <c r="DG1" s="372"/>
      <c r="DH1" s="372"/>
      <c r="DI1" s="372"/>
      <c r="DJ1" s="372"/>
      <c r="DK1" s="372"/>
      <c r="DL1" s="307" t="str">
        <f>IF(A1="","",A1)</f>
        <v>November 2016</v>
      </c>
      <c r="DM1" s="307"/>
      <c r="DN1" s="307"/>
      <c r="DO1" s="307"/>
      <c r="DP1" s="307"/>
      <c r="DQ1" s="53"/>
      <c r="DR1" s="85"/>
      <c r="DS1" s="39"/>
      <c r="DT1" s="85"/>
      <c r="DU1" s="53"/>
      <c r="DV1" s="39"/>
      <c r="DW1" s="39"/>
      <c r="DX1" s="39"/>
      <c r="DY1" s="126"/>
      <c r="DZ1" s="307" t="str">
        <f>IF(A1="","",A1)</f>
        <v>November 2016</v>
      </c>
      <c r="EA1" s="307"/>
      <c r="EB1" s="308" t="s">
        <v>196</v>
      </c>
      <c r="EC1" s="309"/>
      <c r="ED1" s="309"/>
      <c r="EE1" s="309"/>
      <c r="EF1" s="309"/>
      <c r="EG1" s="310"/>
      <c r="EH1" s="189"/>
      <c r="EI1" s="307" t="str">
        <f>IF(A1="","",A1)</f>
        <v>November 2016</v>
      </c>
      <c r="EJ1" s="307"/>
      <c r="EK1" s="307"/>
      <c r="EL1" s="307"/>
      <c r="EM1" s="307"/>
      <c r="EN1" s="307"/>
      <c r="EO1" s="307"/>
      <c r="EP1" s="307"/>
      <c r="EQ1" s="307"/>
    </row>
    <row r="2" spans="1:154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07"/>
      <c r="BP2" s="307"/>
      <c r="BQ2" s="307"/>
      <c r="BR2" s="307"/>
      <c r="BS2" s="307"/>
      <c r="BT2" s="307"/>
      <c r="BU2" s="307"/>
      <c r="BV2" s="307"/>
      <c r="BW2" s="307"/>
      <c r="BX2" s="307"/>
      <c r="BY2" s="307"/>
      <c r="BZ2" s="307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  <c r="CL2" s="372"/>
      <c r="CM2" s="372"/>
      <c r="CN2" s="372"/>
      <c r="CO2" s="372"/>
      <c r="CP2" s="372"/>
      <c r="CQ2" s="372"/>
      <c r="CR2" s="372"/>
      <c r="CS2" s="372"/>
      <c r="CT2" s="372"/>
      <c r="CU2" s="372"/>
      <c r="CV2" s="372"/>
      <c r="CW2" s="372"/>
      <c r="CX2" s="372"/>
      <c r="CY2" s="372"/>
      <c r="CZ2" s="372"/>
      <c r="DA2" s="372"/>
      <c r="DB2" s="372"/>
      <c r="DC2" s="372"/>
      <c r="DD2" s="372"/>
      <c r="DE2" s="372"/>
      <c r="DF2" s="372"/>
      <c r="DG2" s="372"/>
      <c r="DH2" s="372"/>
      <c r="DI2" s="372"/>
      <c r="DJ2" s="372"/>
      <c r="DK2" s="372"/>
      <c r="DL2" s="307"/>
      <c r="DM2" s="307"/>
      <c r="DN2" s="307"/>
      <c r="DO2" s="307"/>
      <c r="DP2" s="307"/>
      <c r="DQ2" s="53"/>
      <c r="DR2" s="85"/>
      <c r="DS2" s="39"/>
      <c r="DT2" s="85"/>
      <c r="DU2" s="53"/>
      <c r="DV2" s="39"/>
      <c r="DW2" s="39"/>
      <c r="DX2" s="39"/>
      <c r="DY2" s="126"/>
      <c r="DZ2" s="307"/>
      <c r="EA2" s="307"/>
      <c r="EB2" s="311"/>
      <c r="EC2" s="312"/>
      <c r="ED2" s="312"/>
      <c r="EE2" s="312"/>
      <c r="EF2" s="312"/>
      <c r="EG2" s="313"/>
      <c r="EH2" s="189"/>
      <c r="EI2" s="307"/>
      <c r="EJ2" s="307"/>
      <c r="EK2" s="307"/>
      <c r="EL2" s="307"/>
      <c r="EM2" s="307"/>
      <c r="EN2" s="307"/>
      <c r="EO2" s="307"/>
      <c r="EP2" s="307"/>
      <c r="EQ2" s="307"/>
    </row>
    <row r="3" spans="1:154" ht="25.5" customHeight="1" x14ac:dyDescent="0.25">
      <c r="A3" s="314" t="s">
        <v>450</v>
      </c>
      <c r="B3" s="314"/>
      <c r="C3" s="314"/>
      <c r="D3" s="314"/>
      <c r="E3" s="314"/>
      <c r="F3" s="315" t="s">
        <v>114</v>
      </c>
      <c r="G3" s="315"/>
      <c r="H3" s="315"/>
      <c r="I3" s="315"/>
      <c r="J3" s="315"/>
      <c r="K3" s="314" t="str">
        <f>IF(A3="","",A3)</f>
        <v xml:space="preserve"> Drinking Water System</v>
      </c>
      <c r="L3" s="314"/>
      <c r="M3" s="314"/>
      <c r="N3" s="314"/>
      <c r="O3" s="315" t="s">
        <v>125</v>
      </c>
      <c r="P3" s="315"/>
      <c r="Q3" s="315"/>
      <c r="R3" s="315"/>
      <c r="S3" s="315"/>
      <c r="T3" s="315"/>
      <c r="U3" s="315"/>
      <c r="V3" s="315"/>
      <c r="W3" s="314" t="str">
        <f>IF(A3="","",A3)</f>
        <v xml:space="preserve"> Drinking Water System</v>
      </c>
      <c r="X3" s="314"/>
      <c r="Y3" s="314"/>
      <c r="Z3" s="314"/>
      <c r="AA3" s="314"/>
      <c r="AB3" s="315" t="s">
        <v>129</v>
      </c>
      <c r="AC3" s="315"/>
      <c r="AD3" s="315"/>
      <c r="AE3" s="315"/>
      <c r="AF3" s="315"/>
      <c r="AG3" s="314" t="str">
        <f>IF(A3="","",A3)</f>
        <v xml:space="preserve"> Drinking Water System</v>
      </c>
      <c r="AH3" s="314"/>
      <c r="AI3" s="314"/>
      <c r="AJ3" s="314"/>
      <c r="AK3" s="314"/>
      <c r="AL3" s="315" t="s">
        <v>93</v>
      </c>
      <c r="AM3" s="315"/>
      <c r="AN3" s="315"/>
      <c r="AO3" s="315"/>
      <c r="AP3" s="315"/>
      <c r="AQ3" s="314" t="str">
        <f>IF(A3="","",A3)</f>
        <v xml:space="preserve"> Drinking Water System</v>
      </c>
      <c r="AR3" s="314"/>
      <c r="AS3" s="314"/>
      <c r="AT3" s="314"/>
      <c r="AU3" s="314"/>
      <c r="AV3" s="315" t="s">
        <v>135</v>
      </c>
      <c r="AW3" s="315"/>
      <c r="AX3" s="315"/>
      <c r="AY3" s="315"/>
      <c r="AZ3" s="315"/>
      <c r="BA3" s="314" t="str">
        <f>IF(A3="","",A3)</f>
        <v xml:space="preserve"> Drinking Water System</v>
      </c>
      <c r="BB3" s="314"/>
      <c r="BC3" s="314"/>
      <c r="BD3" s="314"/>
      <c r="BE3" s="314"/>
      <c r="BF3" s="369" t="s">
        <v>145</v>
      </c>
      <c r="BG3" s="369"/>
      <c r="BH3" s="369"/>
      <c r="BI3" s="369"/>
      <c r="BJ3" s="369"/>
      <c r="BK3" s="369"/>
      <c r="BL3" s="369"/>
      <c r="BM3" s="369"/>
      <c r="BN3" s="369"/>
      <c r="BO3" s="314" t="str">
        <f>IF(A3="","",A3)</f>
        <v xml:space="preserve"> Drinking Water System</v>
      </c>
      <c r="BP3" s="314"/>
      <c r="BQ3" s="314"/>
      <c r="BR3" s="314"/>
      <c r="BS3" s="314"/>
      <c r="BT3" s="315" t="s">
        <v>100</v>
      </c>
      <c r="BU3" s="315"/>
      <c r="BV3" s="315"/>
      <c r="BW3" s="315"/>
      <c r="BX3" s="315"/>
      <c r="BY3" s="315"/>
      <c r="BZ3" s="315"/>
      <c r="CA3" s="314" t="str">
        <f>IF(A3="","",A3)</f>
        <v xml:space="preserve"> Drinking Water System</v>
      </c>
      <c r="CB3" s="314"/>
      <c r="CC3" s="314"/>
      <c r="CD3" s="314"/>
      <c r="CE3" s="315" t="s">
        <v>154</v>
      </c>
      <c r="CF3" s="315"/>
      <c r="CG3" s="315"/>
      <c r="CH3" s="315"/>
      <c r="CI3" s="315"/>
      <c r="CJ3" s="314" t="str">
        <f>IF(A3="","",A3)</f>
        <v xml:space="preserve"> Drinking Water System</v>
      </c>
      <c r="CK3" s="314"/>
      <c r="CL3" s="314"/>
      <c r="CM3" s="314"/>
      <c r="CN3" s="315" t="s">
        <v>155</v>
      </c>
      <c r="CO3" s="315"/>
      <c r="CP3" s="315"/>
      <c r="CQ3" s="315"/>
      <c r="CR3" s="315"/>
      <c r="CS3" s="314" t="str">
        <f>IF(A3="","",A3)</f>
        <v xml:space="preserve"> Drinking Water System</v>
      </c>
      <c r="CT3" s="314"/>
      <c r="CU3" s="314"/>
      <c r="CV3" s="314"/>
      <c r="CW3" s="315" t="s">
        <v>101</v>
      </c>
      <c r="CX3" s="315"/>
      <c r="CY3" s="315"/>
      <c r="CZ3" s="315"/>
      <c r="DA3" s="315"/>
      <c r="DB3" s="315"/>
      <c r="DC3" s="314" t="str">
        <f>IF(A3="","",A3)</f>
        <v xml:space="preserve"> Drinking Water System</v>
      </c>
      <c r="DD3" s="314"/>
      <c r="DE3" s="314"/>
      <c r="DF3" s="314"/>
      <c r="DG3" s="315" t="s">
        <v>159</v>
      </c>
      <c r="DH3" s="315"/>
      <c r="DI3" s="315"/>
      <c r="DJ3" s="315"/>
      <c r="DK3" s="315"/>
      <c r="DL3" s="329" t="str">
        <f>IF(A3="","",A3)</f>
        <v xml:space="preserve"> Drinking Water System</v>
      </c>
      <c r="DM3" s="329"/>
      <c r="DN3" s="329"/>
      <c r="DO3" s="329"/>
      <c r="DP3" s="329"/>
      <c r="DQ3" s="370" t="s">
        <v>168</v>
      </c>
      <c r="DR3" s="370"/>
      <c r="DS3" s="370"/>
      <c r="DT3" s="370"/>
      <c r="DU3" s="370"/>
      <c r="DV3" s="370"/>
      <c r="DW3" s="370"/>
      <c r="DX3" s="370"/>
      <c r="DY3" s="370"/>
      <c r="DZ3" s="329" t="str">
        <f>IF(A3="","",A3)</f>
        <v xml:space="preserve"> Drinking Water System</v>
      </c>
      <c r="EA3" s="329"/>
      <c r="EB3" s="329"/>
      <c r="EC3" s="329"/>
      <c r="ED3" s="329"/>
      <c r="EE3" s="329"/>
      <c r="EF3" s="370" t="s">
        <v>91</v>
      </c>
      <c r="EG3" s="370"/>
      <c r="EH3" s="370"/>
      <c r="EI3" s="314" t="str">
        <f>IF(A3="","",A3)</f>
        <v xml:space="preserve"> Drinking Water System</v>
      </c>
      <c r="EJ3" s="314"/>
      <c r="EK3" s="314"/>
      <c r="EL3" s="314"/>
      <c r="EM3" s="315" t="s">
        <v>33</v>
      </c>
      <c r="EN3" s="315"/>
      <c r="EO3" s="315"/>
      <c r="EP3" s="315"/>
      <c r="EQ3" s="315"/>
    </row>
    <row r="4" spans="1:154" ht="17.149999999999999" customHeight="1" x14ac:dyDescent="0.35">
      <c r="A4" s="359" t="s">
        <v>1</v>
      </c>
      <c r="B4" s="359" t="s">
        <v>38</v>
      </c>
      <c r="C4" s="359"/>
      <c r="D4" s="359"/>
      <c r="E4" s="317" t="s">
        <v>24</v>
      </c>
      <c r="F4" s="317"/>
      <c r="G4" s="317"/>
      <c r="H4" s="358" t="s">
        <v>112</v>
      </c>
      <c r="I4" s="358"/>
      <c r="J4" s="360" t="s">
        <v>0</v>
      </c>
      <c r="K4" s="359" t="s">
        <v>1</v>
      </c>
      <c r="L4" s="358" t="s">
        <v>117</v>
      </c>
      <c r="M4" s="358"/>
      <c r="N4" s="358" t="s">
        <v>118</v>
      </c>
      <c r="O4" s="358"/>
      <c r="P4" s="358" t="s">
        <v>119</v>
      </c>
      <c r="Q4" s="358"/>
      <c r="R4" s="362" t="s">
        <v>120</v>
      </c>
      <c r="S4" s="363"/>
      <c r="T4" s="363"/>
      <c r="U4" s="364"/>
      <c r="V4" s="360" t="s">
        <v>0</v>
      </c>
      <c r="W4" s="346" t="s">
        <v>1</v>
      </c>
      <c r="X4" s="344" t="s">
        <v>63</v>
      </c>
      <c r="Y4" s="344"/>
      <c r="Z4" s="344"/>
      <c r="AA4" s="344"/>
      <c r="AB4" s="344" t="s">
        <v>126</v>
      </c>
      <c r="AC4" s="344"/>
      <c r="AD4" s="344"/>
      <c r="AE4" s="344"/>
      <c r="AF4" s="342" t="s">
        <v>0</v>
      </c>
      <c r="AG4" s="346" t="s">
        <v>1</v>
      </c>
      <c r="AH4" s="330" t="s">
        <v>93</v>
      </c>
      <c r="AI4" s="331"/>
      <c r="AJ4" s="331"/>
      <c r="AK4" s="331"/>
      <c r="AL4" s="331"/>
      <c r="AM4" s="331"/>
      <c r="AN4" s="331"/>
      <c r="AO4" s="332"/>
      <c r="AP4" s="342" t="s">
        <v>0</v>
      </c>
      <c r="AQ4" s="346" t="s">
        <v>1</v>
      </c>
      <c r="AR4" s="344" t="s">
        <v>132</v>
      </c>
      <c r="AS4" s="344"/>
      <c r="AT4" s="344"/>
      <c r="AU4" s="344"/>
      <c r="AV4" s="344" t="s">
        <v>94</v>
      </c>
      <c r="AW4" s="344"/>
      <c r="AX4" s="344"/>
      <c r="AY4" s="344"/>
      <c r="AZ4" s="342" t="s">
        <v>0</v>
      </c>
      <c r="BA4" s="317" t="s">
        <v>1</v>
      </c>
      <c r="BB4" s="317" t="s">
        <v>38</v>
      </c>
      <c r="BC4" s="317"/>
      <c r="BD4" s="317"/>
      <c r="BE4" s="317"/>
      <c r="BF4" s="317"/>
      <c r="BG4" s="326" t="s">
        <v>146</v>
      </c>
      <c r="BH4" s="316" t="s">
        <v>136</v>
      </c>
      <c r="BI4" s="316"/>
      <c r="BJ4" s="316" t="s">
        <v>139</v>
      </c>
      <c r="BK4" s="316"/>
      <c r="BL4" s="316" t="s">
        <v>142</v>
      </c>
      <c r="BM4" s="316"/>
      <c r="BN4" s="347" t="s">
        <v>0</v>
      </c>
      <c r="BO4" s="317" t="s">
        <v>1</v>
      </c>
      <c r="BP4" s="344" t="s">
        <v>147</v>
      </c>
      <c r="BQ4" s="344"/>
      <c r="BR4" s="344"/>
      <c r="BS4" s="344"/>
      <c r="BT4" s="344"/>
      <c r="BU4" s="344"/>
      <c r="BV4" s="344"/>
      <c r="BW4" s="344" t="s">
        <v>148</v>
      </c>
      <c r="BX4" s="344"/>
      <c r="BY4" s="344"/>
      <c r="BZ4" s="347" t="s">
        <v>0</v>
      </c>
      <c r="CA4" s="317" t="s">
        <v>1</v>
      </c>
      <c r="CB4" s="318" t="s">
        <v>150</v>
      </c>
      <c r="CC4" s="318" t="s">
        <v>151</v>
      </c>
      <c r="CD4" s="318" t="s">
        <v>78</v>
      </c>
      <c r="CE4" s="321" t="s">
        <v>79</v>
      </c>
      <c r="CF4" s="321" t="s">
        <v>77</v>
      </c>
      <c r="CG4" s="336" t="s">
        <v>152</v>
      </c>
      <c r="CH4" s="336" t="s">
        <v>153</v>
      </c>
      <c r="CI4" s="342" t="s">
        <v>0</v>
      </c>
      <c r="CJ4" s="317" t="s">
        <v>1</v>
      </c>
      <c r="CK4" s="318" t="s">
        <v>150</v>
      </c>
      <c r="CL4" s="318" t="s">
        <v>151</v>
      </c>
      <c r="CM4" s="318" t="s">
        <v>78</v>
      </c>
      <c r="CN4" s="318" t="s">
        <v>79</v>
      </c>
      <c r="CO4" s="318" t="s">
        <v>77</v>
      </c>
      <c r="CP4" s="336" t="s">
        <v>152</v>
      </c>
      <c r="CQ4" s="336" t="s">
        <v>153</v>
      </c>
      <c r="CR4" s="342" t="s">
        <v>0</v>
      </c>
      <c r="CS4" s="317" t="s">
        <v>1</v>
      </c>
      <c r="CT4" s="318" t="s">
        <v>150</v>
      </c>
      <c r="CU4" s="318" t="s">
        <v>157</v>
      </c>
      <c r="CV4" s="318" t="s">
        <v>78</v>
      </c>
      <c r="CW4" s="318" t="s">
        <v>158</v>
      </c>
      <c r="CX4" s="321" t="s">
        <v>77</v>
      </c>
      <c r="CY4" s="336" t="s">
        <v>152</v>
      </c>
      <c r="CZ4" s="336" t="s">
        <v>153</v>
      </c>
      <c r="DA4" s="339" t="s">
        <v>156</v>
      </c>
      <c r="DB4" s="342" t="s">
        <v>0</v>
      </c>
      <c r="DC4" s="317" t="s">
        <v>1</v>
      </c>
      <c r="DD4" s="318" t="s">
        <v>150</v>
      </c>
      <c r="DE4" s="318" t="s">
        <v>151</v>
      </c>
      <c r="DF4" s="318" t="s">
        <v>78</v>
      </c>
      <c r="DG4" s="321" t="s">
        <v>160</v>
      </c>
      <c r="DH4" s="318" t="s">
        <v>77</v>
      </c>
      <c r="DI4" s="336" t="s">
        <v>152</v>
      </c>
      <c r="DJ4" s="336" t="s">
        <v>153</v>
      </c>
      <c r="DK4" s="342" t="s">
        <v>0</v>
      </c>
      <c r="DL4" s="317" t="s">
        <v>1</v>
      </c>
      <c r="DM4" s="129" t="s">
        <v>37</v>
      </c>
      <c r="DN4" s="316" t="s">
        <v>76</v>
      </c>
      <c r="DO4" s="316"/>
      <c r="DP4" s="316" t="s">
        <v>92</v>
      </c>
      <c r="DQ4" s="316"/>
      <c r="DR4" s="316"/>
      <c r="DS4" s="316"/>
      <c r="DT4" s="316"/>
      <c r="DU4" s="316"/>
      <c r="DV4" s="316" t="s">
        <v>165</v>
      </c>
      <c r="DW4" s="316"/>
      <c r="DX4" s="316"/>
      <c r="DY4" s="347" t="s">
        <v>0</v>
      </c>
      <c r="DZ4" s="368" t="s">
        <v>1</v>
      </c>
      <c r="EA4" s="344" t="s">
        <v>170</v>
      </c>
      <c r="EB4" s="344"/>
      <c r="EC4" s="344"/>
      <c r="ED4" s="344" t="s">
        <v>104</v>
      </c>
      <c r="EE4" s="344"/>
      <c r="EF4" s="132" t="s">
        <v>121</v>
      </c>
      <c r="EG4" s="132" t="s">
        <v>122</v>
      </c>
      <c r="EH4" s="367" t="s">
        <v>0</v>
      </c>
      <c r="EI4" s="346" t="s">
        <v>1</v>
      </c>
      <c r="EJ4" s="361" t="s">
        <v>34</v>
      </c>
      <c r="EK4" s="361"/>
      <c r="EL4" s="361"/>
      <c r="EM4" s="361"/>
      <c r="EN4" s="361"/>
      <c r="EO4" s="361"/>
      <c r="EP4" s="361"/>
      <c r="EQ4" s="365" t="s">
        <v>0</v>
      </c>
    </row>
    <row r="5" spans="1:154" ht="17.149999999999999" customHeight="1" x14ac:dyDescent="0.35">
      <c r="A5" s="359"/>
      <c r="B5" s="357" t="s">
        <v>83</v>
      </c>
      <c r="C5" s="357" t="s">
        <v>111</v>
      </c>
      <c r="D5" s="356" t="s">
        <v>32</v>
      </c>
      <c r="E5" s="357" t="s">
        <v>83</v>
      </c>
      <c r="F5" s="357" t="s">
        <v>110</v>
      </c>
      <c r="G5" s="356" t="s">
        <v>32</v>
      </c>
      <c r="H5" s="357" t="s">
        <v>83</v>
      </c>
      <c r="I5" s="357" t="s">
        <v>109</v>
      </c>
      <c r="J5" s="360"/>
      <c r="K5" s="359"/>
      <c r="L5" s="357" t="s">
        <v>83</v>
      </c>
      <c r="M5" s="357" t="s">
        <v>116</v>
      </c>
      <c r="N5" s="357" t="s">
        <v>83</v>
      </c>
      <c r="O5" s="357" t="s">
        <v>66</v>
      </c>
      <c r="P5" s="357" t="s">
        <v>83</v>
      </c>
      <c r="Q5" s="357" t="s">
        <v>116</v>
      </c>
      <c r="R5" s="336" t="s">
        <v>121</v>
      </c>
      <c r="S5" s="336" t="s">
        <v>122</v>
      </c>
      <c r="T5" s="336" t="s">
        <v>123</v>
      </c>
      <c r="U5" s="336" t="s">
        <v>124</v>
      </c>
      <c r="V5" s="360"/>
      <c r="W5" s="346"/>
      <c r="X5" s="333" t="s">
        <v>20</v>
      </c>
      <c r="Y5" s="333"/>
      <c r="Z5" s="333" t="s">
        <v>21</v>
      </c>
      <c r="AA5" s="333"/>
      <c r="AB5" s="333" t="s">
        <v>127</v>
      </c>
      <c r="AC5" s="333"/>
      <c r="AD5" s="333" t="s">
        <v>128</v>
      </c>
      <c r="AE5" s="333"/>
      <c r="AF5" s="342"/>
      <c r="AG5" s="346"/>
      <c r="AH5" s="333" t="s">
        <v>130</v>
      </c>
      <c r="AI5" s="333"/>
      <c r="AJ5" s="333" t="s">
        <v>131</v>
      </c>
      <c r="AK5" s="333"/>
      <c r="AL5" s="333" t="s">
        <v>65</v>
      </c>
      <c r="AM5" s="333"/>
      <c r="AN5" s="333" t="s">
        <v>75</v>
      </c>
      <c r="AO5" s="333"/>
      <c r="AP5" s="342"/>
      <c r="AQ5" s="346"/>
      <c r="AR5" s="333" t="s">
        <v>133</v>
      </c>
      <c r="AS5" s="333"/>
      <c r="AT5" s="333" t="s">
        <v>134</v>
      </c>
      <c r="AU5" s="333"/>
      <c r="AV5" s="333" t="s">
        <v>95</v>
      </c>
      <c r="AW5" s="333"/>
      <c r="AX5" s="333" t="s">
        <v>96</v>
      </c>
      <c r="AY5" s="333"/>
      <c r="AZ5" s="342"/>
      <c r="BA5" s="317"/>
      <c r="BB5" s="353" t="s">
        <v>25</v>
      </c>
      <c r="BC5" s="366" t="s">
        <v>29</v>
      </c>
      <c r="BD5" s="335" t="s">
        <v>4</v>
      </c>
      <c r="BE5" s="335" t="s">
        <v>80</v>
      </c>
      <c r="BF5" s="335" t="s">
        <v>81</v>
      </c>
      <c r="BG5" s="326"/>
      <c r="BH5" s="343" t="s">
        <v>137</v>
      </c>
      <c r="BI5" s="343" t="s">
        <v>138</v>
      </c>
      <c r="BJ5" s="343" t="s">
        <v>140</v>
      </c>
      <c r="BK5" s="343" t="s">
        <v>141</v>
      </c>
      <c r="BL5" s="343" t="s">
        <v>143</v>
      </c>
      <c r="BM5" s="343" t="s">
        <v>144</v>
      </c>
      <c r="BN5" s="347"/>
      <c r="BO5" s="317"/>
      <c r="BP5" s="328" t="s">
        <v>31</v>
      </c>
      <c r="BQ5" s="354" t="s">
        <v>22</v>
      </c>
      <c r="BR5" s="326" t="s">
        <v>4</v>
      </c>
      <c r="BS5" s="326" t="s">
        <v>82</v>
      </c>
      <c r="BT5" s="326" t="s">
        <v>149</v>
      </c>
      <c r="BU5" s="328" t="s">
        <v>23</v>
      </c>
      <c r="BV5" s="327" t="s">
        <v>99</v>
      </c>
      <c r="BW5" s="327" t="s">
        <v>98</v>
      </c>
      <c r="BX5" s="355" t="s">
        <v>26</v>
      </c>
      <c r="BY5" s="355" t="s">
        <v>97</v>
      </c>
      <c r="BZ5" s="347"/>
      <c r="CA5" s="317"/>
      <c r="CB5" s="319"/>
      <c r="CC5" s="319"/>
      <c r="CD5" s="319"/>
      <c r="CE5" s="322"/>
      <c r="CF5" s="322"/>
      <c r="CG5" s="337"/>
      <c r="CH5" s="337"/>
      <c r="CI5" s="342"/>
      <c r="CJ5" s="317"/>
      <c r="CK5" s="319"/>
      <c r="CL5" s="319"/>
      <c r="CM5" s="319"/>
      <c r="CN5" s="319"/>
      <c r="CO5" s="319"/>
      <c r="CP5" s="337"/>
      <c r="CQ5" s="337"/>
      <c r="CR5" s="342"/>
      <c r="CS5" s="317"/>
      <c r="CT5" s="319"/>
      <c r="CU5" s="319"/>
      <c r="CV5" s="319"/>
      <c r="CW5" s="319"/>
      <c r="CX5" s="322"/>
      <c r="CY5" s="337"/>
      <c r="CZ5" s="337"/>
      <c r="DA5" s="340"/>
      <c r="DB5" s="342"/>
      <c r="DC5" s="317"/>
      <c r="DD5" s="319"/>
      <c r="DE5" s="319"/>
      <c r="DF5" s="319"/>
      <c r="DG5" s="322"/>
      <c r="DH5" s="319"/>
      <c r="DI5" s="337"/>
      <c r="DJ5" s="337"/>
      <c r="DK5" s="342"/>
      <c r="DL5" s="317"/>
      <c r="DM5" s="327" t="s">
        <v>4</v>
      </c>
      <c r="DN5" s="328" t="s">
        <v>161</v>
      </c>
      <c r="DO5" s="328" t="s">
        <v>162</v>
      </c>
      <c r="DP5" s="328" t="s">
        <v>85</v>
      </c>
      <c r="DQ5" s="327" t="s">
        <v>4</v>
      </c>
      <c r="DR5" s="326" t="s">
        <v>82</v>
      </c>
      <c r="DS5" s="328" t="s">
        <v>163</v>
      </c>
      <c r="DT5" s="326" t="s">
        <v>164</v>
      </c>
      <c r="DU5" s="327" t="s">
        <v>169</v>
      </c>
      <c r="DV5" s="328" t="s">
        <v>172</v>
      </c>
      <c r="DW5" s="328" t="s">
        <v>166</v>
      </c>
      <c r="DX5" s="328" t="s">
        <v>167</v>
      </c>
      <c r="DY5" s="347"/>
      <c r="DZ5" s="368"/>
      <c r="EA5" s="348" t="s">
        <v>173</v>
      </c>
      <c r="EB5" s="348" t="s">
        <v>174</v>
      </c>
      <c r="EC5" s="348" t="s">
        <v>171</v>
      </c>
      <c r="ED5" s="327" t="s">
        <v>86</v>
      </c>
      <c r="EE5" s="327"/>
      <c r="EF5" s="327" t="s">
        <v>84</v>
      </c>
      <c r="EG5" s="327" t="s">
        <v>84</v>
      </c>
      <c r="EH5" s="367"/>
      <c r="EI5" s="346"/>
      <c r="EJ5" s="361"/>
      <c r="EK5" s="361"/>
      <c r="EL5" s="361"/>
      <c r="EM5" s="361"/>
      <c r="EN5" s="361"/>
      <c r="EO5" s="361"/>
      <c r="EP5" s="361"/>
      <c r="EQ5" s="365"/>
    </row>
    <row r="6" spans="1:154" ht="17.149999999999999" customHeight="1" x14ac:dyDescent="0.35">
      <c r="A6" s="359"/>
      <c r="B6" s="357"/>
      <c r="C6" s="357"/>
      <c r="D6" s="356"/>
      <c r="E6" s="357"/>
      <c r="F6" s="357"/>
      <c r="G6" s="356"/>
      <c r="H6" s="357"/>
      <c r="I6" s="357"/>
      <c r="J6" s="360"/>
      <c r="K6" s="359"/>
      <c r="L6" s="357"/>
      <c r="M6" s="357"/>
      <c r="N6" s="357"/>
      <c r="O6" s="357"/>
      <c r="P6" s="357"/>
      <c r="Q6" s="357"/>
      <c r="R6" s="337"/>
      <c r="S6" s="337"/>
      <c r="T6" s="337"/>
      <c r="U6" s="337"/>
      <c r="V6" s="360"/>
      <c r="W6" s="346"/>
      <c r="X6" s="333" t="s">
        <v>5</v>
      </c>
      <c r="Y6" s="333" t="s">
        <v>6</v>
      </c>
      <c r="Z6" s="333" t="s">
        <v>5</v>
      </c>
      <c r="AA6" s="333" t="s">
        <v>6</v>
      </c>
      <c r="AB6" s="333" t="s">
        <v>5</v>
      </c>
      <c r="AC6" s="333" t="s">
        <v>6</v>
      </c>
      <c r="AD6" s="333" t="s">
        <v>5</v>
      </c>
      <c r="AE6" s="333" t="s">
        <v>6</v>
      </c>
      <c r="AF6" s="342"/>
      <c r="AG6" s="346"/>
      <c r="AH6" s="333" t="s">
        <v>5</v>
      </c>
      <c r="AI6" s="333" t="s">
        <v>6</v>
      </c>
      <c r="AJ6" s="333" t="s">
        <v>5</v>
      </c>
      <c r="AK6" s="333" t="s">
        <v>6</v>
      </c>
      <c r="AL6" s="333" t="s">
        <v>5</v>
      </c>
      <c r="AM6" s="333" t="s">
        <v>6</v>
      </c>
      <c r="AN6" s="333" t="s">
        <v>5</v>
      </c>
      <c r="AO6" s="333" t="s">
        <v>6</v>
      </c>
      <c r="AP6" s="342"/>
      <c r="AQ6" s="346"/>
      <c r="AR6" s="333" t="s">
        <v>5</v>
      </c>
      <c r="AS6" s="333" t="s">
        <v>6</v>
      </c>
      <c r="AT6" s="333" t="s">
        <v>5</v>
      </c>
      <c r="AU6" s="333" t="s">
        <v>6</v>
      </c>
      <c r="AV6" s="333" t="s">
        <v>5</v>
      </c>
      <c r="AW6" s="333" t="s">
        <v>6</v>
      </c>
      <c r="AX6" s="333" t="s">
        <v>5</v>
      </c>
      <c r="AY6" s="333" t="s">
        <v>6</v>
      </c>
      <c r="AZ6" s="342"/>
      <c r="BA6" s="317"/>
      <c r="BB6" s="353"/>
      <c r="BC6" s="366"/>
      <c r="BD6" s="335"/>
      <c r="BE6" s="335"/>
      <c r="BF6" s="335"/>
      <c r="BG6" s="326"/>
      <c r="BH6" s="343"/>
      <c r="BI6" s="343"/>
      <c r="BJ6" s="343"/>
      <c r="BK6" s="343"/>
      <c r="BL6" s="343"/>
      <c r="BM6" s="343"/>
      <c r="BN6" s="347"/>
      <c r="BO6" s="317"/>
      <c r="BP6" s="328"/>
      <c r="BQ6" s="354"/>
      <c r="BR6" s="326"/>
      <c r="BS6" s="326"/>
      <c r="BT6" s="326"/>
      <c r="BU6" s="328"/>
      <c r="BV6" s="327"/>
      <c r="BW6" s="327"/>
      <c r="BX6" s="355"/>
      <c r="BY6" s="355"/>
      <c r="BZ6" s="347"/>
      <c r="CA6" s="317"/>
      <c r="CB6" s="319"/>
      <c r="CC6" s="319"/>
      <c r="CD6" s="319"/>
      <c r="CE6" s="322"/>
      <c r="CF6" s="322"/>
      <c r="CG6" s="337"/>
      <c r="CH6" s="337"/>
      <c r="CI6" s="342"/>
      <c r="CJ6" s="317"/>
      <c r="CK6" s="319"/>
      <c r="CL6" s="319"/>
      <c r="CM6" s="319"/>
      <c r="CN6" s="319"/>
      <c r="CO6" s="319"/>
      <c r="CP6" s="337"/>
      <c r="CQ6" s="337"/>
      <c r="CR6" s="342"/>
      <c r="CS6" s="317"/>
      <c r="CT6" s="319"/>
      <c r="CU6" s="319"/>
      <c r="CV6" s="319"/>
      <c r="CW6" s="319"/>
      <c r="CX6" s="322"/>
      <c r="CY6" s="337"/>
      <c r="CZ6" s="337"/>
      <c r="DA6" s="340"/>
      <c r="DB6" s="342"/>
      <c r="DC6" s="317"/>
      <c r="DD6" s="319"/>
      <c r="DE6" s="319"/>
      <c r="DF6" s="319"/>
      <c r="DG6" s="322"/>
      <c r="DH6" s="319"/>
      <c r="DI6" s="337"/>
      <c r="DJ6" s="337"/>
      <c r="DK6" s="342"/>
      <c r="DL6" s="317"/>
      <c r="DM6" s="327"/>
      <c r="DN6" s="328"/>
      <c r="DO6" s="328"/>
      <c r="DP6" s="328"/>
      <c r="DQ6" s="327"/>
      <c r="DR6" s="326"/>
      <c r="DS6" s="328"/>
      <c r="DT6" s="326"/>
      <c r="DU6" s="327"/>
      <c r="DV6" s="328"/>
      <c r="DW6" s="328"/>
      <c r="DX6" s="328"/>
      <c r="DY6" s="347"/>
      <c r="DZ6" s="368"/>
      <c r="EA6" s="348"/>
      <c r="EB6" s="348"/>
      <c r="EC6" s="348"/>
      <c r="ED6" s="327" t="s">
        <v>102</v>
      </c>
      <c r="EE6" s="327" t="s">
        <v>103</v>
      </c>
      <c r="EF6" s="327"/>
      <c r="EG6" s="327"/>
      <c r="EH6" s="367"/>
      <c r="EI6" s="346"/>
      <c r="EJ6" s="361"/>
      <c r="EK6" s="361"/>
      <c r="EL6" s="361"/>
      <c r="EM6" s="361"/>
      <c r="EN6" s="361"/>
      <c r="EO6" s="361"/>
      <c r="EP6" s="361"/>
      <c r="EQ6" s="365"/>
    </row>
    <row r="7" spans="1:154" ht="17.149999999999999" customHeight="1" x14ac:dyDescent="0.35">
      <c r="A7" s="359"/>
      <c r="B7" s="357"/>
      <c r="C7" s="357"/>
      <c r="D7" s="356"/>
      <c r="E7" s="357"/>
      <c r="F7" s="357"/>
      <c r="G7" s="356"/>
      <c r="H7" s="357"/>
      <c r="I7" s="357"/>
      <c r="J7" s="360"/>
      <c r="K7" s="359"/>
      <c r="L7" s="357"/>
      <c r="M7" s="357"/>
      <c r="N7" s="357"/>
      <c r="O7" s="357"/>
      <c r="P7" s="357"/>
      <c r="Q7" s="357"/>
      <c r="R7" s="338"/>
      <c r="S7" s="338"/>
      <c r="T7" s="338"/>
      <c r="U7" s="338"/>
      <c r="V7" s="360"/>
      <c r="W7" s="346"/>
      <c r="X7" s="333"/>
      <c r="Y7" s="333"/>
      <c r="Z7" s="333"/>
      <c r="AA7" s="333"/>
      <c r="AB7" s="333"/>
      <c r="AC7" s="333"/>
      <c r="AD7" s="333"/>
      <c r="AE7" s="333"/>
      <c r="AF7" s="342"/>
      <c r="AG7" s="346"/>
      <c r="AH7" s="333"/>
      <c r="AI7" s="333"/>
      <c r="AJ7" s="333"/>
      <c r="AK7" s="333"/>
      <c r="AL7" s="333"/>
      <c r="AM7" s="333"/>
      <c r="AN7" s="333"/>
      <c r="AO7" s="333"/>
      <c r="AP7" s="342"/>
      <c r="AQ7" s="346"/>
      <c r="AR7" s="333"/>
      <c r="AS7" s="333"/>
      <c r="AT7" s="333"/>
      <c r="AU7" s="333"/>
      <c r="AV7" s="333"/>
      <c r="AW7" s="333"/>
      <c r="AX7" s="333"/>
      <c r="AY7" s="333"/>
      <c r="AZ7" s="342"/>
      <c r="BA7" s="317"/>
      <c r="BB7" s="353"/>
      <c r="BC7" s="366"/>
      <c r="BD7" s="335"/>
      <c r="BE7" s="335"/>
      <c r="BF7" s="335"/>
      <c r="BG7" s="326"/>
      <c r="BH7" s="343"/>
      <c r="BI7" s="343"/>
      <c r="BJ7" s="343"/>
      <c r="BK7" s="343"/>
      <c r="BL7" s="343"/>
      <c r="BM7" s="343"/>
      <c r="BN7" s="347"/>
      <c r="BO7" s="317"/>
      <c r="BP7" s="328"/>
      <c r="BQ7" s="354"/>
      <c r="BR7" s="326"/>
      <c r="BS7" s="326"/>
      <c r="BT7" s="326"/>
      <c r="BU7" s="328"/>
      <c r="BV7" s="327"/>
      <c r="BW7" s="327"/>
      <c r="BX7" s="355"/>
      <c r="BY7" s="355"/>
      <c r="BZ7" s="347"/>
      <c r="CA7" s="317"/>
      <c r="CB7" s="320"/>
      <c r="CC7" s="320"/>
      <c r="CD7" s="320"/>
      <c r="CE7" s="323"/>
      <c r="CF7" s="323"/>
      <c r="CG7" s="338"/>
      <c r="CH7" s="338"/>
      <c r="CI7" s="342"/>
      <c r="CJ7" s="317"/>
      <c r="CK7" s="320"/>
      <c r="CL7" s="320"/>
      <c r="CM7" s="320"/>
      <c r="CN7" s="320"/>
      <c r="CO7" s="320"/>
      <c r="CP7" s="338"/>
      <c r="CQ7" s="338"/>
      <c r="CR7" s="342"/>
      <c r="CS7" s="317"/>
      <c r="CT7" s="320"/>
      <c r="CU7" s="320"/>
      <c r="CV7" s="320"/>
      <c r="CW7" s="320"/>
      <c r="CX7" s="323"/>
      <c r="CY7" s="338"/>
      <c r="CZ7" s="338"/>
      <c r="DA7" s="341"/>
      <c r="DB7" s="342"/>
      <c r="DC7" s="317"/>
      <c r="DD7" s="320"/>
      <c r="DE7" s="320"/>
      <c r="DF7" s="320"/>
      <c r="DG7" s="323"/>
      <c r="DH7" s="320"/>
      <c r="DI7" s="338"/>
      <c r="DJ7" s="338"/>
      <c r="DK7" s="342"/>
      <c r="DL7" s="317"/>
      <c r="DM7" s="327"/>
      <c r="DN7" s="328"/>
      <c r="DO7" s="328"/>
      <c r="DP7" s="328"/>
      <c r="DQ7" s="327"/>
      <c r="DR7" s="326"/>
      <c r="DS7" s="328"/>
      <c r="DT7" s="326"/>
      <c r="DU7" s="327"/>
      <c r="DV7" s="328"/>
      <c r="DW7" s="328"/>
      <c r="DX7" s="328"/>
      <c r="DY7" s="347"/>
      <c r="DZ7" s="368"/>
      <c r="EA7" s="348"/>
      <c r="EB7" s="348"/>
      <c r="EC7" s="348"/>
      <c r="ED7" s="327"/>
      <c r="EE7" s="327"/>
      <c r="EF7" s="327"/>
      <c r="EG7" s="327"/>
      <c r="EH7" s="367"/>
      <c r="EI7" s="346"/>
      <c r="EJ7" s="361"/>
      <c r="EK7" s="361"/>
      <c r="EL7" s="361"/>
      <c r="EM7" s="361"/>
      <c r="EN7" s="361"/>
      <c r="EO7" s="361"/>
      <c r="EP7" s="361"/>
      <c r="EQ7" s="365"/>
    </row>
    <row r="8" spans="1:154" s="3" customFormat="1" ht="17.149999999999999" customHeight="1" x14ac:dyDescent="0.25">
      <c r="A8" s="56">
        <v>1</v>
      </c>
      <c r="B8" s="57"/>
      <c r="C8" s="58" t="str">
        <f>IF(B9="","",IF(B9=B8,"",(B9-B8)))</f>
        <v/>
      </c>
      <c r="D8" s="167"/>
      <c r="E8" s="59"/>
      <c r="F8" s="58" t="str">
        <f>IF(E9="","",IF(E9=E8,"",(E9-E8)))</f>
        <v/>
      </c>
      <c r="G8" s="168"/>
      <c r="H8" s="57"/>
      <c r="I8" s="58" t="str">
        <f t="shared" ref="I8:I36" si="0">IF(H9="","",IF(H9=H8,"",(H9-H8)))</f>
        <v/>
      </c>
      <c r="J8" s="60"/>
      <c r="K8" s="56">
        <v>1</v>
      </c>
      <c r="L8" s="57"/>
      <c r="M8" s="58" t="str">
        <f>IF(L9="","",IF(L9=L8,"",(L9-L8)))</f>
        <v/>
      </c>
      <c r="N8" s="59"/>
      <c r="O8" s="58" t="str">
        <f>IF(N9="","",IF(N9=N8,"",(N9-N8)))</f>
        <v/>
      </c>
      <c r="P8" s="57"/>
      <c r="Q8" s="58" t="str">
        <f t="shared" ref="Q8:Q36" si="1">IF(P9="","",IF(P9=P8,"",(P9-P8)))</f>
        <v/>
      </c>
      <c r="R8" s="57"/>
      <c r="S8" s="57"/>
      <c r="T8" s="170"/>
      <c r="U8" s="57"/>
      <c r="V8" s="58" t="str">
        <f>IF(J8="","",J8)</f>
        <v/>
      </c>
      <c r="W8" s="56">
        <v>1</v>
      </c>
      <c r="X8" s="63"/>
      <c r="Y8" s="130" t="str">
        <f>IF(X9="","",IF(X9=X8,"",X9-X8))</f>
        <v/>
      </c>
      <c r="Z8" s="63"/>
      <c r="AA8" s="130" t="str">
        <f>IF(Z9="","",IF(Z9=Z8,"",Z9-Z8))</f>
        <v/>
      </c>
      <c r="AB8" s="63"/>
      <c r="AC8" s="130" t="str">
        <f>IF(AB9="","",IF(AB9=AB8,"",AB9-AB8))</f>
        <v/>
      </c>
      <c r="AD8" s="63"/>
      <c r="AE8" s="130" t="str">
        <f t="shared" ref="AE8:AE36" si="2">IF(AD9="","",IF(AD9=AD8,"",AD9-AD8))</f>
        <v/>
      </c>
      <c r="AF8" s="125" t="str">
        <f>IF(J8="","",J8)</f>
        <v/>
      </c>
      <c r="AG8" s="56">
        <v>1</v>
      </c>
      <c r="AH8" s="63"/>
      <c r="AI8" s="130" t="str">
        <f>IF(AH9="","",IF(AH9=AH8,"",AH9-AH8))</f>
        <v/>
      </c>
      <c r="AJ8" s="63"/>
      <c r="AK8" s="130" t="str">
        <f>IF(AJ9="","",IF(AJ9=AJ8,"",AJ9-AJ8))</f>
        <v/>
      </c>
      <c r="AL8" s="63"/>
      <c r="AM8" s="130" t="str">
        <f>IF(AL9="","",IF(AL9=AL8,"",AL9-AL8))</f>
        <v/>
      </c>
      <c r="AN8" s="63"/>
      <c r="AO8" s="130" t="str">
        <f t="shared" ref="AO8:AO36" si="3">IF(AN9="","",IF(AN9=AN8,"",AN9-AN8))</f>
        <v/>
      </c>
      <c r="AP8" s="125" t="str">
        <f>IF(J8="","",J8)</f>
        <v/>
      </c>
      <c r="AQ8" s="56">
        <v>1</v>
      </c>
      <c r="AR8" s="63"/>
      <c r="AS8" s="130" t="str">
        <f>IF(AR9="","",IF(AR9=AR8,"",AR9-AR8))</f>
        <v/>
      </c>
      <c r="AT8" s="63"/>
      <c r="AU8" s="130" t="str">
        <f>IF(AT9="","",IF(AT9=AT8,"",AT9-AT8))</f>
        <v/>
      </c>
      <c r="AV8" s="63"/>
      <c r="AW8" s="130" t="str">
        <f>IF(AV9="","",IF(AV9=AV8,"",AV9-AV8))</f>
        <v/>
      </c>
      <c r="AX8" s="63"/>
      <c r="AY8" s="130" t="str">
        <f t="shared" ref="AY8:AY36" si="4">IF(AX9="","",IF(AX9=AX8,"",AX9-AX8))</f>
        <v/>
      </c>
      <c r="AZ8" s="125" t="str">
        <f>IF(J8="","",J8)</f>
        <v/>
      </c>
      <c r="BA8" s="56">
        <v>1</v>
      </c>
      <c r="BB8" s="63"/>
      <c r="BC8" s="62"/>
      <c r="BD8" s="61"/>
      <c r="BE8" s="61"/>
      <c r="BF8" s="61"/>
      <c r="BG8" s="61"/>
      <c r="BH8" s="64"/>
      <c r="BI8" s="64"/>
      <c r="BJ8" s="64"/>
      <c r="BK8" s="64"/>
      <c r="BL8" s="64"/>
      <c r="BM8" s="64"/>
      <c r="BN8" s="65" t="str">
        <f>IF(J8="","",J8)</f>
        <v/>
      </c>
      <c r="BO8" s="56">
        <v>1</v>
      </c>
      <c r="BP8" s="64"/>
      <c r="BQ8" s="62"/>
      <c r="BR8" s="61"/>
      <c r="BS8" s="61"/>
      <c r="BT8" s="61"/>
      <c r="BU8" s="64"/>
      <c r="BV8" s="63"/>
      <c r="BW8" s="63"/>
      <c r="BX8" s="66"/>
      <c r="BY8" s="172"/>
      <c r="BZ8" s="67" t="str">
        <f>IF(J8="","",J8)</f>
        <v/>
      </c>
      <c r="CA8" s="56">
        <v>1</v>
      </c>
      <c r="CB8" s="61"/>
      <c r="CC8" s="61"/>
      <c r="CD8" s="68" t="str">
        <f>IF(CB9="","",IF(CC8="",IF(CB8=CB9,"",(CB8-CB9)),IF(CC8=CB9,"",(CC8-CB9))))</f>
        <v/>
      </c>
      <c r="CE8" s="69" t="str">
        <f>IF(CD8="","",(CD8*(0.785*77*77)/1000))</f>
        <v/>
      </c>
      <c r="CF8" s="69" t="str">
        <f>IF(CE8="","",(CE8*0.12*1000)/I8)</f>
        <v/>
      </c>
      <c r="CG8" s="62"/>
      <c r="CH8" s="62"/>
      <c r="CI8" s="65" t="str">
        <f>IF(J8="","",J8)</f>
        <v/>
      </c>
      <c r="CJ8" s="56">
        <v>1</v>
      </c>
      <c r="CK8" s="61"/>
      <c r="CL8" s="61"/>
      <c r="CM8" s="68" t="str">
        <f>IF(CK9="","",IF(CL8="",IF(CK8=CK9,"",(CK8-CK9)),IF(CL8=CK9,"",(CL8-CK9))))</f>
        <v/>
      </c>
      <c r="CN8" s="68" t="str">
        <f>IF(CM8="","",(CM8*(0.785*77*77)/1000))</f>
        <v/>
      </c>
      <c r="CO8" s="68" t="str">
        <f>IF(CN8="","",(CN8*0.33*1.205*1000)/C8)</f>
        <v/>
      </c>
      <c r="CP8" s="62"/>
      <c r="CQ8" s="62"/>
      <c r="CR8" s="65" t="str">
        <f>IF(J8="","",J8)</f>
        <v/>
      </c>
      <c r="CS8" s="56">
        <v>1</v>
      </c>
      <c r="CT8" s="61"/>
      <c r="CU8" s="61"/>
      <c r="CV8" s="68" t="str">
        <f>IF(CT9="","",IF(CU8="",IF(CT8=CT9,"",(CT8-CT9)),IF(CU8=CT9,"",(CU8-CT9))))</f>
        <v/>
      </c>
      <c r="CW8" s="68" t="str">
        <f>IF(CV8="","",(CV8*(0.785*92*92)/1000))</f>
        <v/>
      </c>
      <c r="CX8" s="69" t="str">
        <f>IF(CW8="","",(CW8)/C8)</f>
        <v/>
      </c>
      <c r="CY8" s="66"/>
      <c r="CZ8" s="66"/>
      <c r="DA8" s="66"/>
      <c r="DB8" s="65" t="str">
        <f>IF(J8="","",J8)</f>
        <v/>
      </c>
      <c r="DC8" s="56">
        <v>1</v>
      </c>
      <c r="DD8" s="61"/>
      <c r="DE8" s="61"/>
      <c r="DF8" s="68" t="str">
        <f>IF(DD9="","",IF(DE8="",IF(DD8=DD9,"",(DD8-DD9)),IF(DE8=DD9,"",(DE8-DD9))))</f>
        <v/>
      </c>
      <c r="DG8" s="69" t="str">
        <f>IF(DF8="","",(DF8*(0.785*92*92)*0.00812/1000))</f>
        <v/>
      </c>
      <c r="DH8" s="68" t="str">
        <f>IF(DG8="","",(DG8*1000)/C8)</f>
        <v/>
      </c>
      <c r="DI8" s="62"/>
      <c r="DJ8" s="62"/>
      <c r="DK8" s="65" t="str">
        <f>IF(J8="","",J8)</f>
        <v/>
      </c>
      <c r="DL8" s="56">
        <v>1</v>
      </c>
      <c r="DM8" s="63"/>
      <c r="DN8" s="64"/>
      <c r="DO8" s="64"/>
      <c r="DP8" s="64"/>
      <c r="DQ8" s="63"/>
      <c r="DR8" s="61"/>
      <c r="DS8" s="64"/>
      <c r="DT8" s="61"/>
      <c r="DU8" s="63"/>
      <c r="DV8" s="64"/>
      <c r="DW8" s="64"/>
      <c r="DX8" s="66"/>
      <c r="DY8" s="65" t="str">
        <f>IF(J8="","",J8)</f>
        <v/>
      </c>
      <c r="DZ8" s="128">
        <v>1</v>
      </c>
      <c r="EA8" s="173" t="str">
        <f>IF(C8="","",C8/1496)</f>
        <v/>
      </c>
      <c r="EB8" s="173" t="str">
        <f>IF(F8="","",IF(Q8="",F8/1360,(F8+Q8)/1360))</f>
        <v/>
      </c>
      <c r="EC8" s="173" t="str">
        <f>IF(I8="","",IF(C8="","",I8/C8))</f>
        <v/>
      </c>
      <c r="ED8" s="63"/>
      <c r="EE8" s="63"/>
      <c r="EF8" s="63"/>
      <c r="EG8" s="63"/>
      <c r="EH8" s="127" t="str">
        <f t="shared" ref="EH8:EH37" si="5">IF(J8="","",J8)</f>
        <v/>
      </c>
      <c r="EI8" s="56">
        <v>1</v>
      </c>
      <c r="EQ8" s="65" t="str">
        <f>IF(J8="","",J8)</f>
        <v/>
      </c>
      <c r="ER8" s="20"/>
      <c r="ES8" s="20"/>
      <c r="ET8" s="20"/>
      <c r="EU8" s="20"/>
      <c r="EV8" s="20"/>
      <c r="EW8" s="20"/>
      <c r="EX8" s="20"/>
    </row>
    <row r="9" spans="1:154" s="3" customFormat="1" ht="17.149999999999999" customHeight="1" x14ac:dyDescent="0.25">
      <c r="A9" s="56">
        <v>2</v>
      </c>
      <c r="B9" s="57"/>
      <c r="C9" s="58" t="str">
        <f t="shared" ref="C9:C36" si="6">IF(B10="","",IF(B10=B9,"",(B10-B9)))</f>
        <v/>
      </c>
      <c r="D9" s="167"/>
      <c r="E9" s="57"/>
      <c r="F9" s="58" t="str">
        <f t="shared" ref="F9:F36" si="7">IF(E10="","",IF(E10=E9,"",(E10-E9)))</f>
        <v/>
      </c>
      <c r="G9" s="168"/>
      <c r="H9" s="57"/>
      <c r="I9" s="58" t="str">
        <f t="shared" si="0"/>
        <v/>
      </c>
      <c r="J9" s="60"/>
      <c r="K9" s="56">
        <v>2</v>
      </c>
      <c r="L9" s="57"/>
      <c r="M9" s="58" t="str">
        <f t="shared" ref="M9:M36" si="8">IF(L10="","",IF(L10=L9,"",(L10-L9)))</f>
        <v/>
      </c>
      <c r="N9" s="57"/>
      <c r="O9" s="58" t="str">
        <f t="shared" ref="O9:O36" si="9">IF(N10="","",IF(N10=N9,"",(N10-N9)))</f>
        <v/>
      </c>
      <c r="P9" s="57"/>
      <c r="Q9" s="58" t="str">
        <f t="shared" si="1"/>
        <v/>
      </c>
      <c r="R9" s="57"/>
      <c r="S9" s="57"/>
      <c r="T9" s="170"/>
      <c r="U9" s="57"/>
      <c r="V9" s="58" t="str">
        <f t="shared" ref="V9:V37" si="10">IF(J9="","",J9)</f>
        <v/>
      </c>
      <c r="W9" s="56">
        <v>2</v>
      </c>
      <c r="X9" s="63"/>
      <c r="Y9" s="130" t="str">
        <f t="shared" ref="Y9:Y36" si="11">IF(X10="","",IF(X10=X9,"",X10-X9))</f>
        <v/>
      </c>
      <c r="Z9" s="63"/>
      <c r="AA9" s="130" t="str">
        <f t="shared" ref="AA9:AA36" si="12">IF(Z10="","",IF(Z10=Z9,"",Z10-Z9))</f>
        <v/>
      </c>
      <c r="AB9" s="63"/>
      <c r="AC9" s="130" t="str">
        <f t="shared" ref="AC9:AC36" si="13">IF(AB10="","",IF(AB10=AB9,"",AB10-AB9))</f>
        <v/>
      </c>
      <c r="AD9" s="63"/>
      <c r="AE9" s="130" t="str">
        <f t="shared" si="2"/>
        <v/>
      </c>
      <c r="AF9" s="125" t="str">
        <f t="shared" ref="AF9:AF37" si="14">IF(J9="","",J9)</f>
        <v/>
      </c>
      <c r="AG9" s="56">
        <v>2</v>
      </c>
      <c r="AH9" s="63"/>
      <c r="AI9" s="130" t="str">
        <f t="shared" ref="AI9:AI36" si="15">IF(AH10="","",IF(AH10=AH9,"",AH10-AH9))</f>
        <v/>
      </c>
      <c r="AJ9" s="63"/>
      <c r="AK9" s="130" t="str">
        <f t="shared" ref="AK9:AK36" si="16">IF(AJ10="","",IF(AJ10=AJ9,"",AJ10-AJ9))</f>
        <v/>
      </c>
      <c r="AL9" s="63"/>
      <c r="AM9" s="130" t="str">
        <f t="shared" ref="AM9:AM36" si="17">IF(AL10="","",IF(AL10=AL9,"",AL10-AL9))</f>
        <v/>
      </c>
      <c r="AN9" s="63"/>
      <c r="AO9" s="130" t="str">
        <f t="shared" si="3"/>
        <v/>
      </c>
      <c r="AP9" s="125" t="str">
        <f t="shared" ref="AP9:AP37" si="18">IF(J9="","",J9)</f>
        <v/>
      </c>
      <c r="AQ9" s="56">
        <v>2</v>
      </c>
      <c r="AR9" s="63"/>
      <c r="AS9" s="130" t="str">
        <f t="shared" ref="AS9:AS36" si="19">IF(AR10="","",IF(AR10=AR9,"",AR10-AR9))</f>
        <v/>
      </c>
      <c r="AT9" s="63"/>
      <c r="AU9" s="130" t="str">
        <f t="shared" ref="AU9:AU36" si="20">IF(AT10="","",IF(AT10=AT9,"",AT10-AT9))</f>
        <v/>
      </c>
      <c r="AV9" s="63"/>
      <c r="AW9" s="130" t="str">
        <f t="shared" ref="AW9:AW36" si="21">IF(AV10="","",IF(AV10=AV9,"",AV10-AV9))</f>
        <v/>
      </c>
      <c r="AX9" s="63"/>
      <c r="AY9" s="130" t="str">
        <f t="shared" si="4"/>
        <v/>
      </c>
      <c r="AZ9" s="125" t="str">
        <f t="shared" ref="AZ9:AZ37" si="22">IF(J9="","",J9)</f>
        <v/>
      </c>
      <c r="BA9" s="56">
        <v>2</v>
      </c>
      <c r="BB9" s="63"/>
      <c r="BC9" s="62"/>
      <c r="BD9" s="61"/>
      <c r="BE9" s="61"/>
      <c r="BF9" s="61"/>
      <c r="BG9" s="61"/>
      <c r="BH9" s="64"/>
      <c r="BI9" s="64"/>
      <c r="BJ9" s="64"/>
      <c r="BK9" s="64"/>
      <c r="BL9" s="64"/>
      <c r="BM9" s="64"/>
      <c r="BN9" s="65" t="str">
        <f t="shared" ref="BN9:BN37" si="23">IF(J9="","",J9)</f>
        <v/>
      </c>
      <c r="BO9" s="56">
        <v>2</v>
      </c>
      <c r="BP9" s="64"/>
      <c r="BQ9" s="62"/>
      <c r="BR9" s="61"/>
      <c r="BS9" s="61"/>
      <c r="BT9" s="61"/>
      <c r="BU9" s="64"/>
      <c r="BV9" s="63"/>
      <c r="BW9" s="63"/>
      <c r="BX9" s="66"/>
      <c r="BY9" s="172"/>
      <c r="BZ9" s="67" t="str">
        <f t="shared" ref="BZ9:BZ37" si="24">IF(J9="","",J9)</f>
        <v/>
      </c>
      <c r="CA9" s="56">
        <v>2</v>
      </c>
      <c r="CB9" s="61"/>
      <c r="CC9" s="61"/>
      <c r="CD9" s="68" t="str">
        <f t="shared" ref="CD9:CD36" si="25">IF(CB10="","",IF(CC9="",IF(CB9=CB10,"",(CB9-CB10)),IF(CC9=CB10,"",(CC9-CB10))))</f>
        <v/>
      </c>
      <c r="CE9" s="69" t="str">
        <f t="shared" ref="CE9:CE37" si="26">IF(CD9="","",(CD9*(0.785*77*77)/1000))</f>
        <v/>
      </c>
      <c r="CF9" s="69" t="str">
        <f t="shared" ref="CF9:CF37" si="27">IF(CE9="","",(CE9*0.12*1000)/I9)</f>
        <v/>
      </c>
      <c r="CG9" s="62"/>
      <c r="CH9" s="62"/>
      <c r="CI9" s="65" t="str">
        <f t="shared" ref="CI9:CI37" si="28">IF(J9="","",J9)</f>
        <v/>
      </c>
      <c r="CJ9" s="56">
        <v>2</v>
      </c>
      <c r="CK9" s="61"/>
      <c r="CL9" s="61"/>
      <c r="CM9" s="68" t="str">
        <f t="shared" ref="CM9:CM36" si="29">IF(CK10="","",IF(CL9="",IF(CK9=CK10,"",(CK9-CK10)),IF(CL9=CK10,"",(CL9-CK10))))</f>
        <v/>
      </c>
      <c r="CN9" s="68" t="str">
        <f t="shared" ref="CN9:CN37" si="30">IF(CM9="","",(CM9*(0.785*77*77)/1000))</f>
        <v/>
      </c>
      <c r="CO9" s="68" t="str">
        <f t="shared" ref="CO9:CO37" si="31">IF(CN9="","",(CN9*0.33*1.205*1000)/C9)</f>
        <v/>
      </c>
      <c r="CP9" s="62"/>
      <c r="CQ9" s="62"/>
      <c r="CR9" s="65" t="str">
        <f t="shared" ref="CR9:CR37" si="32">IF(J9="","",J9)</f>
        <v/>
      </c>
      <c r="CS9" s="56">
        <v>2</v>
      </c>
      <c r="CT9" s="61"/>
      <c r="CU9" s="61"/>
      <c r="CV9" s="68" t="str">
        <f t="shared" ref="CV9:CV36" si="33">IF(CT10="","",IF(CU9="",IF(CT9=CT10,"",(CT9-CT10)),IF(CU9=CT10,"",(CU9-CT10))))</f>
        <v/>
      </c>
      <c r="CW9" s="68" t="str">
        <f t="shared" ref="CW9:CW37" si="34">IF(CV9="","",(CV9*(0.785*92*92)/1000))</f>
        <v/>
      </c>
      <c r="CX9" s="69" t="str">
        <f t="shared" ref="CX9:CX37" si="35">IF(CW9="","",(CW9)/C9)</f>
        <v/>
      </c>
      <c r="CY9" s="66"/>
      <c r="CZ9" s="66"/>
      <c r="DA9" s="66"/>
      <c r="DB9" s="65" t="str">
        <f t="shared" ref="DB9:DB37" si="36">IF(J9="","",J9)</f>
        <v/>
      </c>
      <c r="DC9" s="56">
        <v>2</v>
      </c>
      <c r="DD9" s="61"/>
      <c r="DE9" s="61"/>
      <c r="DF9" s="68" t="str">
        <f t="shared" ref="DF9:DF36" si="37">IF(DD10="","",IF(DE9="",IF(DD9=DD10,"",(DD9-DD10)),IF(DE9=DD10,"",(DE9-DD10))))</f>
        <v/>
      </c>
      <c r="DG9" s="69" t="str">
        <f t="shared" ref="DG9:DG37" si="38">IF(DF9="","",(DF9*(0.785*92*92)*0.00812/1000))</f>
        <v/>
      </c>
      <c r="DH9" s="68" t="str">
        <f t="shared" ref="DH9:DH37" si="39">IF(DG9="","",(DG9*1000)/C9)</f>
        <v/>
      </c>
      <c r="DI9" s="62"/>
      <c r="DJ9" s="62"/>
      <c r="DK9" s="65" t="str">
        <f t="shared" ref="DK9:DK37" si="40">IF(J9="","",J9)</f>
        <v/>
      </c>
      <c r="DL9" s="56">
        <v>2</v>
      </c>
      <c r="DM9" s="63"/>
      <c r="DN9" s="64"/>
      <c r="DO9" s="64"/>
      <c r="DP9" s="64"/>
      <c r="DQ9" s="63"/>
      <c r="DR9" s="61"/>
      <c r="DS9" s="64"/>
      <c r="DT9" s="61"/>
      <c r="DU9" s="63"/>
      <c r="DV9" s="64"/>
      <c r="DW9" s="64"/>
      <c r="DX9" s="66"/>
      <c r="DY9" s="65" t="str">
        <f t="shared" ref="DY9:DY37" si="41">IF(J9="","",J9)</f>
        <v/>
      </c>
      <c r="DZ9" s="128">
        <v>2</v>
      </c>
      <c r="EA9" s="173" t="str">
        <f t="shared" ref="EA9:EA37" si="42">IF(C9="","",C9/1496)</f>
        <v/>
      </c>
      <c r="EB9" s="173" t="str">
        <f t="shared" ref="EB9:EB37" si="43">IF(F9="","",IF(Q9="",F9/1360,(F9+Q9)/1360))</f>
        <v/>
      </c>
      <c r="EC9" s="173" t="str">
        <f t="shared" ref="EC9:EC37" si="44">IF(I9="","",IF(C9="","",I9/C9))</f>
        <v/>
      </c>
      <c r="ED9" s="63"/>
      <c r="EE9" s="63"/>
      <c r="EF9" s="63"/>
      <c r="EG9" s="63"/>
      <c r="EH9" s="127" t="str">
        <f t="shared" si="5"/>
        <v/>
      </c>
      <c r="EI9" s="56">
        <v>2</v>
      </c>
      <c r="EJ9" s="334"/>
      <c r="EK9" s="334"/>
      <c r="EL9" s="334"/>
      <c r="EM9" s="334"/>
      <c r="EN9" s="334"/>
      <c r="EO9" s="334"/>
      <c r="EP9" s="334"/>
      <c r="EQ9" s="65" t="str">
        <f t="shared" ref="EQ9:EQ37" si="45">IF(J9="","",J9)</f>
        <v/>
      </c>
      <c r="ER9" s="20"/>
      <c r="ES9" s="20"/>
      <c r="ET9" s="20"/>
      <c r="EU9" s="20"/>
      <c r="EV9" s="20"/>
      <c r="EW9" s="20"/>
      <c r="EX9" s="20"/>
    </row>
    <row r="10" spans="1:154" s="3" customFormat="1" ht="17.149999999999999" customHeight="1" x14ac:dyDescent="0.25">
      <c r="A10" s="56">
        <v>3</v>
      </c>
      <c r="B10" s="57"/>
      <c r="C10" s="58" t="str">
        <f t="shared" si="6"/>
        <v/>
      </c>
      <c r="D10" s="167"/>
      <c r="E10" s="57"/>
      <c r="F10" s="58" t="str">
        <f t="shared" si="7"/>
        <v/>
      </c>
      <c r="G10" s="168"/>
      <c r="H10" s="57"/>
      <c r="I10" s="58" t="str">
        <f t="shared" si="0"/>
        <v/>
      </c>
      <c r="J10" s="60"/>
      <c r="K10" s="56">
        <v>3</v>
      </c>
      <c r="L10" s="57"/>
      <c r="M10" s="58" t="str">
        <f t="shared" si="8"/>
        <v/>
      </c>
      <c r="N10" s="57"/>
      <c r="O10" s="58" t="str">
        <f t="shared" si="9"/>
        <v/>
      </c>
      <c r="P10" s="57"/>
      <c r="Q10" s="58" t="str">
        <f t="shared" si="1"/>
        <v/>
      </c>
      <c r="R10" s="57"/>
      <c r="S10" s="57"/>
      <c r="T10" s="170"/>
      <c r="U10" s="57"/>
      <c r="V10" s="58" t="str">
        <f t="shared" si="10"/>
        <v/>
      </c>
      <c r="W10" s="56">
        <v>3</v>
      </c>
      <c r="X10" s="63"/>
      <c r="Y10" s="130" t="str">
        <f t="shared" si="11"/>
        <v/>
      </c>
      <c r="Z10" s="63"/>
      <c r="AA10" s="130" t="str">
        <f t="shared" si="12"/>
        <v/>
      </c>
      <c r="AB10" s="63"/>
      <c r="AC10" s="130" t="str">
        <f t="shared" si="13"/>
        <v/>
      </c>
      <c r="AD10" s="63"/>
      <c r="AE10" s="130" t="str">
        <f t="shared" si="2"/>
        <v/>
      </c>
      <c r="AF10" s="125" t="str">
        <f t="shared" si="14"/>
        <v/>
      </c>
      <c r="AG10" s="56">
        <v>3</v>
      </c>
      <c r="AH10" s="63"/>
      <c r="AI10" s="130" t="str">
        <f t="shared" si="15"/>
        <v/>
      </c>
      <c r="AJ10" s="63"/>
      <c r="AK10" s="130" t="str">
        <f t="shared" si="16"/>
        <v/>
      </c>
      <c r="AL10" s="63"/>
      <c r="AM10" s="130" t="str">
        <f t="shared" si="17"/>
        <v/>
      </c>
      <c r="AN10" s="63"/>
      <c r="AO10" s="130" t="str">
        <f t="shared" si="3"/>
        <v/>
      </c>
      <c r="AP10" s="125" t="str">
        <f t="shared" si="18"/>
        <v/>
      </c>
      <c r="AQ10" s="56">
        <v>3</v>
      </c>
      <c r="AR10" s="63"/>
      <c r="AS10" s="130" t="str">
        <f t="shared" si="19"/>
        <v/>
      </c>
      <c r="AT10" s="63"/>
      <c r="AU10" s="130" t="str">
        <f t="shared" si="20"/>
        <v/>
      </c>
      <c r="AV10" s="63"/>
      <c r="AW10" s="130" t="str">
        <f t="shared" si="21"/>
        <v/>
      </c>
      <c r="AX10" s="63"/>
      <c r="AY10" s="130" t="str">
        <f t="shared" si="4"/>
        <v/>
      </c>
      <c r="AZ10" s="125" t="str">
        <f t="shared" si="22"/>
        <v/>
      </c>
      <c r="BA10" s="56">
        <v>3</v>
      </c>
      <c r="BB10" s="63"/>
      <c r="BC10" s="62"/>
      <c r="BD10" s="61"/>
      <c r="BE10" s="61"/>
      <c r="BF10" s="61"/>
      <c r="BG10" s="61"/>
      <c r="BH10" s="64"/>
      <c r="BI10" s="64"/>
      <c r="BJ10" s="64"/>
      <c r="BK10" s="64"/>
      <c r="BL10" s="64"/>
      <c r="BM10" s="64"/>
      <c r="BN10" s="65" t="str">
        <f t="shared" si="23"/>
        <v/>
      </c>
      <c r="BO10" s="56">
        <v>3</v>
      </c>
      <c r="BP10" s="64"/>
      <c r="BQ10" s="62"/>
      <c r="BR10" s="61"/>
      <c r="BS10" s="61"/>
      <c r="BT10" s="61"/>
      <c r="BU10" s="64"/>
      <c r="BV10" s="63"/>
      <c r="BW10" s="63"/>
      <c r="BX10" s="66"/>
      <c r="BY10" s="172"/>
      <c r="BZ10" s="67" t="str">
        <f t="shared" si="24"/>
        <v/>
      </c>
      <c r="CA10" s="56">
        <v>3</v>
      </c>
      <c r="CB10" s="61"/>
      <c r="CC10" s="61"/>
      <c r="CD10" s="68" t="str">
        <f t="shared" si="25"/>
        <v/>
      </c>
      <c r="CE10" s="69" t="str">
        <f t="shared" si="26"/>
        <v/>
      </c>
      <c r="CF10" s="69" t="str">
        <f t="shared" si="27"/>
        <v/>
      </c>
      <c r="CG10" s="62"/>
      <c r="CH10" s="62"/>
      <c r="CI10" s="65" t="str">
        <f t="shared" si="28"/>
        <v/>
      </c>
      <c r="CJ10" s="56">
        <v>3</v>
      </c>
      <c r="CK10" s="61"/>
      <c r="CL10" s="61"/>
      <c r="CM10" s="68" t="str">
        <f t="shared" si="29"/>
        <v/>
      </c>
      <c r="CN10" s="68" t="str">
        <f t="shared" si="30"/>
        <v/>
      </c>
      <c r="CO10" s="68" t="str">
        <f t="shared" si="31"/>
        <v/>
      </c>
      <c r="CP10" s="62"/>
      <c r="CQ10" s="62"/>
      <c r="CR10" s="65" t="str">
        <f t="shared" si="32"/>
        <v/>
      </c>
      <c r="CS10" s="56">
        <v>3</v>
      </c>
      <c r="CT10" s="61"/>
      <c r="CU10" s="61"/>
      <c r="CV10" s="68" t="str">
        <f t="shared" si="33"/>
        <v/>
      </c>
      <c r="CW10" s="68" t="str">
        <f t="shared" si="34"/>
        <v/>
      </c>
      <c r="CX10" s="69" t="str">
        <f t="shared" si="35"/>
        <v/>
      </c>
      <c r="CY10" s="66"/>
      <c r="CZ10" s="66"/>
      <c r="DA10" s="66"/>
      <c r="DB10" s="65" t="str">
        <f t="shared" si="36"/>
        <v/>
      </c>
      <c r="DC10" s="56">
        <v>3</v>
      </c>
      <c r="DD10" s="61"/>
      <c r="DE10" s="61"/>
      <c r="DF10" s="68" t="str">
        <f t="shared" si="37"/>
        <v/>
      </c>
      <c r="DG10" s="69" t="str">
        <f t="shared" si="38"/>
        <v/>
      </c>
      <c r="DH10" s="68" t="str">
        <f t="shared" si="39"/>
        <v/>
      </c>
      <c r="DI10" s="62"/>
      <c r="DJ10" s="62"/>
      <c r="DK10" s="65" t="str">
        <f t="shared" si="40"/>
        <v/>
      </c>
      <c r="DL10" s="56">
        <v>3</v>
      </c>
      <c r="DM10" s="63"/>
      <c r="DN10" s="64"/>
      <c r="DO10" s="64"/>
      <c r="DP10" s="64"/>
      <c r="DQ10" s="63"/>
      <c r="DR10" s="61"/>
      <c r="DS10" s="64"/>
      <c r="DT10" s="61"/>
      <c r="DU10" s="63"/>
      <c r="DV10" s="64"/>
      <c r="DW10" s="64"/>
      <c r="DX10" s="66"/>
      <c r="DY10" s="65" t="str">
        <f t="shared" si="41"/>
        <v/>
      </c>
      <c r="DZ10" s="128">
        <v>3</v>
      </c>
      <c r="EA10" s="173" t="str">
        <f t="shared" si="42"/>
        <v/>
      </c>
      <c r="EB10" s="173" t="str">
        <f t="shared" si="43"/>
        <v/>
      </c>
      <c r="EC10" s="173" t="str">
        <f t="shared" si="44"/>
        <v/>
      </c>
      <c r="ED10" s="63"/>
      <c r="EE10" s="63"/>
      <c r="EF10" s="63"/>
      <c r="EG10" s="63"/>
      <c r="EH10" s="127" t="str">
        <f t="shared" si="5"/>
        <v/>
      </c>
      <c r="EI10" s="56">
        <v>3</v>
      </c>
      <c r="EJ10" s="334"/>
      <c r="EK10" s="334"/>
      <c r="EL10" s="334"/>
      <c r="EM10" s="334"/>
      <c r="EN10" s="334"/>
      <c r="EO10" s="334"/>
      <c r="EP10" s="334"/>
      <c r="EQ10" s="65" t="str">
        <f t="shared" si="45"/>
        <v/>
      </c>
      <c r="ER10" s="20"/>
      <c r="ES10" s="20"/>
      <c r="ET10" s="20"/>
      <c r="EU10" s="20"/>
      <c r="EV10" s="20"/>
      <c r="EW10" s="20"/>
      <c r="EX10" s="20"/>
    </row>
    <row r="11" spans="1:154" s="3" customFormat="1" ht="17.149999999999999" customHeight="1" x14ac:dyDescent="0.25">
      <c r="A11" s="56">
        <v>4</v>
      </c>
      <c r="B11" s="57"/>
      <c r="C11" s="58" t="str">
        <f t="shared" si="6"/>
        <v/>
      </c>
      <c r="D11" s="167"/>
      <c r="E11" s="57"/>
      <c r="F11" s="58" t="str">
        <f t="shared" si="7"/>
        <v/>
      </c>
      <c r="G11" s="168"/>
      <c r="H11" s="57"/>
      <c r="I11" s="58" t="str">
        <f t="shared" si="0"/>
        <v/>
      </c>
      <c r="J11" s="60"/>
      <c r="K11" s="56">
        <v>4</v>
      </c>
      <c r="L11" s="57"/>
      <c r="M11" s="58" t="str">
        <f t="shared" si="8"/>
        <v/>
      </c>
      <c r="N11" s="57"/>
      <c r="O11" s="58" t="str">
        <f t="shared" si="9"/>
        <v/>
      </c>
      <c r="P11" s="57"/>
      <c r="Q11" s="169" t="str">
        <f t="shared" si="1"/>
        <v/>
      </c>
      <c r="R11" s="57"/>
      <c r="S11" s="57"/>
      <c r="T11" s="57"/>
      <c r="U11" s="57"/>
      <c r="V11" s="58" t="str">
        <f t="shared" si="10"/>
        <v/>
      </c>
      <c r="W11" s="56">
        <v>4</v>
      </c>
      <c r="X11" s="63"/>
      <c r="Y11" s="130" t="str">
        <f t="shared" si="11"/>
        <v/>
      </c>
      <c r="Z11" s="63"/>
      <c r="AA11" s="130" t="str">
        <f t="shared" si="12"/>
        <v/>
      </c>
      <c r="AB11" s="63"/>
      <c r="AC11" s="130" t="str">
        <f t="shared" si="13"/>
        <v/>
      </c>
      <c r="AD11" s="63"/>
      <c r="AE11" s="130" t="str">
        <f t="shared" si="2"/>
        <v/>
      </c>
      <c r="AF11" s="125" t="str">
        <f t="shared" si="14"/>
        <v/>
      </c>
      <c r="AG11" s="56">
        <v>4</v>
      </c>
      <c r="AH11" s="63"/>
      <c r="AI11" s="130" t="str">
        <f t="shared" si="15"/>
        <v/>
      </c>
      <c r="AJ11" s="63"/>
      <c r="AK11" s="130" t="str">
        <f t="shared" si="16"/>
        <v/>
      </c>
      <c r="AL11" s="63"/>
      <c r="AM11" s="130" t="str">
        <f t="shared" si="17"/>
        <v/>
      </c>
      <c r="AN11" s="63"/>
      <c r="AO11" s="130" t="str">
        <f t="shared" si="3"/>
        <v/>
      </c>
      <c r="AP11" s="125" t="str">
        <f t="shared" si="18"/>
        <v/>
      </c>
      <c r="AQ11" s="56">
        <v>4</v>
      </c>
      <c r="AR11" s="63"/>
      <c r="AS11" s="130" t="str">
        <f t="shared" si="19"/>
        <v/>
      </c>
      <c r="AT11" s="63"/>
      <c r="AU11" s="130" t="str">
        <f t="shared" si="20"/>
        <v/>
      </c>
      <c r="AV11" s="63"/>
      <c r="AW11" s="130" t="str">
        <f t="shared" si="21"/>
        <v/>
      </c>
      <c r="AX11" s="63"/>
      <c r="AY11" s="130" t="str">
        <f t="shared" si="4"/>
        <v/>
      </c>
      <c r="AZ11" s="125" t="str">
        <f t="shared" si="22"/>
        <v/>
      </c>
      <c r="BA11" s="56">
        <v>4</v>
      </c>
      <c r="BB11" s="63"/>
      <c r="BC11" s="62"/>
      <c r="BD11" s="61"/>
      <c r="BE11" s="61"/>
      <c r="BF11" s="61"/>
      <c r="BG11" s="61"/>
      <c r="BH11" s="64"/>
      <c r="BI11" s="64"/>
      <c r="BJ11" s="64"/>
      <c r="BK11" s="64"/>
      <c r="BL11" s="64"/>
      <c r="BM11" s="64"/>
      <c r="BN11" s="65" t="str">
        <f t="shared" si="23"/>
        <v/>
      </c>
      <c r="BO11" s="56">
        <v>4</v>
      </c>
      <c r="BP11" s="64"/>
      <c r="BQ11" s="62"/>
      <c r="BR11" s="61"/>
      <c r="BS11" s="61"/>
      <c r="BT11" s="61"/>
      <c r="BU11" s="64"/>
      <c r="BV11" s="63"/>
      <c r="BW11" s="63"/>
      <c r="BX11" s="66"/>
      <c r="BY11" s="172"/>
      <c r="BZ11" s="67" t="str">
        <f t="shared" si="24"/>
        <v/>
      </c>
      <c r="CA11" s="56">
        <v>4</v>
      </c>
      <c r="CB11" s="61"/>
      <c r="CC11" s="61"/>
      <c r="CD11" s="68" t="str">
        <f t="shared" si="25"/>
        <v/>
      </c>
      <c r="CE11" s="69" t="str">
        <f t="shared" si="26"/>
        <v/>
      </c>
      <c r="CF11" s="69" t="str">
        <f t="shared" si="27"/>
        <v/>
      </c>
      <c r="CG11" s="62"/>
      <c r="CH11" s="62"/>
      <c r="CI11" s="65" t="str">
        <f t="shared" si="28"/>
        <v/>
      </c>
      <c r="CJ11" s="56">
        <v>4</v>
      </c>
      <c r="CK11" s="61"/>
      <c r="CL11" s="61"/>
      <c r="CM11" s="68" t="str">
        <f t="shared" si="29"/>
        <v/>
      </c>
      <c r="CN11" s="68" t="str">
        <f t="shared" si="30"/>
        <v/>
      </c>
      <c r="CO11" s="68" t="str">
        <f t="shared" si="31"/>
        <v/>
      </c>
      <c r="CP11" s="62"/>
      <c r="CQ11" s="62"/>
      <c r="CR11" s="65" t="str">
        <f t="shared" si="32"/>
        <v/>
      </c>
      <c r="CS11" s="56">
        <v>4</v>
      </c>
      <c r="CT11" s="61"/>
      <c r="CU11" s="61"/>
      <c r="CV11" s="68" t="str">
        <f t="shared" si="33"/>
        <v/>
      </c>
      <c r="CW11" s="68" t="str">
        <f t="shared" si="34"/>
        <v/>
      </c>
      <c r="CX11" s="69" t="str">
        <f t="shared" si="35"/>
        <v/>
      </c>
      <c r="CY11" s="66"/>
      <c r="CZ11" s="66"/>
      <c r="DA11" s="66"/>
      <c r="DB11" s="65" t="str">
        <f t="shared" si="36"/>
        <v/>
      </c>
      <c r="DC11" s="56">
        <v>4</v>
      </c>
      <c r="DD11" s="61"/>
      <c r="DE11" s="61"/>
      <c r="DF11" s="68" t="str">
        <f t="shared" si="37"/>
        <v/>
      </c>
      <c r="DG11" s="69" t="str">
        <f t="shared" si="38"/>
        <v/>
      </c>
      <c r="DH11" s="68" t="str">
        <f t="shared" si="39"/>
        <v/>
      </c>
      <c r="DI11" s="62"/>
      <c r="DJ11" s="62"/>
      <c r="DK11" s="65" t="str">
        <f t="shared" si="40"/>
        <v/>
      </c>
      <c r="DL11" s="56">
        <v>4</v>
      </c>
      <c r="DM11" s="63"/>
      <c r="DN11" s="64"/>
      <c r="DO11" s="64"/>
      <c r="DP11" s="64"/>
      <c r="DQ11" s="63"/>
      <c r="DR11" s="61"/>
      <c r="DS11" s="64"/>
      <c r="DT11" s="61"/>
      <c r="DU11" s="63"/>
      <c r="DV11" s="64"/>
      <c r="DW11" s="64"/>
      <c r="DX11" s="66"/>
      <c r="DY11" s="65" t="str">
        <f t="shared" si="41"/>
        <v/>
      </c>
      <c r="DZ11" s="128">
        <v>4</v>
      </c>
      <c r="EA11" s="173" t="str">
        <f t="shared" si="42"/>
        <v/>
      </c>
      <c r="EB11" s="173" t="str">
        <f t="shared" si="43"/>
        <v/>
      </c>
      <c r="EC11" s="173" t="str">
        <f t="shared" si="44"/>
        <v/>
      </c>
      <c r="ED11" s="63"/>
      <c r="EE11" s="63"/>
      <c r="EF11" s="63"/>
      <c r="EG11" s="63"/>
      <c r="EH11" s="127" t="str">
        <f t="shared" si="5"/>
        <v/>
      </c>
      <c r="EI11" s="56">
        <v>4</v>
      </c>
      <c r="EJ11" s="334"/>
      <c r="EK11" s="334"/>
      <c r="EL11" s="334"/>
      <c r="EM11" s="334"/>
      <c r="EN11" s="334"/>
      <c r="EO11" s="334"/>
      <c r="EP11" s="334"/>
      <c r="EQ11" s="65" t="str">
        <f t="shared" si="45"/>
        <v/>
      </c>
      <c r="ER11" s="20"/>
      <c r="ES11" s="20"/>
      <c r="ET11" s="20"/>
      <c r="EU11" s="20"/>
      <c r="EV11" s="20"/>
      <c r="EW11" s="20"/>
      <c r="EX11" s="20"/>
    </row>
    <row r="12" spans="1:154" s="3" customFormat="1" ht="17.149999999999999" customHeight="1" x14ac:dyDescent="0.25">
      <c r="A12" s="56">
        <v>5</v>
      </c>
      <c r="B12" s="57"/>
      <c r="C12" s="58" t="str">
        <f t="shared" si="6"/>
        <v/>
      </c>
      <c r="D12" s="167"/>
      <c r="E12" s="57"/>
      <c r="F12" s="58" t="str">
        <f t="shared" si="7"/>
        <v/>
      </c>
      <c r="G12" s="168"/>
      <c r="H12" s="57"/>
      <c r="I12" s="58" t="str">
        <f t="shared" si="0"/>
        <v/>
      </c>
      <c r="J12" s="60"/>
      <c r="K12" s="56">
        <v>5</v>
      </c>
      <c r="L12" s="57"/>
      <c r="M12" s="58" t="str">
        <f t="shared" si="8"/>
        <v/>
      </c>
      <c r="N12" s="57"/>
      <c r="O12" s="58" t="str">
        <f t="shared" si="9"/>
        <v/>
      </c>
      <c r="P12" s="57"/>
      <c r="Q12" s="169" t="str">
        <f t="shared" si="1"/>
        <v/>
      </c>
      <c r="R12" s="57"/>
      <c r="S12" s="57"/>
      <c r="T12" s="57"/>
      <c r="U12" s="57"/>
      <c r="V12" s="58" t="str">
        <f t="shared" si="10"/>
        <v/>
      </c>
      <c r="W12" s="56">
        <v>5</v>
      </c>
      <c r="X12" s="63"/>
      <c r="Y12" s="130" t="str">
        <f t="shared" si="11"/>
        <v/>
      </c>
      <c r="Z12" s="63"/>
      <c r="AA12" s="130" t="str">
        <f t="shared" si="12"/>
        <v/>
      </c>
      <c r="AB12" s="63"/>
      <c r="AC12" s="130" t="str">
        <f t="shared" si="13"/>
        <v/>
      </c>
      <c r="AD12" s="63"/>
      <c r="AE12" s="130" t="str">
        <f t="shared" si="2"/>
        <v/>
      </c>
      <c r="AF12" s="125" t="str">
        <f t="shared" si="14"/>
        <v/>
      </c>
      <c r="AG12" s="56">
        <v>5</v>
      </c>
      <c r="AH12" s="63"/>
      <c r="AI12" s="130" t="str">
        <f t="shared" si="15"/>
        <v/>
      </c>
      <c r="AJ12" s="63"/>
      <c r="AK12" s="130" t="str">
        <f t="shared" si="16"/>
        <v/>
      </c>
      <c r="AL12" s="63"/>
      <c r="AM12" s="130" t="str">
        <f t="shared" si="17"/>
        <v/>
      </c>
      <c r="AN12" s="63"/>
      <c r="AO12" s="130" t="str">
        <f t="shared" si="3"/>
        <v/>
      </c>
      <c r="AP12" s="125" t="str">
        <f t="shared" si="18"/>
        <v/>
      </c>
      <c r="AQ12" s="56">
        <v>5</v>
      </c>
      <c r="AR12" s="63"/>
      <c r="AS12" s="130" t="str">
        <f t="shared" si="19"/>
        <v/>
      </c>
      <c r="AT12" s="63"/>
      <c r="AU12" s="130" t="str">
        <f t="shared" si="20"/>
        <v/>
      </c>
      <c r="AV12" s="63"/>
      <c r="AW12" s="130" t="str">
        <f t="shared" si="21"/>
        <v/>
      </c>
      <c r="AX12" s="63"/>
      <c r="AY12" s="130" t="str">
        <f t="shared" si="4"/>
        <v/>
      </c>
      <c r="AZ12" s="125" t="str">
        <f t="shared" si="22"/>
        <v/>
      </c>
      <c r="BA12" s="56">
        <v>5</v>
      </c>
      <c r="BB12" s="63"/>
      <c r="BC12" s="62"/>
      <c r="BD12" s="61"/>
      <c r="BE12" s="61"/>
      <c r="BF12" s="61"/>
      <c r="BG12" s="61"/>
      <c r="BH12" s="64"/>
      <c r="BI12" s="64"/>
      <c r="BJ12" s="64"/>
      <c r="BK12" s="64"/>
      <c r="BL12" s="64"/>
      <c r="BM12" s="64"/>
      <c r="BN12" s="65" t="str">
        <f t="shared" si="23"/>
        <v/>
      </c>
      <c r="BO12" s="56">
        <v>5</v>
      </c>
      <c r="BP12" s="64"/>
      <c r="BQ12" s="62"/>
      <c r="BR12" s="61"/>
      <c r="BS12" s="61"/>
      <c r="BT12" s="61"/>
      <c r="BU12" s="64"/>
      <c r="BV12" s="63"/>
      <c r="BW12" s="63"/>
      <c r="BX12" s="66"/>
      <c r="BY12" s="172"/>
      <c r="BZ12" s="67" t="str">
        <f t="shared" si="24"/>
        <v/>
      </c>
      <c r="CA12" s="56">
        <v>5</v>
      </c>
      <c r="CB12" s="61"/>
      <c r="CC12" s="61"/>
      <c r="CD12" s="68" t="str">
        <f t="shared" si="25"/>
        <v/>
      </c>
      <c r="CE12" s="69" t="str">
        <f t="shared" si="26"/>
        <v/>
      </c>
      <c r="CF12" s="69" t="str">
        <f t="shared" si="27"/>
        <v/>
      </c>
      <c r="CG12" s="62"/>
      <c r="CH12" s="62"/>
      <c r="CI12" s="65" t="str">
        <f t="shared" si="28"/>
        <v/>
      </c>
      <c r="CJ12" s="56">
        <v>5</v>
      </c>
      <c r="CK12" s="61"/>
      <c r="CL12" s="61"/>
      <c r="CM12" s="68" t="str">
        <f t="shared" si="29"/>
        <v/>
      </c>
      <c r="CN12" s="68" t="str">
        <f t="shared" si="30"/>
        <v/>
      </c>
      <c r="CO12" s="68" t="str">
        <f t="shared" si="31"/>
        <v/>
      </c>
      <c r="CP12" s="62"/>
      <c r="CQ12" s="62"/>
      <c r="CR12" s="65" t="str">
        <f t="shared" si="32"/>
        <v/>
      </c>
      <c r="CS12" s="56">
        <v>5</v>
      </c>
      <c r="CT12" s="61"/>
      <c r="CU12" s="61"/>
      <c r="CV12" s="68" t="str">
        <f t="shared" si="33"/>
        <v/>
      </c>
      <c r="CW12" s="68" t="str">
        <f t="shared" si="34"/>
        <v/>
      </c>
      <c r="CX12" s="69" t="str">
        <f t="shared" si="35"/>
        <v/>
      </c>
      <c r="CY12" s="66"/>
      <c r="CZ12" s="66"/>
      <c r="DA12" s="66"/>
      <c r="DB12" s="65" t="str">
        <f t="shared" si="36"/>
        <v/>
      </c>
      <c r="DC12" s="56">
        <v>5</v>
      </c>
      <c r="DD12" s="61"/>
      <c r="DE12" s="61"/>
      <c r="DF12" s="68" t="str">
        <f t="shared" si="37"/>
        <v/>
      </c>
      <c r="DG12" s="69" t="str">
        <f t="shared" si="38"/>
        <v/>
      </c>
      <c r="DH12" s="68" t="str">
        <f t="shared" si="39"/>
        <v/>
      </c>
      <c r="DI12" s="62"/>
      <c r="DJ12" s="62"/>
      <c r="DK12" s="65" t="str">
        <f t="shared" si="40"/>
        <v/>
      </c>
      <c r="DL12" s="56">
        <v>5</v>
      </c>
      <c r="DM12" s="63"/>
      <c r="DN12" s="64"/>
      <c r="DO12" s="64"/>
      <c r="DP12" s="64"/>
      <c r="DQ12" s="63"/>
      <c r="DR12" s="61"/>
      <c r="DS12" s="64"/>
      <c r="DT12" s="61"/>
      <c r="DU12" s="63"/>
      <c r="DV12" s="64"/>
      <c r="DW12" s="64"/>
      <c r="DX12" s="66"/>
      <c r="DY12" s="65" t="str">
        <f t="shared" si="41"/>
        <v/>
      </c>
      <c r="DZ12" s="128">
        <v>5</v>
      </c>
      <c r="EA12" s="173" t="str">
        <f t="shared" si="42"/>
        <v/>
      </c>
      <c r="EB12" s="173" t="str">
        <f t="shared" si="43"/>
        <v/>
      </c>
      <c r="EC12" s="173" t="str">
        <f t="shared" si="44"/>
        <v/>
      </c>
      <c r="ED12" s="63"/>
      <c r="EE12" s="63"/>
      <c r="EF12" s="63"/>
      <c r="EG12" s="63"/>
      <c r="EH12" s="127" t="str">
        <f t="shared" si="5"/>
        <v/>
      </c>
      <c r="EI12" s="56">
        <v>5</v>
      </c>
      <c r="EJ12" s="334"/>
      <c r="EK12" s="334"/>
      <c r="EL12" s="334"/>
      <c r="EM12" s="334"/>
      <c r="EN12" s="334"/>
      <c r="EO12" s="334"/>
      <c r="EP12" s="334"/>
      <c r="EQ12" s="65" t="str">
        <f t="shared" si="45"/>
        <v/>
      </c>
      <c r="ER12" s="20"/>
      <c r="ES12" s="20"/>
      <c r="ET12" s="20"/>
      <c r="EU12" s="20"/>
      <c r="EV12" s="20"/>
      <c r="EW12" s="20"/>
      <c r="EX12" s="20"/>
    </row>
    <row r="13" spans="1:154" s="3" customFormat="1" ht="17.149999999999999" customHeight="1" x14ac:dyDescent="0.25">
      <c r="A13" s="56">
        <v>6</v>
      </c>
      <c r="B13" s="57"/>
      <c r="C13" s="58" t="str">
        <f t="shared" si="6"/>
        <v/>
      </c>
      <c r="D13" s="167"/>
      <c r="E13" s="57"/>
      <c r="F13" s="58" t="str">
        <f t="shared" si="7"/>
        <v/>
      </c>
      <c r="G13" s="168"/>
      <c r="H13" s="57"/>
      <c r="I13" s="58" t="str">
        <f t="shared" si="0"/>
        <v/>
      </c>
      <c r="J13" s="60"/>
      <c r="K13" s="56">
        <v>6</v>
      </c>
      <c r="L13" s="57"/>
      <c r="M13" s="58" t="str">
        <f t="shared" si="8"/>
        <v/>
      </c>
      <c r="N13" s="57"/>
      <c r="O13" s="58" t="str">
        <f t="shared" si="9"/>
        <v/>
      </c>
      <c r="P13" s="57"/>
      <c r="Q13" s="169" t="str">
        <f t="shared" si="1"/>
        <v/>
      </c>
      <c r="R13" s="57"/>
      <c r="S13" s="57"/>
      <c r="T13" s="57"/>
      <c r="U13" s="57"/>
      <c r="V13" s="58" t="str">
        <f t="shared" si="10"/>
        <v/>
      </c>
      <c r="W13" s="56">
        <v>6</v>
      </c>
      <c r="X13" s="63"/>
      <c r="Y13" s="130" t="str">
        <f t="shared" si="11"/>
        <v/>
      </c>
      <c r="Z13" s="63"/>
      <c r="AA13" s="130" t="str">
        <f t="shared" si="12"/>
        <v/>
      </c>
      <c r="AB13" s="63"/>
      <c r="AC13" s="130" t="str">
        <f t="shared" si="13"/>
        <v/>
      </c>
      <c r="AD13" s="63"/>
      <c r="AE13" s="130" t="str">
        <f t="shared" si="2"/>
        <v/>
      </c>
      <c r="AF13" s="125" t="str">
        <f t="shared" si="14"/>
        <v/>
      </c>
      <c r="AG13" s="56">
        <v>6</v>
      </c>
      <c r="AH13" s="63"/>
      <c r="AI13" s="130" t="str">
        <f t="shared" si="15"/>
        <v/>
      </c>
      <c r="AJ13" s="63"/>
      <c r="AK13" s="130" t="str">
        <f t="shared" si="16"/>
        <v/>
      </c>
      <c r="AL13" s="63"/>
      <c r="AM13" s="130" t="str">
        <f t="shared" si="17"/>
        <v/>
      </c>
      <c r="AN13" s="63"/>
      <c r="AO13" s="130" t="str">
        <f t="shared" si="3"/>
        <v/>
      </c>
      <c r="AP13" s="125" t="str">
        <f t="shared" si="18"/>
        <v/>
      </c>
      <c r="AQ13" s="56">
        <v>6</v>
      </c>
      <c r="AR13" s="63"/>
      <c r="AS13" s="130" t="str">
        <f t="shared" si="19"/>
        <v/>
      </c>
      <c r="AT13" s="63"/>
      <c r="AU13" s="130" t="str">
        <f t="shared" si="20"/>
        <v/>
      </c>
      <c r="AV13" s="63"/>
      <c r="AW13" s="130" t="str">
        <f t="shared" si="21"/>
        <v/>
      </c>
      <c r="AX13" s="63"/>
      <c r="AY13" s="130" t="str">
        <f t="shared" si="4"/>
        <v/>
      </c>
      <c r="AZ13" s="125" t="str">
        <f t="shared" si="22"/>
        <v/>
      </c>
      <c r="BA13" s="56">
        <v>6</v>
      </c>
      <c r="BB13" s="63"/>
      <c r="BC13" s="62"/>
      <c r="BD13" s="61"/>
      <c r="BE13" s="61"/>
      <c r="BF13" s="61"/>
      <c r="BG13" s="61"/>
      <c r="BH13" s="64"/>
      <c r="BI13" s="64"/>
      <c r="BJ13" s="64"/>
      <c r="BK13" s="64"/>
      <c r="BL13" s="64"/>
      <c r="BM13" s="64"/>
      <c r="BN13" s="65" t="str">
        <f t="shared" si="23"/>
        <v/>
      </c>
      <c r="BO13" s="56">
        <v>6</v>
      </c>
      <c r="BP13" s="64"/>
      <c r="BQ13" s="62"/>
      <c r="BR13" s="61"/>
      <c r="BS13" s="61"/>
      <c r="BT13" s="61"/>
      <c r="BU13" s="64"/>
      <c r="BV13" s="63"/>
      <c r="BW13" s="63"/>
      <c r="BX13" s="66"/>
      <c r="BY13" s="172"/>
      <c r="BZ13" s="67" t="str">
        <f t="shared" si="24"/>
        <v/>
      </c>
      <c r="CA13" s="56">
        <v>6</v>
      </c>
      <c r="CB13" s="61"/>
      <c r="CC13" s="61"/>
      <c r="CD13" s="68" t="str">
        <f t="shared" si="25"/>
        <v/>
      </c>
      <c r="CE13" s="69" t="str">
        <f t="shared" si="26"/>
        <v/>
      </c>
      <c r="CF13" s="69" t="str">
        <f t="shared" si="27"/>
        <v/>
      </c>
      <c r="CG13" s="62"/>
      <c r="CH13" s="62"/>
      <c r="CI13" s="65" t="str">
        <f t="shared" si="28"/>
        <v/>
      </c>
      <c r="CJ13" s="56">
        <v>6</v>
      </c>
      <c r="CK13" s="61"/>
      <c r="CL13" s="61"/>
      <c r="CM13" s="68" t="str">
        <f t="shared" si="29"/>
        <v/>
      </c>
      <c r="CN13" s="68" t="str">
        <f t="shared" si="30"/>
        <v/>
      </c>
      <c r="CO13" s="68" t="str">
        <f t="shared" si="31"/>
        <v/>
      </c>
      <c r="CP13" s="62"/>
      <c r="CQ13" s="62"/>
      <c r="CR13" s="65" t="str">
        <f t="shared" si="32"/>
        <v/>
      </c>
      <c r="CS13" s="56">
        <v>6</v>
      </c>
      <c r="CT13" s="61"/>
      <c r="CU13" s="61"/>
      <c r="CV13" s="68" t="str">
        <f t="shared" si="33"/>
        <v/>
      </c>
      <c r="CW13" s="68" t="str">
        <f t="shared" si="34"/>
        <v/>
      </c>
      <c r="CX13" s="69" t="str">
        <f t="shared" si="35"/>
        <v/>
      </c>
      <c r="CY13" s="66"/>
      <c r="CZ13" s="66"/>
      <c r="DA13" s="66"/>
      <c r="DB13" s="65" t="str">
        <f t="shared" si="36"/>
        <v/>
      </c>
      <c r="DC13" s="56">
        <v>6</v>
      </c>
      <c r="DD13" s="61"/>
      <c r="DE13" s="61"/>
      <c r="DF13" s="68" t="str">
        <f t="shared" si="37"/>
        <v/>
      </c>
      <c r="DG13" s="69" t="str">
        <f t="shared" si="38"/>
        <v/>
      </c>
      <c r="DH13" s="68" t="str">
        <f t="shared" si="39"/>
        <v/>
      </c>
      <c r="DI13" s="62"/>
      <c r="DJ13" s="62"/>
      <c r="DK13" s="65" t="str">
        <f t="shared" si="40"/>
        <v/>
      </c>
      <c r="DL13" s="56">
        <v>6</v>
      </c>
      <c r="DM13" s="63"/>
      <c r="DN13" s="64"/>
      <c r="DO13" s="64"/>
      <c r="DP13" s="64"/>
      <c r="DQ13" s="63"/>
      <c r="DR13" s="61"/>
      <c r="DS13" s="64"/>
      <c r="DT13" s="61"/>
      <c r="DU13" s="63"/>
      <c r="DV13" s="64"/>
      <c r="DW13" s="64"/>
      <c r="DX13" s="66"/>
      <c r="DY13" s="65" t="str">
        <f t="shared" si="41"/>
        <v/>
      </c>
      <c r="DZ13" s="128">
        <v>6</v>
      </c>
      <c r="EA13" s="173" t="str">
        <f t="shared" si="42"/>
        <v/>
      </c>
      <c r="EB13" s="173" t="str">
        <f t="shared" si="43"/>
        <v/>
      </c>
      <c r="EC13" s="173" t="str">
        <f t="shared" si="44"/>
        <v/>
      </c>
      <c r="ED13" s="63"/>
      <c r="EE13" s="63"/>
      <c r="EF13" s="63"/>
      <c r="EG13" s="63"/>
      <c r="EH13" s="127" t="str">
        <f t="shared" si="5"/>
        <v/>
      </c>
      <c r="EI13" s="56">
        <v>6</v>
      </c>
      <c r="EJ13" s="334"/>
      <c r="EK13" s="334"/>
      <c r="EL13" s="334"/>
      <c r="EM13" s="334"/>
      <c r="EN13" s="334"/>
      <c r="EO13" s="334"/>
      <c r="EP13" s="334"/>
      <c r="EQ13" s="65" t="str">
        <f t="shared" si="45"/>
        <v/>
      </c>
      <c r="ER13" s="20"/>
      <c r="ES13" s="20"/>
      <c r="ET13" s="20"/>
      <c r="EU13" s="20"/>
      <c r="EV13" s="20"/>
      <c r="EW13" s="20"/>
      <c r="EX13" s="20"/>
    </row>
    <row r="14" spans="1:154" s="3" customFormat="1" ht="17.149999999999999" customHeight="1" x14ac:dyDescent="0.25">
      <c r="A14" s="56">
        <v>7</v>
      </c>
      <c r="B14" s="57"/>
      <c r="C14" s="58" t="str">
        <f t="shared" si="6"/>
        <v/>
      </c>
      <c r="D14" s="167"/>
      <c r="E14" s="57"/>
      <c r="F14" s="58" t="str">
        <f t="shared" si="7"/>
        <v/>
      </c>
      <c r="G14" s="168"/>
      <c r="H14" s="57"/>
      <c r="I14" s="58" t="str">
        <f t="shared" si="0"/>
        <v/>
      </c>
      <c r="J14" s="60"/>
      <c r="K14" s="56">
        <v>7</v>
      </c>
      <c r="L14" s="57"/>
      <c r="M14" s="58" t="str">
        <f t="shared" si="8"/>
        <v/>
      </c>
      <c r="N14" s="57"/>
      <c r="O14" s="58" t="str">
        <f t="shared" si="9"/>
        <v/>
      </c>
      <c r="P14" s="57"/>
      <c r="Q14" s="169" t="str">
        <f t="shared" si="1"/>
        <v/>
      </c>
      <c r="R14" s="57"/>
      <c r="S14" s="57"/>
      <c r="T14" s="57"/>
      <c r="U14" s="57"/>
      <c r="V14" s="58" t="str">
        <f t="shared" si="10"/>
        <v/>
      </c>
      <c r="W14" s="56">
        <v>7</v>
      </c>
      <c r="X14" s="63"/>
      <c r="Y14" s="130" t="str">
        <f t="shared" si="11"/>
        <v/>
      </c>
      <c r="Z14" s="63"/>
      <c r="AA14" s="130" t="str">
        <f t="shared" si="12"/>
        <v/>
      </c>
      <c r="AB14" s="63"/>
      <c r="AC14" s="130" t="str">
        <f t="shared" si="13"/>
        <v/>
      </c>
      <c r="AD14" s="63"/>
      <c r="AE14" s="130" t="str">
        <f t="shared" si="2"/>
        <v/>
      </c>
      <c r="AF14" s="125" t="str">
        <f t="shared" si="14"/>
        <v/>
      </c>
      <c r="AG14" s="56">
        <v>7</v>
      </c>
      <c r="AH14" s="63"/>
      <c r="AI14" s="130" t="str">
        <f t="shared" si="15"/>
        <v/>
      </c>
      <c r="AJ14" s="63"/>
      <c r="AK14" s="130" t="str">
        <f t="shared" si="16"/>
        <v/>
      </c>
      <c r="AL14" s="63"/>
      <c r="AM14" s="130" t="str">
        <f t="shared" si="17"/>
        <v/>
      </c>
      <c r="AN14" s="63"/>
      <c r="AO14" s="130" t="str">
        <f t="shared" si="3"/>
        <v/>
      </c>
      <c r="AP14" s="125" t="str">
        <f t="shared" si="18"/>
        <v/>
      </c>
      <c r="AQ14" s="56">
        <v>7</v>
      </c>
      <c r="AR14" s="63"/>
      <c r="AS14" s="130" t="str">
        <f t="shared" si="19"/>
        <v/>
      </c>
      <c r="AT14" s="63"/>
      <c r="AU14" s="130" t="str">
        <f t="shared" si="20"/>
        <v/>
      </c>
      <c r="AV14" s="63"/>
      <c r="AW14" s="130" t="str">
        <f t="shared" si="21"/>
        <v/>
      </c>
      <c r="AX14" s="63"/>
      <c r="AY14" s="130" t="str">
        <f t="shared" si="4"/>
        <v/>
      </c>
      <c r="AZ14" s="125" t="str">
        <f t="shared" si="22"/>
        <v/>
      </c>
      <c r="BA14" s="56">
        <v>7</v>
      </c>
      <c r="BB14" s="63"/>
      <c r="BC14" s="62"/>
      <c r="BD14" s="61"/>
      <c r="BE14" s="61"/>
      <c r="BF14" s="61"/>
      <c r="BG14" s="61"/>
      <c r="BH14" s="64"/>
      <c r="BI14" s="64"/>
      <c r="BJ14" s="64"/>
      <c r="BK14" s="64"/>
      <c r="BL14" s="64"/>
      <c r="BM14" s="64"/>
      <c r="BN14" s="65" t="str">
        <f t="shared" si="23"/>
        <v/>
      </c>
      <c r="BO14" s="56">
        <v>7</v>
      </c>
      <c r="BP14" s="64"/>
      <c r="BQ14" s="62"/>
      <c r="BR14" s="61"/>
      <c r="BS14" s="61"/>
      <c r="BT14" s="61"/>
      <c r="BU14" s="64"/>
      <c r="BV14" s="63"/>
      <c r="BW14" s="63"/>
      <c r="BX14" s="66"/>
      <c r="BY14" s="172"/>
      <c r="BZ14" s="67" t="str">
        <f t="shared" si="24"/>
        <v/>
      </c>
      <c r="CA14" s="56">
        <v>7</v>
      </c>
      <c r="CB14" s="61"/>
      <c r="CC14" s="61"/>
      <c r="CD14" s="68" t="str">
        <f t="shared" si="25"/>
        <v/>
      </c>
      <c r="CE14" s="69" t="str">
        <f t="shared" si="26"/>
        <v/>
      </c>
      <c r="CF14" s="69" t="str">
        <f t="shared" si="27"/>
        <v/>
      </c>
      <c r="CG14" s="62"/>
      <c r="CH14" s="62"/>
      <c r="CI14" s="65" t="str">
        <f t="shared" si="28"/>
        <v/>
      </c>
      <c r="CJ14" s="56">
        <v>7</v>
      </c>
      <c r="CK14" s="61"/>
      <c r="CL14" s="61"/>
      <c r="CM14" s="68" t="str">
        <f t="shared" si="29"/>
        <v/>
      </c>
      <c r="CN14" s="68" t="str">
        <f t="shared" si="30"/>
        <v/>
      </c>
      <c r="CO14" s="68" t="str">
        <f t="shared" si="31"/>
        <v/>
      </c>
      <c r="CP14" s="62"/>
      <c r="CQ14" s="62"/>
      <c r="CR14" s="65" t="str">
        <f t="shared" si="32"/>
        <v/>
      </c>
      <c r="CS14" s="56">
        <v>7</v>
      </c>
      <c r="CT14" s="61"/>
      <c r="CU14" s="61"/>
      <c r="CV14" s="68" t="str">
        <f t="shared" si="33"/>
        <v/>
      </c>
      <c r="CW14" s="68" t="str">
        <f t="shared" si="34"/>
        <v/>
      </c>
      <c r="CX14" s="69" t="str">
        <f t="shared" si="35"/>
        <v/>
      </c>
      <c r="CY14" s="66"/>
      <c r="CZ14" s="66"/>
      <c r="DA14" s="66"/>
      <c r="DB14" s="65" t="str">
        <f t="shared" si="36"/>
        <v/>
      </c>
      <c r="DC14" s="56">
        <v>7</v>
      </c>
      <c r="DD14" s="61"/>
      <c r="DE14" s="61"/>
      <c r="DF14" s="68" t="str">
        <f t="shared" si="37"/>
        <v/>
      </c>
      <c r="DG14" s="69" t="str">
        <f t="shared" si="38"/>
        <v/>
      </c>
      <c r="DH14" s="68" t="str">
        <f t="shared" si="39"/>
        <v/>
      </c>
      <c r="DI14" s="62"/>
      <c r="DJ14" s="62"/>
      <c r="DK14" s="65" t="str">
        <f t="shared" si="40"/>
        <v/>
      </c>
      <c r="DL14" s="56">
        <v>7</v>
      </c>
      <c r="DM14" s="63"/>
      <c r="DN14" s="64"/>
      <c r="DO14" s="64"/>
      <c r="DP14" s="64"/>
      <c r="DQ14" s="63"/>
      <c r="DR14" s="61"/>
      <c r="DS14" s="64"/>
      <c r="DT14" s="61"/>
      <c r="DU14" s="63"/>
      <c r="DV14" s="64"/>
      <c r="DW14" s="64"/>
      <c r="DX14" s="66"/>
      <c r="DY14" s="65" t="str">
        <f t="shared" si="41"/>
        <v/>
      </c>
      <c r="DZ14" s="128">
        <v>7</v>
      </c>
      <c r="EA14" s="173" t="str">
        <f t="shared" si="42"/>
        <v/>
      </c>
      <c r="EB14" s="173" t="str">
        <f t="shared" si="43"/>
        <v/>
      </c>
      <c r="EC14" s="173" t="str">
        <f t="shared" si="44"/>
        <v/>
      </c>
      <c r="ED14" s="63"/>
      <c r="EE14" s="63"/>
      <c r="EF14" s="63"/>
      <c r="EG14" s="63"/>
      <c r="EH14" s="127" t="str">
        <f t="shared" si="5"/>
        <v/>
      </c>
      <c r="EI14" s="56">
        <v>7</v>
      </c>
      <c r="EJ14" s="334"/>
      <c r="EK14" s="334"/>
      <c r="EL14" s="334"/>
      <c r="EM14" s="334"/>
      <c r="EN14" s="334"/>
      <c r="EO14" s="334"/>
      <c r="EP14" s="334"/>
      <c r="EQ14" s="65" t="str">
        <f t="shared" si="45"/>
        <v/>
      </c>
      <c r="ER14" s="20"/>
      <c r="ES14" s="20"/>
      <c r="ET14" s="20"/>
      <c r="EU14" s="20"/>
      <c r="EV14" s="20"/>
      <c r="EW14" s="20"/>
      <c r="EX14" s="20"/>
    </row>
    <row r="15" spans="1:154" s="3" customFormat="1" ht="17.149999999999999" customHeight="1" x14ac:dyDescent="0.25">
      <c r="A15" s="56">
        <v>8</v>
      </c>
      <c r="B15" s="57"/>
      <c r="C15" s="58" t="str">
        <f t="shared" si="6"/>
        <v/>
      </c>
      <c r="D15" s="167"/>
      <c r="E15" s="57"/>
      <c r="F15" s="58" t="str">
        <f t="shared" si="7"/>
        <v/>
      </c>
      <c r="G15" s="168"/>
      <c r="H15" s="57"/>
      <c r="I15" s="58" t="str">
        <f t="shared" si="0"/>
        <v/>
      </c>
      <c r="J15" s="60"/>
      <c r="K15" s="56">
        <v>8</v>
      </c>
      <c r="L15" s="57"/>
      <c r="M15" s="58" t="str">
        <f t="shared" si="8"/>
        <v/>
      </c>
      <c r="N15" s="57"/>
      <c r="O15" s="58" t="str">
        <f t="shared" si="9"/>
        <v/>
      </c>
      <c r="P15" s="57"/>
      <c r="Q15" s="169" t="str">
        <f t="shared" si="1"/>
        <v/>
      </c>
      <c r="R15" s="57"/>
      <c r="S15" s="57"/>
      <c r="T15" s="57"/>
      <c r="U15" s="57"/>
      <c r="V15" s="58" t="str">
        <f t="shared" si="10"/>
        <v/>
      </c>
      <c r="W15" s="56">
        <v>8</v>
      </c>
      <c r="X15" s="63"/>
      <c r="Y15" s="130" t="str">
        <f t="shared" si="11"/>
        <v/>
      </c>
      <c r="Z15" s="63"/>
      <c r="AA15" s="130" t="str">
        <f t="shared" si="12"/>
        <v/>
      </c>
      <c r="AB15" s="63"/>
      <c r="AC15" s="130" t="str">
        <f t="shared" si="13"/>
        <v/>
      </c>
      <c r="AD15" s="63"/>
      <c r="AE15" s="130" t="str">
        <f t="shared" si="2"/>
        <v/>
      </c>
      <c r="AF15" s="125" t="str">
        <f t="shared" si="14"/>
        <v/>
      </c>
      <c r="AG15" s="56">
        <v>8</v>
      </c>
      <c r="AH15" s="63"/>
      <c r="AI15" s="130" t="str">
        <f t="shared" si="15"/>
        <v/>
      </c>
      <c r="AJ15" s="63"/>
      <c r="AK15" s="130" t="str">
        <f t="shared" si="16"/>
        <v/>
      </c>
      <c r="AL15" s="63"/>
      <c r="AM15" s="130" t="str">
        <f t="shared" si="17"/>
        <v/>
      </c>
      <c r="AN15" s="63"/>
      <c r="AO15" s="130" t="str">
        <f t="shared" si="3"/>
        <v/>
      </c>
      <c r="AP15" s="125" t="str">
        <f t="shared" si="18"/>
        <v/>
      </c>
      <c r="AQ15" s="56">
        <v>8</v>
      </c>
      <c r="AR15" s="63"/>
      <c r="AS15" s="130" t="str">
        <f t="shared" si="19"/>
        <v/>
      </c>
      <c r="AT15" s="63"/>
      <c r="AU15" s="130" t="str">
        <f t="shared" si="20"/>
        <v/>
      </c>
      <c r="AV15" s="63"/>
      <c r="AW15" s="130" t="str">
        <f t="shared" si="21"/>
        <v/>
      </c>
      <c r="AX15" s="63"/>
      <c r="AY15" s="130" t="str">
        <f t="shared" si="4"/>
        <v/>
      </c>
      <c r="AZ15" s="125" t="str">
        <f t="shared" si="22"/>
        <v/>
      </c>
      <c r="BA15" s="56">
        <v>8</v>
      </c>
      <c r="BB15" s="63"/>
      <c r="BC15" s="62"/>
      <c r="BD15" s="61"/>
      <c r="BE15" s="61"/>
      <c r="BF15" s="61"/>
      <c r="BG15" s="61"/>
      <c r="BH15" s="64"/>
      <c r="BI15" s="64"/>
      <c r="BJ15" s="64"/>
      <c r="BK15" s="64"/>
      <c r="BL15" s="64"/>
      <c r="BM15" s="64"/>
      <c r="BN15" s="65" t="str">
        <f t="shared" si="23"/>
        <v/>
      </c>
      <c r="BO15" s="56">
        <v>8</v>
      </c>
      <c r="BP15" s="64"/>
      <c r="BQ15" s="62"/>
      <c r="BR15" s="61"/>
      <c r="BS15" s="61"/>
      <c r="BT15" s="61"/>
      <c r="BU15" s="64"/>
      <c r="BV15" s="63"/>
      <c r="BW15" s="63"/>
      <c r="BX15" s="66"/>
      <c r="BY15" s="172"/>
      <c r="BZ15" s="67" t="str">
        <f t="shared" si="24"/>
        <v/>
      </c>
      <c r="CA15" s="56">
        <v>8</v>
      </c>
      <c r="CB15" s="61"/>
      <c r="CC15" s="61"/>
      <c r="CD15" s="68" t="str">
        <f t="shared" si="25"/>
        <v/>
      </c>
      <c r="CE15" s="69" t="str">
        <f t="shared" si="26"/>
        <v/>
      </c>
      <c r="CF15" s="69" t="str">
        <f t="shared" si="27"/>
        <v/>
      </c>
      <c r="CG15" s="62"/>
      <c r="CH15" s="62"/>
      <c r="CI15" s="65" t="str">
        <f t="shared" si="28"/>
        <v/>
      </c>
      <c r="CJ15" s="56">
        <v>8</v>
      </c>
      <c r="CK15" s="61"/>
      <c r="CL15" s="61"/>
      <c r="CM15" s="68" t="str">
        <f t="shared" si="29"/>
        <v/>
      </c>
      <c r="CN15" s="68" t="str">
        <f t="shared" si="30"/>
        <v/>
      </c>
      <c r="CO15" s="68" t="str">
        <f t="shared" si="31"/>
        <v/>
      </c>
      <c r="CP15" s="62"/>
      <c r="CQ15" s="62"/>
      <c r="CR15" s="65" t="str">
        <f t="shared" si="32"/>
        <v/>
      </c>
      <c r="CS15" s="56">
        <v>8</v>
      </c>
      <c r="CT15" s="61"/>
      <c r="CU15" s="61"/>
      <c r="CV15" s="68" t="str">
        <f t="shared" si="33"/>
        <v/>
      </c>
      <c r="CW15" s="68" t="str">
        <f t="shared" si="34"/>
        <v/>
      </c>
      <c r="CX15" s="69" t="str">
        <f t="shared" si="35"/>
        <v/>
      </c>
      <c r="CY15" s="66"/>
      <c r="CZ15" s="66"/>
      <c r="DA15" s="66"/>
      <c r="DB15" s="65" t="str">
        <f t="shared" si="36"/>
        <v/>
      </c>
      <c r="DC15" s="56">
        <v>8</v>
      </c>
      <c r="DD15" s="61"/>
      <c r="DE15" s="61"/>
      <c r="DF15" s="68" t="str">
        <f t="shared" si="37"/>
        <v/>
      </c>
      <c r="DG15" s="69" t="str">
        <f t="shared" si="38"/>
        <v/>
      </c>
      <c r="DH15" s="68" t="str">
        <f t="shared" si="39"/>
        <v/>
      </c>
      <c r="DI15" s="62"/>
      <c r="DJ15" s="62"/>
      <c r="DK15" s="65" t="str">
        <f t="shared" si="40"/>
        <v/>
      </c>
      <c r="DL15" s="56">
        <v>8</v>
      </c>
      <c r="DM15" s="63"/>
      <c r="DN15" s="64"/>
      <c r="DO15" s="64"/>
      <c r="DP15" s="64"/>
      <c r="DQ15" s="63"/>
      <c r="DR15" s="61"/>
      <c r="DS15" s="64"/>
      <c r="DT15" s="61"/>
      <c r="DU15" s="63"/>
      <c r="DV15" s="64"/>
      <c r="DW15" s="64"/>
      <c r="DX15" s="66"/>
      <c r="DY15" s="65" t="str">
        <f t="shared" si="41"/>
        <v/>
      </c>
      <c r="DZ15" s="128">
        <v>8</v>
      </c>
      <c r="EA15" s="173" t="str">
        <f t="shared" si="42"/>
        <v/>
      </c>
      <c r="EB15" s="173" t="str">
        <f t="shared" si="43"/>
        <v/>
      </c>
      <c r="EC15" s="173" t="str">
        <f t="shared" si="44"/>
        <v/>
      </c>
      <c r="ED15" s="63"/>
      <c r="EE15" s="63"/>
      <c r="EF15" s="63"/>
      <c r="EG15" s="63"/>
      <c r="EH15" s="127" t="str">
        <f t="shared" si="5"/>
        <v/>
      </c>
      <c r="EI15" s="56">
        <v>8</v>
      </c>
      <c r="EJ15" s="334"/>
      <c r="EK15" s="334"/>
      <c r="EL15" s="334"/>
      <c r="EM15" s="334"/>
      <c r="EN15" s="334"/>
      <c r="EO15" s="334"/>
      <c r="EP15" s="334"/>
      <c r="EQ15" s="65" t="str">
        <f t="shared" si="45"/>
        <v/>
      </c>
      <c r="ER15" s="20"/>
      <c r="ES15" s="20"/>
      <c r="ET15" s="20"/>
      <c r="EU15" s="20"/>
      <c r="EV15" s="20"/>
      <c r="EW15" s="20"/>
      <c r="EX15" s="20"/>
    </row>
    <row r="16" spans="1:154" s="3" customFormat="1" ht="17.149999999999999" customHeight="1" x14ac:dyDescent="0.25">
      <c r="A16" s="56">
        <v>9</v>
      </c>
      <c r="B16" s="57"/>
      <c r="C16" s="58" t="str">
        <f t="shared" si="6"/>
        <v/>
      </c>
      <c r="D16" s="167"/>
      <c r="E16" s="57"/>
      <c r="F16" s="58" t="str">
        <f t="shared" si="7"/>
        <v/>
      </c>
      <c r="G16" s="168"/>
      <c r="H16" s="57"/>
      <c r="I16" s="58" t="str">
        <f t="shared" si="0"/>
        <v/>
      </c>
      <c r="J16" s="60"/>
      <c r="K16" s="56">
        <v>9</v>
      </c>
      <c r="L16" s="57"/>
      <c r="M16" s="58" t="str">
        <f t="shared" si="8"/>
        <v/>
      </c>
      <c r="N16" s="57"/>
      <c r="O16" s="58" t="str">
        <f t="shared" si="9"/>
        <v/>
      </c>
      <c r="P16" s="57"/>
      <c r="Q16" s="169" t="str">
        <f t="shared" si="1"/>
        <v/>
      </c>
      <c r="R16" s="57"/>
      <c r="S16" s="57"/>
      <c r="T16" s="57"/>
      <c r="U16" s="57"/>
      <c r="V16" s="58" t="str">
        <f t="shared" si="10"/>
        <v/>
      </c>
      <c r="W16" s="56">
        <v>9</v>
      </c>
      <c r="X16" s="63"/>
      <c r="Y16" s="130" t="str">
        <f t="shared" si="11"/>
        <v/>
      </c>
      <c r="Z16" s="63"/>
      <c r="AA16" s="130" t="str">
        <f t="shared" si="12"/>
        <v/>
      </c>
      <c r="AB16" s="63"/>
      <c r="AC16" s="130" t="str">
        <f t="shared" si="13"/>
        <v/>
      </c>
      <c r="AD16" s="63"/>
      <c r="AE16" s="130" t="str">
        <f t="shared" si="2"/>
        <v/>
      </c>
      <c r="AF16" s="125" t="str">
        <f t="shared" si="14"/>
        <v/>
      </c>
      <c r="AG16" s="56">
        <v>9</v>
      </c>
      <c r="AH16" s="63"/>
      <c r="AI16" s="130" t="str">
        <f t="shared" si="15"/>
        <v/>
      </c>
      <c r="AJ16" s="63"/>
      <c r="AK16" s="130" t="str">
        <f t="shared" si="16"/>
        <v/>
      </c>
      <c r="AL16" s="63"/>
      <c r="AM16" s="130" t="str">
        <f t="shared" si="17"/>
        <v/>
      </c>
      <c r="AN16" s="63"/>
      <c r="AO16" s="130" t="str">
        <f t="shared" si="3"/>
        <v/>
      </c>
      <c r="AP16" s="125" t="str">
        <f t="shared" si="18"/>
        <v/>
      </c>
      <c r="AQ16" s="56">
        <v>9</v>
      </c>
      <c r="AR16" s="63"/>
      <c r="AS16" s="130" t="str">
        <f t="shared" si="19"/>
        <v/>
      </c>
      <c r="AT16" s="63"/>
      <c r="AU16" s="130" t="str">
        <f t="shared" si="20"/>
        <v/>
      </c>
      <c r="AV16" s="63"/>
      <c r="AW16" s="130" t="str">
        <f t="shared" si="21"/>
        <v/>
      </c>
      <c r="AX16" s="63"/>
      <c r="AY16" s="130" t="str">
        <f t="shared" si="4"/>
        <v/>
      </c>
      <c r="AZ16" s="125" t="str">
        <f t="shared" si="22"/>
        <v/>
      </c>
      <c r="BA16" s="56">
        <v>9</v>
      </c>
      <c r="BB16" s="63"/>
      <c r="BC16" s="62"/>
      <c r="BD16" s="61"/>
      <c r="BE16" s="61"/>
      <c r="BF16" s="61"/>
      <c r="BG16" s="61"/>
      <c r="BH16" s="64"/>
      <c r="BI16" s="64"/>
      <c r="BJ16" s="64"/>
      <c r="BK16" s="64"/>
      <c r="BL16" s="64"/>
      <c r="BM16" s="64"/>
      <c r="BN16" s="65" t="str">
        <f t="shared" si="23"/>
        <v/>
      </c>
      <c r="BO16" s="56">
        <v>9</v>
      </c>
      <c r="BP16" s="64"/>
      <c r="BQ16" s="62"/>
      <c r="BR16" s="61"/>
      <c r="BS16" s="61"/>
      <c r="BT16" s="61"/>
      <c r="BU16" s="64"/>
      <c r="BV16" s="63"/>
      <c r="BW16" s="63"/>
      <c r="BX16" s="66"/>
      <c r="BY16" s="172"/>
      <c r="BZ16" s="67" t="str">
        <f t="shared" si="24"/>
        <v/>
      </c>
      <c r="CA16" s="56">
        <v>9</v>
      </c>
      <c r="CB16" s="61"/>
      <c r="CC16" s="61"/>
      <c r="CD16" s="68" t="str">
        <f t="shared" si="25"/>
        <v/>
      </c>
      <c r="CE16" s="69" t="str">
        <f t="shared" si="26"/>
        <v/>
      </c>
      <c r="CF16" s="69" t="str">
        <f t="shared" si="27"/>
        <v/>
      </c>
      <c r="CG16" s="62"/>
      <c r="CH16" s="62"/>
      <c r="CI16" s="65" t="str">
        <f t="shared" si="28"/>
        <v/>
      </c>
      <c r="CJ16" s="56">
        <v>9</v>
      </c>
      <c r="CK16" s="61"/>
      <c r="CL16" s="61"/>
      <c r="CM16" s="68" t="str">
        <f t="shared" si="29"/>
        <v/>
      </c>
      <c r="CN16" s="68" t="str">
        <f t="shared" si="30"/>
        <v/>
      </c>
      <c r="CO16" s="68" t="str">
        <f t="shared" si="31"/>
        <v/>
      </c>
      <c r="CP16" s="62"/>
      <c r="CQ16" s="62"/>
      <c r="CR16" s="65" t="str">
        <f t="shared" si="32"/>
        <v/>
      </c>
      <c r="CS16" s="56">
        <v>9</v>
      </c>
      <c r="CT16" s="61"/>
      <c r="CU16" s="61"/>
      <c r="CV16" s="68" t="str">
        <f t="shared" si="33"/>
        <v/>
      </c>
      <c r="CW16" s="68" t="str">
        <f t="shared" si="34"/>
        <v/>
      </c>
      <c r="CX16" s="69" t="str">
        <f t="shared" si="35"/>
        <v/>
      </c>
      <c r="CY16" s="66"/>
      <c r="CZ16" s="66"/>
      <c r="DA16" s="66"/>
      <c r="DB16" s="65" t="str">
        <f t="shared" si="36"/>
        <v/>
      </c>
      <c r="DC16" s="56">
        <v>9</v>
      </c>
      <c r="DD16" s="61"/>
      <c r="DE16" s="61"/>
      <c r="DF16" s="68" t="str">
        <f t="shared" si="37"/>
        <v/>
      </c>
      <c r="DG16" s="69" t="str">
        <f t="shared" si="38"/>
        <v/>
      </c>
      <c r="DH16" s="68" t="str">
        <f t="shared" si="39"/>
        <v/>
      </c>
      <c r="DI16" s="62"/>
      <c r="DJ16" s="62"/>
      <c r="DK16" s="65" t="str">
        <f t="shared" si="40"/>
        <v/>
      </c>
      <c r="DL16" s="56">
        <v>9</v>
      </c>
      <c r="DM16" s="63"/>
      <c r="DN16" s="64"/>
      <c r="DO16" s="64"/>
      <c r="DP16" s="64"/>
      <c r="DQ16" s="63"/>
      <c r="DR16" s="61"/>
      <c r="DS16" s="64"/>
      <c r="DT16" s="61"/>
      <c r="DU16" s="63"/>
      <c r="DV16" s="64"/>
      <c r="DW16" s="64"/>
      <c r="DX16" s="66"/>
      <c r="DY16" s="65" t="str">
        <f t="shared" si="41"/>
        <v/>
      </c>
      <c r="DZ16" s="128">
        <v>9</v>
      </c>
      <c r="EA16" s="173" t="str">
        <f t="shared" si="42"/>
        <v/>
      </c>
      <c r="EB16" s="173" t="str">
        <f t="shared" si="43"/>
        <v/>
      </c>
      <c r="EC16" s="173" t="str">
        <f t="shared" si="44"/>
        <v/>
      </c>
      <c r="ED16" s="63"/>
      <c r="EE16" s="63"/>
      <c r="EF16" s="63"/>
      <c r="EG16" s="63"/>
      <c r="EH16" s="127" t="str">
        <f t="shared" si="5"/>
        <v/>
      </c>
      <c r="EI16" s="56">
        <v>9</v>
      </c>
      <c r="EJ16" s="334"/>
      <c r="EK16" s="334"/>
      <c r="EL16" s="334"/>
      <c r="EM16" s="334"/>
      <c r="EN16" s="334"/>
      <c r="EO16" s="334"/>
      <c r="EP16" s="334"/>
      <c r="EQ16" s="65" t="str">
        <f t="shared" si="45"/>
        <v/>
      </c>
      <c r="ER16" s="20"/>
      <c r="ES16" s="20"/>
      <c r="ET16" s="20"/>
      <c r="EU16" s="20"/>
      <c r="EV16" s="20"/>
      <c r="EW16" s="20"/>
      <c r="EX16" s="20"/>
    </row>
    <row r="17" spans="1:154" s="3" customFormat="1" ht="17.149999999999999" customHeight="1" x14ac:dyDescent="0.25">
      <c r="A17" s="56">
        <v>10</v>
      </c>
      <c r="B17" s="57"/>
      <c r="C17" s="58" t="str">
        <f t="shared" si="6"/>
        <v/>
      </c>
      <c r="D17" s="167"/>
      <c r="E17" s="57"/>
      <c r="F17" s="58" t="str">
        <f t="shared" si="7"/>
        <v/>
      </c>
      <c r="G17" s="168"/>
      <c r="H17" s="57"/>
      <c r="I17" s="58" t="str">
        <f t="shared" si="0"/>
        <v/>
      </c>
      <c r="J17" s="60"/>
      <c r="K17" s="56">
        <v>10</v>
      </c>
      <c r="L17" s="57"/>
      <c r="M17" s="58" t="str">
        <f t="shared" si="8"/>
        <v/>
      </c>
      <c r="N17" s="57"/>
      <c r="O17" s="58" t="str">
        <f t="shared" si="9"/>
        <v/>
      </c>
      <c r="P17" s="57"/>
      <c r="Q17" s="169" t="str">
        <f t="shared" si="1"/>
        <v/>
      </c>
      <c r="R17" s="57"/>
      <c r="S17" s="57"/>
      <c r="T17" s="57"/>
      <c r="U17" s="57"/>
      <c r="V17" s="58" t="str">
        <f t="shared" si="10"/>
        <v/>
      </c>
      <c r="W17" s="56">
        <v>10</v>
      </c>
      <c r="X17" s="63"/>
      <c r="Y17" s="130" t="str">
        <f t="shared" si="11"/>
        <v/>
      </c>
      <c r="Z17" s="63"/>
      <c r="AA17" s="130" t="str">
        <f t="shared" si="12"/>
        <v/>
      </c>
      <c r="AB17" s="63"/>
      <c r="AC17" s="130" t="str">
        <f t="shared" si="13"/>
        <v/>
      </c>
      <c r="AD17" s="63"/>
      <c r="AE17" s="130" t="str">
        <f t="shared" si="2"/>
        <v/>
      </c>
      <c r="AF17" s="125" t="str">
        <f t="shared" si="14"/>
        <v/>
      </c>
      <c r="AG17" s="56">
        <v>10</v>
      </c>
      <c r="AH17" s="63"/>
      <c r="AI17" s="130" t="str">
        <f t="shared" si="15"/>
        <v/>
      </c>
      <c r="AJ17" s="63"/>
      <c r="AK17" s="130" t="str">
        <f t="shared" si="16"/>
        <v/>
      </c>
      <c r="AL17" s="63"/>
      <c r="AM17" s="130" t="str">
        <f t="shared" si="17"/>
        <v/>
      </c>
      <c r="AN17" s="63"/>
      <c r="AO17" s="130" t="str">
        <f t="shared" si="3"/>
        <v/>
      </c>
      <c r="AP17" s="125" t="str">
        <f t="shared" si="18"/>
        <v/>
      </c>
      <c r="AQ17" s="56">
        <v>10</v>
      </c>
      <c r="AR17" s="63"/>
      <c r="AS17" s="130" t="str">
        <f t="shared" si="19"/>
        <v/>
      </c>
      <c r="AT17" s="63"/>
      <c r="AU17" s="130" t="str">
        <f t="shared" si="20"/>
        <v/>
      </c>
      <c r="AV17" s="63"/>
      <c r="AW17" s="130" t="str">
        <f t="shared" si="21"/>
        <v/>
      </c>
      <c r="AX17" s="63"/>
      <c r="AY17" s="130" t="str">
        <f t="shared" si="4"/>
        <v/>
      </c>
      <c r="AZ17" s="125" t="str">
        <f t="shared" si="22"/>
        <v/>
      </c>
      <c r="BA17" s="56">
        <v>10</v>
      </c>
      <c r="BB17" s="63"/>
      <c r="BC17" s="62"/>
      <c r="BD17" s="61"/>
      <c r="BE17" s="61"/>
      <c r="BF17" s="61"/>
      <c r="BG17" s="61"/>
      <c r="BH17" s="64"/>
      <c r="BI17" s="64"/>
      <c r="BJ17" s="64"/>
      <c r="BK17" s="64"/>
      <c r="BL17" s="64"/>
      <c r="BM17" s="64"/>
      <c r="BN17" s="65" t="str">
        <f t="shared" si="23"/>
        <v/>
      </c>
      <c r="BO17" s="56">
        <v>10</v>
      </c>
      <c r="BP17" s="64"/>
      <c r="BQ17" s="62"/>
      <c r="BR17" s="61"/>
      <c r="BS17" s="61"/>
      <c r="BT17" s="61"/>
      <c r="BU17" s="64"/>
      <c r="BV17" s="63"/>
      <c r="BW17" s="63"/>
      <c r="BX17" s="66"/>
      <c r="BY17" s="172"/>
      <c r="BZ17" s="67" t="str">
        <f t="shared" si="24"/>
        <v/>
      </c>
      <c r="CA17" s="56">
        <v>10</v>
      </c>
      <c r="CB17" s="61"/>
      <c r="CC17" s="61"/>
      <c r="CD17" s="68" t="str">
        <f t="shared" si="25"/>
        <v/>
      </c>
      <c r="CE17" s="69" t="str">
        <f t="shared" si="26"/>
        <v/>
      </c>
      <c r="CF17" s="69" t="str">
        <f t="shared" si="27"/>
        <v/>
      </c>
      <c r="CG17" s="62"/>
      <c r="CH17" s="62"/>
      <c r="CI17" s="65" t="str">
        <f t="shared" si="28"/>
        <v/>
      </c>
      <c r="CJ17" s="56">
        <v>10</v>
      </c>
      <c r="CK17" s="61"/>
      <c r="CL17" s="61"/>
      <c r="CM17" s="68" t="str">
        <f t="shared" si="29"/>
        <v/>
      </c>
      <c r="CN17" s="68" t="str">
        <f t="shared" si="30"/>
        <v/>
      </c>
      <c r="CO17" s="68" t="str">
        <f t="shared" si="31"/>
        <v/>
      </c>
      <c r="CP17" s="62"/>
      <c r="CQ17" s="62"/>
      <c r="CR17" s="65" t="str">
        <f t="shared" si="32"/>
        <v/>
      </c>
      <c r="CS17" s="56">
        <v>10</v>
      </c>
      <c r="CT17" s="61"/>
      <c r="CU17" s="61"/>
      <c r="CV17" s="68" t="str">
        <f t="shared" si="33"/>
        <v/>
      </c>
      <c r="CW17" s="68" t="str">
        <f t="shared" si="34"/>
        <v/>
      </c>
      <c r="CX17" s="69" t="str">
        <f t="shared" si="35"/>
        <v/>
      </c>
      <c r="CY17" s="66"/>
      <c r="CZ17" s="66"/>
      <c r="DA17" s="66"/>
      <c r="DB17" s="65" t="str">
        <f t="shared" si="36"/>
        <v/>
      </c>
      <c r="DC17" s="56">
        <v>10</v>
      </c>
      <c r="DD17" s="61"/>
      <c r="DE17" s="61"/>
      <c r="DF17" s="68" t="str">
        <f t="shared" si="37"/>
        <v/>
      </c>
      <c r="DG17" s="69" t="str">
        <f t="shared" si="38"/>
        <v/>
      </c>
      <c r="DH17" s="68" t="str">
        <f t="shared" si="39"/>
        <v/>
      </c>
      <c r="DI17" s="62"/>
      <c r="DJ17" s="62"/>
      <c r="DK17" s="65" t="str">
        <f t="shared" si="40"/>
        <v/>
      </c>
      <c r="DL17" s="56">
        <v>10</v>
      </c>
      <c r="DM17" s="63"/>
      <c r="DN17" s="64"/>
      <c r="DO17" s="64"/>
      <c r="DP17" s="64"/>
      <c r="DQ17" s="63"/>
      <c r="DR17" s="61"/>
      <c r="DS17" s="64"/>
      <c r="DT17" s="61"/>
      <c r="DU17" s="63"/>
      <c r="DV17" s="64"/>
      <c r="DW17" s="64"/>
      <c r="DX17" s="66"/>
      <c r="DY17" s="65" t="str">
        <f t="shared" si="41"/>
        <v/>
      </c>
      <c r="DZ17" s="128">
        <v>10</v>
      </c>
      <c r="EA17" s="173" t="str">
        <f t="shared" si="42"/>
        <v/>
      </c>
      <c r="EB17" s="173" t="str">
        <f t="shared" si="43"/>
        <v/>
      </c>
      <c r="EC17" s="173" t="str">
        <f t="shared" si="44"/>
        <v/>
      </c>
      <c r="ED17" s="63"/>
      <c r="EE17" s="63"/>
      <c r="EF17" s="63"/>
      <c r="EG17" s="63"/>
      <c r="EH17" s="127" t="str">
        <f t="shared" si="5"/>
        <v/>
      </c>
      <c r="EI17" s="56">
        <v>10</v>
      </c>
      <c r="EJ17" s="334"/>
      <c r="EK17" s="334"/>
      <c r="EL17" s="334"/>
      <c r="EM17" s="334"/>
      <c r="EN17" s="334"/>
      <c r="EO17" s="334"/>
      <c r="EP17" s="334"/>
      <c r="EQ17" s="65" t="str">
        <f t="shared" si="45"/>
        <v/>
      </c>
      <c r="ER17" s="20"/>
      <c r="ES17" s="20"/>
      <c r="ET17" s="20"/>
      <c r="EU17" s="20"/>
      <c r="EV17" s="20"/>
      <c r="EW17" s="20"/>
      <c r="EX17" s="20"/>
    </row>
    <row r="18" spans="1:154" s="3" customFormat="1" ht="17.149999999999999" customHeight="1" x14ac:dyDescent="0.25">
      <c r="A18" s="56">
        <v>11</v>
      </c>
      <c r="B18" s="57"/>
      <c r="C18" s="58" t="str">
        <f t="shared" si="6"/>
        <v/>
      </c>
      <c r="D18" s="167"/>
      <c r="E18" s="57"/>
      <c r="F18" s="58" t="str">
        <f t="shared" si="7"/>
        <v/>
      </c>
      <c r="G18" s="168"/>
      <c r="H18" s="57"/>
      <c r="I18" s="58" t="str">
        <f t="shared" si="0"/>
        <v/>
      </c>
      <c r="J18" s="60"/>
      <c r="K18" s="56">
        <v>11</v>
      </c>
      <c r="L18" s="57"/>
      <c r="M18" s="58" t="str">
        <f t="shared" si="8"/>
        <v/>
      </c>
      <c r="N18" s="57"/>
      <c r="O18" s="58" t="str">
        <f t="shared" si="9"/>
        <v/>
      </c>
      <c r="P18" s="57"/>
      <c r="Q18" s="169" t="str">
        <f t="shared" si="1"/>
        <v/>
      </c>
      <c r="R18" s="57"/>
      <c r="S18" s="57"/>
      <c r="T18" s="57"/>
      <c r="U18" s="57"/>
      <c r="V18" s="58" t="str">
        <f t="shared" si="10"/>
        <v/>
      </c>
      <c r="W18" s="56">
        <v>11</v>
      </c>
      <c r="X18" s="63"/>
      <c r="Y18" s="130" t="str">
        <f t="shared" si="11"/>
        <v/>
      </c>
      <c r="Z18" s="63"/>
      <c r="AA18" s="130" t="str">
        <f t="shared" si="12"/>
        <v/>
      </c>
      <c r="AB18" s="63"/>
      <c r="AC18" s="130" t="str">
        <f t="shared" si="13"/>
        <v/>
      </c>
      <c r="AD18" s="63"/>
      <c r="AE18" s="130" t="str">
        <f t="shared" si="2"/>
        <v/>
      </c>
      <c r="AF18" s="125" t="str">
        <f t="shared" si="14"/>
        <v/>
      </c>
      <c r="AG18" s="56">
        <v>11</v>
      </c>
      <c r="AH18" s="63"/>
      <c r="AI18" s="130" t="str">
        <f t="shared" si="15"/>
        <v/>
      </c>
      <c r="AJ18" s="63"/>
      <c r="AK18" s="130" t="str">
        <f t="shared" si="16"/>
        <v/>
      </c>
      <c r="AL18" s="63"/>
      <c r="AM18" s="130" t="str">
        <f t="shared" si="17"/>
        <v/>
      </c>
      <c r="AN18" s="63"/>
      <c r="AO18" s="130" t="str">
        <f t="shared" si="3"/>
        <v/>
      </c>
      <c r="AP18" s="125" t="str">
        <f t="shared" si="18"/>
        <v/>
      </c>
      <c r="AQ18" s="56">
        <v>11</v>
      </c>
      <c r="AR18" s="63"/>
      <c r="AS18" s="130" t="str">
        <f t="shared" si="19"/>
        <v/>
      </c>
      <c r="AT18" s="63"/>
      <c r="AU18" s="130" t="str">
        <f t="shared" si="20"/>
        <v/>
      </c>
      <c r="AV18" s="63"/>
      <c r="AW18" s="130" t="str">
        <f t="shared" si="21"/>
        <v/>
      </c>
      <c r="AX18" s="63"/>
      <c r="AY18" s="130" t="str">
        <f t="shared" si="4"/>
        <v/>
      </c>
      <c r="AZ18" s="125" t="str">
        <f t="shared" si="22"/>
        <v/>
      </c>
      <c r="BA18" s="56">
        <v>11</v>
      </c>
      <c r="BB18" s="63"/>
      <c r="BC18" s="62"/>
      <c r="BD18" s="61"/>
      <c r="BE18" s="61"/>
      <c r="BF18" s="61"/>
      <c r="BG18" s="61"/>
      <c r="BH18" s="64"/>
      <c r="BI18" s="64"/>
      <c r="BJ18" s="64"/>
      <c r="BK18" s="64"/>
      <c r="BL18" s="64"/>
      <c r="BM18" s="64"/>
      <c r="BN18" s="65" t="str">
        <f t="shared" si="23"/>
        <v/>
      </c>
      <c r="BO18" s="56">
        <v>11</v>
      </c>
      <c r="BP18" s="64"/>
      <c r="BQ18" s="62"/>
      <c r="BR18" s="61"/>
      <c r="BS18" s="61"/>
      <c r="BT18" s="61"/>
      <c r="BU18" s="64"/>
      <c r="BV18" s="63"/>
      <c r="BW18" s="63"/>
      <c r="BX18" s="66"/>
      <c r="BY18" s="172"/>
      <c r="BZ18" s="67" t="str">
        <f t="shared" si="24"/>
        <v/>
      </c>
      <c r="CA18" s="56">
        <v>11</v>
      </c>
      <c r="CB18" s="61"/>
      <c r="CC18" s="61"/>
      <c r="CD18" s="68" t="str">
        <f t="shared" si="25"/>
        <v/>
      </c>
      <c r="CE18" s="69" t="str">
        <f t="shared" si="26"/>
        <v/>
      </c>
      <c r="CF18" s="69" t="str">
        <f t="shared" si="27"/>
        <v/>
      </c>
      <c r="CG18" s="62"/>
      <c r="CH18" s="62"/>
      <c r="CI18" s="65" t="str">
        <f t="shared" si="28"/>
        <v/>
      </c>
      <c r="CJ18" s="56">
        <v>11</v>
      </c>
      <c r="CK18" s="61"/>
      <c r="CL18" s="61"/>
      <c r="CM18" s="68" t="str">
        <f t="shared" si="29"/>
        <v/>
      </c>
      <c r="CN18" s="68" t="str">
        <f t="shared" si="30"/>
        <v/>
      </c>
      <c r="CO18" s="68" t="str">
        <f t="shared" si="31"/>
        <v/>
      </c>
      <c r="CP18" s="62"/>
      <c r="CQ18" s="62"/>
      <c r="CR18" s="65" t="str">
        <f t="shared" si="32"/>
        <v/>
      </c>
      <c r="CS18" s="56">
        <v>11</v>
      </c>
      <c r="CT18" s="61"/>
      <c r="CU18" s="61"/>
      <c r="CV18" s="68" t="str">
        <f t="shared" si="33"/>
        <v/>
      </c>
      <c r="CW18" s="68" t="str">
        <f t="shared" si="34"/>
        <v/>
      </c>
      <c r="CX18" s="69" t="str">
        <f t="shared" si="35"/>
        <v/>
      </c>
      <c r="CY18" s="66"/>
      <c r="CZ18" s="66"/>
      <c r="DA18" s="66"/>
      <c r="DB18" s="65" t="str">
        <f t="shared" si="36"/>
        <v/>
      </c>
      <c r="DC18" s="56">
        <v>11</v>
      </c>
      <c r="DD18" s="61"/>
      <c r="DE18" s="61"/>
      <c r="DF18" s="68" t="str">
        <f t="shared" si="37"/>
        <v/>
      </c>
      <c r="DG18" s="69" t="str">
        <f t="shared" si="38"/>
        <v/>
      </c>
      <c r="DH18" s="68" t="str">
        <f t="shared" si="39"/>
        <v/>
      </c>
      <c r="DI18" s="62"/>
      <c r="DJ18" s="62"/>
      <c r="DK18" s="65" t="str">
        <f t="shared" si="40"/>
        <v/>
      </c>
      <c r="DL18" s="56">
        <v>11</v>
      </c>
      <c r="DM18" s="63"/>
      <c r="DN18" s="64"/>
      <c r="DO18" s="64"/>
      <c r="DP18" s="64"/>
      <c r="DQ18" s="63"/>
      <c r="DR18" s="61"/>
      <c r="DS18" s="64"/>
      <c r="DT18" s="61"/>
      <c r="DU18" s="63"/>
      <c r="DV18" s="64"/>
      <c r="DW18" s="64"/>
      <c r="DX18" s="66"/>
      <c r="DY18" s="65" t="str">
        <f t="shared" si="41"/>
        <v/>
      </c>
      <c r="DZ18" s="128">
        <v>11</v>
      </c>
      <c r="EA18" s="173" t="str">
        <f t="shared" si="42"/>
        <v/>
      </c>
      <c r="EB18" s="173" t="str">
        <f t="shared" si="43"/>
        <v/>
      </c>
      <c r="EC18" s="173" t="str">
        <f t="shared" si="44"/>
        <v/>
      </c>
      <c r="ED18" s="63"/>
      <c r="EE18" s="63"/>
      <c r="EF18" s="63"/>
      <c r="EG18" s="63"/>
      <c r="EH18" s="127" t="str">
        <f t="shared" si="5"/>
        <v/>
      </c>
      <c r="EI18" s="56">
        <v>11</v>
      </c>
      <c r="EQ18" s="65" t="str">
        <f t="shared" si="45"/>
        <v/>
      </c>
      <c r="ER18" s="20"/>
      <c r="ES18" s="20"/>
      <c r="ET18" s="20"/>
      <c r="EU18" s="20"/>
      <c r="EV18" s="20"/>
      <c r="EW18" s="20"/>
      <c r="EX18" s="20"/>
    </row>
    <row r="19" spans="1:154" s="3" customFormat="1" ht="17.149999999999999" customHeight="1" x14ac:dyDescent="0.25">
      <c r="A19" s="56">
        <v>12</v>
      </c>
      <c r="B19" s="57"/>
      <c r="C19" s="58" t="str">
        <f t="shared" si="6"/>
        <v/>
      </c>
      <c r="D19" s="167"/>
      <c r="E19" s="57"/>
      <c r="F19" s="58" t="str">
        <f t="shared" si="7"/>
        <v/>
      </c>
      <c r="G19" s="168"/>
      <c r="H19" s="57"/>
      <c r="I19" s="58" t="str">
        <f t="shared" si="0"/>
        <v/>
      </c>
      <c r="J19" s="60"/>
      <c r="K19" s="56">
        <v>12</v>
      </c>
      <c r="L19" s="57"/>
      <c r="M19" s="58" t="str">
        <f t="shared" si="8"/>
        <v/>
      </c>
      <c r="N19" s="57"/>
      <c r="O19" s="58" t="str">
        <f t="shared" si="9"/>
        <v/>
      </c>
      <c r="P19" s="57"/>
      <c r="Q19" s="169" t="str">
        <f t="shared" si="1"/>
        <v/>
      </c>
      <c r="R19" s="57"/>
      <c r="S19" s="57"/>
      <c r="T19" s="57"/>
      <c r="U19" s="57"/>
      <c r="V19" s="58" t="str">
        <f t="shared" si="10"/>
        <v/>
      </c>
      <c r="W19" s="56">
        <v>12</v>
      </c>
      <c r="X19" s="63"/>
      <c r="Y19" s="130" t="str">
        <f t="shared" si="11"/>
        <v/>
      </c>
      <c r="Z19" s="63"/>
      <c r="AA19" s="130" t="str">
        <f t="shared" si="12"/>
        <v/>
      </c>
      <c r="AB19" s="63"/>
      <c r="AC19" s="130" t="str">
        <f t="shared" si="13"/>
        <v/>
      </c>
      <c r="AD19" s="63"/>
      <c r="AE19" s="130" t="str">
        <f t="shared" si="2"/>
        <v/>
      </c>
      <c r="AF19" s="125" t="str">
        <f t="shared" si="14"/>
        <v/>
      </c>
      <c r="AG19" s="56">
        <v>12</v>
      </c>
      <c r="AH19" s="63"/>
      <c r="AI19" s="130" t="str">
        <f t="shared" si="15"/>
        <v/>
      </c>
      <c r="AJ19" s="63"/>
      <c r="AK19" s="130" t="str">
        <f t="shared" si="16"/>
        <v/>
      </c>
      <c r="AL19" s="63"/>
      <c r="AM19" s="130" t="str">
        <f t="shared" si="17"/>
        <v/>
      </c>
      <c r="AN19" s="63"/>
      <c r="AO19" s="130" t="str">
        <f t="shared" si="3"/>
        <v/>
      </c>
      <c r="AP19" s="125" t="str">
        <f t="shared" si="18"/>
        <v/>
      </c>
      <c r="AQ19" s="56">
        <v>12</v>
      </c>
      <c r="AR19" s="63"/>
      <c r="AS19" s="130" t="str">
        <f t="shared" si="19"/>
        <v/>
      </c>
      <c r="AT19" s="63"/>
      <c r="AU19" s="130" t="str">
        <f t="shared" si="20"/>
        <v/>
      </c>
      <c r="AV19" s="63"/>
      <c r="AW19" s="130" t="str">
        <f t="shared" si="21"/>
        <v/>
      </c>
      <c r="AX19" s="63"/>
      <c r="AY19" s="130" t="str">
        <f t="shared" si="4"/>
        <v/>
      </c>
      <c r="AZ19" s="125" t="str">
        <f t="shared" si="22"/>
        <v/>
      </c>
      <c r="BA19" s="56">
        <v>12</v>
      </c>
      <c r="BB19" s="63"/>
      <c r="BC19" s="62"/>
      <c r="BD19" s="61"/>
      <c r="BE19" s="61"/>
      <c r="BF19" s="61"/>
      <c r="BG19" s="61"/>
      <c r="BH19" s="64"/>
      <c r="BI19" s="64"/>
      <c r="BJ19" s="64"/>
      <c r="BK19" s="64"/>
      <c r="BL19" s="64"/>
      <c r="BM19" s="64"/>
      <c r="BN19" s="65" t="str">
        <f t="shared" si="23"/>
        <v/>
      </c>
      <c r="BO19" s="56">
        <v>12</v>
      </c>
      <c r="BP19" s="64"/>
      <c r="BQ19" s="62"/>
      <c r="BR19" s="61"/>
      <c r="BS19" s="61"/>
      <c r="BT19" s="61"/>
      <c r="BU19" s="64"/>
      <c r="BV19" s="63"/>
      <c r="BW19" s="63"/>
      <c r="BX19" s="66"/>
      <c r="BY19" s="172"/>
      <c r="BZ19" s="67" t="str">
        <f t="shared" si="24"/>
        <v/>
      </c>
      <c r="CA19" s="56">
        <v>12</v>
      </c>
      <c r="CB19" s="61"/>
      <c r="CC19" s="61"/>
      <c r="CD19" s="68" t="str">
        <f t="shared" si="25"/>
        <v/>
      </c>
      <c r="CE19" s="69" t="str">
        <f t="shared" si="26"/>
        <v/>
      </c>
      <c r="CF19" s="69" t="str">
        <f t="shared" si="27"/>
        <v/>
      </c>
      <c r="CG19" s="62"/>
      <c r="CH19" s="62"/>
      <c r="CI19" s="65" t="str">
        <f t="shared" si="28"/>
        <v/>
      </c>
      <c r="CJ19" s="56">
        <v>12</v>
      </c>
      <c r="CK19" s="61"/>
      <c r="CL19" s="61"/>
      <c r="CM19" s="68" t="str">
        <f t="shared" si="29"/>
        <v/>
      </c>
      <c r="CN19" s="68" t="str">
        <f t="shared" si="30"/>
        <v/>
      </c>
      <c r="CO19" s="68" t="str">
        <f t="shared" si="31"/>
        <v/>
      </c>
      <c r="CP19" s="62"/>
      <c r="CQ19" s="62"/>
      <c r="CR19" s="65" t="str">
        <f t="shared" si="32"/>
        <v/>
      </c>
      <c r="CS19" s="56">
        <v>12</v>
      </c>
      <c r="CT19" s="61"/>
      <c r="CU19" s="61"/>
      <c r="CV19" s="68" t="str">
        <f t="shared" si="33"/>
        <v/>
      </c>
      <c r="CW19" s="68" t="str">
        <f t="shared" si="34"/>
        <v/>
      </c>
      <c r="CX19" s="69" t="str">
        <f t="shared" si="35"/>
        <v/>
      </c>
      <c r="CY19" s="66"/>
      <c r="CZ19" s="66"/>
      <c r="DA19" s="66"/>
      <c r="DB19" s="65" t="str">
        <f t="shared" si="36"/>
        <v/>
      </c>
      <c r="DC19" s="56">
        <v>12</v>
      </c>
      <c r="DD19" s="61"/>
      <c r="DE19" s="61"/>
      <c r="DF19" s="68" t="str">
        <f t="shared" si="37"/>
        <v/>
      </c>
      <c r="DG19" s="69" t="str">
        <f t="shared" si="38"/>
        <v/>
      </c>
      <c r="DH19" s="68" t="str">
        <f t="shared" si="39"/>
        <v/>
      </c>
      <c r="DI19" s="62"/>
      <c r="DJ19" s="62"/>
      <c r="DK19" s="65" t="str">
        <f t="shared" si="40"/>
        <v/>
      </c>
      <c r="DL19" s="56">
        <v>12</v>
      </c>
      <c r="DM19" s="63"/>
      <c r="DN19" s="64"/>
      <c r="DO19" s="64"/>
      <c r="DP19" s="64"/>
      <c r="DQ19" s="63"/>
      <c r="DR19" s="61"/>
      <c r="DS19" s="64"/>
      <c r="DT19" s="61"/>
      <c r="DU19" s="63"/>
      <c r="DV19" s="64"/>
      <c r="DW19" s="64"/>
      <c r="DX19" s="66"/>
      <c r="DY19" s="65" t="str">
        <f t="shared" si="41"/>
        <v/>
      </c>
      <c r="DZ19" s="128">
        <v>12</v>
      </c>
      <c r="EA19" s="173" t="str">
        <f t="shared" si="42"/>
        <v/>
      </c>
      <c r="EB19" s="173" t="str">
        <f t="shared" si="43"/>
        <v/>
      </c>
      <c r="EC19" s="173" t="str">
        <f t="shared" si="44"/>
        <v/>
      </c>
      <c r="ED19" s="63"/>
      <c r="EE19" s="63"/>
      <c r="EF19" s="63"/>
      <c r="EG19" s="63"/>
      <c r="EH19" s="127" t="str">
        <f t="shared" si="5"/>
        <v/>
      </c>
      <c r="EI19" s="56">
        <v>12</v>
      </c>
      <c r="EJ19" s="334"/>
      <c r="EK19" s="334"/>
      <c r="EL19" s="334"/>
      <c r="EM19" s="334"/>
      <c r="EN19" s="334"/>
      <c r="EO19" s="334"/>
      <c r="EP19" s="334"/>
      <c r="EQ19" s="65" t="str">
        <f t="shared" si="45"/>
        <v/>
      </c>
      <c r="ER19" s="20"/>
      <c r="ES19" s="20"/>
      <c r="ET19" s="20"/>
      <c r="EU19" s="20"/>
      <c r="EV19" s="20"/>
      <c r="EW19" s="20"/>
      <c r="EX19" s="20"/>
    </row>
    <row r="20" spans="1:154" s="3" customFormat="1" ht="17.149999999999999" customHeight="1" x14ac:dyDescent="0.25">
      <c r="A20" s="56">
        <v>13</v>
      </c>
      <c r="B20" s="57"/>
      <c r="C20" s="58" t="str">
        <f t="shared" si="6"/>
        <v/>
      </c>
      <c r="D20" s="167"/>
      <c r="E20" s="59"/>
      <c r="F20" s="58" t="str">
        <f t="shared" si="7"/>
        <v/>
      </c>
      <c r="G20" s="168"/>
      <c r="H20" s="57"/>
      <c r="I20" s="58" t="str">
        <f t="shared" si="0"/>
        <v/>
      </c>
      <c r="J20" s="60"/>
      <c r="K20" s="56">
        <v>13</v>
      </c>
      <c r="L20" s="57"/>
      <c r="M20" s="58" t="str">
        <f t="shared" si="8"/>
        <v/>
      </c>
      <c r="N20" s="59"/>
      <c r="O20" s="58" t="str">
        <f t="shared" si="9"/>
        <v/>
      </c>
      <c r="P20" s="57"/>
      <c r="Q20" s="169" t="str">
        <f t="shared" si="1"/>
        <v/>
      </c>
      <c r="R20" s="57"/>
      <c r="S20" s="57"/>
      <c r="T20" s="57"/>
      <c r="U20" s="57"/>
      <c r="V20" s="58" t="str">
        <f t="shared" si="10"/>
        <v/>
      </c>
      <c r="W20" s="56">
        <v>13</v>
      </c>
      <c r="X20" s="63"/>
      <c r="Y20" s="130" t="str">
        <f t="shared" si="11"/>
        <v/>
      </c>
      <c r="Z20" s="63"/>
      <c r="AA20" s="130" t="str">
        <f t="shared" si="12"/>
        <v/>
      </c>
      <c r="AB20" s="63"/>
      <c r="AC20" s="130" t="str">
        <f t="shared" si="13"/>
        <v/>
      </c>
      <c r="AD20" s="63"/>
      <c r="AE20" s="130" t="str">
        <f t="shared" si="2"/>
        <v/>
      </c>
      <c r="AF20" s="125" t="str">
        <f t="shared" si="14"/>
        <v/>
      </c>
      <c r="AG20" s="56">
        <v>13</v>
      </c>
      <c r="AH20" s="63"/>
      <c r="AI20" s="130" t="str">
        <f t="shared" si="15"/>
        <v/>
      </c>
      <c r="AJ20" s="63"/>
      <c r="AK20" s="130" t="str">
        <f t="shared" si="16"/>
        <v/>
      </c>
      <c r="AL20" s="63"/>
      <c r="AM20" s="130" t="str">
        <f t="shared" si="17"/>
        <v/>
      </c>
      <c r="AN20" s="63"/>
      <c r="AO20" s="130" t="str">
        <f t="shared" si="3"/>
        <v/>
      </c>
      <c r="AP20" s="125" t="str">
        <f t="shared" si="18"/>
        <v/>
      </c>
      <c r="AQ20" s="56">
        <v>13</v>
      </c>
      <c r="AR20" s="63"/>
      <c r="AS20" s="130" t="str">
        <f t="shared" si="19"/>
        <v/>
      </c>
      <c r="AT20" s="63"/>
      <c r="AU20" s="130" t="str">
        <f t="shared" si="20"/>
        <v/>
      </c>
      <c r="AV20" s="63"/>
      <c r="AW20" s="130" t="str">
        <f t="shared" si="21"/>
        <v/>
      </c>
      <c r="AX20" s="63"/>
      <c r="AY20" s="130" t="str">
        <f t="shared" si="4"/>
        <v/>
      </c>
      <c r="AZ20" s="125" t="str">
        <f t="shared" si="22"/>
        <v/>
      </c>
      <c r="BA20" s="56">
        <v>13</v>
      </c>
      <c r="BB20" s="63"/>
      <c r="BC20" s="62"/>
      <c r="BD20" s="61"/>
      <c r="BE20" s="61"/>
      <c r="BF20" s="61"/>
      <c r="BG20" s="61"/>
      <c r="BH20" s="64"/>
      <c r="BI20" s="64"/>
      <c r="BJ20" s="64"/>
      <c r="BK20" s="64"/>
      <c r="BL20" s="64"/>
      <c r="BM20" s="64"/>
      <c r="BN20" s="65" t="str">
        <f t="shared" si="23"/>
        <v/>
      </c>
      <c r="BO20" s="56">
        <v>13</v>
      </c>
      <c r="BP20" s="64"/>
      <c r="BQ20" s="62"/>
      <c r="BR20" s="61"/>
      <c r="BS20" s="61"/>
      <c r="BT20" s="61"/>
      <c r="BU20" s="64"/>
      <c r="BV20" s="63"/>
      <c r="BW20" s="63"/>
      <c r="BX20" s="66"/>
      <c r="BY20" s="172"/>
      <c r="BZ20" s="67" t="str">
        <f t="shared" si="24"/>
        <v/>
      </c>
      <c r="CA20" s="56">
        <v>13</v>
      </c>
      <c r="CB20" s="61"/>
      <c r="CC20" s="61"/>
      <c r="CD20" s="68" t="str">
        <f t="shared" si="25"/>
        <v/>
      </c>
      <c r="CE20" s="69" t="str">
        <f t="shared" si="26"/>
        <v/>
      </c>
      <c r="CF20" s="69" t="str">
        <f t="shared" si="27"/>
        <v/>
      </c>
      <c r="CG20" s="62"/>
      <c r="CH20" s="62"/>
      <c r="CI20" s="65" t="str">
        <f t="shared" si="28"/>
        <v/>
      </c>
      <c r="CJ20" s="56">
        <v>13</v>
      </c>
      <c r="CK20" s="61"/>
      <c r="CL20" s="61"/>
      <c r="CM20" s="68" t="str">
        <f t="shared" si="29"/>
        <v/>
      </c>
      <c r="CN20" s="68" t="str">
        <f t="shared" si="30"/>
        <v/>
      </c>
      <c r="CO20" s="68" t="str">
        <f t="shared" si="31"/>
        <v/>
      </c>
      <c r="CP20" s="62"/>
      <c r="CQ20" s="62"/>
      <c r="CR20" s="65" t="str">
        <f t="shared" si="32"/>
        <v/>
      </c>
      <c r="CS20" s="56">
        <v>13</v>
      </c>
      <c r="CT20" s="61"/>
      <c r="CU20" s="61"/>
      <c r="CV20" s="68" t="str">
        <f t="shared" si="33"/>
        <v/>
      </c>
      <c r="CW20" s="68" t="str">
        <f t="shared" si="34"/>
        <v/>
      </c>
      <c r="CX20" s="69" t="str">
        <f t="shared" si="35"/>
        <v/>
      </c>
      <c r="CY20" s="66"/>
      <c r="CZ20" s="66"/>
      <c r="DA20" s="66"/>
      <c r="DB20" s="65" t="str">
        <f t="shared" si="36"/>
        <v/>
      </c>
      <c r="DC20" s="56">
        <v>13</v>
      </c>
      <c r="DD20" s="61"/>
      <c r="DE20" s="61"/>
      <c r="DF20" s="68" t="str">
        <f t="shared" si="37"/>
        <v/>
      </c>
      <c r="DG20" s="69" t="str">
        <f t="shared" si="38"/>
        <v/>
      </c>
      <c r="DH20" s="68" t="str">
        <f t="shared" si="39"/>
        <v/>
      </c>
      <c r="DI20" s="62"/>
      <c r="DJ20" s="62"/>
      <c r="DK20" s="65" t="str">
        <f t="shared" si="40"/>
        <v/>
      </c>
      <c r="DL20" s="56">
        <v>13</v>
      </c>
      <c r="DM20" s="63"/>
      <c r="DN20" s="64"/>
      <c r="DO20" s="64"/>
      <c r="DP20" s="64"/>
      <c r="DQ20" s="63"/>
      <c r="DR20" s="61"/>
      <c r="DS20" s="64"/>
      <c r="DT20" s="61"/>
      <c r="DU20" s="63"/>
      <c r="DV20" s="64"/>
      <c r="DW20" s="64"/>
      <c r="DX20" s="66"/>
      <c r="DY20" s="65" t="str">
        <f t="shared" si="41"/>
        <v/>
      </c>
      <c r="DZ20" s="128">
        <v>13</v>
      </c>
      <c r="EA20" s="173" t="str">
        <f t="shared" si="42"/>
        <v/>
      </c>
      <c r="EB20" s="173" t="str">
        <f t="shared" si="43"/>
        <v/>
      </c>
      <c r="EC20" s="173" t="str">
        <f t="shared" si="44"/>
        <v/>
      </c>
      <c r="ED20" s="63"/>
      <c r="EE20" s="63"/>
      <c r="EF20" s="63"/>
      <c r="EG20" s="63"/>
      <c r="EH20" s="127" t="str">
        <f t="shared" si="5"/>
        <v/>
      </c>
      <c r="EI20" s="56">
        <v>13</v>
      </c>
      <c r="EJ20" s="334"/>
      <c r="EK20" s="334"/>
      <c r="EL20" s="334"/>
      <c r="EM20" s="334"/>
      <c r="EN20" s="334"/>
      <c r="EO20" s="334"/>
      <c r="EP20" s="334"/>
      <c r="EQ20" s="65" t="str">
        <f t="shared" si="45"/>
        <v/>
      </c>
      <c r="ER20" s="20"/>
      <c r="ES20" s="20"/>
      <c r="ET20" s="20"/>
      <c r="EU20" s="20"/>
      <c r="EV20" s="20"/>
      <c r="EW20" s="20"/>
      <c r="EX20" s="20"/>
    </row>
    <row r="21" spans="1:154" s="3" customFormat="1" ht="17.149999999999999" customHeight="1" x14ac:dyDescent="0.25">
      <c r="A21" s="56">
        <v>14</v>
      </c>
      <c r="B21" s="57"/>
      <c r="C21" s="58" t="str">
        <f t="shared" si="6"/>
        <v/>
      </c>
      <c r="D21" s="167"/>
      <c r="E21" s="59"/>
      <c r="F21" s="58" t="str">
        <f t="shared" si="7"/>
        <v/>
      </c>
      <c r="G21" s="168"/>
      <c r="H21" s="57"/>
      <c r="I21" s="58" t="str">
        <f t="shared" si="0"/>
        <v/>
      </c>
      <c r="J21" s="60"/>
      <c r="K21" s="56">
        <v>14</v>
      </c>
      <c r="L21" s="57"/>
      <c r="M21" s="58" t="str">
        <f t="shared" si="8"/>
        <v/>
      </c>
      <c r="N21" s="59"/>
      <c r="O21" s="58" t="str">
        <f t="shared" si="9"/>
        <v/>
      </c>
      <c r="P21" s="57"/>
      <c r="Q21" s="169" t="str">
        <f t="shared" si="1"/>
        <v/>
      </c>
      <c r="R21" s="57"/>
      <c r="S21" s="57"/>
      <c r="T21" s="57"/>
      <c r="U21" s="57"/>
      <c r="V21" s="58" t="str">
        <f t="shared" si="10"/>
        <v/>
      </c>
      <c r="W21" s="56">
        <v>14</v>
      </c>
      <c r="X21" s="63"/>
      <c r="Y21" s="130" t="str">
        <f t="shared" si="11"/>
        <v/>
      </c>
      <c r="Z21" s="63"/>
      <c r="AA21" s="130" t="str">
        <f t="shared" si="12"/>
        <v/>
      </c>
      <c r="AB21" s="63"/>
      <c r="AC21" s="130" t="str">
        <f t="shared" si="13"/>
        <v/>
      </c>
      <c r="AD21" s="63"/>
      <c r="AE21" s="130" t="str">
        <f t="shared" si="2"/>
        <v/>
      </c>
      <c r="AF21" s="125" t="str">
        <f t="shared" si="14"/>
        <v/>
      </c>
      <c r="AG21" s="56">
        <v>14</v>
      </c>
      <c r="AH21" s="63"/>
      <c r="AI21" s="130" t="str">
        <f t="shared" si="15"/>
        <v/>
      </c>
      <c r="AJ21" s="63"/>
      <c r="AK21" s="130" t="str">
        <f t="shared" si="16"/>
        <v/>
      </c>
      <c r="AL21" s="63"/>
      <c r="AM21" s="130" t="str">
        <f t="shared" si="17"/>
        <v/>
      </c>
      <c r="AN21" s="63"/>
      <c r="AO21" s="130" t="str">
        <f t="shared" si="3"/>
        <v/>
      </c>
      <c r="AP21" s="125" t="str">
        <f t="shared" si="18"/>
        <v/>
      </c>
      <c r="AQ21" s="56">
        <v>14</v>
      </c>
      <c r="AR21" s="63"/>
      <c r="AS21" s="130" t="str">
        <f t="shared" si="19"/>
        <v/>
      </c>
      <c r="AT21" s="63"/>
      <c r="AU21" s="130" t="str">
        <f t="shared" si="20"/>
        <v/>
      </c>
      <c r="AV21" s="63"/>
      <c r="AW21" s="130" t="str">
        <f t="shared" si="21"/>
        <v/>
      </c>
      <c r="AX21" s="63"/>
      <c r="AY21" s="130" t="str">
        <f t="shared" si="4"/>
        <v/>
      </c>
      <c r="AZ21" s="125" t="str">
        <f t="shared" si="22"/>
        <v/>
      </c>
      <c r="BA21" s="56">
        <v>14</v>
      </c>
      <c r="BB21" s="63"/>
      <c r="BC21" s="62"/>
      <c r="BD21" s="61"/>
      <c r="BE21" s="61"/>
      <c r="BF21" s="61"/>
      <c r="BG21" s="61"/>
      <c r="BH21" s="64"/>
      <c r="BI21" s="64"/>
      <c r="BJ21" s="64"/>
      <c r="BK21" s="64"/>
      <c r="BL21" s="64"/>
      <c r="BM21" s="64"/>
      <c r="BN21" s="65" t="str">
        <f t="shared" si="23"/>
        <v/>
      </c>
      <c r="BO21" s="56">
        <v>14</v>
      </c>
      <c r="BP21" s="64"/>
      <c r="BQ21" s="62"/>
      <c r="BR21" s="61"/>
      <c r="BS21" s="61"/>
      <c r="BT21" s="61"/>
      <c r="BU21" s="64"/>
      <c r="BV21" s="63"/>
      <c r="BW21" s="63"/>
      <c r="BX21" s="66"/>
      <c r="BY21" s="172"/>
      <c r="BZ21" s="67" t="str">
        <f t="shared" si="24"/>
        <v/>
      </c>
      <c r="CA21" s="56">
        <v>14</v>
      </c>
      <c r="CB21" s="61"/>
      <c r="CC21" s="61"/>
      <c r="CD21" s="68" t="str">
        <f t="shared" si="25"/>
        <v/>
      </c>
      <c r="CE21" s="69" t="str">
        <f t="shared" si="26"/>
        <v/>
      </c>
      <c r="CF21" s="69" t="str">
        <f t="shared" si="27"/>
        <v/>
      </c>
      <c r="CG21" s="62"/>
      <c r="CH21" s="62"/>
      <c r="CI21" s="65" t="str">
        <f t="shared" si="28"/>
        <v/>
      </c>
      <c r="CJ21" s="56">
        <v>14</v>
      </c>
      <c r="CK21" s="61"/>
      <c r="CL21" s="61"/>
      <c r="CM21" s="68" t="str">
        <f t="shared" si="29"/>
        <v/>
      </c>
      <c r="CN21" s="68" t="str">
        <f t="shared" si="30"/>
        <v/>
      </c>
      <c r="CO21" s="68" t="str">
        <f t="shared" si="31"/>
        <v/>
      </c>
      <c r="CP21" s="62"/>
      <c r="CQ21" s="62"/>
      <c r="CR21" s="65" t="str">
        <f t="shared" si="32"/>
        <v/>
      </c>
      <c r="CS21" s="56">
        <v>14</v>
      </c>
      <c r="CT21" s="61"/>
      <c r="CU21" s="61"/>
      <c r="CV21" s="68" t="str">
        <f t="shared" si="33"/>
        <v/>
      </c>
      <c r="CW21" s="68" t="str">
        <f t="shared" si="34"/>
        <v/>
      </c>
      <c r="CX21" s="69" t="str">
        <f t="shared" si="35"/>
        <v/>
      </c>
      <c r="CY21" s="66"/>
      <c r="CZ21" s="66"/>
      <c r="DA21" s="66"/>
      <c r="DB21" s="65" t="str">
        <f t="shared" si="36"/>
        <v/>
      </c>
      <c r="DC21" s="56">
        <v>14</v>
      </c>
      <c r="DD21" s="61"/>
      <c r="DE21" s="61"/>
      <c r="DF21" s="68" t="str">
        <f t="shared" si="37"/>
        <v/>
      </c>
      <c r="DG21" s="69" t="str">
        <f t="shared" si="38"/>
        <v/>
      </c>
      <c r="DH21" s="68" t="str">
        <f t="shared" si="39"/>
        <v/>
      </c>
      <c r="DI21" s="62"/>
      <c r="DJ21" s="62"/>
      <c r="DK21" s="65" t="str">
        <f t="shared" si="40"/>
        <v/>
      </c>
      <c r="DL21" s="56">
        <v>14</v>
      </c>
      <c r="DM21" s="63"/>
      <c r="DN21" s="64"/>
      <c r="DO21" s="64"/>
      <c r="DP21" s="64"/>
      <c r="DQ21" s="63"/>
      <c r="DR21" s="61"/>
      <c r="DS21" s="64"/>
      <c r="DT21" s="61"/>
      <c r="DU21" s="63"/>
      <c r="DV21" s="64"/>
      <c r="DW21" s="64"/>
      <c r="DX21" s="66"/>
      <c r="DY21" s="65" t="str">
        <f t="shared" si="41"/>
        <v/>
      </c>
      <c r="DZ21" s="128">
        <v>14</v>
      </c>
      <c r="EA21" s="173" t="str">
        <f t="shared" si="42"/>
        <v/>
      </c>
      <c r="EB21" s="173" t="str">
        <f t="shared" si="43"/>
        <v/>
      </c>
      <c r="EC21" s="173" t="str">
        <f t="shared" si="44"/>
        <v/>
      </c>
      <c r="ED21" s="63"/>
      <c r="EE21" s="63"/>
      <c r="EF21" s="63"/>
      <c r="EG21" s="63"/>
      <c r="EH21" s="127" t="str">
        <f t="shared" si="5"/>
        <v/>
      </c>
      <c r="EI21" s="56">
        <v>14</v>
      </c>
      <c r="EJ21" s="334"/>
      <c r="EK21" s="334"/>
      <c r="EL21" s="334"/>
      <c r="EM21" s="334"/>
      <c r="EN21" s="334"/>
      <c r="EO21" s="334"/>
      <c r="EP21" s="334"/>
      <c r="EQ21" s="65" t="str">
        <f t="shared" si="45"/>
        <v/>
      </c>
      <c r="ER21" s="20"/>
      <c r="ES21" s="20"/>
      <c r="ET21" s="20"/>
      <c r="EU21" s="20"/>
      <c r="EV21" s="20"/>
      <c r="EW21" s="20"/>
      <c r="EX21" s="20"/>
    </row>
    <row r="22" spans="1:154" s="3" customFormat="1" ht="17.149999999999999" customHeight="1" x14ac:dyDescent="0.25">
      <c r="A22" s="56">
        <v>15</v>
      </c>
      <c r="B22" s="57"/>
      <c r="C22" s="58" t="str">
        <f t="shared" si="6"/>
        <v/>
      </c>
      <c r="D22" s="167"/>
      <c r="E22" s="59"/>
      <c r="F22" s="58" t="str">
        <f t="shared" si="7"/>
        <v/>
      </c>
      <c r="G22" s="168"/>
      <c r="H22" s="57"/>
      <c r="I22" s="58" t="str">
        <f t="shared" si="0"/>
        <v/>
      </c>
      <c r="J22" s="60"/>
      <c r="K22" s="56">
        <v>15</v>
      </c>
      <c r="L22" s="57"/>
      <c r="M22" s="58" t="str">
        <f t="shared" si="8"/>
        <v/>
      </c>
      <c r="N22" s="59"/>
      <c r="O22" s="58" t="str">
        <f t="shared" si="9"/>
        <v/>
      </c>
      <c r="P22" s="57"/>
      <c r="Q22" s="169" t="str">
        <f t="shared" si="1"/>
        <v/>
      </c>
      <c r="R22" s="57"/>
      <c r="S22" s="57"/>
      <c r="T22" s="57"/>
      <c r="U22" s="57"/>
      <c r="V22" s="58" t="str">
        <f t="shared" si="10"/>
        <v/>
      </c>
      <c r="W22" s="56">
        <v>15</v>
      </c>
      <c r="X22" s="63"/>
      <c r="Y22" s="130" t="str">
        <f t="shared" si="11"/>
        <v/>
      </c>
      <c r="Z22" s="63"/>
      <c r="AA22" s="130" t="str">
        <f t="shared" si="12"/>
        <v/>
      </c>
      <c r="AB22" s="63"/>
      <c r="AC22" s="130" t="str">
        <f t="shared" si="13"/>
        <v/>
      </c>
      <c r="AD22" s="63"/>
      <c r="AE22" s="130" t="str">
        <f t="shared" si="2"/>
        <v/>
      </c>
      <c r="AF22" s="125" t="str">
        <f t="shared" si="14"/>
        <v/>
      </c>
      <c r="AG22" s="56">
        <v>15</v>
      </c>
      <c r="AH22" s="63"/>
      <c r="AI22" s="130" t="str">
        <f t="shared" si="15"/>
        <v/>
      </c>
      <c r="AJ22" s="63"/>
      <c r="AK22" s="130" t="str">
        <f t="shared" si="16"/>
        <v/>
      </c>
      <c r="AL22" s="63"/>
      <c r="AM22" s="130" t="str">
        <f t="shared" si="17"/>
        <v/>
      </c>
      <c r="AN22" s="63"/>
      <c r="AO22" s="130" t="str">
        <f t="shared" si="3"/>
        <v/>
      </c>
      <c r="AP22" s="125" t="str">
        <f t="shared" si="18"/>
        <v/>
      </c>
      <c r="AQ22" s="56">
        <v>15</v>
      </c>
      <c r="AR22" s="63"/>
      <c r="AS22" s="130" t="str">
        <f t="shared" si="19"/>
        <v/>
      </c>
      <c r="AT22" s="63"/>
      <c r="AU22" s="130" t="str">
        <f t="shared" si="20"/>
        <v/>
      </c>
      <c r="AV22" s="63"/>
      <c r="AW22" s="130" t="str">
        <f t="shared" si="21"/>
        <v/>
      </c>
      <c r="AX22" s="63"/>
      <c r="AY22" s="130" t="str">
        <f t="shared" si="4"/>
        <v/>
      </c>
      <c r="AZ22" s="125" t="str">
        <f t="shared" si="22"/>
        <v/>
      </c>
      <c r="BA22" s="56">
        <v>15</v>
      </c>
      <c r="BB22" s="63"/>
      <c r="BC22" s="70"/>
      <c r="BD22" s="71"/>
      <c r="BE22" s="71"/>
      <c r="BF22" s="71"/>
      <c r="BG22" s="71"/>
      <c r="BH22" s="72"/>
      <c r="BI22" s="72"/>
      <c r="BJ22" s="72"/>
      <c r="BK22" s="72"/>
      <c r="BL22" s="64"/>
      <c r="BM22" s="64"/>
      <c r="BN22" s="65" t="str">
        <f t="shared" si="23"/>
        <v/>
      </c>
      <c r="BO22" s="56">
        <v>15</v>
      </c>
      <c r="BP22" s="64"/>
      <c r="BQ22" s="62"/>
      <c r="BR22" s="61"/>
      <c r="BS22" s="61"/>
      <c r="BT22" s="61"/>
      <c r="BU22" s="64"/>
      <c r="BV22" s="63"/>
      <c r="BW22" s="63"/>
      <c r="BX22" s="66"/>
      <c r="BY22" s="172"/>
      <c r="BZ22" s="67" t="str">
        <f t="shared" si="24"/>
        <v/>
      </c>
      <c r="CA22" s="56">
        <v>15</v>
      </c>
      <c r="CB22" s="61"/>
      <c r="CC22" s="61"/>
      <c r="CD22" s="68" t="str">
        <f t="shared" si="25"/>
        <v/>
      </c>
      <c r="CE22" s="69" t="str">
        <f t="shared" si="26"/>
        <v/>
      </c>
      <c r="CF22" s="69" t="str">
        <f t="shared" si="27"/>
        <v/>
      </c>
      <c r="CG22" s="62"/>
      <c r="CH22" s="62"/>
      <c r="CI22" s="65" t="str">
        <f t="shared" si="28"/>
        <v/>
      </c>
      <c r="CJ22" s="56">
        <v>15</v>
      </c>
      <c r="CK22" s="61"/>
      <c r="CL22" s="61"/>
      <c r="CM22" s="68" t="str">
        <f t="shared" si="29"/>
        <v/>
      </c>
      <c r="CN22" s="68" t="str">
        <f t="shared" si="30"/>
        <v/>
      </c>
      <c r="CO22" s="68" t="str">
        <f t="shared" si="31"/>
        <v/>
      </c>
      <c r="CP22" s="62"/>
      <c r="CQ22" s="62"/>
      <c r="CR22" s="65" t="str">
        <f t="shared" si="32"/>
        <v/>
      </c>
      <c r="CS22" s="56">
        <v>15</v>
      </c>
      <c r="CT22" s="61"/>
      <c r="CU22" s="61"/>
      <c r="CV22" s="68" t="str">
        <f t="shared" si="33"/>
        <v/>
      </c>
      <c r="CW22" s="68" t="str">
        <f t="shared" si="34"/>
        <v/>
      </c>
      <c r="CX22" s="69" t="str">
        <f t="shared" si="35"/>
        <v/>
      </c>
      <c r="CY22" s="66"/>
      <c r="CZ22" s="66"/>
      <c r="DA22" s="66"/>
      <c r="DB22" s="65" t="str">
        <f t="shared" si="36"/>
        <v/>
      </c>
      <c r="DC22" s="56">
        <v>15</v>
      </c>
      <c r="DD22" s="61"/>
      <c r="DE22" s="61"/>
      <c r="DF22" s="68" t="str">
        <f t="shared" si="37"/>
        <v/>
      </c>
      <c r="DG22" s="69" t="str">
        <f t="shared" si="38"/>
        <v/>
      </c>
      <c r="DH22" s="68" t="str">
        <f t="shared" si="39"/>
        <v/>
      </c>
      <c r="DI22" s="62"/>
      <c r="DJ22" s="62"/>
      <c r="DK22" s="65" t="str">
        <f t="shared" si="40"/>
        <v/>
      </c>
      <c r="DL22" s="56">
        <v>15</v>
      </c>
      <c r="DM22" s="63"/>
      <c r="DN22" s="64"/>
      <c r="DO22" s="64"/>
      <c r="DP22" s="64"/>
      <c r="DQ22" s="63"/>
      <c r="DR22" s="61"/>
      <c r="DS22" s="64"/>
      <c r="DT22" s="61"/>
      <c r="DU22" s="63"/>
      <c r="DV22" s="64"/>
      <c r="DW22" s="64"/>
      <c r="DX22" s="66"/>
      <c r="DY22" s="65" t="str">
        <f t="shared" si="41"/>
        <v/>
      </c>
      <c r="DZ22" s="128">
        <v>15</v>
      </c>
      <c r="EA22" s="173" t="str">
        <f t="shared" si="42"/>
        <v/>
      </c>
      <c r="EB22" s="173" t="str">
        <f t="shared" si="43"/>
        <v/>
      </c>
      <c r="EC22" s="173" t="str">
        <f t="shared" si="44"/>
        <v/>
      </c>
      <c r="ED22" s="63"/>
      <c r="EE22" s="63"/>
      <c r="EF22" s="63"/>
      <c r="EG22" s="63"/>
      <c r="EH22" s="127" t="str">
        <f t="shared" si="5"/>
        <v/>
      </c>
      <c r="EI22" s="56">
        <v>15</v>
      </c>
      <c r="EJ22" s="334"/>
      <c r="EK22" s="334"/>
      <c r="EL22" s="334"/>
      <c r="EM22" s="334"/>
      <c r="EN22" s="334"/>
      <c r="EO22" s="334"/>
      <c r="EP22" s="334"/>
      <c r="EQ22" s="65" t="str">
        <f t="shared" si="45"/>
        <v/>
      </c>
      <c r="ER22" s="20"/>
      <c r="ES22" s="20"/>
      <c r="ET22" s="20"/>
      <c r="EU22" s="20"/>
      <c r="EV22" s="20"/>
      <c r="EW22" s="20"/>
      <c r="EX22" s="20"/>
    </row>
    <row r="23" spans="1:154" s="3" customFormat="1" ht="17.149999999999999" customHeight="1" x14ac:dyDescent="0.25">
      <c r="A23" s="56">
        <v>16</v>
      </c>
      <c r="B23" s="57"/>
      <c r="C23" s="58" t="str">
        <f t="shared" si="6"/>
        <v/>
      </c>
      <c r="D23" s="167"/>
      <c r="E23" s="59"/>
      <c r="F23" s="58" t="str">
        <f t="shared" si="7"/>
        <v/>
      </c>
      <c r="G23" s="168"/>
      <c r="H23" s="57"/>
      <c r="I23" s="58" t="str">
        <f t="shared" si="0"/>
        <v/>
      </c>
      <c r="J23" s="60"/>
      <c r="K23" s="56">
        <v>16</v>
      </c>
      <c r="L23" s="57"/>
      <c r="M23" s="58" t="str">
        <f t="shared" si="8"/>
        <v/>
      </c>
      <c r="N23" s="59"/>
      <c r="O23" s="58" t="str">
        <f t="shared" si="9"/>
        <v/>
      </c>
      <c r="P23" s="57"/>
      <c r="Q23" s="169" t="str">
        <f t="shared" si="1"/>
        <v/>
      </c>
      <c r="R23" s="57"/>
      <c r="S23" s="57"/>
      <c r="T23" s="57"/>
      <c r="U23" s="57"/>
      <c r="V23" s="58" t="str">
        <f t="shared" si="10"/>
        <v/>
      </c>
      <c r="W23" s="56">
        <v>16</v>
      </c>
      <c r="X23" s="63"/>
      <c r="Y23" s="130" t="str">
        <f t="shared" si="11"/>
        <v/>
      </c>
      <c r="Z23" s="63"/>
      <c r="AA23" s="130" t="str">
        <f t="shared" si="12"/>
        <v/>
      </c>
      <c r="AB23" s="63"/>
      <c r="AC23" s="130" t="str">
        <f t="shared" si="13"/>
        <v/>
      </c>
      <c r="AD23" s="63"/>
      <c r="AE23" s="130" t="str">
        <f t="shared" si="2"/>
        <v/>
      </c>
      <c r="AF23" s="125" t="str">
        <f t="shared" si="14"/>
        <v/>
      </c>
      <c r="AG23" s="56">
        <v>16</v>
      </c>
      <c r="AH23" s="63"/>
      <c r="AI23" s="130" t="str">
        <f t="shared" si="15"/>
        <v/>
      </c>
      <c r="AJ23" s="63"/>
      <c r="AK23" s="130" t="str">
        <f t="shared" si="16"/>
        <v/>
      </c>
      <c r="AL23" s="63"/>
      <c r="AM23" s="130" t="str">
        <f t="shared" si="17"/>
        <v/>
      </c>
      <c r="AN23" s="63"/>
      <c r="AO23" s="130" t="str">
        <f t="shared" si="3"/>
        <v/>
      </c>
      <c r="AP23" s="125" t="str">
        <f t="shared" si="18"/>
        <v/>
      </c>
      <c r="AQ23" s="56">
        <v>16</v>
      </c>
      <c r="AR23" s="63"/>
      <c r="AS23" s="130" t="str">
        <f t="shared" si="19"/>
        <v/>
      </c>
      <c r="AT23" s="63"/>
      <c r="AU23" s="130" t="str">
        <f t="shared" si="20"/>
        <v/>
      </c>
      <c r="AV23" s="63"/>
      <c r="AW23" s="130" t="str">
        <f t="shared" si="21"/>
        <v/>
      </c>
      <c r="AX23" s="63"/>
      <c r="AY23" s="130" t="str">
        <f t="shared" si="4"/>
        <v/>
      </c>
      <c r="AZ23" s="125" t="str">
        <f t="shared" si="22"/>
        <v/>
      </c>
      <c r="BA23" s="56">
        <v>16</v>
      </c>
      <c r="BB23" s="63"/>
      <c r="BC23" s="62"/>
      <c r="BD23" s="61"/>
      <c r="BE23" s="61"/>
      <c r="BF23" s="61"/>
      <c r="BG23" s="61"/>
      <c r="BH23" s="64"/>
      <c r="BI23" s="64"/>
      <c r="BJ23" s="64"/>
      <c r="BK23" s="64"/>
      <c r="BL23" s="64"/>
      <c r="BM23" s="64"/>
      <c r="BN23" s="65" t="str">
        <f t="shared" si="23"/>
        <v/>
      </c>
      <c r="BO23" s="56">
        <v>16</v>
      </c>
      <c r="BP23" s="64"/>
      <c r="BQ23" s="62"/>
      <c r="BR23" s="61"/>
      <c r="BS23" s="61"/>
      <c r="BT23" s="61"/>
      <c r="BU23" s="64"/>
      <c r="BV23" s="63"/>
      <c r="BW23" s="63"/>
      <c r="BX23" s="66"/>
      <c r="BY23" s="172"/>
      <c r="BZ23" s="67" t="str">
        <f t="shared" si="24"/>
        <v/>
      </c>
      <c r="CA23" s="56">
        <v>16</v>
      </c>
      <c r="CB23" s="61"/>
      <c r="CC23" s="61"/>
      <c r="CD23" s="68" t="str">
        <f t="shared" si="25"/>
        <v/>
      </c>
      <c r="CE23" s="69" t="str">
        <f t="shared" si="26"/>
        <v/>
      </c>
      <c r="CF23" s="69" t="str">
        <f t="shared" si="27"/>
        <v/>
      </c>
      <c r="CG23" s="62"/>
      <c r="CH23" s="62"/>
      <c r="CI23" s="65" t="str">
        <f t="shared" si="28"/>
        <v/>
      </c>
      <c r="CJ23" s="56">
        <v>16</v>
      </c>
      <c r="CK23" s="61"/>
      <c r="CL23" s="61"/>
      <c r="CM23" s="68" t="str">
        <f t="shared" si="29"/>
        <v/>
      </c>
      <c r="CN23" s="68" t="str">
        <f t="shared" si="30"/>
        <v/>
      </c>
      <c r="CO23" s="68" t="str">
        <f t="shared" si="31"/>
        <v/>
      </c>
      <c r="CP23" s="62"/>
      <c r="CQ23" s="62"/>
      <c r="CR23" s="65" t="str">
        <f t="shared" si="32"/>
        <v/>
      </c>
      <c r="CS23" s="56">
        <v>16</v>
      </c>
      <c r="CT23" s="61"/>
      <c r="CU23" s="61"/>
      <c r="CV23" s="68" t="str">
        <f t="shared" si="33"/>
        <v/>
      </c>
      <c r="CW23" s="68" t="str">
        <f t="shared" si="34"/>
        <v/>
      </c>
      <c r="CX23" s="69" t="str">
        <f t="shared" si="35"/>
        <v/>
      </c>
      <c r="CY23" s="66"/>
      <c r="CZ23" s="66"/>
      <c r="DA23" s="66"/>
      <c r="DB23" s="65" t="str">
        <f t="shared" si="36"/>
        <v/>
      </c>
      <c r="DC23" s="56">
        <v>16</v>
      </c>
      <c r="DD23" s="61"/>
      <c r="DE23" s="61"/>
      <c r="DF23" s="68" t="str">
        <f t="shared" si="37"/>
        <v/>
      </c>
      <c r="DG23" s="69" t="str">
        <f t="shared" si="38"/>
        <v/>
      </c>
      <c r="DH23" s="68" t="str">
        <f t="shared" si="39"/>
        <v/>
      </c>
      <c r="DI23" s="62"/>
      <c r="DJ23" s="62"/>
      <c r="DK23" s="65" t="str">
        <f t="shared" si="40"/>
        <v/>
      </c>
      <c r="DL23" s="56">
        <v>16</v>
      </c>
      <c r="DM23" s="63"/>
      <c r="DN23" s="64"/>
      <c r="DO23" s="64"/>
      <c r="DP23" s="64"/>
      <c r="DQ23" s="63"/>
      <c r="DR23" s="61"/>
      <c r="DS23" s="64"/>
      <c r="DT23" s="61"/>
      <c r="DU23" s="63"/>
      <c r="DV23" s="64"/>
      <c r="DW23" s="64"/>
      <c r="DX23" s="66"/>
      <c r="DY23" s="65" t="str">
        <f t="shared" si="41"/>
        <v/>
      </c>
      <c r="DZ23" s="128">
        <v>16</v>
      </c>
      <c r="EA23" s="173" t="str">
        <f t="shared" si="42"/>
        <v/>
      </c>
      <c r="EB23" s="173" t="str">
        <f t="shared" si="43"/>
        <v/>
      </c>
      <c r="EC23" s="173" t="str">
        <f t="shared" si="44"/>
        <v/>
      </c>
      <c r="ED23" s="63"/>
      <c r="EE23" s="63"/>
      <c r="EF23" s="63"/>
      <c r="EG23" s="63"/>
      <c r="EH23" s="127" t="str">
        <f t="shared" si="5"/>
        <v/>
      </c>
      <c r="EI23" s="56">
        <v>16</v>
      </c>
      <c r="EJ23" s="334"/>
      <c r="EK23" s="334"/>
      <c r="EL23" s="334"/>
      <c r="EM23" s="334"/>
      <c r="EN23" s="334"/>
      <c r="EO23" s="334"/>
      <c r="EP23" s="334"/>
      <c r="EQ23" s="65" t="str">
        <f t="shared" si="45"/>
        <v/>
      </c>
      <c r="ER23" s="20"/>
      <c r="ES23" s="20"/>
      <c r="ET23" s="20"/>
      <c r="EU23" s="20"/>
      <c r="EV23" s="20"/>
      <c r="EW23" s="20"/>
      <c r="EX23" s="20"/>
    </row>
    <row r="24" spans="1:154" s="3" customFormat="1" ht="17.149999999999999" customHeight="1" x14ac:dyDescent="0.25">
      <c r="A24" s="56">
        <v>17</v>
      </c>
      <c r="B24" s="57"/>
      <c r="C24" s="58" t="str">
        <f t="shared" si="6"/>
        <v/>
      </c>
      <c r="D24" s="167"/>
      <c r="E24" s="59"/>
      <c r="F24" s="58" t="str">
        <f t="shared" si="7"/>
        <v/>
      </c>
      <c r="G24" s="168"/>
      <c r="H24" s="57"/>
      <c r="I24" s="58" t="str">
        <f t="shared" si="0"/>
        <v/>
      </c>
      <c r="J24" s="60"/>
      <c r="K24" s="56">
        <v>17</v>
      </c>
      <c r="L24" s="57"/>
      <c r="M24" s="58" t="str">
        <f t="shared" si="8"/>
        <v/>
      </c>
      <c r="N24" s="59"/>
      <c r="O24" s="58" t="str">
        <f t="shared" si="9"/>
        <v/>
      </c>
      <c r="P24" s="57"/>
      <c r="Q24" s="169" t="str">
        <f t="shared" si="1"/>
        <v/>
      </c>
      <c r="R24" s="57"/>
      <c r="S24" s="57"/>
      <c r="T24" s="57"/>
      <c r="U24" s="57"/>
      <c r="V24" s="58" t="str">
        <f t="shared" si="10"/>
        <v/>
      </c>
      <c r="W24" s="56">
        <v>17</v>
      </c>
      <c r="X24" s="63"/>
      <c r="Y24" s="130" t="str">
        <f t="shared" si="11"/>
        <v/>
      </c>
      <c r="Z24" s="63"/>
      <c r="AA24" s="130" t="str">
        <f t="shared" si="12"/>
        <v/>
      </c>
      <c r="AB24" s="63"/>
      <c r="AC24" s="130" t="str">
        <f t="shared" si="13"/>
        <v/>
      </c>
      <c r="AD24" s="63"/>
      <c r="AE24" s="130" t="str">
        <f t="shared" si="2"/>
        <v/>
      </c>
      <c r="AF24" s="125" t="str">
        <f t="shared" si="14"/>
        <v/>
      </c>
      <c r="AG24" s="56">
        <v>17</v>
      </c>
      <c r="AH24" s="63"/>
      <c r="AI24" s="130" t="str">
        <f t="shared" si="15"/>
        <v/>
      </c>
      <c r="AJ24" s="63"/>
      <c r="AK24" s="130" t="str">
        <f t="shared" si="16"/>
        <v/>
      </c>
      <c r="AL24" s="63"/>
      <c r="AM24" s="130" t="str">
        <f t="shared" si="17"/>
        <v/>
      </c>
      <c r="AN24" s="63"/>
      <c r="AO24" s="130" t="str">
        <f t="shared" si="3"/>
        <v/>
      </c>
      <c r="AP24" s="125" t="str">
        <f t="shared" si="18"/>
        <v/>
      </c>
      <c r="AQ24" s="56">
        <v>17</v>
      </c>
      <c r="AR24" s="63"/>
      <c r="AS24" s="130" t="str">
        <f t="shared" si="19"/>
        <v/>
      </c>
      <c r="AT24" s="63"/>
      <c r="AU24" s="130" t="str">
        <f t="shared" si="20"/>
        <v/>
      </c>
      <c r="AV24" s="63"/>
      <c r="AW24" s="130" t="str">
        <f t="shared" si="21"/>
        <v/>
      </c>
      <c r="AX24" s="63"/>
      <c r="AY24" s="130" t="str">
        <f t="shared" si="4"/>
        <v/>
      </c>
      <c r="AZ24" s="125" t="str">
        <f t="shared" si="22"/>
        <v/>
      </c>
      <c r="BA24" s="56">
        <v>17</v>
      </c>
      <c r="BB24" s="63"/>
      <c r="BC24" s="62"/>
      <c r="BD24" s="61"/>
      <c r="BE24" s="61"/>
      <c r="BF24" s="61"/>
      <c r="BG24" s="61"/>
      <c r="BH24" s="64"/>
      <c r="BI24" s="64"/>
      <c r="BJ24" s="64"/>
      <c r="BK24" s="64"/>
      <c r="BL24" s="64"/>
      <c r="BM24" s="64"/>
      <c r="BN24" s="65" t="str">
        <f t="shared" si="23"/>
        <v/>
      </c>
      <c r="BO24" s="56">
        <v>17</v>
      </c>
      <c r="BP24" s="64"/>
      <c r="BQ24" s="62"/>
      <c r="BR24" s="61"/>
      <c r="BS24" s="61"/>
      <c r="BT24" s="61"/>
      <c r="BU24" s="64"/>
      <c r="BV24" s="63"/>
      <c r="BW24" s="63"/>
      <c r="BX24" s="66"/>
      <c r="BY24" s="172"/>
      <c r="BZ24" s="67" t="str">
        <f t="shared" si="24"/>
        <v/>
      </c>
      <c r="CA24" s="56">
        <v>17</v>
      </c>
      <c r="CB24" s="61"/>
      <c r="CC24" s="61"/>
      <c r="CD24" s="68" t="str">
        <f t="shared" si="25"/>
        <v/>
      </c>
      <c r="CE24" s="69" t="str">
        <f t="shared" si="26"/>
        <v/>
      </c>
      <c r="CF24" s="69" t="str">
        <f t="shared" si="27"/>
        <v/>
      </c>
      <c r="CG24" s="62"/>
      <c r="CH24" s="62"/>
      <c r="CI24" s="65" t="str">
        <f t="shared" si="28"/>
        <v/>
      </c>
      <c r="CJ24" s="56">
        <v>17</v>
      </c>
      <c r="CK24" s="61"/>
      <c r="CL24" s="61"/>
      <c r="CM24" s="68" t="str">
        <f t="shared" si="29"/>
        <v/>
      </c>
      <c r="CN24" s="68" t="str">
        <f t="shared" si="30"/>
        <v/>
      </c>
      <c r="CO24" s="68" t="str">
        <f t="shared" si="31"/>
        <v/>
      </c>
      <c r="CP24" s="62"/>
      <c r="CQ24" s="62"/>
      <c r="CR24" s="65" t="str">
        <f t="shared" si="32"/>
        <v/>
      </c>
      <c r="CS24" s="56">
        <v>17</v>
      </c>
      <c r="CT24" s="61"/>
      <c r="CU24" s="61"/>
      <c r="CV24" s="68" t="str">
        <f t="shared" si="33"/>
        <v/>
      </c>
      <c r="CW24" s="68" t="str">
        <f t="shared" si="34"/>
        <v/>
      </c>
      <c r="CX24" s="69" t="str">
        <f t="shared" si="35"/>
        <v/>
      </c>
      <c r="CY24" s="66"/>
      <c r="CZ24" s="66"/>
      <c r="DA24" s="66"/>
      <c r="DB24" s="65" t="str">
        <f t="shared" si="36"/>
        <v/>
      </c>
      <c r="DC24" s="56">
        <v>17</v>
      </c>
      <c r="DD24" s="61"/>
      <c r="DE24" s="61"/>
      <c r="DF24" s="68" t="str">
        <f t="shared" si="37"/>
        <v/>
      </c>
      <c r="DG24" s="69" t="str">
        <f t="shared" si="38"/>
        <v/>
      </c>
      <c r="DH24" s="68" t="str">
        <f t="shared" si="39"/>
        <v/>
      </c>
      <c r="DI24" s="62"/>
      <c r="DJ24" s="62"/>
      <c r="DK24" s="65" t="str">
        <f t="shared" si="40"/>
        <v/>
      </c>
      <c r="DL24" s="56">
        <v>17</v>
      </c>
      <c r="DM24" s="63"/>
      <c r="DN24" s="64"/>
      <c r="DO24" s="64"/>
      <c r="DP24" s="64"/>
      <c r="DQ24" s="63"/>
      <c r="DR24" s="61"/>
      <c r="DS24" s="64"/>
      <c r="DT24" s="61"/>
      <c r="DU24" s="63"/>
      <c r="DV24" s="64"/>
      <c r="DW24" s="64"/>
      <c r="DX24" s="66"/>
      <c r="DY24" s="65" t="str">
        <f t="shared" si="41"/>
        <v/>
      </c>
      <c r="DZ24" s="128">
        <v>17</v>
      </c>
      <c r="EA24" s="173" t="str">
        <f t="shared" si="42"/>
        <v/>
      </c>
      <c r="EB24" s="173" t="str">
        <f t="shared" si="43"/>
        <v/>
      </c>
      <c r="EC24" s="173" t="str">
        <f t="shared" si="44"/>
        <v/>
      </c>
      <c r="ED24" s="63"/>
      <c r="EE24" s="63"/>
      <c r="EF24" s="63"/>
      <c r="EG24" s="63"/>
      <c r="EH24" s="127" t="str">
        <f t="shared" si="5"/>
        <v/>
      </c>
      <c r="EI24" s="56">
        <v>17</v>
      </c>
      <c r="EJ24" s="334"/>
      <c r="EK24" s="334"/>
      <c r="EL24" s="334"/>
      <c r="EM24" s="334"/>
      <c r="EN24" s="334"/>
      <c r="EO24" s="334"/>
      <c r="EP24" s="334"/>
      <c r="EQ24" s="65" t="str">
        <f t="shared" si="45"/>
        <v/>
      </c>
      <c r="ER24" s="20"/>
      <c r="ES24" s="20"/>
      <c r="ET24" s="20"/>
      <c r="EU24" s="20"/>
      <c r="EV24" s="20"/>
      <c r="EW24" s="20"/>
      <c r="EX24" s="20"/>
    </row>
    <row r="25" spans="1:154" s="3" customFormat="1" ht="17.149999999999999" customHeight="1" x14ac:dyDescent="0.25">
      <c r="A25" s="56">
        <v>18</v>
      </c>
      <c r="B25" s="57"/>
      <c r="C25" s="58" t="str">
        <f t="shared" si="6"/>
        <v/>
      </c>
      <c r="D25" s="167"/>
      <c r="E25" s="59"/>
      <c r="F25" s="58" t="str">
        <f t="shared" si="7"/>
        <v/>
      </c>
      <c r="G25" s="168"/>
      <c r="H25" s="57"/>
      <c r="I25" s="58" t="str">
        <f t="shared" si="0"/>
        <v/>
      </c>
      <c r="J25" s="60"/>
      <c r="K25" s="56">
        <v>18</v>
      </c>
      <c r="L25" s="57"/>
      <c r="M25" s="58" t="str">
        <f t="shared" si="8"/>
        <v/>
      </c>
      <c r="N25" s="59"/>
      <c r="O25" s="58" t="str">
        <f t="shared" si="9"/>
        <v/>
      </c>
      <c r="P25" s="57"/>
      <c r="Q25" s="169" t="str">
        <f t="shared" si="1"/>
        <v/>
      </c>
      <c r="R25" s="57"/>
      <c r="S25" s="57"/>
      <c r="T25" s="57"/>
      <c r="U25" s="57"/>
      <c r="V25" s="58" t="str">
        <f t="shared" si="10"/>
        <v/>
      </c>
      <c r="W25" s="56">
        <v>18</v>
      </c>
      <c r="X25" s="63"/>
      <c r="Y25" s="130" t="str">
        <f t="shared" si="11"/>
        <v/>
      </c>
      <c r="Z25" s="63"/>
      <c r="AA25" s="130" t="str">
        <f t="shared" si="12"/>
        <v/>
      </c>
      <c r="AB25" s="63"/>
      <c r="AC25" s="130" t="str">
        <f t="shared" si="13"/>
        <v/>
      </c>
      <c r="AD25" s="63"/>
      <c r="AE25" s="130" t="str">
        <f t="shared" si="2"/>
        <v/>
      </c>
      <c r="AF25" s="125" t="str">
        <f t="shared" si="14"/>
        <v/>
      </c>
      <c r="AG25" s="56">
        <v>18</v>
      </c>
      <c r="AH25" s="63"/>
      <c r="AI25" s="130" t="str">
        <f t="shared" si="15"/>
        <v/>
      </c>
      <c r="AJ25" s="63"/>
      <c r="AK25" s="130" t="str">
        <f t="shared" si="16"/>
        <v/>
      </c>
      <c r="AL25" s="63"/>
      <c r="AM25" s="130" t="str">
        <f t="shared" si="17"/>
        <v/>
      </c>
      <c r="AN25" s="63"/>
      <c r="AO25" s="130" t="str">
        <f t="shared" si="3"/>
        <v/>
      </c>
      <c r="AP25" s="125" t="str">
        <f t="shared" si="18"/>
        <v/>
      </c>
      <c r="AQ25" s="56">
        <v>18</v>
      </c>
      <c r="AR25" s="63"/>
      <c r="AS25" s="130" t="str">
        <f t="shared" si="19"/>
        <v/>
      </c>
      <c r="AT25" s="63"/>
      <c r="AU25" s="130" t="str">
        <f t="shared" si="20"/>
        <v/>
      </c>
      <c r="AV25" s="63"/>
      <c r="AW25" s="130" t="str">
        <f t="shared" si="21"/>
        <v/>
      </c>
      <c r="AX25" s="63"/>
      <c r="AY25" s="130" t="str">
        <f t="shared" si="4"/>
        <v/>
      </c>
      <c r="AZ25" s="125" t="str">
        <f t="shared" si="22"/>
        <v/>
      </c>
      <c r="BA25" s="56">
        <v>18</v>
      </c>
      <c r="BB25" s="262"/>
      <c r="BC25" s="62"/>
      <c r="BD25" s="61"/>
      <c r="BE25" s="61"/>
      <c r="BF25" s="61"/>
      <c r="BG25" s="61"/>
      <c r="BH25" s="64"/>
      <c r="BI25" s="64"/>
      <c r="BJ25" s="64"/>
      <c r="BK25" s="64"/>
      <c r="BL25" s="64"/>
      <c r="BM25" s="64"/>
      <c r="BN25" s="65" t="str">
        <f t="shared" si="23"/>
        <v/>
      </c>
      <c r="BO25" s="56">
        <v>18</v>
      </c>
      <c r="BP25" s="64"/>
      <c r="BQ25" s="62"/>
      <c r="BR25" s="61"/>
      <c r="BS25" s="61"/>
      <c r="BT25" s="61"/>
      <c r="BU25" s="64"/>
      <c r="BV25" s="63"/>
      <c r="BW25" s="63"/>
      <c r="BX25" s="66"/>
      <c r="BY25" s="172"/>
      <c r="BZ25" s="67" t="str">
        <f t="shared" si="24"/>
        <v/>
      </c>
      <c r="CA25" s="56">
        <v>18</v>
      </c>
      <c r="CB25" s="61"/>
      <c r="CC25" s="61"/>
      <c r="CD25" s="68" t="str">
        <f t="shared" si="25"/>
        <v/>
      </c>
      <c r="CE25" s="69" t="str">
        <f t="shared" si="26"/>
        <v/>
      </c>
      <c r="CF25" s="69" t="str">
        <f t="shared" si="27"/>
        <v/>
      </c>
      <c r="CG25" s="62"/>
      <c r="CH25" s="62"/>
      <c r="CI25" s="65" t="str">
        <f t="shared" si="28"/>
        <v/>
      </c>
      <c r="CJ25" s="56">
        <v>18</v>
      </c>
      <c r="CK25" s="61"/>
      <c r="CL25" s="61"/>
      <c r="CM25" s="68" t="str">
        <f t="shared" si="29"/>
        <v/>
      </c>
      <c r="CN25" s="68" t="str">
        <f t="shared" si="30"/>
        <v/>
      </c>
      <c r="CO25" s="68" t="str">
        <f t="shared" si="31"/>
        <v/>
      </c>
      <c r="CP25" s="62"/>
      <c r="CQ25" s="62"/>
      <c r="CR25" s="65" t="str">
        <f t="shared" si="32"/>
        <v/>
      </c>
      <c r="CS25" s="56">
        <v>18</v>
      </c>
      <c r="CT25" s="61"/>
      <c r="CU25" s="61"/>
      <c r="CV25" s="68" t="str">
        <f t="shared" si="33"/>
        <v/>
      </c>
      <c r="CW25" s="68" t="str">
        <f t="shared" si="34"/>
        <v/>
      </c>
      <c r="CX25" s="69" t="str">
        <f t="shared" si="35"/>
        <v/>
      </c>
      <c r="CY25" s="66"/>
      <c r="CZ25" s="66"/>
      <c r="DA25" s="66"/>
      <c r="DB25" s="65" t="str">
        <f t="shared" si="36"/>
        <v/>
      </c>
      <c r="DC25" s="56">
        <v>18</v>
      </c>
      <c r="DD25" s="61"/>
      <c r="DE25" s="61"/>
      <c r="DF25" s="68" t="str">
        <f t="shared" si="37"/>
        <v/>
      </c>
      <c r="DG25" s="69" t="str">
        <f t="shared" si="38"/>
        <v/>
      </c>
      <c r="DH25" s="68" t="str">
        <f t="shared" si="39"/>
        <v/>
      </c>
      <c r="DI25" s="62"/>
      <c r="DJ25" s="62"/>
      <c r="DK25" s="65" t="str">
        <f t="shared" si="40"/>
        <v/>
      </c>
      <c r="DL25" s="56">
        <v>18</v>
      </c>
      <c r="DM25" s="63"/>
      <c r="DN25" s="64"/>
      <c r="DO25" s="64"/>
      <c r="DP25" s="64"/>
      <c r="DQ25" s="63"/>
      <c r="DR25" s="61"/>
      <c r="DS25" s="64"/>
      <c r="DT25" s="61"/>
      <c r="DU25" s="63"/>
      <c r="DV25" s="64"/>
      <c r="DW25" s="64"/>
      <c r="DX25" s="66"/>
      <c r="DY25" s="65" t="str">
        <f t="shared" si="41"/>
        <v/>
      </c>
      <c r="DZ25" s="128">
        <v>18</v>
      </c>
      <c r="EA25" s="173" t="str">
        <f t="shared" si="42"/>
        <v/>
      </c>
      <c r="EB25" s="173" t="str">
        <f t="shared" si="43"/>
        <v/>
      </c>
      <c r="EC25" s="173" t="str">
        <f t="shared" si="44"/>
        <v/>
      </c>
      <c r="ED25" s="63"/>
      <c r="EE25" s="63"/>
      <c r="EF25" s="63"/>
      <c r="EG25" s="63"/>
      <c r="EH25" s="127" t="str">
        <f t="shared" si="5"/>
        <v/>
      </c>
      <c r="EI25" s="56">
        <v>18</v>
      </c>
      <c r="EJ25" s="334"/>
      <c r="EK25" s="334"/>
      <c r="EL25" s="334"/>
      <c r="EM25" s="334"/>
      <c r="EN25" s="334"/>
      <c r="EO25" s="334"/>
      <c r="EP25" s="334"/>
      <c r="EQ25" s="65" t="str">
        <f t="shared" si="45"/>
        <v/>
      </c>
      <c r="ER25" s="20"/>
      <c r="ES25" s="20"/>
      <c r="ET25" s="20"/>
      <c r="EU25" s="20"/>
      <c r="EV25" s="20"/>
      <c r="EW25" s="20"/>
      <c r="EX25" s="20"/>
    </row>
    <row r="26" spans="1:154" s="3" customFormat="1" ht="17.149999999999999" customHeight="1" x14ac:dyDescent="0.25">
      <c r="A26" s="56">
        <v>19</v>
      </c>
      <c r="B26" s="57"/>
      <c r="C26" s="58" t="str">
        <f t="shared" si="6"/>
        <v/>
      </c>
      <c r="D26" s="167"/>
      <c r="E26" s="59"/>
      <c r="F26" s="58" t="str">
        <f t="shared" si="7"/>
        <v/>
      </c>
      <c r="G26" s="168"/>
      <c r="H26" s="57"/>
      <c r="I26" s="58" t="str">
        <f t="shared" si="0"/>
        <v/>
      </c>
      <c r="J26" s="60"/>
      <c r="K26" s="56">
        <v>19</v>
      </c>
      <c r="L26" s="57"/>
      <c r="M26" s="58" t="str">
        <f t="shared" si="8"/>
        <v/>
      </c>
      <c r="N26" s="59"/>
      <c r="O26" s="58" t="str">
        <f t="shared" si="9"/>
        <v/>
      </c>
      <c r="P26" s="57"/>
      <c r="Q26" s="169" t="str">
        <f t="shared" si="1"/>
        <v/>
      </c>
      <c r="R26" s="57"/>
      <c r="S26" s="57"/>
      <c r="T26" s="57"/>
      <c r="U26" s="57"/>
      <c r="V26" s="58" t="str">
        <f t="shared" si="10"/>
        <v/>
      </c>
      <c r="W26" s="56">
        <v>19</v>
      </c>
      <c r="X26" s="63"/>
      <c r="Y26" s="130" t="str">
        <f t="shared" si="11"/>
        <v/>
      </c>
      <c r="Z26" s="63"/>
      <c r="AA26" s="130" t="str">
        <f t="shared" si="12"/>
        <v/>
      </c>
      <c r="AB26" s="63"/>
      <c r="AC26" s="130" t="str">
        <f t="shared" si="13"/>
        <v/>
      </c>
      <c r="AD26" s="63"/>
      <c r="AE26" s="130" t="str">
        <f t="shared" si="2"/>
        <v/>
      </c>
      <c r="AF26" s="125" t="str">
        <f t="shared" si="14"/>
        <v/>
      </c>
      <c r="AG26" s="56">
        <v>19</v>
      </c>
      <c r="AH26" s="63"/>
      <c r="AI26" s="130" t="str">
        <f t="shared" si="15"/>
        <v/>
      </c>
      <c r="AJ26" s="63"/>
      <c r="AK26" s="130" t="str">
        <f t="shared" si="16"/>
        <v/>
      </c>
      <c r="AL26" s="63"/>
      <c r="AM26" s="130" t="str">
        <f t="shared" si="17"/>
        <v/>
      </c>
      <c r="AN26" s="63"/>
      <c r="AO26" s="130" t="str">
        <f t="shared" si="3"/>
        <v/>
      </c>
      <c r="AP26" s="125" t="str">
        <f t="shared" si="18"/>
        <v/>
      </c>
      <c r="AQ26" s="56">
        <v>19</v>
      </c>
      <c r="AR26" s="63"/>
      <c r="AS26" s="130" t="str">
        <f t="shared" si="19"/>
        <v/>
      </c>
      <c r="AT26" s="63"/>
      <c r="AU26" s="130" t="str">
        <f t="shared" si="20"/>
        <v/>
      </c>
      <c r="AV26" s="63"/>
      <c r="AW26" s="130" t="str">
        <f t="shared" si="21"/>
        <v/>
      </c>
      <c r="AX26" s="63"/>
      <c r="AY26" s="130" t="str">
        <f t="shared" si="4"/>
        <v/>
      </c>
      <c r="AZ26" s="125" t="str">
        <f t="shared" si="22"/>
        <v/>
      </c>
      <c r="BA26" s="56">
        <v>19</v>
      </c>
      <c r="BB26" s="63"/>
      <c r="BC26" s="62"/>
      <c r="BD26" s="61"/>
      <c r="BE26" s="61"/>
      <c r="BF26" s="61"/>
      <c r="BG26" s="61"/>
      <c r="BH26" s="64"/>
      <c r="BI26" s="64"/>
      <c r="BJ26" s="64"/>
      <c r="BK26" s="64"/>
      <c r="BL26" s="64"/>
      <c r="BM26" s="64"/>
      <c r="BN26" s="65" t="str">
        <f t="shared" si="23"/>
        <v/>
      </c>
      <c r="BO26" s="56">
        <v>19</v>
      </c>
      <c r="BP26" s="64"/>
      <c r="BQ26" s="62"/>
      <c r="BR26" s="61"/>
      <c r="BS26" s="61"/>
      <c r="BT26" s="61"/>
      <c r="BU26" s="64"/>
      <c r="BV26" s="63"/>
      <c r="BW26" s="63"/>
      <c r="BX26" s="66"/>
      <c r="BY26" s="172"/>
      <c r="BZ26" s="67" t="str">
        <f t="shared" si="24"/>
        <v/>
      </c>
      <c r="CA26" s="56">
        <v>19</v>
      </c>
      <c r="CB26" s="61"/>
      <c r="CC26" s="61"/>
      <c r="CD26" s="68" t="str">
        <f t="shared" si="25"/>
        <v/>
      </c>
      <c r="CE26" s="69" t="str">
        <f t="shared" si="26"/>
        <v/>
      </c>
      <c r="CF26" s="69" t="str">
        <f t="shared" si="27"/>
        <v/>
      </c>
      <c r="CG26" s="62"/>
      <c r="CH26" s="62"/>
      <c r="CI26" s="65" t="str">
        <f t="shared" si="28"/>
        <v/>
      </c>
      <c r="CJ26" s="56">
        <v>19</v>
      </c>
      <c r="CK26" s="61"/>
      <c r="CL26" s="61"/>
      <c r="CM26" s="68" t="str">
        <f t="shared" si="29"/>
        <v/>
      </c>
      <c r="CN26" s="68" t="str">
        <f t="shared" si="30"/>
        <v/>
      </c>
      <c r="CO26" s="68" t="str">
        <f t="shared" si="31"/>
        <v/>
      </c>
      <c r="CP26" s="62"/>
      <c r="CQ26" s="62"/>
      <c r="CR26" s="65" t="str">
        <f t="shared" si="32"/>
        <v/>
      </c>
      <c r="CS26" s="56">
        <v>19</v>
      </c>
      <c r="CT26" s="61"/>
      <c r="CU26" s="61"/>
      <c r="CV26" s="68" t="str">
        <f t="shared" si="33"/>
        <v/>
      </c>
      <c r="CW26" s="68" t="str">
        <f t="shared" si="34"/>
        <v/>
      </c>
      <c r="CX26" s="69" t="str">
        <f t="shared" si="35"/>
        <v/>
      </c>
      <c r="CY26" s="66"/>
      <c r="CZ26" s="66"/>
      <c r="DA26" s="66"/>
      <c r="DB26" s="65" t="str">
        <f t="shared" si="36"/>
        <v/>
      </c>
      <c r="DC26" s="56">
        <v>19</v>
      </c>
      <c r="DD26" s="61"/>
      <c r="DE26" s="61"/>
      <c r="DF26" s="68" t="str">
        <f t="shared" si="37"/>
        <v/>
      </c>
      <c r="DG26" s="69" t="str">
        <f t="shared" si="38"/>
        <v/>
      </c>
      <c r="DH26" s="68" t="str">
        <f t="shared" si="39"/>
        <v/>
      </c>
      <c r="DI26" s="62"/>
      <c r="DJ26" s="62"/>
      <c r="DK26" s="65" t="str">
        <f t="shared" si="40"/>
        <v/>
      </c>
      <c r="DL26" s="56">
        <v>19</v>
      </c>
      <c r="DM26" s="63"/>
      <c r="DN26" s="64"/>
      <c r="DO26" s="64"/>
      <c r="DP26" s="64"/>
      <c r="DQ26" s="63"/>
      <c r="DR26" s="61"/>
      <c r="DS26" s="64"/>
      <c r="DT26" s="61"/>
      <c r="DU26" s="63"/>
      <c r="DV26" s="64"/>
      <c r="DW26" s="64"/>
      <c r="DX26" s="66"/>
      <c r="DY26" s="65" t="str">
        <f t="shared" si="41"/>
        <v/>
      </c>
      <c r="DZ26" s="128">
        <v>19</v>
      </c>
      <c r="EA26" s="173" t="str">
        <f t="shared" si="42"/>
        <v/>
      </c>
      <c r="EB26" s="173" t="str">
        <f t="shared" si="43"/>
        <v/>
      </c>
      <c r="EC26" s="173" t="str">
        <f t="shared" si="44"/>
        <v/>
      </c>
      <c r="ED26" s="63"/>
      <c r="EE26" s="63"/>
      <c r="EF26" s="63"/>
      <c r="EG26" s="63"/>
      <c r="EH26" s="127" t="str">
        <f t="shared" si="5"/>
        <v/>
      </c>
      <c r="EI26" s="56">
        <v>19</v>
      </c>
      <c r="EJ26" s="334"/>
      <c r="EK26" s="334"/>
      <c r="EL26" s="334"/>
      <c r="EM26" s="334"/>
      <c r="EN26" s="334"/>
      <c r="EO26" s="334"/>
      <c r="EP26" s="334"/>
      <c r="EQ26" s="65" t="str">
        <f t="shared" si="45"/>
        <v/>
      </c>
      <c r="ER26" s="20"/>
      <c r="ES26" s="20"/>
      <c r="ET26" s="20"/>
      <c r="EU26" s="20"/>
      <c r="EV26" s="20"/>
      <c r="EW26" s="20"/>
      <c r="EX26" s="20"/>
    </row>
    <row r="27" spans="1:154" s="3" customFormat="1" ht="17.149999999999999" customHeight="1" x14ac:dyDescent="0.25">
      <c r="A27" s="56">
        <v>20</v>
      </c>
      <c r="B27" s="57"/>
      <c r="C27" s="58" t="str">
        <f t="shared" si="6"/>
        <v/>
      </c>
      <c r="D27" s="167"/>
      <c r="E27" s="59"/>
      <c r="F27" s="58" t="str">
        <f t="shared" si="7"/>
        <v/>
      </c>
      <c r="G27" s="168"/>
      <c r="H27" s="57"/>
      <c r="I27" s="58" t="str">
        <f t="shared" si="0"/>
        <v/>
      </c>
      <c r="J27" s="60"/>
      <c r="K27" s="56">
        <v>20</v>
      </c>
      <c r="L27" s="57"/>
      <c r="M27" s="58" t="str">
        <f t="shared" si="8"/>
        <v/>
      </c>
      <c r="N27" s="59"/>
      <c r="O27" s="58" t="str">
        <f t="shared" si="9"/>
        <v/>
      </c>
      <c r="P27" s="57"/>
      <c r="Q27" s="169" t="str">
        <f t="shared" si="1"/>
        <v/>
      </c>
      <c r="R27" s="57"/>
      <c r="S27" s="57"/>
      <c r="T27" s="57"/>
      <c r="U27" s="57"/>
      <c r="V27" s="58" t="str">
        <f t="shared" si="10"/>
        <v/>
      </c>
      <c r="W27" s="56">
        <v>20</v>
      </c>
      <c r="X27" s="63"/>
      <c r="Y27" s="130" t="str">
        <f t="shared" si="11"/>
        <v/>
      </c>
      <c r="Z27" s="63"/>
      <c r="AA27" s="130" t="str">
        <f t="shared" si="12"/>
        <v/>
      </c>
      <c r="AB27" s="63"/>
      <c r="AC27" s="130" t="str">
        <f t="shared" si="13"/>
        <v/>
      </c>
      <c r="AD27" s="63"/>
      <c r="AE27" s="130" t="str">
        <f t="shared" si="2"/>
        <v/>
      </c>
      <c r="AF27" s="125" t="str">
        <f t="shared" si="14"/>
        <v/>
      </c>
      <c r="AG27" s="56">
        <v>20</v>
      </c>
      <c r="AH27" s="63"/>
      <c r="AI27" s="130" t="str">
        <f t="shared" si="15"/>
        <v/>
      </c>
      <c r="AJ27" s="63"/>
      <c r="AK27" s="130" t="str">
        <f t="shared" si="16"/>
        <v/>
      </c>
      <c r="AL27" s="63"/>
      <c r="AM27" s="130" t="str">
        <f t="shared" si="17"/>
        <v/>
      </c>
      <c r="AN27" s="63"/>
      <c r="AO27" s="130" t="str">
        <f t="shared" si="3"/>
        <v/>
      </c>
      <c r="AP27" s="125" t="str">
        <f t="shared" si="18"/>
        <v/>
      </c>
      <c r="AQ27" s="56">
        <v>20</v>
      </c>
      <c r="AR27" s="63"/>
      <c r="AS27" s="130" t="str">
        <f t="shared" si="19"/>
        <v/>
      </c>
      <c r="AT27" s="63"/>
      <c r="AU27" s="130" t="str">
        <f t="shared" si="20"/>
        <v/>
      </c>
      <c r="AV27" s="63"/>
      <c r="AW27" s="130" t="str">
        <f t="shared" si="21"/>
        <v/>
      </c>
      <c r="AX27" s="63"/>
      <c r="AY27" s="130" t="str">
        <f t="shared" si="4"/>
        <v/>
      </c>
      <c r="AZ27" s="125" t="str">
        <f t="shared" si="22"/>
        <v/>
      </c>
      <c r="BA27" s="56">
        <v>20</v>
      </c>
      <c r="BB27" s="63"/>
      <c r="BC27" s="62"/>
      <c r="BD27" s="61"/>
      <c r="BE27" s="61"/>
      <c r="BF27" s="61"/>
      <c r="BG27" s="61"/>
      <c r="BH27" s="64"/>
      <c r="BI27" s="64"/>
      <c r="BJ27" s="64"/>
      <c r="BK27" s="64"/>
      <c r="BL27" s="64"/>
      <c r="BM27" s="64"/>
      <c r="BN27" s="65" t="str">
        <f t="shared" si="23"/>
        <v/>
      </c>
      <c r="BO27" s="56">
        <v>20</v>
      </c>
      <c r="BP27" s="64"/>
      <c r="BQ27" s="62"/>
      <c r="BR27" s="61"/>
      <c r="BS27" s="61"/>
      <c r="BT27" s="61"/>
      <c r="BU27" s="64"/>
      <c r="BV27" s="63"/>
      <c r="BW27" s="63"/>
      <c r="BX27" s="66"/>
      <c r="BY27" s="172"/>
      <c r="BZ27" s="67" t="str">
        <f t="shared" si="24"/>
        <v/>
      </c>
      <c r="CA27" s="56">
        <v>20</v>
      </c>
      <c r="CB27" s="61"/>
      <c r="CC27" s="61"/>
      <c r="CD27" s="68" t="str">
        <f t="shared" si="25"/>
        <v/>
      </c>
      <c r="CE27" s="69" t="str">
        <f t="shared" si="26"/>
        <v/>
      </c>
      <c r="CF27" s="69" t="str">
        <f t="shared" si="27"/>
        <v/>
      </c>
      <c r="CG27" s="62"/>
      <c r="CH27" s="62"/>
      <c r="CI27" s="65" t="str">
        <f t="shared" si="28"/>
        <v/>
      </c>
      <c r="CJ27" s="56">
        <v>20</v>
      </c>
      <c r="CK27" s="61"/>
      <c r="CL27" s="61"/>
      <c r="CM27" s="68" t="str">
        <f t="shared" si="29"/>
        <v/>
      </c>
      <c r="CN27" s="68" t="str">
        <f t="shared" si="30"/>
        <v/>
      </c>
      <c r="CO27" s="68" t="str">
        <f t="shared" si="31"/>
        <v/>
      </c>
      <c r="CP27" s="62"/>
      <c r="CQ27" s="62"/>
      <c r="CR27" s="65" t="str">
        <f t="shared" si="32"/>
        <v/>
      </c>
      <c r="CS27" s="56">
        <v>20</v>
      </c>
      <c r="CT27" s="61"/>
      <c r="CU27" s="61"/>
      <c r="CV27" s="68" t="str">
        <f t="shared" si="33"/>
        <v/>
      </c>
      <c r="CW27" s="68" t="str">
        <f t="shared" si="34"/>
        <v/>
      </c>
      <c r="CX27" s="69" t="str">
        <f t="shared" si="35"/>
        <v/>
      </c>
      <c r="CY27" s="66"/>
      <c r="CZ27" s="66"/>
      <c r="DA27" s="66"/>
      <c r="DB27" s="65" t="str">
        <f t="shared" si="36"/>
        <v/>
      </c>
      <c r="DC27" s="56">
        <v>20</v>
      </c>
      <c r="DD27" s="61"/>
      <c r="DE27" s="61"/>
      <c r="DF27" s="68" t="str">
        <f t="shared" si="37"/>
        <v/>
      </c>
      <c r="DG27" s="69" t="str">
        <f t="shared" si="38"/>
        <v/>
      </c>
      <c r="DH27" s="68" t="str">
        <f t="shared" si="39"/>
        <v/>
      </c>
      <c r="DI27" s="62"/>
      <c r="DJ27" s="62"/>
      <c r="DK27" s="65" t="str">
        <f t="shared" si="40"/>
        <v/>
      </c>
      <c r="DL27" s="56">
        <v>20</v>
      </c>
      <c r="DM27" s="63"/>
      <c r="DN27" s="64"/>
      <c r="DO27" s="64"/>
      <c r="DP27" s="64"/>
      <c r="DQ27" s="63"/>
      <c r="DR27" s="61"/>
      <c r="DS27" s="64"/>
      <c r="DT27" s="61"/>
      <c r="DU27" s="63"/>
      <c r="DV27" s="64"/>
      <c r="DW27" s="64"/>
      <c r="DX27" s="66"/>
      <c r="DY27" s="65" t="str">
        <f t="shared" si="41"/>
        <v/>
      </c>
      <c r="DZ27" s="128">
        <v>20</v>
      </c>
      <c r="EA27" s="173" t="str">
        <f t="shared" si="42"/>
        <v/>
      </c>
      <c r="EB27" s="173" t="str">
        <f t="shared" si="43"/>
        <v/>
      </c>
      <c r="EC27" s="173" t="str">
        <f t="shared" si="44"/>
        <v/>
      </c>
      <c r="ED27" s="63"/>
      <c r="EE27" s="63"/>
      <c r="EF27" s="63"/>
      <c r="EG27" s="63"/>
      <c r="EH27" s="127" t="str">
        <f t="shared" si="5"/>
        <v/>
      </c>
      <c r="EI27" s="56">
        <v>20</v>
      </c>
      <c r="EJ27" s="334"/>
      <c r="EK27" s="334"/>
      <c r="EL27" s="334"/>
      <c r="EM27" s="334"/>
      <c r="EN27" s="334"/>
      <c r="EO27" s="334"/>
      <c r="EP27" s="334"/>
      <c r="EQ27" s="65" t="str">
        <f t="shared" si="45"/>
        <v/>
      </c>
      <c r="ER27" s="20"/>
      <c r="ES27" s="20"/>
      <c r="ET27" s="20"/>
      <c r="EU27" s="20"/>
      <c r="EV27" s="20"/>
      <c r="EW27" s="20"/>
      <c r="EX27" s="20"/>
    </row>
    <row r="28" spans="1:154" s="3" customFormat="1" ht="17.149999999999999" customHeight="1" x14ac:dyDescent="0.25">
      <c r="A28" s="56">
        <v>21</v>
      </c>
      <c r="B28" s="57"/>
      <c r="C28" s="58" t="str">
        <f t="shared" si="6"/>
        <v/>
      </c>
      <c r="D28" s="167"/>
      <c r="E28" s="59"/>
      <c r="F28" s="58" t="str">
        <f t="shared" si="7"/>
        <v/>
      </c>
      <c r="G28" s="168"/>
      <c r="H28" s="57"/>
      <c r="I28" s="58" t="str">
        <f t="shared" si="0"/>
        <v/>
      </c>
      <c r="J28" s="60"/>
      <c r="K28" s="56">
        <v>21</v>
      </c>
      <c r="L28" s="57"/>
      <c r="M28" s="58" t="str">
        <f t="shared" si="8"/>
        <v/>
      </c>
      <c r="N28" s="59"/>
      <c r="O28" s="58" t="str">
        <f t="shared" si="9"/>
        <v/>
      </c>
      <c r="P28" s="57"/>
      <c r="Q28" s="169" t="str">
        <f t="shared" si="1"/>
        <v/>
      </c>
      <c r="R28" s="57"/>
      <c r="S28" s="57"/>
      <c r="T28" s="57"/>
      <c r="U28" s="57"/>
      <c r="V28" s="58" t="str">
        <f t="shared" si="10"/>
        <v/>
      </c>
      <c r="W28" s="56">
        <v>21</v>
      </c>
      <c r="X28" s="63"/>
      <c r="Y28" s="130" t="str">
        <f t="shared" si="11"/>
        <v/>
      </c>
      <c r="Z28" s="63"/>
      <c r="AA28" s="130" t="str">
        <f t="shared" si="12"/>
        <v/>
      </c>
      <c r="AB28" s="63"/>
      <c r="AC28" s="130" t="str">
        <f t="shared" si="13"/>
        <v/>
      </c>
      <c r="AD28" s="63"/>
      <c r="AE28" s="130" t="str">
        <f t="shared" si="2"/>
        <v/>
      </c>
      <c r="AF28" s="125" t="str">
        <f t="shared" si="14"/>
        <v/>
      </c>
      <c r="AG28" s="56">
        <v>21</v>
      </c>
      <c r="AH28" s="63"/>
      <c r="AI28" s="130" t="str">
        <f t="shared" si="15"/>
        <v/>
      </c>
      <c r="AJ28" s="63"/>
      <c r="AK28" s="130" t="str">
        <f t="shared" si="16"/>
        <v/>
      </c>
      <c r="AL28" s="63"/>
      <c r="AM28" s="130" t="str">
        <f t="shared" si="17"/>
        <v/>
      </c>
      <c r="AN28" s="63"/>
      <c r="AO28" s="130" t="str">
        <f t="shared" si="3"/>
        <v/>
      </c>
      <c r="AP28" s="125" t="str">
        <f t="shared" si="18"/>
        <v/>
      </c>
      <c r="AQ28" s="56">
        <v>21</v>
      </c>
      <c r="AR28" s="63"/>
      <c r="AS28" s="130" t="str">
        <f t="shared" si="19"/>
        <v/>
      </c>
      <c r="AT28" s="63"/>
      <c r="AU28" s="130" t="str">
        <f t="shared" si="20"/>
        <v/>
      </c>
      <c r="AV28" s="63"/>
      <c r="AW28" s="130" t="str">
        <f t="shared" si="21"/>
        <v/>
      </c>
      <c r="AX28" s="63"/>
      <c r="AY28" s="130" t="str">
        <f t="shared" si="4"/>
        <v/>
      </c>
      <c r="AZ28" s="125" t="str">
        <f t="shared" si="22"/>
        <v/>
      </c>
      <c r="BA28" s="56">
        <v>21</v>
      </c>
      <c r="BB28" s="63"/>
      <c r="BC28" s="62"/>
      <c r="BD28" s="61"/>
      <c r="BE28" s="61"/>
      <c r="BF28" s="61"/>
      <c r="BG28" s="61"/>
      <c r="BH28" s="64"/>
      <c r="BI28" s="64"/>
      <c r="BJ28" s="64"/>
      <c r="BK28" s="64"/>
      <c r="BL28" s="64"/>
      <c r="BM28" s="64"/>
      <c r="BN28" s="65" t="str">
        <f t="shared" si="23"/>
        <v/>
      </c>
      <c r="BO28" s="56">
        <v>21</v>
      </c>
      <c r="BP28" s="64"/>
      <c r="BQ28" s="62"/>
      <c r="BR28" s="61"/>
      <c r="BS28" s="61"/>
      <c r="BT28" s="61"/>
      <c r="BU28" s="64"/>
      <c r="BV28" s="63"/>
      <c r="BW28" s="63"/>
      <c r="BX28" s="66"/>
      <c r="BY28" s="172"/>
      <c r="BZ28" s="67" t="str">
        <f t="shared" si="24"/>
        <v/>
      </c>
      <c r="CA28" s="56">
        <v>21</v>
      </c>
      <c r="CB28" s="61"/>
      <c r="CC28" s="61"/>
      <c r="CD28" s="68" t="str">
        <f t="shared" si="25"/>
        <v/>
      </c>
      <c r="CE28" s="69" t="str">
        <f t="shared" si="26"/>
        <v/>
      </c>
      <c r="CF28" s="69" t="str">
        <f t="shared" si="27"/>
        <v/>
      </c>
      <c r="CG28" s="62"/>
      <c r="CH28" s="62"/>
      <c r="CI28" s="65" t="str">
        <f t="shared" si="28"/>
        <v/>
      </c>
      <c r="CJ28" s="56">
        <v>21</v>
      </c>
      <c r="CK28" s="61"/>
      <c r="CL28" s="61"/>
      <c r="CM28" s="68" t="str">
        <f t="shared" si="29"/>
        <v/>
      </c>
      <c r="CN28" s="68" t="str">
        <f t="shared" si="30"/>
        <v/>
      </c>
      <c r="CO28" s="68" t="str">
        <f t="shared" si="31"/>
        <v/>
      </c>
      <c r="CP28" s="62"/>
      <c r="CQ28" s="62"/>
      <c r="CR28" s="65" t="str">
        <f t="shared" si="32"/>
        <v/>
      </c>
      <c r="CS28" s="56">
        <v>21</v>
      </c>
      <c r="CT28" s="61"/>
      <c r="CU28" s="61"/>
      <c r="CV28" s="68" t="str">
        <f t="shared" si="33"/>
        <v/>
      </c>
      <c r="CW28" s="68" t="str">
        <f t="shared" si="34"/>
        <v/>
      </c>
      <c r="CX28" s="69" t="str">
        <f t="shared" si="35"/>
        <v/>
      </c>
      <c r="CY28" s="66"/>
      <c r="CZ28" s="66"/>
      <c r="DA28" s="66"/>
      <c r="DB28" s="65" t="str">
        <f t="shared" si="36"/>
        <v/>
      </c>
      <c r="DC28" s="56">
        <v>21</v>
      </c>
      <c r="DD28" s="61"/>
      <c r="DE28" s="61"/>
      <c r="DF28" s="68" t="str">
        <f t="shared" si="37"/>
        <v/>
      </c>
      <c r="DG28" s="69" t="str">
        <f t="shared" si="38"/>
        <v/>
      </c>
      <c r="DH28" s="68" t="str">
        <f t="shared" si="39"/>
        <v/>
      </c>
      <c r="DI28" s="62"/>
      <c r="DJ28" s="62"/>
      <c r="DK28" s="65" t="str">
        <f t="shared" si="40"/>
        <v/>
      </c>
      <c r="DL28" s="56">
        <v>21</v>
      </c>
      <c r="DM28" s="63"/>
      <c r="DN28" s="64"/>
      <c r="DO28" s="64"/>
      <c r="DP28" s="64"/>
      <c r="DQ28" s="63"/>
      <c r="DR28" s="61"/>
      <c r="DS28" s="64"/>
      <c r="DT28" s="61"/>
      <c r="DU28" s="63"/>
      <c r="DV28" s="64"/>
      <c r="DW28" s="64"/>
      <c r="DX28" s="66"/>
      <c r="DY28" s="65" t="str">
        <f t="shared" si="41"/>
        <v/>
      </c>
      <c r="DZ28" s="128">
        <v>21</v>
      </c>
      <c r="EA28" s="173" t="str">
        <f t="shared" si="42"/>
        <v/>
      </c>
      <c r="EB28" s="173" t="str">
        <f t="shared" si="43"/>
        <v/>
      </c>
      <c r="EC28" s="173" t="str">
        <f t="shared" si="44"/>
        <v/>
      </c>
      <c r="ED28" s="63"/>
      <c r="EE28" s="63"/>
      <c r="EF28" s="63"/>
      <c r="EG28" s="63"/>
      <c r="EH28" s="127" t="str">
        <f t="shared" si="5"/>
        <v/>
      </c>
      <c r="EI28" s="56">
        <v>21</v>
      </c>
      <c r="EJ28" s="334"/>
      <c r="EK28" s="334"/>
      <c r="EL28" s="334"/>
      <c r="EM28" s="334"/>
      <c r="EN28" s="334"/>
      <c r="EO28" s="334"/>
      <c r="EP28" s="334"/>
      <c r="EQ28" s="65" t="str">
        <f t="shared" si="45"/>
        <v/>
      </c>
      <c r="ER28" s="20"/>
      <c r="ES28" s="20"/>
      <c r="ET28" s="20"/>
      <c r="EU28" s="20"/>
      <c r="EV28" s="20"/>
      <c r="EW28" s="20"/>
      <c r="EX28" s="20"/>
    </row>
    <row r="29" spans="1:154" s="3" customFormat="1" ht="17.149999999999999" customHeight="1" x14ac:dyDescent="0.25">
      <c r="A29" s="56">
        <v>22</v>
      </c>
      <c r="B29" s="57"/>
      <c r="C29" s="58" t="str">
        <f t="shared" si="6"/>
        <v/>
      </c>
      <c r="D29" s="167"/>
      <c r="E29" s="59"/>
      <c r="F29" s="58" t="str">
        <f t="shared" si="7"/>
        <v/>
      </c>
      <c r="G29" s="168"/>
      <c r="H29" s="57"/>
      <c r="I29" s="58" t="str">
        <f t="shared" si="0"/>
        <v/>
      </c>
      <c r="J29" s="60"/>
      <c r="K29" s="56">
        <v>22</v>
      </c>
      <c r="L29" s="57"/>
      <c r="M29" s="58" t="str">
        <f t="shared" si="8"/>
        <v/>
      </c>
      <c r="N29" s="59"/>
      <c r="O29" s="58" t="str">
        <f t="shared" si="9"/>
        <v/>
      </c>
      <c r="P29" s="57"/>
      <c r="Q29" s="169" t="str">
        <f t="shared" si="1"/>
        <v/>
      </c>
      <c r="R29" s="57"/>
      <c r="S29" s="57"/>
      <c r="T29" s="57"/>
      <c r="U29" s="57"/>
      <c r="V29" s="58" t="str">
        <f t="shared" si="10"/>
        <v/>
      </c>
      <c r="W29" s="56">
        <v>22</v>
      </c>
      <c r="X29" s="63"/>
      <c r="Y29" s="130" t="str">
        <f t="shared" si="11"/>
        <v/>
      </c>
      <c r="Z29" s="63"/>
      <c r="AA29" s="130" t="str">
        <f t="shared" si="12"/>
        <v/>
      </c>
      <c r="AB29" s="63"/>
      <c r="AC29" s="130" t="str">
        <f t="shared" si="13"/>
        <v/>
      </c>
      <c r="AD29" s="63"/>
      <c r="AE29" s="130" t="str">
        <f t="shared" si="2"/>
        <v/>
      </c>
      <c r="AF29" s="125" t="str">
        <f t="shared" si="14"/>
        <v/>
      </c>
      <c r="AG29" s="56">
        <v>22</v>
      </c>
      <c r="AH29" s="63"/>
      <c r="AI29" s="130" t="str">
        <f t="shared" si="15"/>
        <v/>
      </c>
      <c r="AJ29" s="63"/>
      <c r="AK29" s="130" t="str">
        <f t="shared" si="16"/>
        <v/>
      </c>
      <c r="AL29" s="63"/>
      <c r="AM29" s="130" t="str">
        <f t="shared" si="17"/>
        <v/>
      </c>
      <c r="AN29" s="63"/>
      <c r="AO29" s="130" t="str">
        <f t="shared" si="3"/>
        <v/>
      </c>
      <c r="AP29" s="125" t="str">
        <f t="shared" si="18"/>
        <v/>
      </c>
      <c r="AQ29" s="56">
        <v>22</v>
      </c>
      <c r="AR29" s="63"/>
      <c r="AS29" s="130" t="str">
        <f t="shared" si="19"/>
        <v/>
      </c>
      <c r="AT29" s="63"/>
      <c r="AU29" s="130" t="str">
        <f t="shared" si="20"/>
        <v/>
      </c>
      <c r="AV29" s="63"/>
      <c r="AW29" s="130" t="str">
        <f t="shared" si="21"/>
        <v/>
      </c>
      <c r="AX29" s="63"/>
      <c r="AY29" s="130" t="str">
        <f t="shared" si="4"/>
        <v/>
      </c>
      <c r="AZ29" s="125" t="str">
        <f t="shared" si="22"/>
        <v/>
      </c>
      <c r="BA29" s="56">
        <v>22</v>
      </c>
      <c r="BB29" s="63"/>
      <c r="BC29" s="62"/>
      <c r="BD29" s="61"/>
      <c r="BE29" s="61"/>
      <c r="BF29" s="61"/>
      <c r="BG29" s="61"/>
      <c r="BH29" s="64"/>
      <c r="BI29" s="64"/>
      <c r="BJ29" s="64"/>
      <c r="BK29" s="64"/>
      <c r="BL29" s="64"/>
      <c r="BM29" s="64"/>
      <c r="BN29" s="65" t="str">
        <f t="shared" si="23"/>
        <v/>
      </c>
      <c r="BO29" s="56">
        <v>22</v>
      </c>
      <c r="BP29" s="64"/>
      <c r="BQ29" s="62"/>
      <c r="BR29" s="61"/>
      <c r="BS29" s="61"/>
      <c r="BT29" s="61"/>
      <c r="BU29" s="64"/>
      <c r="BV29" s="63"/>
      <c r="BW29" s="63"/>
      <c r="BX29" s="66"/>
      <c r="BY29" s="172"/>
      <c r="BZ29" s="67" t="str">
        <f t="shared" si="24"/>
        <v/>
      </c>
      <c r="CA29" s="56">
        <v>22</v>
      </c>
      <c r="CB29" s="61"/>
      <c r="CC29" s="61"/>
      <c r="CD29" s="68" t="str">
        <f t="shared" si="25"/>
        <v/>
      </c>
      <c r="CE29" s="69" t="str">
        <f t="shared" si="26"/>
        <v/>
      </c>
      <c r="CF29" s="69" t="str">
        <f t="shared" si="27"/>
        <v/>
      </c>
      <c r="CG29" s="62"/>
      <c r="CH29" s="62"/>
      <c r="CI29" s="65" t="str">
        <f t="shared" si="28"/>
        <v/>
      </c>
      <c r="CJ29" s="56">
        <v>22</v>
      </c>
      <c r="CK29" s="61"/>
      <c r="CL29" s="61"/>
      <c r="CM29" s="68" t="str">
        <f t="shared" si="29"/>
        <v/>
      </c>
      <c r="CN29" s="68" t="str">
        <f t="shared" si="30"/>
        <v/>
      </c>
      <c r="CO29" s="68" t="str">
        <f t="shared" si="31"/>
        <v/>
      </c>
      <c r="CP29" s="62"/>
      <c r="CQ29" s="62"/>
      <c r="CR29" s="65" t="str">
        <f t="shared" si="32"/>
        <v/>
      </c>
      <c r="CS29" s="56">
        <v>22</v>
      </c>
      <c r="CT29" s="61"/>
      <c r="CU29" s="61"/>
      <c r="CV29" s="68" t="str">
        <f t="shared" si="33"/>
        <v/>
      </c>
      <c r="CW29" s="68" t="str">
        <f t="shared" si="34"/>
        <v/>
      </c>
      <c r="CX29" s="69" t="str">
        <f t="shared" si="35"/>
        <v/>
      </c>
      <c r="CY29" s="66"/>
      <c r="CZ29" s="66"/>
      <c r="DA29" s="66"/>
      <c r="DB29" s="65" t="str">
        <f t="shared" si="36"/>
        <v/>
      </c>
      <c r="DC29" s="56">
        <v>22</v>
      </c>
      <c r="DD29" s="61"/>
      <c r="DE29" s="61"/>
      <c r="DF29" s="68" t="str">
        <f t="shared" si="37"/>
        <v/>
      </c>
      <c r="DG29" s="69" t="str">
        <f t="shared" si="38"/>
        <v/>
      </c>
      <c r="DH29" s="68" t="str">
        <f t="shared" si="39"/>
        <v/>
      </c>
      <c r="DI29" s="62"/>
      <c r="DJ29" s="62"/>
      <c r="DK29" s="65" t="str">
        <f t="shared" si="40"/>
        <v/>
      </c>
      <c r="DL29" s="56">
        <v>22</v>
      </c>
      <c r="DM29" s="63"/>
      <c r="DN29" s="64"/>
      <c r="DO29" s="64"/>
      <c r="DP29" s="64"/>
      <c r="DQ29" s="63"/>
      <c r="DR29" s="61"/>
      <c r="DS29" s="64"/>
      <c r="DT29" s="61"/>
      <c r="DU29" s="63"/>
      <c r="DV29" s="64"/>
      <c r="DW29" s="64"/>
      <c r="DX29" s="66"/>
      <c r="DY29" s="65" t="str">
        <f t="shared" si="41"/>
        <v/>
      </c>
      <c r="DZ29" s="128">
        <v>22</v>
      </c>
      <c r="EA29" s="173" t="str">
        <f t="shared" si="42"/>
        <v/>
      </c>
      <c r="EB29" s="173" t="str">
        <f t="shared" si="43"/>
        <v/>
      </c>
      <c r="EC29" s="173" t="str">
        <f t="shared" si="44"/>
        <v/>
      </c>
      <c r="ED29" s="63"/>
      <c r="EE29" s="63"/>
      <c r="EF29" s="63"/>
      <c r="EG29" s="63"/>
      <c r="EH29" s="127" t="str">
        <f t="shared" si="5"/>
        <v/>
      </c>
      <c r="EI29" s="56">
        <v>22</v>
      </c>
      <c r="EJ29" s="334"/>
      <c r="EK29" s="334"/>
      <c r="EL29" s="334"/>
      <c r="EM29" s="334"/>
      <c r="EN29" s="334"/>
      <c r="EO29" s="334"/>
      <c r="EP29" s="334"/>
      <c r="EQ29" s="65" t="str">
        <f t="shared" si="45"/>
        <v/>
      </c>
      <c r="ER29" s="20"/>
      <c r="ES29" s="20"/>
      <c r="ET29" s="20"/>
      <c r="EU29" s="20"/>
      <c r="EV29" s="20"/>
      <c r="EW29" s="20"/>
      <c r="EX29" s="20"/>
    </row>
    <row r="30" spans="1:154" s="3" customFormat="1" ht="17.149999999999999" customHeight="1" x14ac:dyDescent="0.25">
      <c r="A30" s="56">
        <v>23</v>
      </c>
      <c r="B30" s="57"/>
      <c r="C30" s="58" t="str">
        <f t="shared" si="6"/>
        <v/>
      </c>
      <c r="D30" s="167"/>
      <c r="E30" s="59"/>
      <c r="F30" s="58" t="str">
        <f t="shared" si="7"/>
        <v/>
      </c>
      <c r="G30" s="168"/>
      <c r="H30" s="57"/>
      <c r="I30" s="58" t="str">
        <f t="shared" si="0"/>
        <v/>
      </c>
      <c r="J30" s="60"/>
      <c r="K30" s="56">
        <v>23</v>
      </c>
      <c r="L30" s="57"/>
      <c r="M30" s="58" t="str">
        <f t="shared" si="8"/>
        <v/>
      </c>
      <c r="N30" s="59"/>
      <c r="O30" s="58" t="str">
        <f t="shared" si="9"/>
        <v/>
      </c>
      <c r="P30" s="57"/>
      <c r="Q30" s="169" t="str">
        <f t="shared" si="1"/>
        <v/>
      </c>
      <c r="R30" s="57"/>
      <c r="S30" s="57"/>
      <c r="T30" s="57"/>
      <c r="U30" s="57"/>
      <c r="V30" s="58" t="str">
        <f t="shared" si="10"/>
        <v/>
      </c>
      <c r="W30" s="56">
        <v>23</v>
      </c>
      <c r="X30" s="63"/>
      <c r="Y30" s="130" t="str">
        <f t="shared" si="11"/>
        <v/>
      </c>
      <c r="Z30" s="63"/>
      <c r="AA30" s="130" t="str">
        <f t="shared" si="12"/>
        <v/>
      </c>
      <c r="AB30" s="63"/>
      <c r="AC30" s="130" t="str">
        <f t="shared" si="13"/>
        <v/>
      </c>
      <c r="AD30" s="63"/>
      <c r="AE30" s="130" t="str">
        <f t="shared" si="2"/>
        <v/>
      </c>
      <c r="AF30" s="125" t="str">
        <f t="shared" si="14"/>
        <v/>
      </c>
      <c r="AG30" s="56">
        <v>23</v>
      </c>
      <c r="AH30" s="63"/>
      <c r="AI30" s="130" t="str">
        <f t="shared" si="15"/>
        <v/>
      </c>
      <c r="AJ30" s="63"/>
      <c r="AK30" s="130" t="str">
        <f t="shared" si="16"/>
        <v/>
      </c>
      <c r="AL30" s="63"/>
      <c r="AM30" s="130" t="str">
        <f t="shared" si="17"/>
        <v/>
      </c>
      <c r="AN30" s="63"/>
      <c r="AO30" s="130" t="str">
        <f t="shared" si="3"/>
        <v/>
      </c>
      <c r="AP30" s="125" t="str">
        <f t="shared" si="18"/>
        <v/>
      </c>
      <c r="AQ30" s="56">
        <v>23</v>
      </c>
      <c r="AR30" s="63"/>
      <c r="AS30" s="130" t="str">
        <f t="shared" si="19"/>
        <v/>
      </c>
      <c r="AT30" s="63"/>
      <c r="AU30" s="130" t="str">
        <f t="shared" si="20"/>
        <v/>
      </c>
      <c r="AV30" s="63"/>
      <c r="AW30" s="130" t="str">
        <f t="shared" si="21"/>
        <v/>
      </c>
      <c r="AX30" s="63"/>
      <c r="AY30" s="130" t="str">
        <f t="shared" si="4"/>
        <v/>
      </c>
      <c r="AZ30" s="125" t="str">
        <f t="shared" si="22"/>
        <v/>
      </c>
      <c r="BA30" s="56">
        <v>23</v>
      </c>
      <c r="BB30" s="63"/>
      <c r="BC30" s="62"/>
      <c r="BD30" s="61"/>
      <c r="BE30" s="61"/>
      <c r="BF30" s="61"/>
      <c r="BG30" s="61"/>
      <c r="BH30" s="64"/>
      <c r="BI30" s="64"/>
      <c r="BJ30" s="64"/>
      <c r="BK30" s="64"/>
      <c r="BL30" s="64"/>
      <c r="BM30" s="64"/>
      <c r="BN30" s="65" t="str">
        <f t="shared" si="23"/>
        <v/>
      </c>
      <c r="BO30" s="56">
        <v>23</v>
      </c>
      <c r="BP30" s="64"/>
      <c r="BQ30" s="62"/>
      <c r="BR30" s="61"/>
      <c r="BS30" s="61"/>
      <c r="BT30" s="61"/>
      <c r="BU30" s="64"/>
      <c r="BV30" s="63"/>
      <c r="BW30" s="63"/>
      <c r="BX30" s="66"/>
      <c r="BY30" s="172"/>
      <c r="BZ30" s="67" t="str">
        <f t="shared" si="24"/>
        <v/>
      </c>
      <c r="CA30" s="56">
        <v>23</v>
      </c>
      <c r="CB30" s="61"/>
      <c r="CC30" s="61"/>
      <c r="CD30" s="68" t="str">
        <f t="shared" si="25"/>
        <v/>
      </c>
      <c r="CE30" s="69" t="str">
        <f t="shared" si="26"/>
        <v/>
      </c>
      <c r="CF30" s="69" t="str">
        <f t="shared" si="27"/>
        <v/>
      </c>
      <c r="CG30" s="62"/>
      <c r="CH30" s="62"/>
      <c r="CI30" s="65" t="str">
        <f t="shared" si="28"/>
        <v/>
      </c>
      <c r="CJ30" s="56">
        <v>23</v>
      </c>
      <c r="CK30" s="61"/>
      <c r="CL30" s="61"/>
      <c r="CM30" s="68" t="str">
        <f t="shared" si="29"/>
        <v/>
      </c>
      <c r="CN30" s="68" t="str">
        <f t="shared" si="30"/>
        <v/>
      </c>
      <c r="CO30" s="68" t="str">
        <f t="shared" si="31"/>
        <v/>
      </c>
      <c r="CP30" s="62"/>
      <c r="CQ30" s="62"/>
      <c r="CR30" s="65" t="str">
        <f t="shared" si="32"/>
        <v/>
      </c>
      <c r="CS30" s="56">
        <v>23</v>
      </c>
      <c r="CT30" s="61"/>
      <c r="CU30" s="61"/>
      <c r="CV30" s="68" t="str">
        <f t="shared" si="33"/>
        <v/>
      </c>
      <c r="CW30" s="68" t="str">
        <f t="shared" si="34"/>
        <v/>
      </c>
      <c r="CX30" s="69" t="str">
        <f t="shared" si="35"/>
        <v/>
      </c>
      <c r="CY30" s="66"/>
      <c r="CZ30" s="66"/>
      <c r="DA30" s="66"/>
      <c r="DB30" s="65" t="str">
        <f t="shared" si="36"/>
        <v/>
      </c>
      <c r="DC30" s="56">
        <v>23</v>
      </c>
      <c r="DD30" s="61"/>
      <c r="DE30" s="61"/>
      <c r="DF30" s="68" t="str">
        <f t="shared" si="37"/>
        <v/>
      </c>
      <c r="DG30" s="69" t="str">
        <f t="shared" si="38"/>
        <v/>
      </c>
      <c r="DH30" s="68" t="str">
        <f t="shared" si="39"/>
        <v/>
      </c>
      <c r="DI30" s="62"/>
      <c r="DJ30" s="62"/>
      <c r="DK30" s="65" t="str">
        <f t="shared" si="40"/>
        <v/>
      </c>
      <c r="DL30" s="56">
        <v>23</v>
      </c>
      <c r="DM30" s="63"/>
      <c r="DN30" s="64"/>
      <c r="DO30" s="64"/>
      <c r="DP30" s="64"/>
      <c r="DQ30" s="63"/>
      <c r="DR30" s="61"/>
      <c r="DS30" s="64"/>
      <c r="DT30" s="61"/>
      <c r="DU30" s="63"/>
      <c r="DV30" s="64"/>
      <c r="DW30" s="64"/>
      <c r="DX30" s="66"/>
      <c r="DY30" s="65" t="str">
        <f t="shared" si="41"/>
        <v/>
      </c>
      <c r="DZ30" s="128">
        <v>23</v>
      </c>
      <c r="EA30" s="173" t="str">
        <f t="shared" si="42"/>
        <v/>
      </c>
      <c r="EB30" s="173" t="str">
        <f t="shared" si="43"/>
        <v/>
      </c>
      <c r="EC30" s="173" t="str">
        <f t="shared" si="44"/>
        <v/>
      </c>
      <c r="ED30" s="63"/>
      <c r="EE30" s="63"/>
      <c r="EF30" s="63"/>
      <c r="EG30" s="63"/>
      <c r="EH30" s="127" t="str">
        <f t="shared" si="5"/>
        <v/>
      </c>
      <c r="EI30" s="56">
        <v>23</v>
      </c>
      <c r="EJ30" s="334"/>
      <c r="EK30" s="334"/>
      <c r="EL30" s="334"/>
      <c r="EM30" s="334"/>
      <c r="EN30" s="334"/>
      <c r="EO30" s="334"/>
      <c r="EP30" s="334"/>
      <c r="EQ30" s="65" t="str">
        <f t="shared" si="45"/>
        <v/>
      </c>
      <c r="ER30" s="20"/>
      <c r="ES30" s="20"/>
      <c r="ET30" s="20"/>
      <c r="EU30" s="20"/>
      <c r="EV30" s="20"/>
      <c r="EW30" s="20"/>
      <c r="EX30" s="20"/>
    </row>
    <row r="31" spans="1:154" s="3" customFormat="1" ht="17.149999999999999" customHeight="1" x14ac:dyDescent="0.25">
      <c r="A31" s="56">
        <v>24</v>
      </c>
      <c r="B31" s="57"/>
      <c r="C31" s="58" t="str">
        <f t="shared" si="6"/>
        <v/>
      </c>
      <c r="D31" s="167"/>
      <c r="E31" s="59"/>
      <c r="F31" s="58" t="str">
        <f t="shared" si="7"/>
        <v/>
      </c>
      <c r="G31" s="168"/>
      <c r="H31" s="57"/>
      <c r="I31" s="58" t="str">
        <f t="shared" si="0"/>
        <v/>
      </c>
      <c r="J31" s="60"/>
      <c r="K31" s="56">
        <v>24</v>
      </c>
      <c r="L31" s="57"/>
      <c r="M31" s="58" t="str">
        <f t="shared" si="8"/>
        <v/>
      </c>
      <c r="N31" s="59"/>
      <c r="O31" s="58" t="str">
        <f t="shared" si="9"/>
        <v/>
      </c>
      <c r="P31" s="57"/>
      <c r="Q31" s="169" t="str">
        <f t="shared" si="1"/>
        <v/>
      </c>
      <c r="R31" s="57"/>
      <c r="S31" s="57"/>
      <c r="T31" s="57"/>
      <c r="U31" s="57"/>
      <c r="V31" s="58" t="str">
        <f t="shared" si="10"/>
        <v/>
      </c>
      <c r="W31" s="56">
        <v>24</v>
      </c>
      <c r="X31" s="63"/>
      <c r="Y31" s="130" t="str">
        <f t="shared" si="11"/>
        <v/>
      </c>
      <c r="Z31" s="63"/>
      <c r="AA31" s="130" t="str">
        <f t="shared" si="12"/>
        <v/>
      </c>
      <c r="AB31" s="63"/>
      <c r="AC31" s="130" t="str">
        <f t="shared" si="13"/>
        <v/>
      </c>
      <c r="AD31" s="63"/>
      <c r="AE31" s="130" t="str">
        <f t="shared" si="2"/>
        <v/>
      </c>
      <c r="AF31" s="125" t="str">
        <f t="shared" si="14"/>
        <v/>
      </c>
      <c r="AG31" s="56">
        <v>24</v>
      </c>
      <c r="AH31" s="63"/>
      <c r="AI31" s="130" t="str">
        <f t="shared" si="15"/>
        <v/>
      </c>
      <c r="AJ31" s="63"/>
      <c r="AK31" s="130" t="str">
        <f t="shared" si="16"/>
        <v/>
      </c>
      <c r="AL31" s="63"/>
      <c r="AM31" s="130" t="str">
        <f t="shared" si="17"/>
        <v/>
      </c>
      <c r="AN31" s="63"/>
      <c r="AO31" s="130" t="str">
        <f t="shared" si="3"/>
        <v/>
      </c>
      <c r="AP31" s="125" t="str">
        <f t="shared" si="18"/>
        <v/>
      </c>
      <c r="AQ31" s="56">
        <v>24</v>
      </c>
      <c r="AR31" s="63"/>
      <c r="AS31" s="130" t="str">
        <f t="shared" si="19"/>
        <v/>
      </c>
      <c r="AT31" s="63"/>
      <c r="AU31" s="130" t="str">
        <f t="shared" si="20"/>
        <v/>
      </c>
      <c r="AV31" s="63"/>
      <c r="AW31" s="130" t="str">
        <f t="shared" si="21"/>
        <v/>
      </c>
      <c r="AX31" s="63"/>
      <c r="AY31" s="130" t="str">
        <f t="shared" si="4"/>
        <v/>
      </c>
      <c r="AZ31" s="125" t="str">
        <f t="shared" si="22"/>
        <v/>
      </c>
      <c r="BA31" s="56">
        <v>24</v>
      </c>
      <c r="BB31" s="63"/>
      <c r="BC31" s="62"/>
      <c r="BD31" s="61"/>
      <c r="BE31" s="61"/>
      <c r="BF31" s="61"/>
      <c r="BG31" s="61"/>
      <c r="BH31" s="64"/>
      <c r="BI31" s="64"/>
      <c r="BJ31" s="64"/>
      <c r="BK31" s="64"/>
      <c r="BL31" s="64"/>
      <c r="BM31" s="64"/>
      <c r="BN31" s="65" t="str">
        <f t="shared" si="23"/>
        <v/>
      </c>
      <c r="BO31" s="56">
        <v>24</v>
      </c>
      <c r="BP31" s="64"/>
      <c r="BQ31" s="62"/>
      <c r="BR31" s="61"/>
      <c r="BS31" s="61"/>
      <c r="BT31" s="61"/>
      <c r="BU31" s="64"/>
      <c r="BV31" s="63"/>
      <c r="BW31" s="63"/>
      <c r="BX31" s="66"/>
      <c r="BY31" s="172"/>
      <c r="BZ31" s="67" t="str">
        <f t="shared" si="24"/>
        <v/>
      </c>
      <c r="CA31" s="56">
        <v>24</v>
      </c>
      <c r="CB31" s="61"/>
      <c r="CC31" s="61"/>
      <c r="CD31" s="68" t="str">
        <f t="shared" si="25"/>
        <v/>
      </c>
      <c r="CE31" s="69" t="str">
        <f t="shared" si="26"/>
        <v/>
      </c>
      <c r="CF31" s="69" t="str">
        <f t="shared" si="27"/>
        <v/>
      </c>
      <c r="CG31" s="62"/>
      <c r="CH31" s="62"/>
      <c r="CI31" s="65" t="str">
        <f t="shared" si="28"/>
        <v/>
      </c>
      <c r="CJ31" s="56">
        <v>24</v>
      </c>
      <c r="CK31" s="61"/>
      <c r="CL31" s="61"/>
      <c r="CM31" s="68" t="str">
        <f t="shared" si="29"/>
        <v/>
      </c>
      <c r="CN31" s="68" t="str">
        <f t="shared" si="30"/>
        <v/>
      </c>
      <c r="CO31" s="68" t="str">
        <f t="shared" si="31"/>
        <v/>
      </c>
      <c r="CP31" s="62"/>
      <c r="CQ31" s="62"/>
      <c r="CR31" s="65" t="str">
        <f t="shared" si="32"/>
        <v/>
      </c>
      <c r="CS31" s="56">
        <v>24</v>
      </c>
      <c r="CT31" s="61"/>
      <c r="CU31" s="61"/>
      <c r="CV31" s="68" t="str">
        <f t="shared" si="33"/>
        <v/>
      </c>
      <c r="CW31" s="68" t="str">
        <f t="shared" si="34"/>
        <v/>
      </c>
      <c r="CX31" s="69" t="str">
        <f t="shared" si="35"/>
        <v/>
      </c>
      <c r="CY31" s="66"/>
      <c r="CZ31" s="66"/>
      <c r="DA31" s="66"/>
      <c r="DB31" s="65" t="str">
        <f t="shared" si="36"/>
        <v/>
      </c>
      <c r="DC31" s="56">
        <v>24</v>
      </c>
      <c r="DD31" s="61"/>
      <c r="DE31" s="61"/>
      <c r="DF31" s="68" t="str">
        <f t="shared" si="37"/>
        <v/>
      </c>
      <c r="DG31" s="69" t="str">
        <f t="shared" si="38"/>
        <v/>
      </c>
      <c r="DH31" s="68" t="str">
        <f t="shared" si="39"/>
        <v/>
      </c>
      <c r="DI31" s="62"/>
      <c r="DJ31" s="62"/>
      <c r="DK31" s="65" t="str">
        <f t="shared" si="40"/>
        <v/>
      </c>
      <c r="DL31" s="56">
        <v>24</v>
      </c>
      <c r="DM31" s="63"/>
      <c r="DN31" s="64"/>
      <c r="DO31" s="64"/>
      <c r="DP31" s="64"/>
      <c r="DQ31" s="63"/>
      <c r="DR31" s="61"/>
      <c r="DS31" s="64"/>
      <c r="DT31" s="61"/>
      <c r="DU31" s="63"/>
      <c r="DV31" s="64"/>
      <c r="DW31" s="64"/>
      <c r="DX31" s="66"/>
      <c r="DY31" s="65" t="str">
        <f t="shared" si="41"/>
        <v/>
      </c>
      <c r="DZ31" s="128">
        <v>24</v>
      </c>
      <c r="EA31" s="173" t="str">
        <f t="shared" si="42"/>
        <v/>
      </c>
      <c r="EB31" s="173" t="str">
        <f t="shared" si="43"/>
        <v/>
      </c>
      <c r="EC31" s="173" t="str">
        <f t="shared" si="44"/>
        <v/>
      </c>
      <c r="ED31" s="63"/>
      <c r="EE31" s="63"/>
      <c r="EF31" s="63"/>
      <c r="EG31" s="63"/>
      <c r="EH31" s="127" t="str">
        <f t="shared" si="5"/>
        <v/>
      </c>
      <c r="EI31" s="56">
        <v>24</v>
      </c>
      <c r="EJ31" s="334"/>
      <c r="EK31" s="334"/>
      <c r="EL31" s="334"/>
      <c r="EM31" s="334"/>
      <c r="EN31" s="334"/>
      <c r="EO31" s="334"/>
      <c r="EP31" s="334"/>
      <c r="EQ31" s="65" t="str">
        <f t="shared" si="45"/>
        <v/>
      </c>
      <c r="ER31" s="20"/>
      <c r="ES31" s="20"/>
      <c r="ET31" s="20"/>
      <c r="EU31" s="20"/>
      <c r="EV31" s="20"/>
      <c r="EW31" s="20"/>
      <c r="EX31" s="20"/>
    </row>
    <row r="32" spans="1:154" s="3" customFormat="1" ht="17.149999999999999" customHeight="1" x14ac:dyDescent="0.25">
      <c r="A32" s="56">
        <v>25</v>
      </c>
      <c r="B32" s="57"/>
      <c r="C32" s="58" t="str">
        <f t="shared" si="6"/>
        <v/>
      </c>
      <c r="D32" s="167"/>
      <c r="E32" s="59"/>
      <c r="F32" s="58" t="str">
        <f t="shared" si="7"/>
        <v/>
      </c>
      <c r="G32" s="168"/>
      <c r="H32" s="57"/>
      <c r="I32" s="58" t="str">
        <f t="shared" si="0"/>
        <v/>
      </c>
      <c r="J32" s="60"/>
      <c r="K32" s="56">
        <v>25</v>
      </c>
      <c r="L32" s="57"/>
      <c r="M32" s="58" t="str">
        <f t="shared" si="8"/>
        <v/>
      </c>
      <c r="N32" s="59"/>
      <c r="O32" s="58" t="str">
        <f t="shared" si="9"/>
        <v/>
      </c>
      <c r="P32" s="57"/>
      <c r="Q32" s="169" t="str">
        <f t="shared" si="1"/>
        <v/>
      </c>
      <c r="R32" s="57"/>
      <c r="S32" s="57"/>
      <c r="T32" s="57"/>
      <c r="U32" s="57"/>
      <c r="V32" s="58" t="str">
        <f t="shared" si="10"/>
        <v/>
      </c>
      <c r="W32" s="56">
        <v>25</v>
      </c>
      <c r="X32" s="63"/>
      <c r="Y32" s="130" t="str">
        <f t="shared" si="11"/>
        <v/>
      </c>
      <c r="Z32" s="63"/>
      <c r="AA32" s="130" t="str">
        <f t="shared" si="12"/>
        <v/>
      </c>
      <c r="AB32" s="63"/>
      <c r="AC32" s="130" t="str">
        <f t="shared" si="13"/>
        <v/>
      </c>
      <c r="AD32" s="63"/>
      <c r="AE32" s="130" t="str">
        <f t="shared" si="2"/>
        <v/>
      </c>
      <c r="AF32" s="125" t="str">
        <f t="shared" si="14"/>
        <v/>
      </c>
      <c r="AG32" s="56">
        <v>25</v>
      </c>
      <c r="AH32" s="63"/>
      <c r="AI32" s="130" t="str">
        <f t="shared" si="15"/>
        <v/>
      </c>
      <c r="AJ32" s="63"/>
      <c r="AK32" s="130" t="str">
        <f t="shared" si="16"/>
        <v/>
      </c>
      <c r="AL32" s="63"/>
      <c r="AM32" s="130" t="str">
        <f t="shared" si="17"/>
        <v/>
      </c>
      <c r="AN32" s="63"/>
      <c r="AO32" s="130" t="str">
        <f t="shared" si="3"/>
        <v/>
      </c>
      <c r="AP32" s="125" t="str">
        <f t="shared" si="18"/>
        <v/>
      </c>
      <c r="AQ32" s="56">
        <v>25</v>
      </c>
      <c r="AR32" s="63"/>
      <c r="AS32" s="130" t="str">
        <f t="shared" si="19"/>
        <v/>
      </c>
      <c r="AT32" s="63"/>
      <c r="AU32" s="130" t="str">
        <f t="shared" si="20"/>
        <v/>
      </c>
      <c r="AV32" s="63"/>
      <c r="AW32" s="130" t="str">
        <f t="shared" si="21"/>
        <v/>
      </c>
      <c r="AX32" s="63"/>
      <c r="AY32" s="130" t="str">
        <f t="shared" si="4"/>
        <v/>
      </c>
      <c r="AZ32" s="125" t="str">
        <f t="shared" si="22"/>
        <v/>
      </c>
      <c r="BA32" s="56">
        <v>25</v>
      </c>
      <c r="BB32" s="63"/>
      <c r="BC32" s="62"/>
      <c r="BD32" s="61"/>
      <c r="BE32" s="61"/>
      <c r="BF32" s="61"/>
      <c r="BG32" s="61"/>
      <c r="BH32" s="64"/>
      <c r="BI32" s="64"/>
      <c r="BJ32" s="64"/>
      <c r="BK32" s="64"/>
      <c r="BL32" s="64"/>
      <c r="BM32" s="64"/>
      <c r="BN32" s="65" t="str">
        <f t="shared" si="23"/>
        <v/>
      </c>
      <c r="BO32" s="56">
        <v>25</v>
      </c>
      <c r="BP32" s="64"/>
      <c r="BQ32" s="62"/>
      <c r="BR32" s="61"/>
      <c r="BS32" s="61"/>
      <c r="BT32" s="61"/>
      <c r="BU32" s="64"/>
      <c r="BV32" s="63"/>
      <c r="BW32" s="63"/>
      <c r="BX32" s="66"/>
      <c r="BY32" s="172"/>
      <c r="BZ32" s="67" t="str">
        <f t="shared" si="24"/>
        <v/>
      </c>
      <c r="CA32" s="56">
        <v>25</v>
      </c>
      <c r="CB32" s="61"/>
      <c r="CC32" s="61"/>
      <c r="CD32" s="68" t="str">
        <f t="shared" si="25"/>
        <v/>
      </c>
      <c r="CE32" s="69" t="str">
        <f t="shared" si="26"/>
        <v/>
      </c>
      <c r="CF32" s="69" t="str">
        <f t="shared" si="27"/>
        <v/>
      </c>
      <c r="CG32" s="62"/>
      <c r="CH32" s="62"/>
      <c r="CI32" s="65" t="str">
        <f t="shared" si="28"/>
        <v/>
      </c>
      <c r="CJ32" s="56">
        <v>25</v>
      </c>
      <c r="CK32" s="61"/>
      <c r="CL32" s="61"/>
      <c r="CM32" s="68" t="str">
        <f t="shared" si="29"/>
        <v/>
      </c>
      <c r="CN32" s="68" t="str">
        <f t="shared" si="30"/>
        <v/>
      </c>
      <c r="CO32" s="68" t="str">
        <f t="shared" si="31"/>
        <v/>
      </c>
      <c r="CP32" s="62"/>
      <c r="CQ32" s="62"/>
      <c r="CR32" s="65" t="str">
        <f t="shared" si="32"/>
        <v/>
      </c>
      <c r="CS32" s="56">
        <v>25</v>
      </c>
      <c r="CT32" s="61"/>
      <c r="CU32" s="61"/>
      <c r="CV32" s="68" t="str">
        <f t="shared" si="33"/>
        <v/>
      </c>
      <c r="CW32" s="68" t="str">
        <f t="shared" si="34"/>
        <v/>
      </c>
      <c r="CX32" s="69" t="str">
        <f t="shared" si="35"/>
        <v/>
      </c>
      <c r="CY32" s="66"/>
      <c r="CZ32" s="66"/>
      <c r="DA32" s="66"/>
      <c r="DB32" s="65" t="str">
        <f t="shared" si="36"/>
        <v/>
      </c>
      <c r="DC32" s="56">
        <v>25</v>
      </c>
      <c r="DD32" s="61"/>
      <c r="DE32" s="61"/>
      <c r="DF32" s="68" t="str">
        <f t="shared" si="37"/>
        <v/>
      </c>
      <c r="DG32" s="69" t="str">
        <f t="shared" si="38"/>
        <v/>
      </c>
      <c r="DH32" s="68" t="str">
        <f t="shared" si="39"/>
        <v/>
      </c>
      <c r="DI32" s="62"/>
      <c r="DJ32" s="62"/>
      <c r="DK32" s="65" t="str">
        <f t="shared" si="40"/>
        <v/>
      </c>
      <c r="DL32" s="56">
        <v>25</v>
      </c>
      <c r="DM32" s="63"/>
      <c r="DN32" s="64"/>
      <c r="DO32" s="64"/>
      <c r="DP32" s="64"/>
      <c r="DQ32" s="63"/>
      <c r="DR32" s="61"/>
      <c r="DS32" s="64"/>
      <c r="DT32" s="61"/>
      <c r="DU32" s="63"/>
      <c r="DV32" s="64"/>
      <c r="DW32" s="64"/>
      <c r="DX32" s="66"/>
      <c r="DY32" s="65" t="str">
        <f t="shared" si="41"/>
        <v/>
      </c>
      <c r="DZ32" s="128">
        <v>25</v>
      </c>
      <c r="EA32" s="173" t="str">
        <f t="shared" si="42"/>
        <v/>
      </c>
      <c r="EB32" s="173" t="str">
        <f t="shared" si="43"/>
        <v/>
      </c>
      <c r="EC32" s="173" t="str">
        <f t="shared" si="44"/>
        <v/>
      </c>
      <c r="ED32" s="63"/>
      <c r="EE32" s="63"/>
      <c r="EF32" s="63"/>
      <c r="EG32" s="63"/>
      <c r="EH32" s="127" t="str">
        <f t="shared" si="5"/>
        <v/>
      </c>
      <c r="EI32" s="56">
        <v>25</v>
      </c>
      <c r="EJ32" s="334"/>
      <c r="EK32" s="334"/>
      <c r="EL32" s="334"/>
      <c r="EM32" s="334"/>
      <c r="EN32" s="334"/>
      <c r="EO32" s="334"/>
      <c r="EP32" s="334"/>
      <c r="EQ32" s="65" t="str">
        <f t="shared" si="45"/>
        <v/>
      </c>
      <c r="ER32" s="20"/>
      <c r="ES32" s="20"/>
      <c r="ET32" s="20"/>
      <c r="EU32" s="20"/>
      <c r="EV32" s="20"/>
      <c r="EW32" s="20"/>
      <c r="EX32" s="20"/>
    </row>
    <row r="33" spans="1:154" s="3" customFormat="1" ht="17.149999999999999" customHeight="1" x14ac:dyDescent="0.25">
      <c r="A33" s="56">
        <v>26</v>
      </c>
      <c r="B33" s="57"/>
      <c r="C33" s="58" t="str">
        <f t="shared" si="6"/>
        <v/>
      </c>
      <c r="D33" s="167"/>
      <c r="E33" s="59"/>
      <c r="F33" s="58" t="str">
        <f t="shared" si="7"/>
        <v/>
      </c>
      <c r="G33" s="168"/>
      <c r="H33" s="57"/>
      <c r="I33" s="58" t="str">
        <f t="shared" si="0"/>
        <v/>
      </c>
      <c r="J33" s="60"/>
      <c r="K33" s="56">
        <v>26</v>
      </c>
      <c r="L33" s="57"/>
      <c r="M33" s="58" t="str">
        <f t="shared" si="8"/>
        <v/>
      </c>
      <c r="N33" s="59"/>
      <c r="O33" s="58" t="str">
        <f t="shared" si="9"/>
        <v/>
      </c>
      <c r="P33" s="57"/>
      <c r="Q33" s="169" t="str">
        <f t="shared" si="1"/>
        <v/>
      </c>
      <c r="R33" s="57"/>
      <c r="S33" s="57"/>
      <c r="T33" s="57"/>
      <c r="U33" s="57"/>
      <c r="V33" s="58" t="str">
        <f t="shared" si="10"/>
        <v/>
      </c>
      <c r="W33" s="56">
        <v>26</v>
      </c>
      <c r="X33" s="63"/>
      <c r="Y33" s="130" t="str">
        <f t="shared" si="11"/>
        <v/>
      </c>
      <c r="Z33" s="63"/>
      <c r="AA33" s="130" t="str">
        <f t="shared" si="12"/>
        <v/>
      </c>
      <c r="AB33" s="63"/>
      <c r="AC33" s="130" t="str">
        <f t="shared" si="13"/>
        <v/>
      </c>
      <c r="AD33" s="63"/>
      <c r="AE33" s="130" t="str">
        <f t="shared" si="2"/>
        <v/>
      </c>
      <c r="AF33" s="125" t="str">
        <f t="shared" si="14"/>
        <v/>
      </c>
      <c r="AG33" s="56">
        <v>26</v>
      </c>
      <c r="AH33" s="63"/>
      <c r="AI33" s="130" t="str">
        <f t="shared" si="15"/>
        <v/>
      </c>
      <c r="AJ33" s="63"/>
      <c r="AK33" s="130" t="str">
        <f t="shared" si="16"/>
        <v/>
      </c>
      <c r="AL33" s="63"/>
      <c r="AM33" s="130" t="str">
        <f t="shared" si="17"/>
        <v/>
      </c>
      <c r="AN33" s="63"/>
      <c r="AO33" s="130" t="str">
        <f t="shared" si="3"/>
        <v/>
      </c>
      <c r="AP33" s="125" t="str">
        <f t="shared" si="18"/>
        <v/>
      </c>
      <c r="AQ33" s="56">
        <v>26</v>
      </c>
      <c r="AR33" s="63"/>
      <c r="AS33" s="130" t="str">
        <f t="shared" si="19"/>
        <v/>
      </c>
      <c r="AT33" s="63"/>
      <c r="AU33" s="130" t="str">
        <f t="shared" si="20"/>
        <v/>
      </c>
      <c r="AV33" s="63"/>
      <c r="AW33" s="130" t="str">
        <f t="shared" si="21"/>
        <v/>
      </c>
      <c r="AX33" s="63"/>
      <c r="AY33" s="130" t="str">
        <f t="shared" si="4"/>
        <v/>
      </c>
      <c r="AZ33" s="125" t="str">
        <f t="shared" si="22"/>
        <v/>
      </c>
      <c r="BA33" s="56">
        <v>26</v>
      </c>
      <c r="BB33" s="63"/>
      <c r="BC33" s="62"/>
      <c r="BD33" s="61"/>
      <c r="BE33" s="61"/>
      <c r="BF33" s="61"/>
      <c r="BG33" s="61"/>
      <c r="BH33" s="64"/>
      <c r="BI33" s="64"/>
      <c r="BJ33" s="64"/>
      <c r="BK33" s="64"/>
      <c r="BL33" s="64"/>
      <c r="BM33" s="64"/>
      <c r="BN33" s="65" t="str">
        <f t="shared" si="23"/>
        <v/>
      </c>
      <c r="BO33" s="56">
        <v>26</v>
      </c>
      <c r="BP33" s="64"/>
      <c r="BQ33" s="62"/>
      <c r="BR33" s="61"/>
      <c r="BS33" s="61"/>
      <c r="BT33" s="61"/>
      <c r="BU33" s="64"/>
      <c r="BV33" s="63"/>
      <c r="BW33" s="63"/>
      <c r="BX33" s="66"/>
      <c r="BY33" s="172"/>
      <c r="BZ33" s="67" t="str">
        <f t="shared" si="24"/>
        <v/>
      </c>
      <c r="CA33" s="56">
        <v>26</v>
      </c>
      <c r="CB33" s="61"/>
      <c r="CC33" s="61"/>
      <c r="CD33" s="68" t="str">
        <f t="shared" si="25"/>
        <v/>
      </c>
      <c r="CE33" s="69" t="str">
        <f t="shared" si="26"/>
        <v/>
      </c>
      <c r="CF33" s="69" t="str">
        <f t="shared" si="27"/>
        <v/>
      </c>
      <c r="CG33" s="62"/>
      <c r="CH33" s="62"/>
      <c r="CI33" s="65" t="str">
        <f t="shared" si="28"/>
        <v/>
      </c>
      <c r="CJ33" s="56">
        <v>26</v>
      </c>
      <c r="CK33" s="61"/>
      <c r="CL33" s="61"/>
      <c r="CM33" s="68" t="str">
        <f t="shared" si="29"/>
        <v/>
      </c>
      <c r="CN33" s="68" t="str">
        <f t="shared" si="30"/>
        <v/>
      </c>
      <c r="CO33" s="68" t="str">
        <f t="shared" si="31"/>
        <v/>
      </c>
      <c r="CP33" s="62"/>
      <c r="CQ33" s="62"/>
      <c r="CR33" s="65" t="str">
        <f t="shared" si="32"/>
        <v/>
      </c>
      <c r="CS33" s="56">
        <v>26</v>
      </c>
      <c r="CT33" s="61"/>
      <c r="CU33" s="61"/>
      <c r="CV33" s="68" t="str">
        <f t="shared" si="33"/>
        <v/>
      </c>
      <c r="CW33" s="68" t="str">
        <f t="shared" si="34"/>
        <v/>
      </c>
      <c r="CX33" s="69" t="str">
        <f t="shared" si="35"/>
        <v/>
      </c>
      <c r="CY33" s="66"/>
      <c r="CZ33" s="66"/>
      <c r="DA33" s="66"/>
      <c r="DB33" s="65" t="str">
        <f t="shared" si="36"/>
        <v/>
      </c>
      <c r="DC33" s="56">
        <v>26</v>
      </c>
      <c r="DD33" s="61"/>
      <c r="DE33" s="61"/>
      <c r="DF33" s="68" t="str">
        <f t="shared" si="37"/>
        <v/>
      </c>
      <c r="DG33" s="69" t="str">
        <f t="shared" si="38"/>
        <v/>
      </c>
      <c r="DH33" s="68" t="str">
        <f t="shared" si="39"/>
        <v/>
      </c>
      <c r="DI33" s="62"/>
      <c r="DJ33" s="62"/>
      <c r="DK33" s="65" t="str">
        <f t="shared" si="40"/>
        <v/>
      </c>
      <c r="DL33" s="56">
        <v>26</v>
      </c>
      <c r="DM33" s="63"/>
      <c r="DN33" s="64"/>
      <c r="DO33" s="64"/>
      <c r="DP33" s="64"/>
      <c r="DQ33" s="63"/>
      <c r="DR33" s="61"/>
      <c r="DS33" s="64"/>
      <c r="DT33" s="61"/>
      <c r="DU33" s="63"/>
      <c r="DV33" s="64"/>
      <c r="DW33" s="64"/>
      <c r="DX33" s="66"/>
      <c r="DY33" s="65" t="str">
        <f t="shared" si="41"/>
        <v/>
      </c>
      <c r="DZ33" s="128">
        <v>26</v>
      </c>
      <c r="EA33" s="173" t="str">
        <f t="shared" si="42"/>
        <v/>
      </c>
      <c r="EB33" s="173" t="str">
        <f t="shared" si="43"/>
        <v/>
      </c>
      <c r="EC33" s="173" t="str">
        <f t="shared" si="44"/>
        <v/>
      </c>
      <c r="ED33" s="63"/>
      <c r="EE33" s="63"/>
      <c r="EF33" s="63"/>
      <c r="EG33" s="63"/>
      <c r="EH33" s="127" t="str">
        <f t="shared" si="5"/>
        <v/>
      </c>
      <c r="EI33" s="56">
        <v>26</v>
      </c>
      <c r="EJ33" s="334"/>
      <c r="EK33" s="334"/>
      <c r="EL33" s="334"/>
      <c r="EM33" s="334"/>
      <c r="EN33" s="334"/>
      <c r="EO33" s="334"/>
      <c r="EP33" s="334"/>
      <c r="EQ33" s="65" t="str">
        <f t="shared" si="45"/>
        <v/>
      </c>
      <c r="ER33" s="20"/>
      <c r="ES33" s="20"/>
      <c r="ET33" s="20"/>
      <c r="EU33" s="20"/>
      <c r="EV33" s="20"/>
      <c r="EW33" s="20"/>
      <c r="EX33" s="20"/>
    </row>
    <row r="34" spans="1:154" s="3" customFormat="1" ht="17.149999999999999" customHeight="1" x14ac:dyDescent="0.25">
      <c r="A34" s="56">
        <v>27</v>
      </c>
      <c r="B34" s="57"/>
      <c r="C34" s="58" t="str">
        <f t="shared" si="6"/>
        <v/>
      </c>
      <c r="D34" s="167"/>
      <c r="E34" s="59"/>
      <c r="F34" s="58" t="str">
        <f t="shared" si="7"/>
        <v/>
      </c>
      <c r="G34" s="168"/>
      <c r="H34" s="57"/>
      <c r="I34" s="58" t="str">
        <f t="shared" si="0"/>
        <v/>
      </c>
      <c r="J34" s="60"/>
      <c r="K34" s="56">
        <v>27</v>
      </c>
      <c r="L34" s="57"/>
      <c r="M34" s="58" t="str">
        <f t="shared" si="8"/>
        <v/>
      </c>
      <c r="N34" s="59"/>
      <c r="O34" s="58" t="str">
        <f t="shared" si="9"/>
        <v/>
      </c>
      <c r="P34" s="57"/>
      <c r="Q34" s="169" t="str">
        <f t="shared" si="1"/>
        <v/>
      </c>
      <c r="R34" s="57"/>
      <c r="S34" s="57"/>
      <c r="T34" s="57"/>
      <c r="U34" s="57"/>
      <c r="V34" s="58" t="str">
        <f t="shared" si="10"/>
        <v/>
      </c>
      <c r="W34" s="56">
        <v>27</v>
      </c>
      <c r="X34" s="63"/>
      <c r="Y34" s="130" t="str">
        <f t="shared" si="11"/>
        <v/>
      </c>
      <c r="Z34" s="63"/>
      <c r="AA34" s="130" t="str">
        <f t="shared" si="12"/>
        <v/>
      </c>
      <c r="AB34" s="63"/>
      <c r="AC34" s="130" t="str">
        <f t="shared" si="13"/>
        <v/>
      </c>
      <c r="AD34" s="63"/>
      <c r="AE34" s="130" t="str">
        <f t="shared" si="2"/>
        <v/>
      </c>
      <c r="AF34" s="125" t="str">
        <f t="shared" si="14"/>
        <v/>
      </c>
      <c r="AG34" s="56">
        <v>27</v>
      </c>
      <c r="AH34" s="63"/>
      <c r="AI34" s="130" t="str">
        <f t="shared" si="15"/>
        <v/>
      </c>
      <c r="AJ34" s="63"/>
      <c r="AK34" s="130" t="str">
        <f t="shared" si="16"/>
        <v/>
      </c>
      <c r="AL34" s="63"/>
      <c r="AM34" s="130" t="str">
        <f t="shared" si="17"/>
        <v/>
      </c>
      <c r="AN34" s="63"/>
      <c r="AO34" s="130" t="str">
        <f t="shared" si="3"/>
        <v/>
      </c>
      <c r="AP34" s="125" t="str">
        <f t="shared" si="18"/>
        <v/>
      </c>
      <c r="AQ34" s="56">
        <v>27</v>
      </c>
      <c r="AR34" s="63"/>
      <c r="AS34" s="130" t="str">
        <f t="shared" si="19"/>
        <v/>
      </c>
      <c r="AT34" s="63"/>
      <c r="AU34" s="130" t="str">
        <f t="shared" si="20"/>
        <v/>
      </c>
      <c r="AV34" s="63"/>
      <c r="AW34" s="130" t="str">
        <f t="shared" si="21"/>
        <v/>
      </c>
      <c r="AX34" s="63"/>
      <c r="AY34" s="130" t="str">
        <f t="shared" si="4"/>
        <v/>
      </c>
      <c r="AZ34" s="125" t="str">
        <f t="shared" si="22"/>
        <v/>
      </c>
      <c r="BA34" s="56">
        <v>27</v>
      </c>
      <c r="BB34" s="63"/>
      <c r="BC34" s="62"/>
      <c r="BD34" s="61"/>
      <c r="BE34" s="61"/>
      <c r="BF34" s="61"/>
      <c r="BG34" s="61"/>
      <c r="BH34" s="64"/>
      <c r="BI34" s="64"/>
      <c r="BJ34" s="64"/>
      <c r="BK34" s="64"/>
      <c r="BL34" s="64"/>
      <c r="BM34" s="64"/>
      <c r="BN34" s="65" t="str">
        <f t="shared" si="23"/>
        <v/>
      </c>
      <c r="BO34" s="56">
        <v>27</v>
      </c>
      <c r="BP34" s="64"/>
      <c r="BQ34" s="62"/>
      <c r="BR34" s="61"/>
      <c r="BS34" s="61"/>
      <c r="BT34" s="61"/>
      <c r="BU34" s="64"/>
      <c r="BV34" s="63"/>
      <c r="BW34" s="63"/>
      <c r="BX34" s="66"/>
      <c r="BY34" s="172"/>
      <c r="BZ34" s="67" t="str">
        <f t="shared" si="24"/>
        <v/>
      </c>
      <c r="CA34" s="56">
        <v>27</v>
      </c>
      <c r="CB34" s="61"/>
      <c r="CC34" s="61"/>
      <c r="CD34" s="68" t="str">
        <f t="shared" si="25"/>
        <v/>
      </c>
      <c r="CE34" s="69" t="str">
        <f t="shared" si="26"/>
        <v/>
      </c>
      <c r="CF34" s="69" t="str">
        <f t="shared" si="27"/>
        <v/>
      </c>
      <c r="CG34" s="62"/>
      <c r="CH34" s="62"/>
      <c r="CI34" s="65" t="str">
        <f t="shared" si="28"/>
        <v/>
      </c>
      <c r="CJ34" s="56">
        <v>0</v>
      </c>
      <c r="CK34" s="61"/>
      <c r="CL34" s="61"/>
      <c r="CM34" s="68" t="str">
        <f t="shared" si="29"/>
        <v/>
      </c>
      <c r="CN34" s="68" t="str">
        <f t="shared" si="30"/>
        <v/>
      </c>
      <c r="CO34" s="68" t="str">
        <f t="shared" si="31"/>
        <v/>
      </c>
      <c r="CP34" s="62"/>
      <c r="CQ34" s="62"/>
      <c r="CR34" s="65" t="str">
        <f t="shared" si="32"/>
        <v/>
      </c>
      <c r="CS34" s="56">
        <v>27</v>
      </c>
      <c r="CT34" s="61"/>
      <c r="CU34" s="61"/>
      <c r="CV34" s="68" t="str">
        <f t="shared" si="33"/>
        <v/>
      </c>
      <c r="CW34" s="68" t="str">
        <f t="shared" si="34"/>
        <v/>
      </c>
      <c r="CX34" s="69" t="str">
        <f t="shared" si="35"/>
        <v/>
      </c>
      <c r="CY34" s="66"/>
      <c r="CZ34" s="66"/>
      <c r="DA34" s="66"/>
      <c r="DB34" s="65" t="str">
        <f t="shared" si="36"/>
        <v/>
      </c>
      <c r="DC34" s="56">
        <v>27</v>
      </c>
      <c r="DD34" s="61"/>
      <c r="DE34" s="61"/>
      <c r="DF34" s="68" t="str">
        <f t="shared" si="37"/>
        <v/>
      </c>
      <c r="DG34" s="69" t="str">
        <f t="shared" si="38"/>
        <v/>
      </c>
      <c r="DH34" s="68" t="str">
        <f t="shared" si="39"/>
        <v/>
      </c>
      <c r="DI34" s="62"/>
      <c r="DJ34" s="62"/>
      <c r="DK34" s="65" t="str">
        <f t="shared" si="40"/>
        <v/>
      </c>
      <c r="DL34" s="56">
        <v>27</v>
      </c>
      <c r="DM34" s="63"/>
      <c r="DN34" s="64"/>
      <c r="DO34" s="64"/>
      <c r="DP34" s="64"/>
      <c r="DQ34" s="63"/>
      <c r="DR34" s="61"/>
      <c r="DS34" s="64"/>
      <c r="DT34" s="61"/>
      <c r="DU34" s="63"/>
      <c r="DV34" s="64"/>
      <c r="DW34" s="64"/>
      <c r="DX34" s="66"/>
      <c r="DY34" s="65" t="str">
        <f t="shared" si="41"/>
        <v/>
      </c>
      <c r="DZ34" s="128">
        <v>27</v>
      </c>
      <c r="EA34" s="173" t="str">
        <f t="shared" si="42"/>
        <v/>
      </c>
      <c r="EB34" s="173" t="str">
        <f t="shared" si="43"/>
        <v/>
      </c>
      <c r="EC34" s="173" t="str">
        <f t="shared" si="44"/>
        <v/>
      </c>
      <c r="ED34" s="63"/>
      <c r="EE34" s="63"/>
      <c r="EF34" s="63"/>
      <c r="EG34" s="63"/>
      <c r="EH34" s="127" t="str">
        <f t="shared" si="5"/>
        <v/>
      </c>
      <c r="EI34" s="56">
        <v>27</v>
      </c>
      <c r="EJ34" s="334"/>
      <c r="EK34" s="334"/>
      <c r="EL34" s="334"/>
      <c r="EM34" s="334"/>
      <c r="EN34" s="334"/>
      <c r="EO34" s="334"/>
      <c r="EP34" s="334"/>
      <c r="EQ34" s="65" t="str">
        <f t="shared" si="45"/>
        <v/>
      </c>
      <c r="ER34" s="20"/>
      <c r="ES34" s="20"/>
      <c r="ET34" s="20"/>
      <c r="EU34" s="20"/>
      <c r="EV34" s="20"/>
      <c r="EW34" s="20"/>
      <c r="EX34" s="20"/>
    </row>
    <row r="35" spans="1:154" s="3" customFormat="1" ht="17.149999999999999" customHeight="1" x14ac:dyDescent="0.25">
      <c r="A35" s="56">
        <v>28</v>
      </c>
      <c r="B35" s="57"/>
      <c r="C35" s="58" t="str">
        <f t="shared" si="6"/>
        <v/>
      </c>
      <c r="D35" s="167"/>
      <c r="E35" s="59"/>
      <c r="F35" s="58" t="str">
        <f t="shared" si="7"/>
        <v/>
      </c>
      <c r="G35" s="168"/>
      <c r="H35" s="57"/>
      <c r="I35" s="58" t="str">
        <f t="shared" si="0"/>
        <v/>
      </c>
      <c r="J35" s="60"/>
      <c r="K35" s="56">
        <v>28</v>
      </c>
      <c r="L35" s="57"/>
      <c r="M35" s="58" t="str">
        <f t="shared" si="8"/>
        <v/>
      </c>
      <c r="N35" s="59"/>
      <c r="O35" s="58" t="str">
        <f t="shared" si="9"/>
        <v/>
      </c>
      <c r="P35" s="57"/>
      <c r="Q35" s="169" t="str">
        <f t="shared" si="1"/>
        <v/>
      </c>
      <c r="R35" s="57"/>
      <c r="S35" s="57"/>
      <c r="T35" s="57"/>
      <c r="U35" s="57"/>
      <c r="V35" s="58" t="str">
        <f t="shared" si="10"/>
        <v/>
      </c>
      <c r="W35" s="56">
        <v>28</v>
      </c>
      <c r="X35" s="63"/>
      <c r="Y35" s="130" t="str">
        <f t="shared" si="11"/>
        <v/>
      </c>
      <c r="Z35" s="63"/>
      <c r="AA35" s="130" t="str">
        <f t="shared" si="12"/>
        <v/>
      </c>
      <c r="AB35" s="63"/>
      <c r="AC35" s="130" t="str">
        <f t="shared" si="13"/>
        <v/>
      </c>
      <c r="AD35" s="63"/>
      <c r="AE35" s="130" t="str">
        <f t="shared" si="2"/>
        <v/>
      </c>
      <c r="AF35" s="125" t="str">
        <f t="shared" si="14"/>
        <v/>
      </c>
      <c r="AG35" s="56">
        <v>28</v>
      </c>
      <c r="AH35" s="63"/>
      <c r="AI35" s="130" t="str">
        <f t="shared" si="15"/>
        <v/>
      </c>
      <c r="AJ35" s="63"/>
      <c r="AK35" s="130" t="str">
        <f t="shared" si="16"/>
        <v/>
      </c>
      <c r="AL35" s="63"/>
      <c r="AM35" s="130" t="str">
        <f t="shared" si="17"/>
        <v/>
      </c>
      <c r="AN35" s="63"/>
      <c r="AO35" s="130" t="str">
        <f t="shared" si="3"/>
        <v/>
      </c>
      <c r="AP35" s="125" t="str">
        <f t="shared" si="18"/>
        <v/>
      </c>
      <c r="AQ35" s="56">
        <v>28</v>
      </c>
      <c r="AR35" s="63"/>
      <c r="AS35" s="130" t="str">
        <f t="shared" si="19"/>
        <v/>
      </c>
      <c r="AT35" s="63"/>
      <c r="AU35" s="130" t="str">
        <f t="shared" si="20"/>
        <v/>
      </c>
      <c r="AV35" s="63"/>
      <c r="AW35" s="130" t="str">
        <f t="shared" si="21"/>
        <v/>
      </c>
      <c r="AX35" s="63"/>
      <c r="AY35" s="130" t="str">
        <f t="shared" si="4"/>
        <v/>
      </c>
      <c r="AZ35" s="125" t="str">
        <f t="shared" si="22"/>
        <v/>
      </c>
      <c r="BA35" s="56">
        <v>28</v>
      </c>
      <c r="BB35" s="63"/>
      <c r="BC35" s="62"/>
      <c r="BD35" s="61"/>
      <c r="BE35" s="61"/>
      <c r="BF35" s="61"/>
      <c r="BG35" s="61"/>
      <c r="BH35" s="64"/>
      <c r="BI35" s="64"/>
      <c r="BJ35" s="64"/>
      <c r="BK35" s="64"/>
      <c r="BL35" s="64"/>
      <c r="BM35" s="64"/>
      <c r="BN35" s="65" t="str">
        <f t="shared" si="23"/>
        <v/>
      </c>
      <c r="BO35" s="56">
        <v>28</v>
      </c>
      <c r="BP35" s="64"/>
      <c r="BQ35" s="62"/>
      <c r="BR35" s="61"/>
      <c r="BS35" s="61"/>
      <c r="BT35" s="61"/>
      <c r="BU35" s="64"/>
      <c r="BV35" s="63"/>
      <c r="BW35" s="63"/>
      <c r="BX35" s="66"/>
      <c r="BY35" s="172"/>
      <c r="BZ35" s="67" t="str">
        <f t="shared" si="24"/>
        <v/>
      </c>
      <c r="CA35" s="56">
        <v>28</v>
      </c>
      <c r="CB35" s="61"/>
      <c r="CC35" s="61"/>
      <c r="CD35" s="68" t="str">
        <f t="shared" si="25"/>
        <v/>
      </c>
      <c r="CE35" s="69" t="str">
        <f t="shared" si="26"/>
        <v/>
      </c>
      <c r="CF35" s="69" t="str">
        <f t="shared" si="27"/>
        <v/>
      </c>
      <c r="CG35" s="62"/>
      <c r="CH35" s="62"/>
      <c r="CI35" s="65" t="str">
        <f t="shared" si="28"/>
        <v/>
      </c>
      <c r="CJ35" s="56">
        <v>28</v>
      </c>
      <c r="CK35" s="61"/>
      <c r="CL35" s="61"/>
      <c r="CM35" s="68" t="str">
        <f t="shared" si="29"/>
        <v/>
      </c>
      <c r="CN35" s="68" t="str">
        <f t="shared" si="30"/>
        <v/>
      </c>
      <c r="CO35" s="68" t="str">
        <f t="shared" si="31"/>
        <v/>
      </c>
      <c r="CP35" s="62"/>
      <c r="CQ35" s="62"/>
      <c r="CR35" s="65" t="str">
        <f t="shared" si="32"/>
        <v/>
      </c>
      <c r="CS35" s="56">
        <v>28</v>
      </c>
      <c r="CT35" s="61"/>
      <c r="CU35" s="61"/>
      <c r="CV35" s="68" t="str">
        <f t="shared" si="33"/>
        <v/>
      </c>
      <c r="CW35" s="68" t="str">
        <f t="shared" si="34"/>
        <v/>
      </c>
      <c r="CX35" s="69" t="str">
        <f t="shared" si="35"/>
        <v/>
      </c>
      <c r="CY35" s="66"/>
      <c r="CZ35" s="66"/>
      <c r="DA35" s="66"/>
      <c r="DB35" s="65" t="str">
        <f t="shared" si="36"/>
        <v/>
      </c>
      <c r="DC35" s="56">
        <v>28</v>
      </c>
      <c r="DD35" s="61"/>
      <c r="DE35" s="61"/>
      <c r="DF35" s="68" t="str">
        <f t="shared" si="37"/>
        <v/>
      </c>
      <c r="DG35" s="69" t="str">
        <f t="shared" si="38"/>
        <v/>
      </c>
      <c r="DH35" s="68" t="str">
        <f t="shared" si="39"/>
        <v/>
      </c>
      <c r="DI35" s="62"/>
      <c r="DJ35" s="62"/>
      <c r="DK35" s="65" t="str">
        <f t="shared" si="40"/>
        <v/>
      </c>
      <c r="DL35" s="56">
        <v>28</v>
      </c>
      <c r="DM35" s="63"/>
      <c r="DN35" s="64"/>
      <c r="DO35" s="64"/>
      <c r="DP35" s="64"/>
      <c r="DQ35" s="63"/>
      <c r="DR35" s="61"/>
      <c r="DS35" s="64"/>
      <c r="DT35" s="61"/>
      <c r="DU35" s="63"/>
      <c r="DV35" s="64"/>
      <c r="DW35" s="64"/>
      <c r="DX35" s="66"/>
      <c r="DY35" s="65" t="str">
        <f t="shared" si="41"/>
        <v/>
      </c>
      <c r="DZ35" s="128">
        <v>28</v>
      </c>
      <c r="EA35" s="173" t="str">
        <f t="shared" si="42"/>
        <v/>
      </c>
      <c r="EB35" s="173" t="str">
        <f t="shared" si="43"/>
        <v/>
      </c>
      <c r="EC35" s="173" t="str">
        <f t="shared" si="44"/>
        <v/>
      </c>
      <c r="ED35" s="63"/>
      <c r="EE35" s="63"/>
      <c r="EF35" s="63"/>
      <c r="EG35" s="63"/>
      <c r="EH35" s="127" t="str">
        <f t="shared" si="5"/>
        <v/>
      </c>
      <c r="EI35" s="56">
        <v>28</v>
      </c>
      <c r="EJ35" s="334"/>
      <c r="EK35" s="334"/>
      <c r="EL35" s="334"/>
      <c r="EM35" s="334"/>
      <c r="EN35" s="334"/>
      <c r="EO35" s="334"/>
      <c r="EP35" s="334"/>
      <c r="EQ35" s="65" t="str">
        <f t="shared" si="45"/>
        <v/>
      </c>
      <c r="ER35" s="20"/>
      <c r="ES35" s="20"/>
      <c r="ET35" s="20"/>
      <c r="EU35" s="20"/>
      <c r="EV35" s="20"/>
      <c r="EW35" s="20"/>
      <c r="EX35" s="20"/>
    </row>
    <row r="36" spans="1:154" s="3" customFormat="1" ht="17.149999999999999" customHeight="1" x14ac:dyDescent="0.25">
      <c r="A36" s="56">
        <v>29</v>
      </c>
      <c r="B36" s="57"/>
      <c r="C36" s="58" t="str">
        <f t="shared" si="6"/>
        <v/>
      </c>
      <c r="D36" s="167"/>
      <c r="E36" s="59"/>
      <c r="F36" s="58" t="str">
        <f t="shared" si="7"/>
        <v/>
      </c>
      <c r="G36" s="168"/>
      <c r="H36" s="57"/>
      <c r="I36" s="58" t="str">
        <f t="shared" si="0"/>
        <v/>
      </c>
      <c r="J36" s="60"/>
      <c r="K36" s="56">
        <v>29</v>
      </c>
      <c r="L36" s="57"/>
      <c r="M36" s="58" t="str">
        <f t="shared" si="8"/>
        <v/>
      </c>
      <c r="N36" s="59"/>
      <c r="O36" s="58" t="str">
        <f t="shared" si="9"/>
        <v/>
      </c>
      <c r="P36" s="57"/>
      <c r="Q36" s="169" t="str">
        <f t="shared" si="1"/>
        <v/>
      </c>
      <c r="R36" s="57"/>
      <c r="S36" s="57"/>
      <c r="T36" s="57"/>
      <c r="U36" s="57"/>
      <c r="V36" s="58" t="str">
        <f t="shared" si="10"/>
        <v/>
      </c>
      <c r="W36" s="56">
        <v>29</v>
      </c>
      <c r="X36" s="63"/>
      <c r="Y36" s="130" t="str">
        <f t="shared" si="11"/>
        <v/>
      </c>
      <c r="Z36" s="63"/>
      <c r="AA36" s="130" t="str">
        <f t="shared" si="12"/>
        <v/>
      </c>
      <c r="AB36" s="63"/>
      <c r="AC36" s="130" t="str">
        <f t="shared" si="13"/>
        <v/>
      </c>
      <c r="AD36" s="63"/>
      <c r="AE36" s="130" t="str">
        <f t="shared" si="2"/>
        <v/>
      </c>
      <c r="AF36" s="125" t="str">
        <f t="shared" si="14"/>
        <v/>
      </c>
      <c r="AG36" s="56">
        <v>29</v>
      </c>
      <c r="AH36" s="63"/>
      <c r="AI36" s="130" t="str">
        <f t="shared" si="15"/>
        <v/>
      </c>
      <c r="AJ36" s="63"/>
      <c r="AK36" s="130" t="str">
        <f t="shared" si="16"/>
        <v/>
      </c>
      <c r="AL36" s="63"/>
      <c r="AM36" s="130" t="str">
        <f t="shared" si="17"/>
        <v/>
      </c>
      <c r="AN36" s="63"/>
      <c r="AO36" s="130" t="str">
        <f t="shared" si="3"/>
        <v/>
      </c>
      <c r="AP36" s="125" t="str">
        <f t="shared" si="18"/>
        <v/>
      </c>
      <c r="AQ36" s="56">
        <v>29</v>
      </c>
      <c r="AR36" s="63"/>
      <c r="AS36" s="130" t="str">
        <f t="shared" si="19"/>
        <v/>
      </c>
      <c r="AT36" s="63"/>
      <c r="AU36" s="130" t="str">
        <f t="shared" si="20"/>
        <v/>
      </c>
      <c r="AV36" s="63"/>
      <c r="AW36" s="130" t="str">
        <f t="shared" si="21"/>
        <v/>
      </c>
      <c r="AX36" s="63"/>
      <c r="AY36" s="130" t="str">
        <f t="shared" si="4"/>
        <v/>
      </c>
      <c r="AZ36" s="125" t="str">
        <f t="shared" si="22"/>
        <v/>
      </c>
      <c r="BA36" s="56">
        <v>29</v>
      </c>
      <c r="BB36" s="63"/>
      <c r="BC36" s="62"/>
      <c r="BD36" s="61"/>
      <c r="BE36" s="61"/>
      <c r="BF36" s="61"/>
      <c r="BG36" s="61"/>
      <c r="BH36" s="64"/>
      <c r="BI36" s="64"/>
      <c r="BJ36" s="64"/>
      <c r="BK36" s="64"/>
      <c r="BL36" s="64"/>
      <c r="BM36" s="64"/>
      <c r="BN36" s="65" t="str">
        <f t="shared" si="23"/>
        <v/>
      </c>
      <c r="BO36" s="56">
        <v>29</v>
      </c>
      <c r="BP36" s="64"/>
      <c r="BQ36" s="62"/>
      <c r="BR36" s="61"/>
      <c r="BS36" s="61"/>
      <c r="BT36" s="61"/>
      <c r="BU36" s="64"/>
      <c r="BV36" s="63"/>
      <c r="BW36" s="63"/>
      <c r="BX36" s="66"/>
      <c r="BY36" s="172"/>
      <c r="BZ36" s="67" t="str">
        <f t="shared" si="24"/>
        <v/>
      </c>
      <c r="CA36" s="56">
        <v>29</v>
      </c>
      <c r="CB36" s="61"/>
      <c r="CC36" s="61"/>
      <c r="CD36" s="68" t="str">
        <f t="shared" si="25"/>
        <v/>
      </c>
      <c r="CE36" s="69" t="str">
        <f t="shared" si="26"/>
        <v/>
      </c>
      <c r="CF36" s="69" t="str">
        <f t="shared" si="27"/>
        <v/>
      </c>
      <c r="CG36" s="62"/>
      <c r="CH36" s="62"/>
      <c r="CI36" s="65" t="str">
        <f t="shared" si="28"/>
        <v/>
      </c>
      <c r="CJ36" s="56">
        <v>29</v>
      </c>
      <c r="CK36" s="61"/>
      <c r="CL36" s="61"/>
      <c r="CM36" s="68" t="str">
        <f t="shared" si="29"/>
        <v/>
      </c>
      <c r="CN36" s="68" t="str">
        <f t="shared" si="30"/>
        <v/>
      </c>
      <c r="CO36" s="68" t="str">
        <f t="shared" si="31"/>
        <v/>
      </c>
      <c r="CP36" s="62"/>
      <c r="CQ36" s="62"/>
      <c r="CR36" s="65" t="str">
        <f t="shared" si="32"/>
        <v/>
      </c>
      <c r="CS36" s="56">
        <v>29</v>
      </c>
      <c r="CT36" s="61"/>
      <c r="CU36" s="61"/>
      <c r="CV36" s="68" t="str">
        <f t="shared" si="33"/>
        <v/>
      </c>
      <c r="CW36" s="68" t="str">
        <f t="shared" si="34"/>
        <v/>
      </c>
      <c r="CX36" s="69" t="str">
        <f t="shared" si="35"/>
        <v/>
      </c>
      <c r="CY36" s="66"/>
      <c r="CZ36" s="66"/>
      <c r="DA36" s="66"/>
      <c r="DB36" s="65" t="str">
        <f t="shared" si="36"/>
        <v/>
      </c>
      <c r="DC36" s="56">
        <v>29</v>
      </c>
      <c r="DD36" s="61"/>
      <c r="DE36" s="61"/>
      <c r="DF36" s="68" t="str">
        <f t="shared" si="37"/>
        <v/>
      </c>
      <c r="DG36" s="69" t="str">
        <f t="shared" si="38"/>
        <v/>
      </c>
      <c r="DH36" s="68" t="str">
        <f t="shared" si="39"/>
        <v/>
      </c>
      <c r="DI36" s="62"/>
      <c r="DJ36" s="62"/>
      <c r="DK36" s="65" t="str">
        <f t="shared" si="40"/>
        <v/>
      </c>
      <c r="DL36" s="56">
        <v>29</v>
      </c>
      <c r="DM36" s="63"/>
      <c r="DN36" s="64"/>
      <c r="DO36" s="64"/>
      <c r="DP36" s="64"/>
      <c r="DQ36" s="63"/>
      <c r="DR36" s="61"/>
      <c r="DS36" s="64"/>
      <c r="DT36" s="61"/>
      <c r="DU36" s="63"/>
      <c r="DV36" s="64"/>
      <c r="DW36" s="64"/>
      <c r="DX36" s="66"/>
      <c r="DY36" s="65" t="str">
        <f t="shared" si="41"/>
        <v/>
      </c>
      <c r="DZ36" s="128">
        <v>29</v>
      </c>
      <c r="EA36" s="173" t="str">
        <f t="shared" si="42"/>
        <v/>
      </c>
      <c r="EB36" s="173" t="str">
        <f t="shared" si="43"/>
        <v/>
      </c>
      <c r="EC36" s="173" t="str">
        <f t="shared" si="44"/>
        <v/>
      </c>
      <c r="ED36" s="63"/>
      <c r="EE36" s="63"/>
      <c r="EF36" s="63"/>
      <c r="EG36" s="63"/>
      <c r="EH36" s="127" t="str">
        <f t="shared" si="5"/>
        <v/>
      </c>
      <c r="EI36" s="56">
        <v>29</v>
      </c>
      <c r="EJ36" s="334"/>
      <c r="EK36" s="334"/>
      <c r="EL36" s="334"/>
      <c r="EM36" s="334"/>
      <c r="EN36" s="334"/>
      <c r="EO36" s="334"/>
      <c r="EP36" s="334"/>
      <c r="EQ36" s="65" t="str">
        <f t="shared" si="45"/>
        <v/>
      </c>
      <c r="ER36" s="20"/>
      <c r="ES36" s="20"/>
      <c r="ET36" s="20"/>
      <c r="EU36" s="20"/>
      <c r="EV36" s="20"/>
      <c r="EW36" s="20"/>
      <c r="EX36" s="20"/>
    </row>
    <row r="37" spans="1:154" s="3" customFormat="1" ht="17.149999999999999" customHeight="1" x14ac:dyDescent="0.25">
      <c r="A37" s="56">
        <v>30</v>
      </c>
      <c r="B37" s="57"/>
      <c r="C37" s="58" t="str">
        <f>IF(Dec.!B8="","",IF(Dec.!B8=B37,"",(Dec.!B8-B37)))</f>
        <v/>
      </c>
      <c r="D37" s="167"/>
      <c r="E37" s="59"/>
      <c r="F37" s="58" t="str">
        <f>IF(Dec.!E8="","",IF(Dec.!E8=E37,"",(Dec.!E8-E37)))</f>
        <v/>
      </c>
      <c r="G37" s="168"/>
      <c r="H37" s="57"/>
      <c r="I37" s="58" t="str">
        <f>IF(Dec.!H8="","",IF(Dec.!H8=H37,"",(Dec.!H8-H37)))</f>
        <v/>
      </c>
      <c r="J37" s="60"/>
      <c r="K37" s="56">
        <v>30</v>
      </c>
      <c r="L37" s="57"/>
      <c r="M37" s="58" t="str">
        <f>IF(Dec.!L8="","",IF(Dec.!L8=L37,"",(Dec.!L8-L37)))</f>
        <v/>
      </c>
      <c r="N37" s="59"/>
      <c r="O37" s="58" t="str">
        <f>IF(Dec.!N8="","",IF(Dec.!N8=N37,"",(Dec.!N8-N37)))</f>
        <v/>
      </c>
      <c r="P37" s="57"/>
      <c r="Q37" s="58" t="str">
        <f>IF(Dec.!P8="","",IF(Dec.!P8=P37,"",(Dec.!P8-P37)))</f>
        <v/>
      </c>
      <c r="R37" s="57"/>
      <c r="S37" s="57"/>
      <c r="T37" s="57"/>
      <c r="U37" s="57"/>
      <c r="V37" s="58" t="str">
        <f t="shared" si="10"/>
        <v/>
      </c>
      <c r="W37" s="56">
        <v>30</v>
      </c>
      <c r="X37" s="63"/>
      <c r="Y37" s="130" t="str">
        <f>IF(Dec.!X8="","",IF(Dec.!X8=X37,"",Dec.!X8-X37))</f>
        <v/>
      </c>
      <c r="Z37" s="63"/>
      <c r="AA37" s="130" t="str">
        <f>IF(Dec.!Z8="","",IF(Dec.!Z8=Z37,"",Dec.!Z8-Z37))</f>
        <v/>
      </c>
      <c r="AB37" s="63"/>
      <c r="AC37" s="130" t="str">
        <f>IF(Dec.!AB8="","",IF(Dec.!AB8=AB37,"",Dec.!AB8-AB37))</f>
        <v/>
      </c>
      <c r="AD37" s="63"/>
      <c r="AE37" s="130" t="str">
        <f>IF(Dec.!AD8="","",IF(Dec.!AD8=AD37,"",Dec.!AD8-AD37))</f>
        <v/>
      </c>
      <c r="AF37" s="125" t="str">
        <f t="shared" si="14"/>
        <v/>
      </c>
      <c r="AG37" s="56">
        <v>30</v>
      </c>
      <c r="AH37" s="63"/>
      <c r="AI37" s="130" t="str">
        <f>IF(Dec.!AH8="","",IF(Dec.!AH8=AH37,"",Dec.!AH8-AH37))</f>
        <v/>
      </c>
      <c r="AJ37" s="63"/>
      <c r="AK37" s="130" t="str">
        <f>IF(Dec.!AJ8="","",IF(Dec.!AJ8=AJ37,"",Dec.!AJ8-AJ37))</f>
        <v/>
      </c>
      <c r="AL37" s="63"/>
      <c r="AM37" s="130"/>
      <c r="AN37" s="63"/>
      <c r="AO37" s="130" t="str">
        <f>IF(Dec.!AN8="","",IF(Dec.!AN8=AN37,"",Dec.!AN8-AN37))</f>
        <v/>
      </c>
      <c r="AP37" s="125" t="str">
        <f t="shared" si="18"/>
        <v/>
      </c>
      <c r="AQ37" s="56">
        <v>30</v>
      </c>
      <c r="AR37" s="63"/>
      <c r="AS37" s="130" t="str">
        <f>IF(Dec.!AR8="","",IF(Dec.!AR8=AR37,"",Dec.!AR8-AR37))</f>
        <v/>
      </c>
      <c r="AT37" s="63"/>
      <c r="AU37" s="130" t="str">
        <f>IF(Dec.!AT8="","",IF(Dec.!AT8=AT37,"",Dec.!AT8-AT37))</f>
        <v/>
      </c>
      <c r="AV37" s="63"/>
      <c r="AW37" s="130" t="str">
        <f>IF(Dec.!AV8="","",IF(Dec.!AV8=AV37,"",Dec.!AV8-AV37))</f>
        <v/>
      </c>
      <c r="AX37" s="63"/>
      <c r="AY37" s="130" t="str">
        <f>IF(Dec.!AX8="","",IF(Dec.!AX8=AX37,"",Dec.!AX8-AX37))</f>
        <v/>
      </c>
      <c r="AZ37" s="125" t="str">
        <f t="shared" si="22"/>
        <v/>
      </c>
      <c r="BA37" s="56">
        <v>30</v>
      </c>
      <c r="BB37" s="63"/>
      <c r="BC37" s="62"/>
      <c r="BD37" s="61"/>
      <c r="BE37" s="61"/>
      <c r="BF37" s="61"/>
      <c r="BG37" s="61"/>
      <c r="BH37" s="64"/>
      <c r="BI37" s="64"/>
      <c r="BJ37" s="64"/>
      <c r="BK37" s="64"/>
      <c r="BL37" s="64"/>
      <c r="BM37" s="64"/>
      <c r="BN37" s="65" t="str">
        <f t="shared" si="23"/>
        <v/>
      </c>
      <c r="BO37" s="56">
        <v>30</v>
      </c>
      <c r="BP37" s="64"/>
      <c r="BQ37" s="62"/>
      <c r="BR37" s="61"/>
      <c r="BS37" s="61"/>
      <c r="BT37" s="61"/>
      <c r="BU37" s="64"/>
      <c r="BV37" s="63"/>
      <c r="BW37" s="63"/>
      <c r="BX37" s="66"/>
      <c r="BY37" s="172"/>
      <c r="BZ37" s="67" t="str">
        <f t="shared" si="24"/>
        <v/>
      </c>
      <c r="CA37" s="56">
        <v>30</v>
      </c>
      <c r="CB37" s="61"/>
      <c r="CC37" s="61"/>
      <c r="CD37" s="68" t="str">
        <f>IF(Dec.!CB8="","",IF(CC37="",IF(CB37=Dec.!CB8,"",(CB37-Dec.!CB8)),IF(CC37=Dec.!CB8,"",(CC37-Dec.!CB8))))</f>
        <v/>
      </c>
      <c r="CE37" s="69" t="str">
        <f t="shared" si="26"/>
        <v/>
      </c>
      <c r="CF37" s="69" t="str">
        <f t="shared" si="27"/>
        <v/>
      </c>
      <c r="CG37" s="62"/>
      <c r="CH37" s="62"/>
      <c r="CI37" s="65" t="str">
        <f t="shared" si="28"/>
        <v/>
      </c>
      <c r="CJ37" s="56">
        <v>30</v>
      </c>
      <c r="CK37" s="61"/>
      <c r="CL37" s="61"/>
      <c r="CM37" s="68" t="str">
        <f>IF(Dec.!CK8="","",IF(CL37="",IF(CK37=Dec.!CK8,"",(CK37-Dec.!CK8)),IF(CL37=Dec.!CK8,"",(CL37-Dec.!CK8))))</f>
        <v/>
      </c>
      <c r="CN37" s="68" t="str">
        <f t="shared" si="30"/>
        <v/>
      </c>
      <c r="CO37" s="68" t="str">
        <f t="shared" si="31"/>
        <v/>
      </c>
      <c r="CP37" s="62"/>
      <c r="CQ37" s="62"/>
      <c r="CR37" s="65" t="str">
        <f t="shared" si="32"/>
        <v/>
      </c>
      <c r="CS37" s="56">
        <v>30</v>
      </c>
      <c r="CT37" s="61"/>
      <c r="CU37" s="61"/>
      <c r="CV37" s="68" t="str">
        <f>IF(Dec.!CT8="","",IF(CU37="",IF(CT37=Dec.!CT8,"",(CT37-Dec.!CT8)),IF(CU37=Dec.!CT8,"",(CU37-Dec.!CT8))))</f>
        <v/>
      </c>
      <c r="CW37" s="68" t="str">
        <f t="shared" si="34"/>
        <v/>
      </c>
      <c r="CX37" s="69" t="str">
        <f t="shared" si="35"/>
        <v/>
      </c>
      <c r="CY37" s="66"/>
      <c r="CZ37" s="66"/>
      <c r="DA37" s="66"/>
      <c r="DB37" s="65" t="str">
        <f t="shared" si="36"/>
        <v/>
      </c>
      <c r="DC37" s="56">
        <v>30</v>
      </c>
      <c r="DD37" s="61"/>
      <c r="DE37" s="61"/>
      <c r="DF37" s="68" t="str">
        <f>IF(Dec.!DD8="","",IF(DE37="",IF(DD37=Dec.!DD8,"",(DD37-Dec.!DD8)),IF(DE37=Dec.!DD8,"",(DE37-Dec.!DD8))))</f>
        <v/>
      </c>
      <c r="DG37" s="69" t="str">
        <f t="shared" si="38"/>
        <v/>
      </c>
      <c r="DH37" s="68" t="str">
        <f t="shared" si="39"/>
        <v/>
      </c>
      <c r="DI37" s="62"/>
      <c r="DJ37" s="62"/>
      <c r="DK37" s="65" t="str">
        <f t="shared" si="40"/>
        <v/>
      </c>
      <c r="DL37" s="56">
        <v>30</v>
      </c>
      <c r="DM37" s="63"/>
      <c r="DN37" s="64"/>
      <c r="DO37" s="64"/>
      <c r="DP37" s="64"/>
      <c r="DQ37" s="63"/>
      <c r="DR37" s="61"/>
      <c r="DS37" s="64"/>
      <c r="DT37" s="61"/>
      <c r="DU37" s="63"/>
      <c r="DV37" s="64"/>
      <c r="DW37" s="64"/>
      <c r="DX37" s="66"/>
      <c r="DY37" s="65" t="str">
        <f t="shared" si="41"/>
        <v/>
      </c>
      <c r="DZ37" s="128">
        <v>30</v>
      </c>
      <c r="EA37" s="173" t="str">
        <f t="shared" si="42"/>
        <v/>
      </c>
      <c r="EB37" s="173" t="str">
        <f t="shared" si="43"/>
        <v/>
      </c>
      <c r="EC37" s="173" t="str">
        <f t="shared" si="44"/>
        <v/>
      </c>
      <c r="ED37" s="63"/>
      <c r="EE37" s="63"/>
      <c r="EF37" s="63"/>
      <c r="EG37" s="63"/>
      <c r="EH37" s="127" t="str">
        <f t="shared" si="5"/>
        <v/>
      </c>
      <c r="EI37" s="56">
        <v>30</v>
      </c>
      <c r="EJ37" s="334"/>
      <c r="EK37" s="334"/>
      <c r="EL37" s="334"/>
      <c r="EM37" s="334"/>
      <c r="EN37" s="334"/>
      <c r="EO37" s="334"/>
      <c r="EP37" s="334"/>
      <c r="EQ37" s="65" t="str">
        <f t="shared" si="45"/>
        <v/>
      </c>
      <c r="ER37" s="20"/>
      <c r="ES37" s="20"/>
      <c r="ET37" s="20"/>
      <c r="EU37" s="20"/>
      <c r="EV37" s="20"/>
      <c r="EW37" s="20"/>
      <c r="EX37" s="20"/>
    </row>
    <row r="38" spans="1:154" s="3" customFormat="1" ht="17.149999999999999" customHeight="1" thickBot="1" x14ac:dyDescent="0.3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  <c r="DR38" s="73"/>
      <c r="DS38" s="73"/>
      <c r="DT38" s="73"/>
      <c r="DU38" s="73"/>
      <c r="DV38" s="73"/>
      <c r="DW38" s="73"/>
      <c r="DX38" s="73"/>
      <c r="DY38" s="73"/>
      <c r="DZ38" s="73"/>
      <c r="EA38" s="73"/>
      <c r="EB38" s="73"/>
      <c r="EC38" s="73"/>
      <c r="ED38" s="73"/>
      <c r="EE38" s="73"/>
      <c r="EF38" s="73"/>
      <c r="EG38" s="73"/>
      <c r="EH38" s="73"/>
      <c r="EI38" s="73"/>
      <c r="EJ38" s="351"/>
      <c r="EK38" s="351"/>
      <c r="EL38" s="351"/>
      <c r="EM38" s="351"/>
      <c r="EN38" s="351"/>
      <c r="EO38" s="351"/>
      <c r="EP38" s="351"/>
      <c r="EQ38" s="73"/>
      <c r="ER38" s="20"/>
      <c r="ES38" s="20"/>
      <c r="ET38" s="20"/>
      <c r="EU38" s="20"/>
      <c r="EV38" s="20"/>
      <c r="EW38" s="20"/>
      <c r="EX38" s="20"/>
    </row>
    <row r="39" spans="1:154" s="3" customFormat="1" ht="18.649999999999999" customHeight="1" thickBot="1" x14ac:dyDescent="0.3">
      <c r="A39" s="73"/>
      <c r="B39" s="74"/>
      <c r="C39" s="74"/>
      <c r="D39" s="75"/>
      <c r="E39" s="74"/>
      <c r="F39" s="74"/>
      <c r="G39" s="75"/>
      <c r="H39" s="74"/>
      <c r="I39" s="74"/>
      <c r="J39" s="73"/>
      <c r="K39" s="73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3"/>
      <c r="W39" s="73"/>
      <c r="X39" s="75"/>
      <c r="Y39" s="75"/>
      <c r="Z39" s="75"/>
      <c r="AA39" s="75"/>
      <c r="AB39" s="75"/>
      <c r="AC39" s="75"/>
      <c r="AD39" s="75"/>
      <c r="AE39" s="75"/>
      <c r="AF39" s="73"/>
      <c r="AG39" s="73"/>
      <c r="AH39" s="75"/>
      <c r="AI39" s="75"/>
      <c r="AJ39" s="75"/>
      <c r="AK39" s="75"/>
      <c r="AL39" s="75"/>
      <c r="AM39" s="75"/>
      <c r="AN39" s="75"/>
      <c r="AO39" s="75"/>
      <c r="AP39" s="73"/>
      <c r="AQ39" s="73"/>
      <c r="AR39" s="75"/>
      <c r="AS39" s="75"/>
      <c r="AT39" s="75"/>
      <c r="AU39" s="75"/>
      <c r="AV39" s="75"/>
      <c r="AW39" s="75"/>
      <c r="AX39" s="75"/>
      <c r="AY39" s="75"/>
      <c r="AZ39" s="73"/>
      <c r="BA39" s="73"/>
      <c r="BB39" s="75"/>
      <c r="BC39" s="74"/>
      <c r="BD39" s="73"/>
      <c r="BE39" s="73"/>
      <c r="BF39" s="73"/>
      <c r="BG39" s="73"/>
      <c r="BH39" s="124"/>
      <c r="BI39" s="124"/>
      <c r="BJ39" s="124"/>
      <c r="BK39" s="124"/>
      <c r="BL39" s="124"/>
      <c r="BM39" s="124"/>
      <c r="BN39" s="73"/>
      <c r="BO39" s="73"/>
      <c r="BP39" s="124"/>
      <c r="BQ39" s="74"/>
      <c r="BR39" s="73"/>
      <c r="BS39" s="73"/>
      <c r="BT39" s="73"/>
      <c r="BU39" s="124"/>
      <c r="BV39" s="75"/>
      <c r="BW39" s="75"/>
      <c r="BX39" s="73"/>
      <c r="BY39" s="73"/>
      <c r="BZ39" s="73"/>
      <c r="CA39" s="73"/>
      <c r="CB39" s="73"/>
      <c r="CC39" s="73"/>
      <c r="CD39" s="73"/>
      <c r="CE39" s="75"/>
      <c r="CF39" s="75"/>
      <c r="CG39" s="74"/>
      <c r="CH39" s="74"/>
      <c r="CI39" s="73"/>
      <c r="CJ39" s="73"/>
      <c r="CK39" s="73"/>
      <c r="CL39" s="73"/>
      <c r="CM39" s="73"/>
      <c r="CN39" s="73"/>
      <c r="CO39" s="73"/>
      <c r="CP39" s="74"/>
      <c r="CQ39" s="74"/>
      <c r="CR39" s="73"/>
      <c r="CS39" s="73"/>
      <c r="CT39" s="73"/>
      <c r="CU39" s="73"/>
      <c r="CV39" s="73"/>
      <c r="CW39" s="73"/>
      <c r="CX39" s="75"/>
      <c r="CY39" s="74"/>
      <c r="CZ39" s="74"/>
      <c r="DA39" s="74"/>
      <c r="DB39" s="73"/>
      <c r="DC39" s="73"/>
      <c r="DD39" s="73"/>
      <c r="DE39" s="73"/>
      <c r="DF39" s="73"/>
      <c r="DG39" s="75"/>
      <c r="DH39" s="73"/>
      <c r="DI39" s="74"/>
      <c r="DJ39" s="74"/>
      <c r="DK39" s="73"/>
      <c r="DL39" s="73"/>
      <c r="DM39" s="75"/>
      <c r="DN39" s="124"/>
      <c r="DO39" s="124"/>
      <c r="DP39" s="124"/>
      <c r="DQ39" s="75"/>
      <c r="DR39" s="73"/>
      <c r="DS39" s="124"/>
      <c r="DT39" s="73"/>
      <c r="DU39" s="75"/>
      <c r="DV39" s="124"/>
      <c r="DW39" s="124"/>
      <c r="DX39" s="124"/>
      <c r="DY39" s="73"/>
      <c r="DZ39" s="195" t="s">
        <v>199</v>
      </c>
      <c r="EA39" s="198" t="e">
        <f>IF(COUNT(EA7:EA37)=0,"",AVERAGE(EA7:EA37))*100</f>
        <v>#VALUE!</v>
      </c>
      <c r="EB39" s="199" t="e">
        <f>IF(COUNT(EB7:EB37)=0,"",AVERAGE(EB7:EB37))*100</f>
        <v>#VALUE!</v>
      </c>
      <c r="EC39" s="200" t="e">
        <f>IF(COUNT(EC7:EC37)=0,"",AVERAGE(EC7:EC37))*100</f>
        <v>#VALUE!</v>
      </c>
      <c r="ED39" s="75"/>
      <c r="EE39" s="75"/>
      <c r="EF39" s="75"/>
      <c r="EG39" s="75"/>
      <c r="EH39" s="73"/>
      <c r="EI39" s="73"/>
      <c r="EJ39" s="351"/>
      <c r="EK39" s="351"/>
      <c r="EL39" s="351"/>
      <c r="EM39" s="351"/>
      <c r="EN39" s="351"/>
      <c r="EO39" s="351"/>
      <c r="EP39" s="351"/>
      <c r="EQ39" s="73"/>
      <c r="ER39" s="20"/>
      <c r="ES39" s="20"/>
      <c r="ET39" s="20"/>
      <c r="EU39" s="20"/>
      <c r="EV39" s="20"/>
      <c r="EW39" s="20"/>
      <c r="EX39" s="20"/>
    </row>
    <row r="40" spans="1:154" s="3" customFormat="1" ht="18.649999999999999" customHeight="1" x14ac:dyDescent="0.25">
      <c r="A40" s="56" t="s">
        <v>2</v>
      </c>
      <c r="B40" s="77"/>
      <c r="C40" s="78" t="str">
        <f>IF(COUNT(C8:C38)=0,"",SUM(C8:C38))</f>
        <v/>
      </c>
      <c r="D40" s="75"/>
      <c r="E40" s="74"/>
      <c r="F40" s="78" t="str">
        <f>IF(COUNT(F8:F38)=0,"",SUM(F8:F38))</f>
        <v/>
      </c>
      <c r="G40" s="81"/>
      <c r="H40" s="74"/>
      <c r="I40" s="78" t="str">
        <f>IF(COUNT(I8:I38)=0,"",SUM(I8:I38))</f>
        <v/>
      </c>
      <c r="J40" s="79"/>
      <c r="K40" s="56" t="s">
        <v>2</v>
      </c>
      <c r="L40" s="77"/>
      <c r="M40" s="78" t="str">
        <f>IF(COUNT(M8:M38)=0,"",SUM(M8:M38))</f>
        <v/>
      </c>
      <c r="N40" s="74"/>
      <c r="O40" s="78" t="str">
        <f>IF(COUNT(O8:O38)=0,"",SUM(O8:O38))</f>
        <v/>
      </c>
      <c r="P40" s="74"/>
      <c r="Q40" s="78" t="str">
        <f>IF(COUNT(Q8:Q38)=0,"",SUM(Q8:Q38))</f>
        <v/>
      </c>
      <c r="R40" s="77"/>
      <c r="S40" s="77"/>
      <c r="T40" s="77"/>
      <c r="U40" s="77"/>
      <c r="V40" s="79"/>
      <c r="W40" s="56" t="s">
        <v>2</v>
      </c>
      <c r="X40" s="81"/>
      <c r="Y40" s="82" t="str">
        <f>IF(COUNT(Y8:Y38)=0,"",SUM(Y8:Y38))</f>
        <v/>
      </c>
      <c r="Z40" s="75"/>
      <c r="AA40" s="82" t="str">
        <f>IF(COUNT(AA8:AA38)=0,"",SUM(AA8:AA38))</f>
        <v/>
      </c>
      <c r="AB40" s="75"/>
      <c r="AC40" s="82" t="str">
        <f>IF(COUNT(AC8:AC38)=0,"",SUM(AC8:AC38))</f>
        <v/>
      </c>
      <c r="AD40" s="75"/>
      <c r="AE40" s="82" t="str">
        <f>IF(COUNT(AE8:AE38)=0,"",SUM(AE8:AE38))</f>
        <v/>
      </c>
      <c r="AF40" s="79"/>
      <c r="AG40" s="56" t="s">
        <v>2</v>
      </c>
      <c r="AH40" s="81"/>
      <c r="AI40" s="82" t="str">
        <f>IF(COUNT(AI8:AI38)=0,"",SUM(AI8:AI38))</f>
        <v/>
      </c>
      <c r="AJ40" s="75"/>
      <c r="AK40" s="82" t="str">
        <f>IF(COUNT(AK8:AK38)=0,"",SUM(AK8:AK38))</f>
        <v/>
      </c>
      <c r="AL40" s="75"/>
      <c r="AM40" s="82" t="str">
        <f>IF(COUNT(AM8:AM38)=0,"",SUM(AM8:AM38))</f>
        <v/>
      </c>
      <c r="AN40" s="75"/>
      <c r="AO40" s="82" t="str">
        <f>IF(COUNT(AO8:AO38)=0,"",SUM(AO8:AO38))</f>
        <v/>
      </c>
      <c r="AP40" s="79"/>
      <c r="AQ40" s="56" t="s">
        <v>2</v>
      </c>
      <c r="AR40" s="81"/>
      <c r="AS40" s="82" t="str">
        <f>IF(COUNT(AS8:AS38)=0,"",SUM(AS8:AS38))</f>
        <v/>
      </c>
      <c r="AT40" s="75"/>
      <c r="AU40" s="82" t="str">
        <f>IF(COUNT(AU8:AU38)=0,"",SUM(AU8:AU38))</f>
        <v/>
      </c>
      <c r="AV40" s="75"/>
      <c r="AW40" s="82" t="str">
        <f>IF(COUNT(AW8:AW38)=0,"",SUM(AW8:AW38))</f>
        <v/>
      </c>
      <c r="AX40" s="75"/>
      <c r="AY40" s="82" t="str">
        <f>IF(COUNT(AY8:AY38)=0,"",SUM(AY8:AY38))</f>
        <v/>
      </c>
      <c r="AZ40" s="79"/>
      <c r="BA40" s="264" t="s">
        <v>2</v>
      </c>
      <c r="BB40" s="265">
        <f>COUNTA(BB8:BB37)</f>
        <v>0</v>
      </c>
      <c r="BC40" s="265">
        <f t="shared" ref="BC40:BM40" si="46">COUNTA(BC8:BC37)</f>
        <v>0</v>
      </c>
      <c r="BD40" s="265">
        <f t="shared" si="46"/>
        <v>0</v>
      </c>
      <c r="BE40" s="265">
        <f t="shared" si="46"/>
        <v>0</v>
      </c>
      <c r="BF40" s="265">
        <f t="shared" si="46"/>
        <v>0</v>
      </c>
      <c r="BG40" s="265">
        <f t="shared" si="46"/>
        <v>0</v>
      </c>
      <c r="BH40" s="265">
        <f t="shared" si="46"/>
        <v>0</v>
      </c>
      <c r="BI40" s="265">
        <f t="shared" si="46"/>
        <v>0</v>
      </c>
      <c r="BJ40" s="265">
        <f t="shared" si="46"/>
        <v>0</v>
      </c>
      <c r="BK40" s="265">
        <f t="shared" si="46"/>
        <v>0</v>
      </c>
      <c r="BL40" s="265">
        <f t="shared" si="46"/>
        <v>0</v>
      </c>
      <c r="BM40" s="265">
        <f t="shared" si="46"/>
        <v>0</v>
      </c>
      <c r="BN40" s="266" t="s">
        <v>208</v>
      </c>
      <c r="BO40" s="264" t="s">
        <v>2</v>
      </c>
      <c r="BP40" s="265">
        <f t="shared" ref="BP40:BW40" si="47">COUNTA(BP8:BP37)</f>
        <v>0</v>
      </c>
      <c r="BQ40" s="265">
        <f t="shared" si="47"/>
        <v>0</v>
      </c>
      <c r="BR40" s="265">
        <f t="shared" si="47"/>
        <v>0</v>
      </c>
      <c r="BS40" s="265">
        <f t="shared" si="47"/>
        <v>0</v>
      </c>
      <c r="BT40" s="265">
        <f t="shared" si="47"/>
        <v>0</v>
      </c>
      <c r="BU40" s="265">
        <f t="shared" si="47"/>
        <v>0</v>
      </c>
      <c r="BV40" s="265">
        <f t="shared" si="47"/>
        <v>0</v>
      </c>
      <c r="BW40" s="265">
        <f t="shared" si="47"/>
        <v>0</v>
      </c>
      <c r="BX40" s="267" t="s">
        <v>208</v>
      </c>
      <c r="BY40" s="83"/>
      <c r="BZ40" s="73"/>
      <c r="CA40" s="56" t="s">
        <v>2</v>
      </c>
      <c r="CB40" s="73"/>
      <c r="CC40" s="73"/>
      <c r="CD40" s="80" t="str">
        <f>IF(COUNT(CD8:CD38)=0,"",SUM(CD8:CD38))</f>
        <v/>
      </c>
      <c r="CE40" s="82" t="str">
        <f>IF(COUNT(CE8:CE38)=0,"",SUM(CE8:CE38))</f>
        <v/>
      </c>
      <c r="CF40" s="75"/>
      <c r="CG40" s="74"/>
      <c r="CH40" s="74"/>
      <c r="CI40" s="73"/>
      <c r="CJ40" s="56" t="s">
        <v>2</v>
      </c>
      <c r="CK40" s="73"/>
      <c r="CL40" s="73"/>
      <c r="CM40" s="80" t="str">
        <f>IF(COUNT(CM8:CM38)=0,"",SUM(CM8:CM38))</f>
        <v/>
      </c>
      <c r="CN40" s="80" t="str">
        <f>IF(COUNT(CN8:CN38)=0,"",SUM(CN8:CN38))</f>
        <v/>
      </c>
      <c r="CO40" s="73"/>
      <c r="CP40" s="74"/>
      <c r="CQ40" s="74"/>
      <c r="CR40" s="73"/>
      <c r="CS40" s="56" t="s">
        <v>2</v>
      </c>
      <c r="CT40" s="73"/>
      <c r="CU40" s="73"/>
      <c r="CV40" s="80" t="str">
        <f>IF(COUNT(CV8:CV38)=0,"",SUM(CV8:CV38))</f>
        <v/>
      </c>
      <c r="CW40" s="80" t="str">
        <f>IF(COUNT(CW8:CW38)=0,"",SUM(CW8:CW38))</f>
        <v/>
      </c>
      <c r="CX40" s="75"/>
      <c r="CY40" s="74"/>
      <c r="CZ40" s="74"/>
      <c r="DA40" s="74"/>
      <c r="DB40" s="73"/>
      <c r="DC40" s="56" t="s">
        <v>2</v>
      </c>
      <c r="DD40" s="73"/>
      <c r="DE40" s="73"/>
      <c r="DF40" s="80" t="str">
        <f>IF(COUNT(DF8:DF38)=0,"",SUM(DF8:DF38))</f>
        <v/>
      </c>
      <c r="DG40" s="82" t="str">
        <f>IF(COUNT(DG8:DG38)=0,"",SUM(DG8:DG38))</f>
        <v/>
      </c>
      <c r="DH40" s="73"/>
      <c r="DI40" s="74"/>
      <c r="DJ40" s="74"/>
      <c r="DK40" s="73"/>
      <c r="DL40" s="56" t="s">
        <v>2</v>
      </c>
      <c r="DM40" s="75"/>
      <c r="DN40" s="124"/>
      <c r="DO40" s="124"/>
      <c r="DP40" s="124"/>
      <c r="DQ40" s="75"/>
      <c r="DR40" s="73"/>
      <c r="DS40" s="124"/>
      <c r="DT40" s="73"/>
      <c r="DU40" s="75"/>
      <c r="DV40" s="124"/>
      <c r="DW40" s="124"/>
      <c r="DX40" s="124"/>
      <c r="DY40" s="73"/>
      <c r="DZ40" s="84" t="s">
        <v>27</v>
      </c>
      <c r="EA40" s="82" t="e">
        <f>IF(COUNT(EA8:EA38)=0,"",MIN(EA8:EA38))*100</f>
        <v>#VALUE!</v>
      </c>
      <c r="EB40" s="82" t="e">
        <f>IF(COUNT(EB8:EB38)=0,"",MIN(EB8:EB38))*100</f>
        <v>#VALUE!</v>
      </c>
      <c r="EC40" s="82" t="e">
        <f>IF(COUNT(EC8:EC38)=0,"",MIN(EC8:EC38))*100</f>
        <v>#VALUE!</v>
      </c>
      <c r="ED40" s="82" t="str">
        <f>IF(COUNT(ED8:ED38)=0,"",MIN(ED8:ED38))</f>
        <v/>
      </c>
      <c r="EE40" s="75"/>
      <c r="EF40" s="75"/>
      <c r="EG40" s="75"/>
      <c r="EH40" s="73"/>
      <c r="EI40" s="73"/>
      <c r="EJ40" s="351"/>
      <c r="EK40" s="351"/>
      <c r="EL40" s="351"/>
      <c r="EM40" s="351"/>
      <c r="EN40" s="351"/>
      <c r="EO40" s="351"/>
      <c r="EP40" s="351"/>
      <c r="EQ40" s="73"/>
      <c r="ER40" s="20"/>
      <c r="ES40" s="20"/>
      <c r="ET40" s="20"/>
      <c r="EU40" s="20"/>
      <c r="EV40" s="20"/>
      <c r="EW40" s="20"/>
      <c r="EX40" s="20"/>
    </row>
    <row r="41" spans="1:154" s="3" customFormat="1" ht="18" customHeight="1" x14ac:dyDescent="0.25">
      <c r="A41" s="56" t="s">
        <v>7</v>
      </c>
      <c r="B41" s="77"/>
      <c r="C41" s="78" t="str">
        <f>IF(COUNT(C8:C38)=0,"",AVERAGE(C8:C38))</f>
        <v/>
      </c>
      <c r="D41" s="75"/>
      <c r="E41" s="74"/>
      <c r="F41" s="78" t="str">
        <f>IF(COUNT(F8:F38)=0,"",AVERAGE(F8:F38))</f>
        <v/>
      </c>
      <c r="G41" s="81"/>
      <c r="H41" s="74"/>
      <c r="I41" s="78" t="str">
        <f>IF(COUNT(I8:I38)=0,"",AVERAGE(I8:I38))</f>
        <v/>
      </c>
      <c r="J41" s="79"/>
      <c r="K41" s="56" t="s">
        <v>7</v>
      </c>
      <c r="L41" s="77"/>
      <c r="M41" s="78" t="str">
        <f>IF(COUNT(M8:M38)=0,"",AVERAGE(M8:M38))</f>
        <v/>
      </c>
      <c r="N41" s="74"/>
      <c r="O41" s="78" t="str">
        <f>IF(COUNT(O8:O38)=0,"",AVERAGE(O8:O38))</f>
        <v/>
      </c>
      <c r="P41" s="74"/>
      <c r="Q41" s="78" t="str">
        <f>IF(COUNT(Q8:Q38)=0,"",AVERAGE(Q8:Q38))</f>
        <v/>
      </c>
      <c r="R41" s="77"/>
      <c r="S41" s="77"/>
      <c r="T41" s="77"/>
      <c r="U41" s="77"/>
      <c r="V41" s="79"/>
      <c r="W41" s="56" t="s">
        <v>7</v>
      </c>
      <c r="X41" s="75"/>
      <c r="Y41" s="75"/>
      <c r="Z41" s="75"/>
      <c r="AA41" s="75"/>
      <c r="AB41" s="75"/>
      <c r="AC41" s="75"/>
      <c r="AD41" s="75"/>
      <c r="AE41" s="75"/>
      <c r="AF41" s="79"/>
      <c r="AG41" s="56" t="s">
        <v>7</v>
      </c>
      <c r="AH41" s="75"/>
      <c r="AI41" s="75"/>
      <c r="AJ41" s="75"/>
      <c r="AK41" s="75"/>
      <c r="AL41" s="75"/>
      <c r="AM41" s="75"/>
      <c r="AN41" s="75"/>
      <c r="AO41" s="75"/>
      <c r="AP41" s="79"/>
      <c r="AQ41" s="56" t="s">
        <v>7</v>
      </c>
      <c r="AR41" s="75"/>
      <c r="AS41" s="75"/>
      <c r="AT41" s="75"/>
      <c r="AU41" s="75"/>
      <c r="AV41" s="75"/>
      <c r="AW41" s="75"/>
      <c r="AX41" s="75"/>
      <c r="AY41" s="75"/>
      <c r="AZ41" s="79"/>
      <c r="BA41" s="56" t="s">
        <v>7</v>
      </c>
      <c r="BB41" s="82" t="str">
        <f>IF(COUNT(BB8:BB38)=0,"",AVERAGE(BB8:BB38))</f>
        <v/>
      </c>
      <c r="BC41" s="78" t="str">
        <f t="shared" ref="BC41:BM41" si="48">IF(COUNT(BC8:BC38)=0,"",AVERAGE(BC8:BC38))</f>
        <v/>
      </c>
      <c r="BD41" s="80" t="str">
        <f t="shared" si="48"/>
        <v/>
      </c>
      <c r="BE41" s="80" t="str">
        <f t="shared" si="48"/>
        <v/>
      </c>
      <c r="BF41" s="80" t="str">
        <f t="shared" si="48"/>
        <v/>
      </c>
      <c r="BG41" s="80" t="str">
        <f t="shared" si="48"/>
        <v/>
      </c>
      <c r="BH41" s="84" t="str">
        <f t="shared" si="48"/>
        <v/>
      </c>
      <c r="BI41" s="84" t="str">
        <f t="shared" si="48"/>
        <v/>
      </c>
      <c r="BJ41" s="84" t="str">
        <f t="shared" si="48"/>
        <v/>
      </c>
      <c r="BK41" s="84" t="str">
        <f t="shared" si="48"/>
        <v/>
      </c>
      <c r="BL41" s="84" t="str">
        <f t="shared" si="48"/>
        <v/>
      </c>
      <c r="BM41" s="84" t="str">
        <f t="shared" si="48"/>
        <v/>
      </c>
      <c r="BN41" s="73"/>
      <c r="BO41" s="56" t="s">
        <v>7</v>
      </c>
      <c r="BP41" s="84" t="str">
        <f>IF(COUNT(BP8:BP38)=0,"",AVERAGE(BP8:BP38))</f>
        <v/>
      </c>
      <c r="BQ41" s="78" t="str">
        <f t="shared" ref="BQ41:BW41" si="49">IF(COUNT(BQ8:BQ38)=0,"",AVERAGE(BQ8:BQ38))</f>
        <v/>
      </c>
      <c r="BR41" s="80" t="str">
        <f t="shared" si="49"/>
        <v/>
      </c>
      <c r="BS41" s="80" t="str">
        <f t="shared" si="49"/>
        <v/>
      </c>
      <c r="BT41" s="80" t="str">
        <f t="shared" si="49"/>
        <v/>
      </c>
      <c r="BU41" s="84" t="str">
        <f t="shared" si="49"/>
        <v/>
      </c>
      <c r="BV41" s="82" t="str">
        <f t="shared" si="49"/>
        <v/>
      </c>
      <c r="BW41" s="82" t="str">
        <f t="shared" si="49"/>
        <v/>
      </c>
      <c r="BX41" s="75"/>
      <c r="BY41" s="83"/>
      <c r="BZ41" s="73"/>
      <c r="CA41" s="56" t="s">
        <v>7</v>
      </c>
      <c r="CB41" s="73"/>
      <c r="CC41" s="73"/>
      <c r="CD41" s="80" t="str">
        <f>IF(COUNT(CD8:CD38)=0,"",AVERAGE(CD8:CD38))</f>
        <v/>
      </c>
      <c r="CE41" s="82" t="str">
        <f>IF(COUNT(CE8:CE38)=0,"",AVERAGE(CE8:CE38))</f>
        <v/>
      </c>
      <c r="CF41" s="82" t="str">
        <f>IF(COUNT(CF8:CF38)=0,"",AVERAGE(CF8:CF38))</f>
        <v/>
      </c>
      <c r="CG41" s="74"/>
      <c r="CH41" s="74"/>
      <c r="CI41" s="73"/>
      <c r="CJ41" s="56" t="s">
        <v>7</v>
      </c>
      <c r="CK41" s="73"/>
      <c r="CL41" s="73"/>
      <c r="CM41" s="80" t="str">
        <f>IF(COUNT(CM8:CM38)=0,"",AVERAGE(CM8:CM38))</f>
        <v/>
      </c>
      <c r="CN41" s="80" t="str">
        <f>IF(COUNT(CN8:CN38)=0,"",AVERAGE(CN8:CN38))</f>
        <v/>
      </c>
      <c r="CO41" s="80" t="str">
        <f>IF(COUNT(CO8:CO38)=0,"",AVERAGE(CO8:CO38))</f>
        <v/>
      </c>
      <c r="CP41" s="74"/>
      <c r="CQ41" s="74"/>
      <c r="CR41" s="73"/>
      <c r="CS41" s="56" t="s">
        <v>7</v>
      </c>
      <c r="CT41" s="73"/>
      <c r="CU41" s="73"/>
      <c r="CV41" s="80" t="str">
        <f>IF(COUNT(CV8:CV38)=0,"",AVERAGE(CV8:CV38))</f>
        <v/>
      </c>
      <c r="CW41" s="80" t="str">
        <f>IF(COUNT(CW8:CW38)=0,"",AVERAGE(CW8:CW38))</f>
        <v/>
      </c>
      <c r="CX41" s="82" t="str">
        <f>IF(COUNT(CX8:CX38)=0,"",AVERAGE(CX8:CX38))</f>
        <v/>
      </c>
      <c r="CY41" s="74"/>
      <c r="CZ41" s="74"/>
      <c r="DA41" s="74"/>
      <c r="DB41" s="73"/>
      <c r="DC41" s="56" t="s">
        <v>7</v>
      </c>
      <c r="DD41" s="73"/>
      <c r="DE41" s="73"/>
      <c r="DF41" s="80" t="str">
        <f>IF(COUNT(DF8:DF38)=0,"",AVERAGE(DF8:DF38))</f>
        <v/>
      </c>
      <c r="DG41" s="82" t="str">
        <f>IF(COUNT(DG8:DG38)=0,"",AVERAGE(DG8:DG38))</f>
        <v/>
      </c>
      <c r="DH41" s="80" t="str">
        <f>IF(COUNT(DH8:DH38)=0,"",AVERAGE(DH8:DH38))</f>
        <v/>
      </c>
      <c r="DI41" s="74"/>
      <c r="DJ41" s="74"/>
      <c r="DK41" s="73"/>
      <c r="DL41" s="56" t="s">
        <v>7</v>
      </c>
      <c r="DM41" s="82" t="str">
        <f t="shared" ref="DM41:DW41" si="50">IF(COUNT(DM8:DM38)=0,"",AVERAGE(DM8:DM38))</f>
        <v/>
      </c>
      <c r="DN41" s="84" t="str">
        <f t="shared" si="50"/>
        <v/>
      </c>
      <c r="DO41" s="84" t="str">
        <f t="shared" si="50"/>
        <v/>
      </c>
      <c r="DP41" s="84" t="str">
        <f t="shared" si="50"/>
        <v/>
      </c>
      <c r="DQ41" s="82" t="str">
        <f t="shared" si="50"/>
        <v/>
      </c>
      <c r="DR41" s="80" t="str">
        <f t="shared" si="50"/>
        <v/>
      </c>
      <c r="DS41" s="84" t="str">
        <f t="shared" si="50"/>
        <v/>
      </c>
      <c r="DT41" s="80" t="str">
        <f t="shared" si="50"/>
        <v/>
      </c>
      <c r="DU41" s="82" t="str">
        <f t="shared" si="50"/>
        <v/>
      </c>
      <c r="DV41" s="84" t="str">
        <f t="shared" si="50"/>
        <v/>
      </c>
      <c r="DW41" s="84" t="str">
        <f t="shared" si="50"/>
        <v/>
      </c>
      <c r="DX41" s="124"/>
      <c r="DY41" s="73"/>
      <c r="DZ41" s="84" t="s">
        <v>28</v>
      </c>
      <c r="EA41" s="82" t="e">
        <f>IF(COUNT(EA8:EA38)=0,"",MAX(EA8:EA38))*100</f>
        <v>#VALUE!</v>
      </c>
      <c r="EB41" s="82" t="e">
        <f>IF(COUNT(EB8:EB38)=0,"",MAX(EB8:EB38))*100</f>
        <v>#VALUE!</v>
      </c>
      <c r="EC41" s="82" t="e">
        <f>IF(COUNT(EC8:EC38)=0,"",MAX(EC8:EC38))*100</f>
        <v>#VALUE!</v>
      </c>
      <c r="ED41" s="75"/>
      <c r="EE41" s="82" t="str">
        <f>IF(COUNT(EE8:EE38)=0,"",MAX(EE8:EE38))</f>
        <v/>
      </c>
      <c r="EF41" s="82" t="str">
        <f>IF(COUNT(EF8:EF38)=0,"",MAX(EF8:EF38))</f>
        <v/>
      </c>
      <c r="EG41" s="82" t="str">
        <f>IF(COUNT(EG8:EG38)=0,"",MAX(EG8:EG38))</f>
        <v/>
      </c>
      <c r="EH41" s="73"/>
      <c r="EI41" s="73"/>
      <c r="EJ41" s="351"/>
      <c r="EK41" s="351"/>
      <c r="EL41" s="351"/>
      <c r="EM41" s="351"/>
      <c r="EN41" s="351"/>
      <c r="EO41" s="351"/>
      <c r="EP41" s="351"/>
      <c r="EQ41" s="73"/>
      <c r="ER41" s="20"/>
      <c r="ES41" s="20"/>
      <c r="ET41" s="20"/>
      <c r="EU41" s="20"/>
      <c r="EV41" s="20"/>
      <c r="EW41" s="20"/>
      <c r="EX41" s="20"/>
    </row>
    <row r="42" spans="1:154" ht="25.5" customHeight="1" x14ac:dyDescent="0.35">
      <c r="A42" s="314" t="s">
        <v>449</v>
      </c>
      <c r="B42" s="314"/>
      <c r="C42" s="314"/>
      <c r="D42" s="314"/>
      <c r="E42" s="314"/>
      <c r="F42" s="315" t="s">
        <v>115</v>
      </c>
      <c r="G42" s="315"/>
      <c r="H42" s="315"/>
      <c r="I42" s="315"/>
      <c r="J42" s="315"/>
      <c r="K42" s="314" t="str">
        <f>IF(A42="","",A42)</f>
        <v>Drinking Water System</v>
      </c>
      <c r="L42" s="314"/>
      <c r="M42" s="314"/>
      <c r="N42" s="314"/>
      <c r="O42" s="315" t="s">
        <v>125</v>
      </c>
      <c r="P42" s="315"/>
      <c r="Q42" s="315"/>
      <c r="R42" s="315"/>
      <c r="S42" s="315"/>
      <c r="T42" s="315"/>
      <c r="U42" s="315"/>
      <c r="V42" s="315"/>
      <c r="W42" s="314" t="str">
        <f>IF(A42="","",A42)</f>
        <v>Drinking Water System</v>
      </c>
      <c r="X42" s="314"/>
      <c r="Y42" s="314"/>
      <c r="Z42" s="314"/>
      <c r="AA42" s="314"/>
      <c r="AB42" s="315" t="s">
        <v>129</v>
      </c>
      <c r="AC42" s="315"/>
      <c r="AD42" s="315"/>
      <c r="AE42" s="315"/>
      <c r="AF42" s="315"/>
      <c r="AG42" s="314" t="str">
        <f>IF(A42="","",A42)</f>
        <v>Drinking Water System</v>
      </c>
      <c r="AH42" s="314"/>
      <c r="AI42" s="314"/>
      <c r="AJ42" s="314"/>
      <c r="AK42" s="314"/>
      <c r="AL42" s="315" t="s">
        <v>93</v>
      </c>
      <c r="AM42" s="315"/>
      <c r="AN42" s="315"/>
      <c r="AO42" s="315"/>
      <c r="AP42" s="315"/>
      <c r="AQ42" s="314" t="str">
        <f>IF(A42="","",A42)</f>
        <v>Drinking Water System</v>
      </c>
      <c r="AR42" s="314"/>
      <c r="AS42" s="314"/>
      <c r="AT42" s="314"/>
      <c r="AU42" s="314"/>
      <c r="AV42" s="315" t="s">
        <v>135</v>
      </c>
      <c r="AW42" s="315"/>
      <c r="AX42" s="315"/>
      <c r="AY42" s="315"/>
      <c r="AZ42" s="315"/>
      <c r="BA42" s="314" t="str">
        <f>IF(A42="","",A42)</f>
        <v>Drinking Water System</v>
      </c>
      <c r="BB42" s="314"/>
      <c r="BC42" s="314"/>
      <c r="BD42" s="314"/>
      <c r="BE42" s="314"/>
      <c r="BF42" s="352" t="s">
        <v>145</v>
      </c>
      <c r="BG42" s="352"/>
      <c r="BH42" s="352"/>
      <c r="BI42" s="352"/>
      <c r="BJ42" s="352"/>
      <c r="BK42" s="352"/>
      <c r="BL42" s="352"/>
      <c r="BM42" s="352"/>
      <c r="BN42" s="352"/>
      <c r="BO42" s="314" t="str">
        <f>IF(A42="","",A42)</f>
        <v>Drinking Water System</v>
      </c>
      <c r="BP42" s="314"/>
      <c r="BQ42" s="314"/>
      <c r="BR42" s="314"/>
      <c r="BS42" s="314"/>
      <c r="BT42" s="315" t="s">
        <v>100</v>
      </c>
      <c r="BU42" s="315"/>
      <c r="BV42" s="315"/>
      <c r="BW42" s="315"/>
      <c r="BX42" s="315"/>
      <c r="BY42" s="315"/>
      <c r="BZ42" s="315"/>
      <c r="CA42" s="314" t="str">
        <f>IF(A42="","",A42)</f>
        <v>Drinking Water System</v>
      </c>
      <c r="CB42" s="314"/>
      <c r="CC42" s="314"/>
      <c r="CD42" s="314"/>
      <c r="CE42" s="315" t="s">
        <v>154</v>
      </c>
      <c r="CF42" s="315"/>
      <c r="CG42" s="315"/>
      <c r="CH42" s="315"/>
      <c r="CI42" s="315"/>
      <c r="CJ42" s="314" t="str">
        <f>IF(A42="","",A42)</f>
        <v>Drinking Water System</v>
      </c>
      <c r="CK42" s="314"/>
      <c r="CL42" s="314"/>
      <c r="CM42" s="314"/>
      <c r="CN42" s="315" t="s">
        <v>155</v>
      </c>
      <c r="CO42" s="315"/>
      <c r="CP42" s="315"/>
      <c r="CQ42" s="315"/>
      <c r="CR42" s="315"/>
      <c r="CS42" s="314" t="str">
        <f>IF(A42="","",A42)</f>
        <v>Drinking Water System</v>
      </c>
      <c r="CT42" s="314"/>
      <c r="CU42" s="314"/>
      <c r="CV42" s="314"/>
      <c r="CW42" s="315" t="s">
        <v>101</v>
      </c>
      <c r="CX42" s="315"/>
      <c r="CY42" s="315"/>
      <c r="CZ42" s="315"/>
      <c r="DA42" s="315"/>
      <c r="DB42" s="315"/>
      <c r="DC42" s="314" t="str">
        <f>IF(A42="","",A42)</f>
        <v>Drinking Water System</v>
      </c>
      <c r="DD42" s="314"/>
      <c r="DE42" s="314"/>
      <c r="DF42" s="314"/>
      <c r="DG42" s="315" t="s">
        <v>159</v>
      </c>
      <c r="DH42" s="315"/>
      <c r="DI42" s="315"/>
      <c r="DJ42" s="315"/>
      <c r="DK42" s="315"/>
      <c r="DL42" s="324" t="str">
        <f>IF(A42="","",A42)</f>
        <v>Drinking Water System</v>
      </c>
      <c r="DM42" s="324"/>
      <c r="DN42" s="324"/>
      <c r="DO42" s="324"/>
      <c r="DP42" s="324"/>
      <c r="DQ42" s="325" t="s">
        <v>168</v>
      </c>
      <c r="DR42" s="325"/>
      <c r="DS42" s="325"/>
      <c r="DT42" s="325"/>
      <c r="DU42" s="325"/>
      <c r="DV42" s="325"/>
      <c r="DW42" s="325"/>
      <c r="DX42" s="325"/>
      <c r="DY42" s="325"/>
      <c r="DZ42" s="324" t="str">
        <f>IF(A42="","",A42)</f>
        <v>Drinking Water System</v>
      </c>
      <c r="EA42" s="324"/>
      <c r="EB42" s="324"/>
      <c r="EC42" s="324"/>
      <c r="ED42" s="324"/>
      <c r="EE42" s="324"/>
      <c r="EF42" s="325" t="s">
        <v>91</v>
      </c>
      <c r="EG42" s="325"/>
      <c r="EH42" s="325"/>
      <c r="EI42" s="314" t="str">
        <f>IF(A42="","",A42)</f>
        <v>Drinking Water System</v>
      </c>
      <c r="EJ42" s="314"/>
      <c r="EK42" s="314"/>
      <c r="EL42" s="314"/>
      <c r="EM42" s="315" t="s">
        <v>33</v>
      </c>
      <c r="EN42" s="315"/>
      <c r="EO42" s="315"/>
      <c r="EP42" s="315"/>
      <c r="EQ42" s="315"/>
    </row>
    <row r="43" spans="1:154" ht="14.15" customHeight="1" x14ac:dyDescent="0.35"/>
    <row r="44" spans="1:154" s="10" customFormat="1" ht="14.15" customHeight="1" x14ac:dyDescent="0.35">
      <c r="A44" s="20"/>
      <c r="B44" s="5"/>
      <c r="C44" s="5"/>
      <c r="D44" s="23"/>
      <c r="E44" s="5"/>
      <c r="F44" s="5"/>
      <c r="G44" s="23"/>
      <c r="H44" s="5"/>
      <c r="I44" s="5"/>
      <c r="J44" s="20"/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3"/>
      <c r="Y44" s="23"/>
      <c r="Z44" s="23"/>
      <c r="AA44" s="23"/>
      <c r="AB44" s="23"/>
      <c r="AC44" s="23"/>
      <c r="AD44" s="23"/>
      <c r="AE44" s="23"/>
      <c r="AF44" s="22"/>
      <c r="AG44" s="20"/>
      <c r="AH44" s="20"/>
      <c r="AI44" s="5"/>
      <c r="AJ44" s="5"/>
      <c r="AK44" s="5"/>
      <c r="AL44" s="5"/>
      <c r="AM44" s="5"/>
      <c r="AN44" s="5"/>
      <c r="AO44" s="22"/>
      <c r="AP44" s="5"/>
      <c r="AQ44" s="5"/>
      <c r="AR44" s="23"/>
      <c r="AS44" s="23"/>
      <c r="AT44" s="23"/>
      <c r="AU44" s="23"/>
      <c r="AV44" s="23"/>
      <c r="AW44" s="23"/>
      <c r="AX44" s="23"/>
      <c r="AY44" s="23"/>
      <c r="AZ44" s="5"/>
      <c r="BA44" s="38"/>
      <c r="BB44" s="13"/>
      <c r="BC44" s="11"/>
      <c r="BD44" s="12"/>
      <c r="BE44" s="12"/>
      <c r="BF44" s="12"/>
      <c r="BG44" s="12"/>
      <c r="BH44" s="38"/>
      <c r="BI44" s="38"/>
      <c r="BJ44" s="38"/>
      <c r="BK44" s="38"/>
      <c r="BL44" s="38"/>
      <c r="BM44" s="38"/>
      <c r="BN44" s="12"/>
      <c r="BO44" s="13"/>
      <c r="BP44" s="38"/>
      <c r="BQ44" s="11"/>
      <c r="BR44" s="12"/>
      <c r="BS44" s="12"/>
      <c r="BT44" s="12"/>
      <c r="BU44" s="38"/>
      <c r="BV44" s="13"/>
      <c r="BW44" s="13"/>
      <c r="BX44" s="12"/>
      <c r="BY44" s="11"/>
      <c r="BZ44" s="11"/>
      <c r="CB44" s="12"/>
      <c r="CC44" s="12"/>
      <c r="CD44" s="12"/>
      <c r="CE44" s="13"/>
      <c r="CF44" s="13"/>
      <c r="CG44" s="11"/>
      <c r="CH44" s="11"/>
      <c r="CI44" s="12"/>
      <c r="CJ44" s="13"/>
      <c r="CK44" s="12"/>
      <c r="CL44" s="12"/>
      <c r="CM44" s="12"/>
      <c r="CN44" s="12"/>
      <c r="CO44" s="12"/>
      <c r="CU44" s="13"/>
      <c r="CV44" s="11"/>
      <c r="CW44" s="12"/>
      <c r="CX44" s="13"/>
      <c r="CY44" s="12"/>
      <c r="CZ44" s="12"/>
      <c r="DA44" s="38"/>
      <c r="DB44" s="12"/>
      <c r="DC44" s="38"/>
      <c r="DD44" s="12"/>
      <c r="DE44" s="12"/>
      <c r="DF44" s="12"/>
      <c r="DG44" s="13"/>
      <c r="DH44" s="12"/>
      <c r="DI44" s="11"/>
      <c r="DJ44" s="11"/>
      <c r="DK44" s="38"/>
      <c r="DM44" s="13"/>
      <c r="DN44" s="38"/>
      <c r="DO44" s="38"/>
      <c r="DP44" s="38"/>
      <c r="DQ44" s="13"/>
      <c r="DR44" s="12"/>
      <c r="DS44" s="38"/>
      <c r="DT44" s="12"/>
      <c r="DU44" s="13"/>
      <c r="DV44" s="38"/>
      <c r="DW44" s="38"/>
      <c r="EB44" s="55"/>
      <c r="EC44" s="55"/>
      <c r="ED44" s="13"/>
      <c r="EE44" s="13"/>
      <c r="EF44" s="13"/>
      <c r="EG44" s="13"/>
    </row>
    <row r="45" spans="1:154" ht="22.5" customHeight="1" x14ac:dyDescent="0.35"/>
  </sheetData>
  <sheetProtection selectLockedCells="1"/>
  <mergeCells count="280">
    <mergeCell ref="A3:E3"/>
    <mergeCell ref="F3:J3"/>
    <mergeCell ref="K3:N3"/>
    <mergeCell ref="O3:V3"/>
    <mergeCell ref="W3:AA3"/>
    <mergeCell ref="AB3:AF3"/>
    <mergeCell ref="BO1:BZ2"/>
    <mergeCell ref="A1:J2"/>
    <mergeCell ref="K1:V2"/>
    <mergeCell ref="W1:AF2"/>
    <mergeCell ref="AG1:AP2"/>
    <mergeCell ref="AQ1:AZ2"/>
    <mergeCell ref="BA1:BN2"/>
    <mergeCell ref="BO3:BS3"/>
    <mergeCell ref="BT3:BZ3"/>
    <mergeCell ref="AG3:AK3"/>
    <mergeCell ref="AL3:AP3"/>
    <mergeCell ref="EI1:EQ2"/>
    <mergeCell ref="CA1:CI2"/>
    <mergeCell ref="CJ1:CR2"/>
    <mergeCell ref="CS1:DB2"/>
    <mergeCell ref="DC1:DK2"/>
    <mergeCell ref="DL1:DP2"/>
    <mergeCell ref="DZ1:EA2"/>
    <mergeCell ref="EB1:EG2"/>
    <mergeCell ref="EI3:EL3"/>
    <mergeCell ref="EM3:EQ3"/>
    <mergeCell ref="DQ3:DY3"/>
    <mergeCell ref="DZ3:EE3"/>
    <mergeCell ref="EF3:EH3"/>
    <mergeCell ref="CA3:CD3"/>
    <mergeCell ref="CE3:CI3"/>
    <mergeCell ref="CJ3:CM3"/>
    <mergeCell ref="CN3:CR3"/>
    <mergeCell ref="A4:A7"/>
    <mergeCell ref="B4:D4"/>
    <mergeCell ref="E4:G4"/>
    <mergeCell ref="H4:I4"/>
    <mergeCell ref="J4:J7"/>
    <mergeCell ref="CW3:DB3"/>
    <mergeCell ref="AQ3:AU3"/>
    <mergeCell ref="AV3:AZ3"/>
    <mergeCell ref="DL3:DP3"/>
    <mergeCell ref="AZ4:AZ7"/>
    <mergeCell ref="BA4:BA7"/>
    <mergeCell ref="BB4:BF4"/>
    <mergeCell ref="BG4:BG7"/>
    <mergeCell ref="S5:S7"/>
    <mergeCell ref="T5:T7"/>
    <mergeCell ref="U5:U7"/>
    <mergeCell ref="BA3:BE3"/>
    <mergeCell ref="BF3:BN3"/>
    <mergeCell ref="CS3:CV3"/>
    <mergeCell ref="K4:K7"/>
    <mergeCell ref="L4:M4"/>
    <mergeCell ref="N4:O4"/>
    <mergeCell ref="DC3:DF3"/>
    <mergeCell ref="DG3:DK3"/>
    <mergeCell ref="BH4:BI4"/>
    <mergeCell ref="BW4:BY4"/>
    <mergeCell ref="BK5:BK7"/>
    <mergeCell ref="BL5:BL7"/>
    <mergeCell ref="BM5:BM7"/>
    <mergeCell ref="BJ5:BJ7"/>
    <mergeCell ref="BQ5:BQ7"/>
    <mergeCell ref="BP5:BP7"/>
    <mergeCell ref="BZ4:BZ7"/>
    <mergeCell ref="BS5:BS7"/>
    <mergeCell ref="BT5:BT7"/>
    <mergeCell ref="BU5:BU7"/>
    <mergeCell ref="BV5:BV7"/>
    <mergeCell ref="BW5:BW7"/>
    <mergeCell ref="BX5:BX7"/>
    <mergeCell ref="CA4:CA7"/>
    <mergeCell ref="CB4:CB7"/>
    <mergeCell ref="CC4:CC7"/>
    <mergeCell ref="CD4:CD7"/>
    <mergeCell ref="CE4:CE7"/>
    <mergeCell ref="BY5:BY7"/>
    <mergeCell ref="AV5:AW5"/>
    <mergeCell ref="AX5:AY5"/>
    <mergeCell ref="BB5:BB7"/>
    <mergeCell ref="BC5:BC7"/>
    <mergeCell ref="BD5:BD7"/>
    <mergeCell ref="BE5:BE7"/>
    <mergeCell ref="AW6:AW7"/>
    <mergeCell ref="AX6:AX7"/>
    <mergeCell ref="AY6:AY7"/>
    <mergeCell ref="BF5:BF7"/>
    <mergeCell ref="BH5:BH7"/>
    <mergeCell ref="BI5:BI7"/>
    <mergeCell ref="BJ4:BK4"/>
    <mergeCell ref="BL4:BM4"/>
    <mergeCell ref="BN4:BN7"/>
    <mergeCell ref="BO4:BO7"/>
    <mergeCell ref="BP4:BV4"/>
    <mergeCell ref="BR5:BR7"/>
    <mergeCell ref="CQ4:CQ7"/>
    <mergeCell ref="CF4:CF7"/>
    <mergeCell ref="CG4:CG7"/>
    <mergeCell ref="CH4:CH7"/>
    <mergeCell ref="CI4:CI7"/>
    <mergeCell ref="CJ4:CJ7"/>
    <mergeCell ref="CK4:CK7"/>
    <mergeCell ref="CL4:CL7"/>
    <mergeCell ref="CM4:CM7"/>
    <mergeCell ref="CN4:CN7"/>
    <mergeCell ref="CO4:CO7"/>
    <mergeCell ref="CP4:CP7"/>
    <mergeCell ref="EQ4:EQ7"/>
    <mergeCell ref="B5:B7"/>
    <mergeCell ref="C5:C7"/>
    <mergeCell ref="D5:D7"/>
    <mergeCell ref="E5:E7"/>
    <mergeCell ref="F5:F7"/>
    <mergeCell ref="G5:G7"/>
    <mergeCell ref="H5:H7"/>
    <mergeCell ref="I5:I7"/>
    <mergeCell ref="DY4:DY7"/>
    <mergeCell ref="DZ4:DZ7"/>
    <mergeCell ref="EA4:EC4"/>
    <mergeCell ref="ED4:EE4"/>
    <mergeCell ref="EH4:EH7"/>
    <mergeCell ref="X5:Y5"/>
    <mergeCell ref="Z5:AA5"/>
    <mergeCell ref="AB5:AC5"/>
    <mergeCell ref="AD5:AE5"/>
    <mergeCell ref="AG4:AG7"/>
    <mergeCell ref="EI4:EI7"/>
    <mergeCell ref="EB5:EB7"/>
    <mergeCell ref="EC5:EC7"/>
    <mergeCell ref="ED5:EE5"/>
    <mergeCell ref="DP4:DU4"/>
    <mergeCell ref="R5:R7"/>
    <mergeCell ref="AH5:AI5"/>
    <mergeCell ref="AJ5:AK5"/>
    <mergeCell ref="L5:L7"/>
    <mergeCell ref="M5:M7"/>
    <mergeCell ref="N5:N7"/>
    <mergeCell ref="O5:O7"/>
    <mergeCell ref="P5:P7"/>
    <mergeCell ref="Q5:Q7"/>
    <mergeCell ref="AF4:AF7"/>
    <mergeCell ref="AH4:AO4"/>
    <mergeCell ref="AL5:AM5"/>
    <mergeCell ref="AN5:AO5"/>
    <mergeCell ref="P4:Q4"/>
    <mergeCell ref="R4:U4"/>
    <mergeCell ref="V4:V7"/>
    <mergeCell ref="W4:W7"/>
    <mergeCell ref="X4:AA4"/>
    <mergeCell ref="X6:X7"/>
    <mergeCell ref="Y6:Y7"/>
    <mergeCell ref="Z6:Z7"/>
    <mergeCell ref="AA6:AA7"/>
    <mergeCell ref="AB6:AB7"/>
    <mergeCell ref="AC6:AC7"/>
    <mergeCell ref="CR4:CR7"/>
    <mergeCell ref="CS4:CS7"/>
    <mergeCell ref="CT4:CT7"/>
    <mergeCell ref="CU4:CU7"/>
    <mergeCell ref="AT6:AT7"/>
    <mergeCell ref="AU6:AU7"/>
    <mergeCell ref="AV6:AV7"/>
    <mergeCell ref="AV4:AY4"/>
    <mergeCell ref="EF5:EF7"/>
    <mergeCell ref="DJ4:DJ7"/>
    <mergeCell ref="DK4:DK7"/>
    <mergeCell ref="DL4:DL7"/>
    <mergeCell ref="DN4:DO4"/>
    <mergeCell ref="CV4:CV7"/>
    <mergeCell ref="DV4:DX4"/>
    <mergeCell ref="DP5:DP7"/>
    <mergeCell ref="DQ5:DQ7"/>
    <mergeCell ref="DR5:DR7"/>
    <mergeCell ref="DS5:DS7"/>
    <mergeCell ref="DD4:DD7"/>
    <mergeCell ref="DE4:DE7"/>
    <mergeCell ref="DF4:DF7"/>
    <mergeCell ref="DG4:DG7"/>
    <mergeCell ref="DH4:DH7"/>
    <mergeCell ref="AO6:AO7"/>
    <mergeCell ref="AR6:AR7"/>
    <mergeCell ref="AS6:AS7"/>
    <mergeCell ref="AP4:AP7"/>
    <mergeCell ref="AQ4:AQ7"/>
    <mergeCell ref="AR4:AU4"/>
    <mergeCell ref="AR5:AS5"/>
    <mergeCell ref="AI6:AI7"/>
    <mergeCell ref="AJ6:AJ7"/>
    <mergeCell ref="AK6:AK7"/>
    <mergeCell ref="AL6:AL7"/>
    <mergeCell ref="AM6:AM7"/>
    <mergeCell ref="AN6:AN7"/>
    <mergeCell ref="AT5:AU5"/>
    <mergeCell ref="AB4:AE4"/>
    <mergeCell ref="AD6:AD7"/>
    <mergeCell ref="AE6:AE7"/>
    <mergeCell ref="AH6:AH7"/>
    <mergeCell ref="CW4:CW7"/>
    <mergeCell ref="DN5:DN7"/>
    <mergeCell ref="CX4:CX7"/>
    <mergeCell ref="EJ21:EP21"/>
    <mergeCell ref="EJ22:EP22"/>
    <mergeCell ref="EJ9:EP9"/>
    <mergeCell ref="EJ10:EP10"/>
    <mergeCell ref="EJ12:EP12"/>
    <mergeCell ref="EJ13:EP13"/>
    <mergeCell ref="DV5:DV7"/>
    <mergeCell ref="DW5:DW7"/>
    <mergeCell ref="DX5:DX7"/>
    <mergeCell ref="EA5:EA7"/>
    <mergeCell ref="ED6:ED7"/>
    <mergeCell ref="EE6:EE7"/>
    <mergeCell ref="EJ11:EP11"/>
    <mergeCell ref="EG5:EG7"/>
    <mergeCell ref="EJ14:EP14"/>
    <mergeCell ref="CY4:CY7"/>
    <mergeCell ref="CZ4:CZ7"/>
    <mergeCell ref="DA4:DA7"/>
    <mergeCell ref="EJ4:EP7"/>
    <mergeCell ref="DI4:DI7"/>
    <mergeCell ref="DO5:DO7"/>
    <mergeCell ref="EJ25:EP25"/>
    <mergeCell ref="EJ26:EP26"/>
    <mergeCell ref="EJ15:EP15"/>
    <mergeCell ref="EJ16:EP16"/>
    <mergeCell ref="EJ17:EP17"/>
    <mergeCell ref="EJ19:EP19"/>
    <mergeCell ref="EJ20:EP20"/>
    <mergeCell ref="EJ24:EP24"/>
    <mergeCell ref="DB4:DB7"/>
    <mergeCell ref="DC4:DC7"/>
    <mergeCell ref="DM5:DM7"/>
    <mergeCell ref="EJ23:EP23"/>
    <mergeCell ref="DT5:DT7"/>
    <mergeCell ref="DU5:DU7"/>
    <mergeCell ref="BF42:BN42"/>
    <mergeCell ref="BO42:BS42"/>
    <mergeCell ref="EJ27:EP27"/>
    <mergeCell ref="EJ28:EP28"/>
    <mergeCell ref="EJ29:EP29"/>
    <mergeCell ref="EJ30:EP30"/>
    <mergeCell ref="EJ31:EP31"/>
    <mergeCell ref="EJ32:EP32"/>
    <mergeCell ref="EJ33:EP33"/>
    <mergeCell ref="EJ34:EP34"/>
    <mergeCell ref="EJ35:EP35"/>
    <mergeCell ref="DC42:DF42"/>
    <mergeCell ref="DG42:DK42"/>
    <mergeCell ref="DL42:DP42"/>
    <mergeCell ref="DQ42:DY42"/>
    <mergeCell ref="DZ42:EE42"/>
    <mergeCell ref="EJ37:EP37"/>
    <mergeCell ref="EJ38:EP38"/>
    <mergeCell ref="EJ36:EP36"/>
    <mergeCell ref="A42:E42"/>
    <mergeCell ref="F42:J42"/>
    <mergeCell ref="K42:N42"/>
    <mergeCell ref="O42:V42"/>
    <mergeCell ref="W42:AA42"/>
    <mergeCell ref="EJ39:EP39"/>
    <mergeCell ref="EJ40:EP40"/>
    <mergeCell ref="EJ41:EP41"/>
    <mergeCell ref="EF42:EH42"/>
    <mergeCell ref="EI42:EL42"/>
    <mergeCell ref="AG42:AK42"/>
    <mergeCell ref="BT42:BZ42"/>
    <mergeCell ref="CA42:CD42"/>
    <mergeCell ref="EM42:EQ42"/>
    <mergeCell ref="CW42:DB42"/>
    <mergeCell ref="AB42:AF42"/>
    <mergeCell ref="CE42:CI42"/>
    <mergeCell ref="CJ42:CM42"/>
    <mergeCell ref="CN42:CR42"/>
    <mergeCell ref="CS42:CV42"/>
    <mergeCell ref="AL42:AP42"/>
    <mergeCell ref="AQ42:AU42"/>
    <mergeCell ref="AV42:AZ42"/>
    <mergeCell ref="BA42:BE42"/>
  </mergeCells>
  <pageMargins left="0.23622047244094491" right="0.23622047244094491" top="0.31496062992125984" bottom="0.74803149606299213" header="0.31496062992125984" footer="0.31496062992125984"/>
  <pageSetup scale="98" pageOrder="overThenDown" orientation="portrait" r:id="rId1"/>
  <headerFooter>
    <evenHeader>&amp;L&amp;28Red Lake WPCP&amp;R&amp;28New Plant</evenHeader>
  </headerFooter>
  <colBreaks count="9" manualBreakCount="9">
    <brk id="52" max="41" man="1"/>
    <brk id="66" max="1048575" man="1"/>
    <brk id="78" max="1048575" man="1"/>
    <brk id="87" max="1048575" man="1"/>
    <brk id="96" max="1048575" man="1"/>
    <brk id="106" max="1048575" man="1"/>
    <brk id="115" max="1048575" man="1"/>
    <brk id="129" max="1048575" man="1"/>
    <brk id="13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EX45"/>
  <sheetViews>
    <sheetView showGridLines="0" view="pageBreakPreview" zoomScale="50" zoomScaleNormal="100" zoomScaleSheetLayoutView="50" workbookViewId="0">
      <selection activeCell="A3" sqref="A3:E3"/>
    </sheetView>
  </sheetViews>
  <sheetFormatPr defaultColWidth="9.1796875" defaultRowHeight="14.5" x14ac:dyDescent="0.35"/>
  <cols>
    <col min="1" max="1" width="6" style="20" customWidth="1"/>
    <col min="2" max="2" width="14" style="5" customWidth="1"/>
    <col min="3" max="3" width="8.54296875" style="5" customWidth="1"/>
    <col min="4" max="4" width="9.7265625" style="23" customWidth="1"/>
    <col min="5" max="5" width="14" style="5" customWidth="1"/>
    <col min="6" max="6" width="8.54296875" style="5" customWidth="1"/>
    <col min="7" max="7" width="9.7265625" style="23" customWidth="1"/>
    <col min="8" max="8" width="14" style="5" customWidth="1"/>
    <col min="9" max="9" width="8.54296875" style="5" customWidth="1"/>
    <col min="10" max="10" width="8.26953125" style="20" customWidth="1"/>
    <col min="11" max="11" width="5.54296875" style="20" customWidth="1"/>
    <col min="12" max="12" width="11.453125" style="5" customWidth="1"/>
    <col min="13" max="13" width="8" style="5" customWidth="1"/>
    <col min="14" max="14" width="11.453125" style="5" customWidth="1"/>
    <col min="15" max="15" width="8" style="5" customWidth="1"/>
    <col min="16" max="16" width="11.453125" style="5" customWidth="1"/>
    <col min="17" max="17" width="8" style="5" customWidth="1"/>
    <col min="18" max="21" width="7.453125" style="5" customWidth="1"/>
    <col min="22" max="22" width="7.7265625" style="5" customWidth="1"/>
    <col min="23" max="23" width="6" style="5" customWidth="1"/>
    <col min="24" max="24" width="12.7265625" style="23" customWidth="1"/>
    <col min="25" max="25" width="9" style="23" customWidth="1"/>
    <col min="26" max="26" width="12.7265625" style="23" customWidth="1"/>
    <col min="27" max="27" width="9" style="23" customWidth="1"/>
    <col min="28" max="28" width="12.7265625" style="23" customWidth="1"/>
    <col min="29" max="29" width="9" style="23" customWidth="1"/>
    <col min="30" max="30" width="12.7265625" style="23" customWidth="1"/>
    <col min="31" max="31" width="9" style="23" customWidth="1"/>
    <col min="32" max="32" width="8" style="22" customWidth="1"/>
    <col min="33" max="33" width="6" style="20" customWidth="1"/>
    <col min="34" max="34" width="12.7265625" style="20" customWidth="1"/>
    <col min="35" max="35" width="9" style="5" customWidth="1"/>
    <col min="36" max="36" width="12.7265625" style="5" customWidth="1"/>
    <col min="37" max="37" width="9" style="5" customWidth="1"/>
    <col min="38" max="38" width="12.7265625" style="5" customWidth="1"/>
    <col min="39" max="39" width="9" style="5" customWidth="1"/>
    <col min="40" max="40" width="12.7265625" style="5" customWidth="1"/>
    <col min="41" max="41" width="9" style="22" customWidth="1"/>
    <col min="42" max="42" width="8" style="5" customWidth="1"/>
    <col min="43" max="43" width="6" style="5" customWidth="1"/>
    <col min="44" max="44" width="12.7265625" style="23" customWidth="1"/>
    <col min="45" max="45" width="9" style="23" customWidth="1"/>
    <col min="46" max="46" width="12.7265625" style="23" customWidth="1"/>
    <col min="47" max="47" width="9" style="23" customWidth="1"/>
    <col min="48" max="48" width="12.7265625" style="23" customWidth="1"/>
    <col min="49" max="49" width="9" style="23" customWidth="1"/>
    <col min="50" max="50" width="12.7265625" style="23" customWidth="1"/>
    <col min="51" max="51" width="9" style="23" customWidth="1"/>
    <col min="52" max="52" width="8" style="5" customWidth="1"/>
    <col min="53" max="53" width="5.7265625" style="21" customWidth="1"/>
    <col min="54" max="54" width="7.1796875" style="23" customWidth="1"/>
    <col min="55" max="55" width="6.7265625" style="5" customWidth="1"/>
    <col min="56" max="57" width="6.7265625" style="22" customWidth="1"/>
    <col min="58" max="58" width="7.1796875" style="22" customWidth="1"/>
    <col min="59" max="59" width="6.7265625" style="22" customWidth="1"/>
    <col min="60" max="65" width="8" style="21" customWidth="1"/>
    <col min="66" max="66" width="6.81640625" style="22" customWidth="1"/>
    <col min="67" max="67" width="5.7265625" style="23" customWidth="1"/>
    <col min="68" max="68" width="8.54296875" style="21" customWidth="1"/>
    <col min="69" max="69" width="6.81640625" style="5" customWidth="1"/>
    <col min="70" max="70" width="6.7265625" style="22" customWidth="1"/>
    <col min="71" max="71" width="7.1796875" style="22" customWidth="1"/>
    <col min="72" max="72" width="8" style="22" customWidth="1"/>
    <col min="73" max="73" width="8.453125" style="21" customWidth="1"/>
    <col min="74" max="75" width="8.26953125" style="23" customWidth="1"/>
    <col min="76" max="76" width="8" style="22" customWidth="1"/>
    <col min="77" max="77" width="18.1796875" style="5" customWidth="1"/>
    <col min="78" max="78" width="7.453125" style="5" customWidth="1"/>
    <col min="79" max="79" width="7.1796875" style="20" customWidth="1"/>
    <col min="80" max="82" width="12" style="22" customWidth="1"/>
    <col min="83" max="84" width="12" style="23" customWidth="1"/>
    <col min="85" max="86" width="12" style="5" customWidth="1"/>
    <col min="87" max="87" width="9.1796875" style="22" customWidth="1"/>
    <col min="88" max="88" width="7.1796875" style="23" customWidth="1"/>
    <col min="89" max="93" width="12" style="22" customWidth="1"/>
    <col min="94" max="95" width="12" style="20" customWidth="1"/>
    <col min="96" max="96" width="9.1796875" style="20" customWidth="1"/>
    <col min="97" max="97" width="6.26953125" style="20" customWidth="1"/>
    <col min="98" max="98" width="9.453125" style="20" customWidth="1"/>
    <col min="99" max="99" width="13.81640625" style="23" customWidth="1"/>
    <col min="100" max="100" width="9.7265625" style="5" customWidth="1"/>
    <col min="101" max="101" width="9.7265625" style="22" customWidth="1"/>
    <col min="102" max="102" width="10" style="23" customWidth="1"/>
    <col min="103" max="104" width="12" style="22" customWidth="1"/>
    <col min="105" max="105" width="10.54296875" style="21" customWidth="1"/>
    <col min="106" max="106" width="8" style="22" customWidth="1"/>
    <col min="107" max="107" width="7.1796875" style="21" customWidth="1"/>
    <col min="108" max="110" width="12" style="22" customWidth="1"/>
    <col min="111" max="111" width="12" style="23" customWidth="1"/>
    <col min="112" max="112" width="12" style="22" customWidth="1"/>
    <col min="113" max="114" width="12" style="5" customWidth="1"/>
    <col min="115" max="115" width="9.1796875" style="21" customWidth="1"/>
    <col min="116" max="116" width="4.81640625" style="20" customWidth="1"/>
    <col min="117" max="117" width="6.453125" style="23" customWidth="1"/>
    <col min="118" max="120" width="7.7265625" style="21" customWidth="1"/>
    <col min="121" max="121" width="6.81640625" style="23" customWidth="1"/>
    <col min="122" max="122" width="6.81640625" style="22" customWidth="1"/>
    <col min="123" max="123" width="7.7265625" style="21" customWidth="1"/>
    <col min="124" max="124" width="7.1796875" style="22" customWidth="1"/>
    <col min="125" max="125" width="7.453125" style="23" customWidth="1"/>
    <col min="126" max="127" width="8.54296875" style="21" customWidth="1"/>
    <col min="128" max="128" width="7.1796875" style="20" customWidth="1"/>
    <col min="129" max="129" width="6.81640625" style="20" customWidth="1"/>
    <col min="130" max="130" width="6.54296875" style="20" customWidth="1"/>
    <col min="131" max="131" width="13" style="20" customWidth="1"/>
    <col min="132" max="133" width="13" style="54" customWidth="1"/>
    <col min="134" max="137" width="10" style="23" customWidth="1"/>
    <col min="138" max="138" width="11.453125" style="20" customWidth="1"/>
    <col min="139" max="139" width="7.26953125" style="20" customWidth="1"/>
    <col min="140" max="146" width="12" style="20" customWidth="1"/>
    <col min="147" max="16384" width="9.1796875" style="20"/>
  </cols>
  <sheetData>
    <row r="1" spans="1:154" ht="15" customHeight="1" x14ac:dyDescent="0.35">
      <c r="A1" s="373" t="s">
        <v>236</v>
      </c>
      <c r="B1" s="373"/>
      <c r="C1" s="373"/>
      <c r="D1" s="373"/>
      <c r="E1" s="373"/>
      <c r="F1" s="373"/>
      <c r="G1" s="373"/>
      <c r="H1" s="373"/>
      <c r="I1" s="373"/>
      <c r="J1" s="373"/>
      <c r="K1" s="345" t="str">
        <f>IF(A1="","",A1)</f>
        <v>December 2016</v>
      </c>
      <c r="L1" s="345"/>
      <c r="M1" s="345"/>
      <c r="N1" s="345"/>
      <c r="O1" s="345"/>
      <c r="P1" s="345"/>
      <c r="Q1" s="345"/>
      <c r="R1" s="345"/>
      <c r="S1" s="345"/>
      <c r="T1" s="345"/>
      <c r="U1" s="345"/>
      <c r="V1" s="345"/>
      <c r="W1" s="345" t="str">
        <f>IF(A1="","",A1)</f>
        <v>December 2016</v>
      </c>
      <c r="X1" s="345"/>
      <c r="Y1" s="345"/>
      <c r="Z1" s="345"/>
      <c r="AA1" s="345"/>
      <c r="AB1" s="345"/>
      <c r="AC1" s="345"/>
      <c r="AD1" s="345"/>
      <c r="AE1" s="345"/>
      <c r="AF1" s="345"/>
      <c r="AG1" s="345" t="str">
        <f>IF(A1="","",A1)</f>
        <v>December 2016</v>
      </c>
      <c r="AH1" s="345"/>
      <c r="AI1" s="345"/>
      <c r="AJ1" s="345"/>
      <c r="AK1" s="345"/>
      <c r="AL1" s="345"/>
      <c r="AM1" s="345"/>
      <c r="AN1" s="345"/>
      <c r="AO1" s="345"/>
      <c r="AP1" s="345"/>
      <c r="AQ1" s="345" t="str">
        <f>IF(A1="","",A1)</f>
        <v>December 2016</v>
      </c>
      <c r="AR1" s="345"/>
      <c r="AS1" s="345"/>
      <c r="AT1" s="345"/>
      <c r="AU1" s="345"/>
      <c r="AV1" s="345"/>
      <c r="AW1" s="345"/>
      <c r="AX1" s="345"/>
      <c r="AY1" s="345"/>
      <c r="AZ1" s="345"/>
      <c r="BA1" s="371" t="str">
        <f>IF(A1="","",A1)</f>
        <v>December 2016</v>
      </c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07" t="str">
        <f>IF(A1="","",A1)</f>
        <v>December 2016</v>
      </c>
      <c r="BP1" s="307"/>
      <c r="BQ1" s="307"/>
      <c r="BR1" s="307"/>
      <c r="BS1" s="307"/>
      <c r="BT1" s="307"/>
      <c r="BU1" s="307"/>
      <c r="BV1" s="307"/>
      <c r="BW1" s="307"/>
      <c r="BX1" s="307"/>
      <c r="BY1" s="307"/>
      <c r="BZ1" s="307"/>
      <c r="CA1" s="372" t="str">
        <f>IF(A1="","",A1)</f>
        <v>December 2016</v>
      </c>
      <c r="CB1" s="372"/>
      <c r="CC1" s="372"/>
      <c r="CD1" s="372"/>
      <c r="CE1" s="372"/>
      <c r="CF1" s="372"/>
      <c r="CG1" s="372"/>
      <c r="CH1" s="372"/>
      <c r="CI1" s="372"/>
      <c r="CJ1" s="372" t="str">
        <f>IF(A1="","",A1)</f>
        <v>December 2016</v>
      </c>
      <c r="CK1" s="372"/>
      <c r="CL1" s="372"/>
      <c r="CM1" s="372"/>
      <c r="CN1" s="372"/>
      <c r="CO1" s="372"/>
      <c r="CP1" s="372"/>
      <c r="CQ1" s="372"/>
      <c r="CR1" s="372"/>
      <c r="CS1" s="372" t="str">
        <f>IF(A1="","",A1)</f>
        <v>December 2016</v>
      </c>
      <c r="CT1" s="372"/>
      <c r="CU1" s="372"/>
      <c r="CV1" s="372"/>
      <c r="CW1" s="372"/>
      <c r="CX1" s="372"/>
      <c r="CY1" s="372"/>
      <c r="CZ1" s="372"/>
      <c r="DA1" s="372"/>
      <c r="DB1" s="372"/>
      <c r="DC1" s="372" t="str">
        <f>IF(A1="","",A1)</f>
        <v>December 2016</v>
      </c>
      <c r="DD1" s="372"/>
      <c r="DE1" s="372"/>
      <c r="DF1" s="372"/>
      <c r="DG1" s="372"/>
      <c r="DH1" s="372"/>
      <c r="DI1" s="372"/>
      <c r="DJ1" s="372"/>
      <c r="DK1" s="372"/>
      <c r="DL1" s="307" t="str">
        <f>IF(A1="","",A1)</f>
        <v>December 2016</v>
      </c>
      <c r="DM1" s="307"/>
      <c r="DN1" s="307"/>
      <c r="DO1" s="307"/>
      <c r="DP1" s="307"/>
      <c r="DQ1" s="53"/>
      <c r="DR1" s="85"/>
      <c r="DS1" s="39"/>
      <c r="DT1" s="85"/>
      <c r="DU1" s="53"/>
      <c r="DV1" s="39"/>
      <c r="DW1" s="39"/>
      <c r="DX1" s="39"/>
      <c r="DY1" s="126"/>
      <c r="DZ1" s="307" t="str">
        <f>IF(A1="","",A1)</f>
        <v>December 2016</v>
      </c>
      <c r="EA1" s="307"/>
      <c r="EB1" s="308" t="s">
        <v>196</v>
      </c>
      <c r="EC1" s="309"/>
      <c r="ED1" s="309"/>
      <c r="EE1" s="309"/>
      <c r="EF1" s="309"/>
      <c r="EG1" s="310"/>
      <c r="EH1" s="189"/>
      <c r="EI1" s="307" t="str">
        <f>IF(A1="","",A1)</f>
        <v>December 2016</v>
      </c>
      <c r="EJ1" s="307"/>
      <c r="EK1" s="307"/>
      <c r="EL1" s="307"/>
      <c r="EM1" s="307"/>
      <c r="EN1" s="307"/>
      <c r="EO1" s="307"/>
      <c r="EP1" s="307"/>
      <c r="EQ1" s="307"/>
    </row>
    <row r="2" spans="1:154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45"/>
      <c r="L2" s="345"/>
      <c r="M2" s="345"/>
      <c r="N2" s="345"/>
      <c r="O2" s="345"/>
      <c r="P2" s="345"/>
      <c r="Q2" s="345"/>
      <c r="R2" s="345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5"/>
      <c r="AU2" s="345"/>
      <c r="AV2" s="345"/>
      <c r="AW2" s="345"/>
      <c r="AX2" s="345"/>
      <c r="AY2" s="345"/>
      <c r="AZ2" s="345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07"/>
      <c r="BP2" s="307"/>
      <c r="BQ2" s="307"/>
      <c r="BR2" s="307"/>
      <c r="BS2" s="307"/>
      <c r="BT2" s="307"/>
      <c r="BU2" s="307"/>
      <c r="BV2" s="307"/>
      <c r="BW2" s="307"/>
      <c r="BX2" s="307"/>
      <c r="BY2" s="307"/>
      <c r="BZ2" s="307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  <c r="CL2" s="372"/>
      <c r="CM2" s="372"/>
      <c r="CN2" s="372"/>
      <c r="CO2" s="372"/>
      <c r="CP2" s="372"/>
      <c r="CQ2" s="372"/>
      <c r="CR2" s="372"/>
      <c r="CS2" s="372"/>
      <c r="CT2" s="372"/>
      <c r="CU2" s="372"/>
      <c r="CV2" s="372"/>
      <c r="CW2" s="372"/>
      <c r="CX2" s="372"/>
      <c r="CY2" s="372"/>
      <c r="CZ2" s="372"/>
      <c r="DA2" s="372"/>
      <c r="DB2" s="372"/>
      <c r="DC2" s="372"/>
      <c r="DD2" s="372"/>
      <c r="DE2" s="372"/>
      <c r="DF2" s="372"/>
      <c r="DG2" s="372"/>
      <c r="DH2" s="372"/>
      <c r="DI2" s="372"/>
      <c r="DJ2" s="372"/>
      <c r="DK2" s="372"/>
      <c r="DL2" s="307"/>
      <c r="DM2" s="307"/>
      <c r="DN2" s="307"/>
      <c r="DO2" s="307"/>
      <c r="DP2" s="307"/>
      <c r="DQ2" s="53"/>
      <c r="DR2" s="85"/>
      <c r="DS2" s="39"/>
      <c r="DT2" s="85"/>
      <c r="DU2" s="53"/>
      <c r="DV2" s="39"/>
      <c r="DW2" s="39"/>
      <c r="DX2" s="39"/>
      <c r="DY2" s="126"/>
      <c r="DZ2" s="307"/>
      <c r="EA2" s="307"/>
      <c r="EB2" s="311"/>
      <c r="EC2" s="312"/>
      <c r="ED2" s="312"/>
      <c r="EE2" s="312"/>
      <c r="EF2" s="312"/>
      <c r="EG2" s="313"/>
      <c r="EH2" s="189"/>
      <c r="EI2" s="307"/>
      <c r="EJ2" s="307"/>
      <c r="EK2" s="307"/>
      <c r="EL2" s="307"/>
      <c r="EM2" s="307"/>
      <c r="EN2" s="307"/>
      <c r="EO2" s="307"/>
      <c r="EP2" s="307"/>
      <c r="EQ2" s="307"/>
    </row>
    <row r="3" spans="1:154" ht="25.5" customHeight="1" x14ac:dyDescent="0.25">
      <c r="A3" s="314" t="s">
        <v>450</v>
      </c>
      <c r="B3" s="314"/>
      <c r="C3" s="314"/>
      <c r="D3" s="314"/>
      <c r="E3" s="314"/>
      <c r="F3" s="315" t="s">
        <v>114</v>
      </c>
      <c r="G3" s="315"/>
      <c r="H3" s="315"/>
      <c r="I3" s="315"/>
      <c r="J3" s="315"/>
      <c r="K3" s="314" t="str">
        <f>IF(A3="","",A3)</f>
        <v xml:space="preserve"> Drinking Water System</v>
      </c>
      <c r="L3" s="314"/>
      <c r="M3" s="314"/>
      <c r="N3" s="314"/>
      <c r="O3" s="315" t="s">
        <v>125</v>
      </c>
      <c r="P3" s="315"/>
      <c r="Q3" s="315"/>
      <c r="R3" s="315"/>
      <c r="S3" s="315"/>
      <c r="T3" s="315"/>
      <c r="U3" s="315"/>
      <c r="V3" s="315"/>
      <c r="W3" s="314" t="str">
        <f>IF(A3="","",A3)</f>
        <v xml:space="preserve"> Drinking Water System</v>
      </c>
      <c r="X3" s="314"/>
      <c r="Y3" s="314"/>
      <c r="Z3" s="314"/>
      <c r="AA3" s="314"/>
      <c r="AB3" s="315" t="s">
        <v>129</v>
      </c>
      <c r="AC3" s="315"/>
      <c r="AD3" s="315"/>
      <c r="AE3" s="315"/>
      <c r="AF3" s="315"/>
      <c r="AG3" s="314" t="str">
        <f>IF(A3="","",A3)</f>
        <v xml:space="preserve"> Drinking Water System</v>
      </c>
      <c r="AH3" s="314"/>
      <c r="AI3" s="314"/>
      <c r="AJ3" s="314"/>
      <c r="AK3" s="314"/>
      <c r="AL3" s="315" t="s">
        <v>93</v>
      </c>
      <c r="AM3" s="315"/>
      <c r="AN3" s="315"/>
      <c r="AO3" s="315"/>
      <c r="AP3" s="315"/>
      <c r="AQ3" s="314" t="str">
        <f>IF(A3="","",A3)</f>
        <v xml:space="preserve"> Drinking Water System</v>
      </c>
      <c r="AR3" s="314"/>
      <c r="AS3" s="314"/>
      <c r="AT3" s="314"/>
      <c r="AU3" s="314"/>
      <c r="AV3" s="315" t="s">
        <v>135</v>
      </c>
      <c r="AW3" s="315"/>
      <c r="AX3" s="315"/>
      <c r="AY3" s="315"/>
      <c r="AZ3" s="315"/>
      <c r="BA3" s="314" t="str">
        <f>IF(A3="","",A3)</f>
        <v xml:space="preserve"> Drinking Water System</v>
      </c>
      <c r="BB3" s="314"/>
      <c r="BC3" s="314"/>
      <c r="BD3" s="314"/>
      <c r="BE3" s="314"/>
      <c r="BF3" s="369" t="s">
        <v>145</v>
      </c>
      <c r="BG3" s="369"/>
      <c r="BH3" s="369"/>
      <c r="BI3" s="369"/>
      <c r="BJ3" s="369"/>
      <c r="BK3" s="369"/>
      <c r="BL3" s="369"/>
      <c r="BM3" s="369"/>
      <c r="BN3" s="369"/>
      <c r="BO3" s="314" t="str">
        <f>IF(A3="","",A3)</f>
        <v xml:space="preserve"> Drinking Water System</v>
      </c>
      <c r="BP3" s="314"/>
      <c r="BQ3" s="314"/>
      <c r="BR3" s="314"/>
      <c r="BS3" s="314"/>
      <c r="BT3" s="315" t="s">
        <v>100</v>
      </c>
      <c r="BU3" s="315"/>
      <c r="BV3" s="315"/>
      <c r="BW3" s="315"/>
      <c r="BX3" s="315"/>
      <c r="BY3" s="315"/>
      <c r="BZ3" s="315"/>
      <c r="CA3" s="314" t="str">
        <f>IF(A3="","",A3)</f>
        <v xml:space="preserve"> Drinking Water System</v>
      </c>
      <c r="CB3" s="314"/>
      <c r="CC3" s="314"/>
      <c r="CD3" s="314"/>
      <c r="CE3" s="315" t="s">
        <v>154</v>
      </c>
      <c r="CF3" s="315"/>
      <c r="CG3" s="315"/>
      <c r="CH3" s="315"/>
      <c r="CI3" s="315"/>
      <c r="CJ3" s="314" t="str">
        <f>IF(A3="","",A3)</f>
        <v xml:space="preserve"> Drinking Water System</v>
      </c>
      <c r="CK3" s="314"/>
      <c r="CL3" s="314"/>
      <c r="CM3" s="314"/>
      <c r="CN3" s="315" t="s">
        <v>155</v>
      </c>
      <c r="CO3" s="315"/>
      <c r="CP3" s="315"/>
      <c r="CQ3" s="315"/>
      <c r="CR3" s="315"/>
      <c r="CS3" s="314" t="str">
        <f>IF(A3="","",A3)</f>
        <v xml:space="preserve"> Drinking Water System</v>
      </c>
      <c r="CT3" s="314"/>
      <c r="CU3" s="314"/>
      <c r="CV3" s="314"/>
      <c r="CW3" s="315" t="s">
        <v>101</v>
      </c>
      <c r="CX3" s="315"/>
      <c r="CY3" s="315"/>
      <c r="CZ3" s="315"/>
      <c r="DA3" s="315"/>
      <c r="DB3" s="315"/>
      <c r="DC3" s="314" t="str">
        <f>IF(A3="","",A3)</f>
        <v xml:space="preserve"> Drinking Water System</v>
      </c>
      <c r="DD3" s="314"/>
      <c r="DE3" s="314"/>
      <c r="DF3" s="314"/>
      <c r="DG3" s="315" t="s">
        <v>159</v>
      </c>
      <c r="DH3" s="315"/>
      <c r="DI3" s="315"/>
      <c r="DJ3" s="315"/>
      <c r="DK3" s="315"/>
      <c r="DL3" s="329" t="str">
        <f>IF(A3="","",A3)</f>
        <v xml:space="preserve"> Drinking Water System</v>
      </c>
      <c r="DM3" s="329"/>
      <c r="DN3" s="329"/>
      <c r="DO3" s="329"/>
      <c r="DP3" s="329"/>
      <c r="DQ3" s="370" t="s">
        <v>168</v>
      </c>
      <c r="DR3" s="370"/>
      <c r="DS3" s="370"/>
      <c r="DT3" s="370"/>
      <c r="DU3" s="370"/>
      <c r="DV3" s="370"/>
      <c r="DW3" s="370"/>
      <c r="DX3" s="370"/>
      <c r="DY3" s="370"/>
      <c r="DZ3" s="329" t="str">
        <f>IF(A3="","",A3)</f>
        <v xml:space="preserve"> Drinking Water System</v>
      </c>
      <c r="EA3" s="329"/>
      <c r="EB3" s="329"/>
      <c r="EC3" s="329"/>
      <c r="ED3" s="329"/>
      <c r="EE3" s="329"/>
      <c r="EF3" s="370" t="s">
        <v>91</v>
      </c>
      <c r="EG3" s="370"/>
      <c r="EH3" s="370"/>
      <c r="EI3" s="314" t="str">
        <f>IF(A3="","",A3)</f>
        <v xml:space="preserve"> Drinking Water System</v>
      </c>
      <c r="EJ3" s="314"/>
      <c r="EK3" s="314"/>
      <c r="EL3" s="314"/>
      <c r="EM3" s="315" t="s">
        <v>33</v>
      </c>
      <c r="EN3" s="315"/>
      <c r="EO3" s="315"/>
      <c r="EP3" s="315"/>
      <c r="EQ3" s="315"/>
    </row>
    <row r="4" spans="1:154" ht="17.149999999999999" customHeight="1" x14ac:dyDescent="0.35">
      <c r="A4" s="359" t="s">
        <v>1</v>
      </c>
      <c r="B4" s="359" t="s">
        <v>38</v>
      </c>
      <c r="C4" s="359"/>
      <c r="D4" s="359"/>
      <c r="E4" s="317" t="s">
        <v>24</v>
      </c>
      <c r="F4" s="317"/>
      <c r="G4" s="317"/>
      <c r="H4" s="358" t="s">
        <v>112</v>
      </c>
      <c r="I4" s="358"/>
      <c r="J4" s="360" t="s">
        <v>0</v>
      </c>
      <c r="K4" s="359" t="s">
        <v>1</v>
      </c>
      <c r="L4" s="358" t="s">
        <v>117</v>
      </c>
      <c r="M4" s="358"/>
      <c r="N4" s="358" t="s">
        <v>118</v>
      </c>
      <c r="O4" s="358"/>
      <c r="P4" s="358" t="s">
        <v>119</v>
      </c>
      <c r="Q4" s="358"/>
      <c r="R4" s="362" t="s">
        <v>120</v>
      </c>
      <c r="S4" s="363"/>
      <c r="T4" s="363"/>
      <c r="U4" s="364"/>
      <c r="V4" s="360" t="s">
        <v>0</v>
      </c>
      <c r="W4" s="346" t="s">
        <v>1</v>
      </c>
      <c r="X4" s="344" t="s">
        <v>63</v>
      </c>
      <c r="Y4" s="344"/>
      <c r="Z4" s="344"/>
      <c r="AA4" s="344"/>
      <c r="AB4" s="344" t="s">
        <v>126</v>
      </c>
      <c r="AC4" s="344"/>
      <c r="AD4" s="344"/>
      <c r="AE4" s="344"/>
      <c r="AF4" s="342" t="s">
        <v>0</v>
      </c>
      <c r="AG4" s="346" t="s">
        <v>1</v>
      </c>
      <c r="AH4" s="330" t="s">
        <v>93</v>
      </c>
      <c r="AI4" s="331"/>
      <c r="AJ4" s="331"/>
      <c r="AK4" s="331"/>
      <c r="AL4" s="331"/>
      <c r="AM4" s="331"/>
      <c r="AN4" s="331"/>
      <c r="AO4" s="332"/>
      <c r="AP4" s="342" t="s">
        <v>0</v>
      </c>
      <c r="AQ4" s="346" t="s">
        <v>1</v>
      </c>
      <c r="AR4" s="344" t="s">
        <v>132</v>
      </c>
      <c r="AS4" s="344"/>
      <c r="AT4" s="344"/>
      <c r="AU4" s="344"/>
      <c r="AV4" s="344" t="s">
        <v>94</v>
      </c>
      <c r="AW4" s="344"/>
      <c r="AX4" s="344"/>
      <c r="AY4" s="344"/>
      <c r="AZ4" s="342" t="s">
        <v>0</v>
      </c>
      <c r="BA4" s="317" t="s">
        <v>1</v>
      </c>
      <c r="BB4" s="317" t="s">
        <v>38</v>
      </c>
      <c r="BC4" s="317"/>
      <c r="BD4" s="317"/>
      <c r="BE4" s="317"/>
      <c r="BF4" s="317"/>
      <c r="BG4" s="326" t="s">
        <v>146</v>
      </c>
      <c r="BH4" s="316" t="s">
        <v>136</v>
      </c>
      <c r="BI4" s="316"/>
      <c r="BJ4" s="316" t="s">
        <v>139</v>
      </c>
      <c r="BK4" s="316"/>
      <c r="BL4" s="316" t="s">
        <v>142</v>
      </c>
      <c r="BM4" s="316"/>
      <c r="BN4" s="347" t="s">
        <v>0</v>
      </c>
      <c r="BO4" s="317" t="s">
        <v>1</v>
      </c>
      <c r="BP4" s="344" t="s">
        <v>147</v>
      </c>
      <c r="BQ4" s="344"/>
      <c r="BR4" s="344"/>
      <c r="BS4" s="344"/>
      <c r="BT4" s="344"/>
      <c r="BU4" s="344"/>
      <c r="BV4" s="344"/>
      <c r="BW4" s="344" t="s">
        <v>148</v>
      </c>
      <c r="BX4" s="344"/>
      <c r="BY4" s="344"/>
      <c r="BZ4" s="347" t="s">
        <v>0</v>
      </c>
      <c r="CA4" s="317" t="s">
        <v>1</v>
      </c>
      <c r="CB4" s="318" t="s">
        <v>150</v>
      </c>
      <c r="CC4" s="318" t="s">
        <v>151</v>
      </c>
      <c r="CD4" s="318" t="s">
        <v>78</v>
      </c>
      <c r="CE4" s="321" t="s">
        <v>79</v>
      </c>
      <c r="CF4" s="321" t="s">
        <v>77</v>
      </c>
      <c r="CG4" s="336" t="s">
        <v>152</v>
      </c>
      <c r="CH4" s="336" t="s">
        <v>153</v>
      </c>
      <c r="CI4" s="342" t="s">
        <v>0</v>
      </c>
      <c r="CJ4" s="317" t="s">
        <v>1</v>
      </c>
      <c r="CK4" s="318" t="s">
        <v>150</v>
      </c>
      <c r="CL4" s="318" t="s">
        <v>151</v>
      </c>
      <c r="CM4" s="318" t="s">
        <v>78</v>
      </c>
      <c r="CN4" s="318" t="s">
        <v>79</v>
      </c>
      <c r="CO4" s="318" t="s">
        <v>77</v>
      </c>
      <c r="CP4" s="336" t="s">
        <v>152</v>
      </c>
      <c r="CQ4" s="336" t="s">
        <v>153</v>
      </c>
      <c r="CR4" s="342" t="s">
        <v>0</v>
      </c>
      <c r="CS4" s="317" t="s">
        <v>1</v>
      </c>
      <c r="CT4" s="318" t="s">
        <v>150</v>
      </c>
      <c r="CU4" s="318" t="s">
        <v>157</v>
      </c>
      <c r="CV4" s="318" t="s">
        <v>78</v>
      </c>
      <c r="CW4" s="318" t="s">
        <v>158</v>
      </c>
      <c r="CX4" s="321" t="s">
        <v>77</v>
      </c>
      <c r="CY4" s="336" t="s">
        <v>152</v>
      </c>
      <c r="CZ4" s="336" t="s">
        <v>153</v>
      </c>
      <c r="DA4" s="339" t="s">
        <v>156</v>
      </c>
      <c r="DB4" s="342" t="s">
        <v>0</v>
      </c>
      <c r="DC4" s="317" t="s">
        <v>1</v>
      </c>
      <c r="DD4" s="318" t="s">
        <v>150</v>
      </c>
      <c r="DE4" s="318" t="s">
        <v>151</v>
      </c>
      <c r="DF4" s="318" t="s">
        <v>78</v>
      </c>
      <c r="DG4" s="321" t="s">
        <v>160</v>
      </c>
      <c r="DH4" s="318" t="s">
        <v>77</v>
      </c>
      <c r="DI4" s="336" t="s">
        <v>152</v>
      </c>
      <c r="DJ4" s="336" t="s">
        <v>153</v>
      </c>
      <c r="DK4" s="342" t="s">
        <v>0</v>
      </c>
      <c r="DL4" s="317" t="s">
        <v>1</v>
      </c>
      <c r="DM4" s="129" t="s">
        <v>37</v>
      </c>
      <c r="DN4" s="316" t="s">
        <v>76</v>
      </c>
      <c r="DO4" s="316"/>
      <c r="DP4" s="316" t="s">
        <v>92</v>
      </c>
      <c r="DQ4" s="316"/>
      <c r="DR4" s="316"/>
      <c r="DS4" s="316"/>
      <c r="DT4" s="316"/>
      <c r="DU4" s="316"/>
      <c r="DV4" s="316" t="s">
        <v>165</v>
      </c>
      <c r="DW4" s="316"/>
      <c r="DX4" s="316"/>
      <c r="DY4" s="347" t="s">
        <v>0</v>
      </c>
      <c r="DZ4" s="368" t="s">
        <v>1</v>
      </c>
      <c r="EA4" s="344" t="s">
        <v>170</v>
      </c>
      <c r="EB4" s="344"/>
      <c r="EC4" s="344"/>
      <c r="ED4" s="344" t="s">
        <v>104</v>
      </c>
      <c r="EE4" s="344"/>
      <c r="EF4" s="132" t="s">
        <v>121</v>
      </c>
      <c r="EG4" s="132" t="s">
        <v>122</v>
      </c>
      <c r="EH4" s="367" t="s">
        <v>0</v>
      </c>
      <c r="EI4" s="346" t="s">
        <v>1</v>
      </c>
      <c r="EJ4" s="361" t="s">
        <v>34</v>
      </c>
      <c r="EK4" s="361"/>
      <c r="EL4" s="361"/>
      <c r="EM4" s="361"/>
      <c r="EN4" s="361"/>
      <c r="EO4" s="361"/>
      <c r="EP4" s="361"/>
      <c r="EQ4" s="365" t="s">
        <v>0</v>
      </c>
    </row>
    <row r="5" spans="1:154" ht="17.149999999999999" customHeight="1" x14ac:dyDescent="0.35">
      <c r="A5" s="359"/>
      <c r="B5" s="357" t="s">
        <v>83</v>
      </c>
      <c r="C5" s="357" t="s">
        <v>111</v>
      </c>
      <c r="D5" s="356" t="s">
        <v>32</v>
      </c>
      <c r="E5" s="357" t="s">
        <v>83</v>
      </c>
      <c r="F5" s="357" t="s">
        <v>110</v>
      </c>
      <c r="G5" s="356" t="s">
        <v>32</v>
      </c>
      <c r="H5" s="357" t="s">
        <v>83</v>
      </c>
      <c r="I5" s="357" t="s">
        <v>109</v>
      </c>
      <c r="J5" s="360"/>
      <c r="K5" s="359"/>
      <c r="L5" s="357" t="s">
        <v>83</v>
      </c>
      <c r="M5" s="357" t="s">
        <v>116</v>
      </c>
      <c r="N5" s="357" t="s">
        <v>83</v>
      </c>
      <c r="O5" s="357" t="s">
        <v>66</v>
      </c>
      <c r="P5" s="357" t="s">
        <v>83</v>
      </c>
      <c r="Q5" s="357" t="s">
        <v>116</v>
      </c>
      <c r="R5" s="336" t="s">
        <v>121</v>
      </c>
      <c r="S5" s="336" t="s">
        <v>122</v>
      </c>
      <c r="T5" s="336" t="s">
        <v>123</v>
      </c>
      <c r="U5" s="336" t="s">
        <v>124</v>
      </c>
      <c r="V5" s="360"/>
      <c r="W5" s="346"/>
      <c r="X5" s="333" t="s">
        <v>20</v>
      </c>
      <c r="Y5" s="333"/>
      <c r="Z5" s="333" t="s">
        <v>21</v>
      </c>
      <c r="AA5" s="333"/>
      <c r="AB5" s="333" t="s">
        <v>127</v>
      </c>
      <c r="AC5" s="333"/>
      <c r="AD5" s="333" t="s">
        <v>128</v>
      </c>
      <c r="AE5" s="333"/>
      <c r="AF5" s="342"/>
      <c r="AG5" s="346"/>
      <c r="AH5" s="333" t="s">
        <v>130</v>
      </c>
      <c r="AI5" s="333"/>
      <c r="AJ5" s="333" t="s">
        <v>131</v>
      </c>
      <c r="AK5" s="333"/>
      <c r="AL5" s="333" t="s">
        <v>65</v>
      </c>
      <c r="AM5" s="333"/>
      <c r="AN5" s="333" t="s">
        <v>75</v>
      </c>
      <c r="AO5" s="333"/>
      <c r="AP5" s="342"/>
      <c r="AQ5" s="346"/>
      <c r="AR5" s="333" t="s">
        <v>133</v>
      </c>
      <c r="AS5" s="333"/>
      <c r="AT5" s="333" t="s">
        <v>134</v>
      </c>
      <c r="AU5" s="333"/>
      <c r="AV5" s="333" t="s">
        <v>95</v>
      </c>
      <c r="AW5" s="333"/>
      <c r="AX5" s="333" t="s">
        <v>96</v>
      </c>
      <c r="AY5" s="333"/>
      <c r="AZ5" s="342"/>
      <c r="BA5" s="317"/>
      <c r="BB5" s="353" t="s">
        <v>25</v>
      </c>
      <c r="BC5" s="366" t="s">
        <v>29</v>
      </c>
      <c r="BD5" s="335" t="s">
        <v>4</v>
      </c>
      <c r="BE5" s="335" t="s">
        <v>80</v>
      </c>
      <c r="BF5" s="335" t="s">
        <v>81</v>
      </c>
      <c r="BG5" s="326"/>
      <c r="BH5" s="343" t="s">
        <v>137</v>
      </c>
      <c r="BI5" s="343" t="s">
        <v>138</v>
      </c>
      <c r="BJ5" s="343" t="s">
        <v>140</v>
      </c>
      <c r="BK5" s="343" t="s">
        <v>141</v>
      </c>
      <c r="BL5" s="343" t="s">
        <v>143</v>
      </c>
      <c r="BM5" s="343" t="s">
        <v>144</v>
      </c>
      <c r="BN5" s="347"/>
      <c r="BO5" s="317"/>
      <c r="BP5" s="328" t="s">
        <v>31</v>
      </c>
      <c r="BQ5" s="354" t="s">
        <v>22</v>
      </c>
      <c r="BR5" s="326" t="s">
        <v>4</v>
      </c>
      <c r="BS5" s="326" t="s">
        <v>82</v>
      </c>
      <c r="BT5" s="326" t="s">
        <v>149</v>
      </c>
      <c r="BU5" s="328" t="s">
        <v>23</v>
      </c>
      <c r="BV5" s="327" t="s">
        <v>99</v>
      </c>
      <c r="BW5" s="327" t="s">
        <v>98</v>
      </c>
      <c r="BX5" s="355" t="s">
        <v>26</v>
      </c>
      <c r="BY5" s="355" t="s">
        <v>97</v>
      </c>
      <c r="BZ5" s="347"/>
      <c r="CA5" s="317"/>
      <c r="CB5" s="319"/>
      <c r="CC5" s="319"/>
      <c r="CD5" s="319"/>
      <c r="CE5" s="322"/>
      <c r="CF5" s="322"/>
      <c r="CG5" s="337"/>
      <c r="CH5" s="337"/>
      <c r="CI5" s="342"/>
      <c r="CJ5" s="317"/>
      <c r="CK5" s="319"/>
      <c r="CL5" s="319"/>
      <c r="CM5" s="319"/>
      <c r="CN5" s="319"/>
      <c r="CO5" s="319"/>
      <c r="CP5" s="337"/>
      <c r="CQ5" s="337"/>
      <c r="CR5" s="342"/>
      <c r="CS5" s="317"/>
      <c r="CT5" s="319"/>
      <c r="CU5" s="319"/>
      <c r="CV5" s="319"/>
      <c r="CW5" s="319"/>
      <c r="CX5" s="322"/>
      <c r="CY5" s="337"/>
      <c r="CZ5" s="337"/>
      <c r="DA5" s="340"/>
      <c r="DB5" s="342"/>
      <c r="DC5" s="317"/>
      <c r="DD5" s="319"/>
      <c r="DE5" s="319"/>
      <c r="DF5" s="319"/>
      <c r="DG5" s="322"/>
      <c r="DH5" s="319"/>
      <c r="DI5" s="337"/>
      <c r="DJ5" s="337"/>
      <c r="DK5" s="342"/>
      <c r="DL5" s="317"/>
      <c r="DM5" s="327" t="s">
        <v>4</v>
      </c>
      <c r="DN5" s="328" t="s">
        <v>161</v>
      </c>
      <c r="DO5" s="328" t="s">
        <v>162</v>
      </c>
      <c r="DP5" s="328" t="s">
        <v>85</v>
      </c>
      <c r="DQ5" s="327" t="s">
        <v>4</v>
      </c>
      <c r="DR5" s="326" t="s">
        <v>82</v>
      </c>
      <c r="DS5" s="328" t="s">
        <v>163</v>
      </c>
      <c r="DT5" s="326" t="s">
        <v>164</v>
      </c>
      <c r="DU5" s="327" t="s">
        <v>169</v>
      </c>
      <c r="DV5" s="328" t="s">
        <v>172</v>
      </c>
      <c r="DW5" s="328" t="s">
        <v>166</v>
      </c>
      <c r="DX5" s="328" t="s">
        <v>167</v>
      </c>
      <c r="DY5" s="347"/>
      <c r="DZ5" s="368"/>
      <c r="EA5" s="348" t="s">
        <v>173</v>
      </c>
      <c r="EB5" s="348" t="s">
        <v>174</v>
      </c>
      <c r="EC5" s="348" t="s">
        <v>171</v>
      </c>
      <c r="ED5" s="327" t="s">
        <v>86</v>
      </c>
      <c r="EE5" s="327"/>
      <c r="EF5" s="327" t="s">
        <v>84</v>
      </c>
      <c r="EG5" s="327" t="s">
        <v>84</v>
      </c>
      <c r="EH5" s="367"/>
      <c r="EI5" s="346"/>
      <c r="EJ5" s="361"/>
      <c r="EK5" s="361"/>
      <c r="EL5" s="361"/>
      <c r="EM5" s="361"/>
      <c r="EN5" s="361"/>
      <c r="EO5" s="361"/>
      <c r="EP5" s="361"/>
      <c r="EQ5" s="365"/>
    </row>
    <row r="6" spans="1:154" ht="17.149999999999999" customHeight="1" x14ac:dyDescent="0.35">
      <c r="A6" s="359"/>
      <c r="B6" s="357"/>
      <c r="C6" s="357"/>
      <c r="D6" s="356"/>
      <c r="E6" s="357"/>
      <c r="F6" s="357"/>
      <c r="G6" s="356"/>
      <c r="H6" s="357"/>
      <c r="I6" s="357"/>
      <c r="J6" s="360"/>
      <c r="K6" s="359"/>
      <c r="L6" s="357"/>
      <c r="M6" s="357"/>
      <c r="N6" s="357"/>
      <c r="O6" s="357"/>
      <c r="P6" s="357"/>
      <c r="Q6" s="357"/>
      <c r="R6" s="337"/>
      <c r="S6" s="337"/>
      <c r="T6" s="337"/>
      <c r="U6" s="337"/>
      <c r="V6" s="360"/>
      <c r="W6" s="346"/>
      <c r="X6" s="333" t="s">
        <v>5</v>
      </c>
      <c r="Y6" s="333" t="s">
        <v>6</v>
      </c>
      <c r="Z6" s="333" t="s">
        <v>5</v>
      </c>
      <c r="AA6" s="333" t="s">
        <v>6</v>
      </c>
      <c r="AB6" s="333" t="s">
        <v>5</v>
      </c>
      <c r="AC6" s="333" t="s">
        <v>6</v>
      </c>
      <c r="AD6" s="333" t="s">
        <v>5</v>
      </c>
      <c r="AE6" s="333" t="s">
        <v>6</v>
      </c>
      <c r="AF6" s="342"/>
      <c r="AG6" s="346"/>
      <c r="AH6" s="333" t="s">
        <v>5</v>
      </c>
      <c r="AI6" s="333" t="s">
        <v>6</v>
      </c>
      <c r="AJ6" s="333" t="s">
        <v>5</v>
      </c>
      <c r="AK6" s="333" t="s">
        <v>6</v>
      </c>
      <c r="AL6" s="333" t="s">
        <v>5</v>
      </c>
      <c r="AM6" s="333" t="s">
        <v>6</v>
      </c>
      <c r="AN6" s="333" t="s">
        <v>5</v>
      </c>
      <c r="AO6" s="333" t="s">
        <v>6</v>
      </c>
      <c r="AP6" s="342"/>
      <c r="AQ6" s="346"/>
      <c r="AR6" s="333" t="s">
        <v>5</v>
      </c>
      <c r="AS6" s="333" t="s">
        <v>6</v>
      </c>
      <c r="AT6" s="333" t="s">
        <v>5</v>
      </c>
      <c r="AU6" s="333" t="s">
        <v>6</v>
      </c>
      <c r="AV6" s="333" t="s">
        <v>5</v>
      </c>
      <c r="AW6" s="333" t="s">
        <v>6</v>
      </c>
      <c r="AX6" s="333" t="s">
        <v>5</v>
      </c>
      <c r="AY6" s="333" t="s">
        <v>6</v>
      </c>
      <c r="AZ6" s="342"/>
      <c r="BA6" s="317"/>
      <c r="BB6" s="353"/>
      <c r="BC6" s="366"/>
      <c r="BD6" s="335"/>
      <c r="BE6" s="335"/>
      <c r="BF6" s="335"/>
      <c r="BG6" s="326"/>
      <c r="BH6" s="343"/>
      <c r="BI6" s="343"/>
      <c r="BJ6" s="343"/>
      <c r="BK6" s="343"/>
      <c r="BL6" s="343"/>
      <c r="BM6" s="343"/>
      <c r="BN6" s="347"/>
      <c r="BO6" s="317"/>
      <c r="BP6" s="328"/>
      <c r="BQ6" s="354"/>
      <c r="BR6" s="326"/>
      <c r="BS6" s="326"/>
      <c r="BT6" s="326"/>
      <c r="BU6" s="328"/>
      <c r="BV6" s="327"/>
      <c r="BW6" s="327"/>
      <c r="BX6" s="355"/>
      <c r="BY6" s="355"/>
      <c r="BZ6" s="347"/>
      <c r="CA6" s="317"/>
      <c r="CB6" s="319"/>
      <c r="CC6" s="319"/>
      <c r="CD6" s="319"/>
      <c r="CE6" s="322"/>
      <c r="CF6" s="322"/>
      <c r="CG6" s="337"/>
      <c r="CH6" s="337"/>
      <c r="CI6" s="342"/>
      <c r="CJ6" s="317"/>
      <c r="CK6" s="319"/>
      <c r="CL6" s="319"/>
      <c r="CM6" s="319"/>
      <c r="CN6" s="319"/>
      <c r="CO6" s="319"/>
      <c r="CP6" s="337"/>
      <c r="CQ6" s="337"/>
      <c r="CR6" s="342"/>
      <c r="CS6" s="317"/>
      <c r="CT6" s="319"/>
      <c r="CU6" s="319"/>
      <c r="CV6" s="319"/>
      <c r="CW6" s="319"/>
      <c r="CX6" s="322"/>
      <c r="CY6" s="337"/>
      <c r="CZ6" s="337"/>
      <c r="DA6" s="340"/>
      <c r="DB6" s="342"/>
      <c r="DC6" s="317"/>
      <c r="DD6" s="319"/>
      <c r="DE6" s="319"/>
      <c r="DF6" s="319"/>
      <c r="DG6" s="322"/>
      <c r="DH6" s="319"/>
      <c r="DI6" s="337"/>
      <c r="DJ6" s="337"/>
      <c r="DK6" s="342"/>
      <c r="DL6" s="317"/>
      <c r="DM6" s="327"/>
      <c r="DN6" s="328"/>
      <c r="DO6" s="328"/>
      <c r="DP6" s="328"/>
      <c r="DQ6" s="327"/>
      <c r="DR6" s="326"/>
      <c r="DS6" s="328"/>
      <c r="DT6" s="326"/>
      <c r="DU6" s="327"/>
      <c r="DV6" s="328"/>
      <c r="DW6" s="328"/>
      <c r="DX6" s="328"/>
      <c r="DY6" s="347"/>
      <c r="DZ6" s="368"/>
      <c r="EA6" s="348"/>
      <c r="EB6" s="348"/>
      <c r="EC6" s="348"/>
      <c r="ED6" s="327" t="s">
        <v>102</v>
      </c>
      <c r="EE6" s="327" t="s">
        <v>103</v>
      </c>
      <c r="EF6" s="327"/>
      <c r="EG6" s="327"/>
      <c r="EH6" s="367"/>
      <c r="EI6" s="346"/>
      <c r="EJ6" s="361"/>
      <c r="EK6" s="361"/>
      <c r="EL6" s="361"/>
      <c r="EM6" s="361"/>
      <c r="EN6" s="361"/>
      <c r="EO6" s="361"/>
      <c r="EP6" s="361"/>
      <c r="EQ6" s="365"/>
    </row>
    <row r="7" spans="1:154" ht="17.149999999999999" customHeight="1" x14ac:dyDescent="0.35">
      <c r="A7" s="359"/>
      <c r="B7" s="357"/>
      <c r="C7" s="357"/>
      <c r="D7" s="356"/>
      <c r="E7" s="357"/>
      <c r="F7" s="357"/>
      <c r="G7" s="356"/>
      <c r="H7" s="357"/>
      <c r="I7" s="357"/>
      <c r="J7" s="360"/>
      <c r="K7" s="359"/>
      <c r="L7" s="357"/>
      <c r="M7" s="357"/>
      <c r="N7" s="357"/>
      <c r="O7" s="357"/>
      <c r="P7" s="357"/>
      <c r="Q7" s="357"/>
      <c r="R7" s="338"/>
      <c r="S7" s="338"/>
      <c r="T7" s="338"/>
      <c r="U7" s="338"/>
      <c r="V7" s="360"/>
      <c r="W7" s="346"/>
      <c r="X7" s="333"/>
      <c r="Y7" s="333"/>
      <c r="Z7" s="333"/>
      <c r="AA7" s="333"/>
      <c r="AB7" s="333"/>
      <c r="AC7" s="333"/>
      <c r="AD7" s="333"/>
      <c r="AE7" s="333"/>
      <c r="AF7" s="342"/>
      <c r="AG7" s="346"/>
      <c r="AH7" s="333"/>
      <c r="AI7" s="333"/>
      <c r="AJ7" s="333"/>
      <c r="AK7" s="333"/>
      <c r="AL7" s="333"/>
      <c r="AM7" s="333"/>
      <c r="AN7" s="333"/>
      <c r="AO7" s="333"/>
      <c r="AP7" s="342"/>
      <c r="AQ7" s="346"/>
      <c r="AR7" s="333"/>
      <c r="AS7" s="333"/>
      <c r="AT7" s="333"/>
      <c r="AU7" s="333"/>
      <c r="AV7" s="333"/>
      <c r="AW7" s="333"/>
      <c r="AX7" s="333"/>
      <c r="AY7" s="333"/>
      <c r="AZ7" s="342"/>
      <c r="BA7" s="317"/>
      <c r="BB7" s="353"/>
      <c r="BC7" s="366"/>
      <c r="BD7" s="335"/>
      <c r="BE7" s="335"/>
      <c r="BF7" s="335"/>
      <c r="BG7" s="326"/>
      <c r="BH7" s="343"/>
      <c r="BI7" s="343"/>
      <c r="BJ7" s="343"/>
      <c r="BK7" s="343"/>
      <c r="BL7" s="343"/>
      <c r="BM7" s="343"/>
      <c r="BN7" s="347"/>
      <c r="BO7" s="317"/>
      <c r="BP7" s="328"/>
      <c r="BQ7" s="354"/>
      <c r="BR7" s="326"/>
      <c r="BS7" s="326"/>
      <c r="BT7" s="326"/>
      <c r="BU7" s="328"/>
      <c r="BV7" s="327"/>
      <c r="BW7" s="327"/>
      <c r="BX7" s="355"/>
      <c r="BY7" s="355"/>
      <c r="BZ7" s="347"/>
      <c r="CA7" s="317"/>
      <c r="CB7" s="320"/>
      <c r="CC7" s="320"/>
      <c r="CD7" s="320"/>
      <c r="CE7" s="323"/>
      <c r="CF7" s="323"/>
      <c r="CG7" s="338"/>
      <c r="CH7" s="338"/>
      <c r="CI7" s="342"/>
      <c r="CJ7" s="317"/>
      <c r="CK7" s="320"/>
      <c r="CL7" s="320"/>
      <c r="CM7" s="320"/>
      <c r="CN7" s="320"/>
      <c r="CO7" s="320"/>
      <c r="CP7" s="338"/>
      <c r="CQ7" s="338"/>
      <c r="CR7" s="342"/>
      <c r="CS7" s="317"/>
      <c r="CT7" s="320"/>
      <c r="CU7" s="320"/>
      <c r="CV7" s="320"/>
      <c r="CW7" s="320"/>
      <c r="CX7" s="323"/>
      <c r="CY7" s="338"/>
      <c r="CZ7" s="338"/>
      <c r="DA7" s="341"/>
      <c r="DB7" s="342"/>
      <c r="DC7" s="317"/>
      <c r="DD7" s="320"/>
      <c r="DE7" s="320"/>
      <c r="DF7" s="320"/>
      <c r="DG7" s="323"/>
      <c r="DH7" s="320"/>
      <c r="DI7" s="338"/>
      <c r="DJ7" s="338"/>
      <c r="DK7" s="342"/>
      <c r="DL7" s="317"/>
      <c r="DM7" s="327"/>
      <c r="DN7" s="328"/>
      <c r="DO7" s="328"/>
      <c r="DP7" s="328"/>
      <c r="DQ7" s="327"/>
      <c r="DR7" s="326"/>
      <c r="DS7" s="328"/>
      <c r="DT7" s="326"/>
      <c r="DU7" s="327"/>
      <c r="DV7" s="328"/>
      <c r="DW7" s="328"/>
      <c r="DX7" s="328"/>
      <c r="DY7" s="347"/>
      <c r="DZ7" s="368"/>
      <c r="EA7" s="348"/>
      <c r="EB7" s="348"/>
      <c r="EC7" s="348"/>
      <c r="ED7" s="327"/>
      <c r="EE7" s="327"/>
      <c r="EF7" s="327"/>
      <c r="EG7" s="327"/>
      <c r="EH7" s="367"/>
      <c r="EI7" s="346"/>
      <c r="EJ7" s="361"/>
      <c r="EK7" s="361"/>
      <c r="EL7" s="361"/>
      <c r="EM7" s="361"/>
      <c r="EN7" s="361"/>
      <c r="EO7" s="361"/>
      <c r="EP7" s="361"/>
      <c r="EQ7" s="365"/>
    </row>
    <row r="8" spans="1:154" s="3" customFormat="1" ht="17.149999999999999" customHeight="1" x14ac:dyDescent="0.25">
      <c r="A8" s="56">
        <v>1</v>
      </c>
      <c r="B8" s="57"/>
      <c r="C8" s="58" t="str">
        <f>IF(B9="","",IF(B9=B8,"",(B9-B8)))</f>
        <v/>
      </c>
      <c r="D8" s="167"/>
      <c r="E8" s="59"/>
      <c r="F8" s="58" t="str">
        <f>IF(E9="","",IF(E9=E8,"",(E9-E8)))</f>
        <v/>
      </c>
      <c r="G8" s="168"/>
      <c r="H8" s="57"/>
      <c r="I8" s="58" t="str">
        <f t="shared" ref="I8:I38" si="0">IF(H9="","",IF(H9=H8,"",(H9-H8)))</f>
        <v/>
      </c>
      <c r="J8" s="60"/>
      <c r="K8" s="56">
        <v>1</v>
      </c>
      <c r="L8" s="57"/>
      <c r="M8" s="58" t="str">
        <f>IF(L9="","",IF(L9=L8,"",(L9-L8)))</f>
        <v/>
      </c>
      <c r="N8" s="59"/>
      <c r="O8" s="58" t="str">
        <f>IF(N9="","",IF(N9=N8,"",(N9-N8)))</f>
        <v/>
      </c>
      <c r="P8" s="57"/>
      <c r="Q8" s="58" t="str">
        <f t="shared" ref="Q8:Q38" si="1">IF(P9="","",IF(P9=P8,"",(P9-P8)))</f>
        <v/>
      </c>
      <c r="R8" s="57"/>
      <c r="S8" s="57"/>
      <c r="T8" s="170"/>
      <c r="U8" s="57"/>
      <c r="V8" s="58" t="str">
        <f>IF(J8="","",J8)</f>
        <v/>
      </c>
      <c r="W8" s="56">
        <v>1</v>
      </c>
      <c r="X8" s="63"/>
      <c r="Y8" s="130" t="str">
        <f>IF(X9="","",IF(X9=X8,"",X9-X8))</f>
        <v/>
      </c>
      <c r="Z8" s="63"/>
      <c r="AA8" s="130" t="str">
        <f>IF(Z9="","",IF(Z9=Z8,"",Z9-Z8))</f>
        <v/>
      </c>
      <c r="AB8" s="63"/>
      <c r="AC8" s="130" t="str">
        <f>IF(AB9="","",IF(AB9=AB8,"",AB9-AB8))</f>
        <v/>
      </c>
      <c r="AD8" s="63"/>
      <c r="AE8" s="130" t="str">
        <f t="shared" ref="AE8:AE38" si="2">IF(AD9="","",IF(AD9=AD8,"",AD9-AD8))</f>
        <v/>
      </c>
      <c r="AF8" s="125" t="str">
        <f>IF(J8="","",J8)</f>
        <v/>
      </c>
      <c r="AG8" s="56">
        <v>1</v>
      </c>
      <c r="AH8" s="63"/>
      <c r="AI8" s="130" t="str">
        <f>IF(AH9="","",IF(AH9=AH8,"",AH9-AH8))</f>
        <v/>
      </c>
      <c r="AJ8" s="63"/>
      <c r="AK8" s="130" t="str">
        <f>IF(AJ9="","",IF(AJ9=AJ8,"",AJ9-AJ8))</f>
        <v/>
      </c>
      <c r="AL8" s="63"/>
      <c r="AM8" s="130" t="str">
        <f>IF(AL9="","",IF(AL9=AL8,"",AL9-AL8))</f>
        <v/>
      </c>
      <c r="AN8" s="63"/>
      <c r="AO8" s="130" t="str">
        <f t="shared" ref="AO8:AO38" si="3">IF(AN9="","",IF(AN9=AN8,"",AN9-AN8))</f>
        <v/>
      </c>
      <c r="AP8" s="125" t="str">
        <f>IF(J8="","",J8)</f>
        <v/>
      </c>
      <c r="AQ8" s="56">
        <v>1</v>
      </c>
      <c r="AR8" s="63"/>
      <c r="AS8" s="130" t="str">
        <f>IF(AR9="","",IF(AR9=AR8,"",AR9-AR8))</f>
        <v/>
      </c>
      <c r="AT8" s="63"/>
      <c r="AU8" s="130" t="str">
        <f>IF(AT9="","",IF(AT9=AT8,"",AT9-AT8))</f>
        <v/>
      </c>
      <c r="AV8" s="63"/>
      <c r="AW8" s="130" t="str">
        <f>IF(AV9="","",IF(AV9=AV8,"",AV9-AV8))</f>
        <v/>
      </c>
      <c r="AX8" s="63"/>
      <c r="AY8" s="130" t="str">
        <f t="shared" ref="AY8:AY38" si="4">IF(AX9="","",IF(AX9=AX8,"",AX9-AX8))</f>
        <v/>
      </c>
      <c r="AZ8" s="125" t="str">
        <f>IF(J8="","",J8)</f>
        <v/>
      </c>
      <c r="BA8" s="56">
        <v>1</v>
      </c>
      <c r="BB8" s="63"/>
      <c r="BC8" s="62"/>
      <c r="BD8" s="61"/>
      <c r="BE8" s="61"/>
      <c r="BF8" s="61"/>
      <c r="BG8" s="61"/>
      <c r="BH8" s="64"/>
      <c r="BI8" s="64"/>
      <c r="BJ8" s="64"/>
      <c r="BK8" s="64"/>
      <c r="BL8" s="64"/>
      <c r="BM8" s="64"/>
      <c r="BN8" s="65" t="str">
        <f>IF(J8="","",J8)</f>
        <v/>
      </c>
      <c r="BO8" s="56">
        <v>1</v>
      </c>
      <c r="BP8" s="64"/>
      <c r="BQ8" s="62"/>
      <c r="BR8" s="61"/>
      <c r="BS8" s="61"/>
      <c r="BT8" s="61"/>
      <c r="BU8" s="64"/>
      <c r="BV8" s="63"/>
      <c r="BW8" s="63"/>
      <c r="BX8" s="66"/>
      <c r="BY8" s="172"/>
      <c r="BZ8" s="67" t="str">
        <f>IF(J8="","",J8)</f>
        <v/>
      </c>
      <c r="CA8" s="56">
        <v>1</v>
      </c>
      <c r="CB8" s="61"/>
      <c r="CC8" s="61"/>
      <c r="CD8" s="68" t="str">
        <f>IF(CB9="","",IF(CC8="",IF(CB8=CB9,"",(CB8-CB9)),IF(CC8=CB9,"",(CC8-CB9))))</f>
        <v/>
      </c>
      <c r="CE8" s="69" t="str">
        <f>IF(CD8="","",(CD8*(0.785*77*77)/1000))</f>
        <v/>
      </c>
      <c r="CF8" s="69" t="str">
        <f>IF(CE8="","",(CE8*0.12*1000)/I8)</f>
        <v/>
      </c>
      <c r="CG8" s="62"/>
      <c r="CH8" s="62"/>
      <c r="CI8" s="65" t="str">
        <f>IF(J8="","",J8)</f>
        <v/>
      </c>
      <c r="CJ8" s="56">
        <v>1</v>
      </c>
      <c r="CK8" s="61"/>
      <c r="CL8" s="61"/>
      <c r="CM8" s="68" t="str">
        <f>IF(CK9="","",IF(CL8="",IF(CK8=CK9,"",(CK8-CK9)),IF(CL8=CK9,"",(CL8-CK9))))</f>
        <v/>
      </c>
      <c r="CN8" s="68" t="str">
        <f>IF(CM8="","",(CM8*(0.785*77*77)/1000))</f>
        <v/>
      </c>
      <c r="CO8" s="68" t="str">
        <f>IF(CN8="","",(CN8*0.33*1.205*1000)/C8)</f>
        <v/>
      </c>
      <c r="CP8" s="62"/>
      <c r="CQ8" s="62"/>
      <c r="CR8" s="65" t="str">
        <f>IF(J8="","",J8)</f>
        <v/>
      </c>
      <c r="CS8" s="56">
        <v>1</v>
      </c>
      <c r="CT8" s="61"/>
      <c r="CU8" s="61"/>
      <c r="CV8" s="68" t="str">
        <f>IF(CT9="","",IF(CU8="",IF(CT8=CT9,"",(CT8-CT9)),IF(CU8=CT9,"",(CU8-CT9))))</f>
        <v/>
      </c>
      <c r="CW8" s="68" t="str">
        <f>IF(CV8="","",(CV8*(0.785*92*92)/1000))</f>
        <v/>
      </c>
      <c r="CX8" s="69" t="str">
        <f>IF(CW8="","",(CW8)/C8)</f>
        <v/>
      </c>
      <c r="CY8" s="66"/>
      <c r="CZ8" s="66"/>
      <c r="DA8" s="66"/>
      <c r="DB8" s="65" t="str">
        <f>IF(J8="","",J8)</f>
        <v/>
      </c>
      <c r="DC8" s="56">
        <v>1</v>
      </c>
      <c r="DD8" s="61"/>
      <c r="DE8" s="61"/>
      <c r="DF8" s="68" t="str">
        <f>IF(DD9="","",IF(DE8="",IF(DD8=DD9,"",(DD8-DD9)),IF(DE8=DD9,"",(DE8-DD9))))</f>
        <v/>
      </c>
      <c r="DG8" s="69" t="str">
        <f>IF(DF8="","",(DF8*(0.785*92*92)*0.00812/1000))</f>
        <v/>
      </c>
      <c r="DH8" s="68" t="str">
        <f>IF(DG8="","",(DG8*1000)/C8)</f>
        <v/>
      </c>
      <c r="DI8" s="62"/>
      <c r="DJ8" s="62"/>
      <c r="DK8" s="65" t="str">
        <f>IF(J8="","",J8)</f>
        <v/>
      </c>
      <c r="DL8" s="56">
        <v>1</v>
      </c>
      <c r="DM8" s="63"/>
      <c r="DN8" s="64"/>
      <c r="DO8" s="64"/>
      <c r="DP8" s="64"/>
      <c r="DQ8" s="63"/>
      <c r="DR8" s="61"/>
      <c r="DS8" s="64"/>
      <c r="DT8" s="61"/>
      <c r="DU8" s="63"/>
      <c r="DV8" s="64"/>
      <c r="DW8" s="64"/>
      <c r="DX8" s="66"/>
      <c r="DY8" s="65" t="str">
        <f>IF(J8="","",J8)</f>
        <v/>
      </c>
      <c r="DZ8" s="128">
        <v>1</v>
      </c>
      <c r="EA8" s="173" t="str">
        <f>IF(C8="","",C8/1496)</f>
        <v/>
      </c>
      <c r="EB8" s="173" t="str">
        <f>IF(F8="","",IF(Q8="",F8/1360,(F8+Q8)/1360))</f>
        <v/>
      </c>
      <c r="EC8" s="173" t="str">
        <f>IF(I8="","",IF(C8="","",I8/C8))</f>
        <v/>
      </c>
      <c r="ED8" s="63"/>
      <c r="EE8" s="63"/>
      <c r="EF8" s="63"/>
      <c r="EG8" s="63"/>
      <c r="EH8" s="127" t="str">
        <f t="shared" ref="EH8:EH38" si="5">IF(J8="","",J8)</f>
        <v/>
      </c>
      <c r="EI8" s="56">
        <v>1</v>
      </c>
      <c r="EJ8" s="334"/>
      <c r="EK8" s="334"/>
      <c r="EL8" s="334"/>
      <c r="EM8" s="334"/>
      <c r="EN8" s="334"/>
      <c r="EO8" s="334"/>
      <c r="EP8" s="334"/>
      <c r="EQ8" s="65" t="str">
        <f>IF(J8="","",J8)</f>
        <v/>
      </c>
      <c r="ER8" s="20"/>
      <c r="ES8" s="20"/>
      <c r="ET8" s="20"/>
      <c r="EU8" s="20"/>
      <c r="EV8" s="20"/>
      <c r="EW8" s="20"/>
      <c r="EX8" s="20"/>
    </row>
    <row r="9" spans="1:154" s="3" customFormat="1" ht="17.149999999999999" customHeight="1" x14ac:dyDescent="0.25">
      <c r="A9" s="56">
        <v>2</v>
      </c>
      <c r="B9" s="57"/>
      <c r="C9" s="58" t="str">
        <f t="shared" ref="C9:C38" si="6">IF(B10="","",IF(B10=B9,"",(B10-B9)))</f>
        <v/>
      </c>
      <c r="D9" s="167"/>
      <c r="E9" s="57"/>
      <c r="F9" s="58" t="str">
        <f t="shared" ref="F9:F38" si="7">IF(E10="","",IF(E10=E9,"",(E10-E9)))</f>
        <v/>
      </c>
      <c r="G9" s="168"/>
      <c r="H9" s="57"/>
      <c r="I9" s="58" t="str">
        <f t="shared" si="0"/>
        <v/>
      </c>
      <c r="J9" s="60"/>
      <c r="K9" s="56">
        <v>2</v>
      </c>
      <c r="L9" s="57"/>
      <c r="M9" s="58" t="str">
        <f t="shared" ref="M9:M38" si="8">IF(L10="","",IF(L10=L9,"",(L10-L9)))</f>
        <v/>
      </c>
      <c r="N9" s="57"/>
      <c r="O9" s="58" t="str">
        <f t="shared" ref="O9:O38" si="9">IF(N10="","",IF(N10=N9,"",(N10-N9)))</f>
        <v/>
      </c>
      <c r="P9" s="57"/>
      <c r="Q9" s="58" t="str">
        <f t="shared" si="1"/>
        <v/>
      </c>
      <c r="R9" s="57"/>
      <c r="S9" s="57"/>
      <c r="T9" s="170"/>
      <c r="U9" s="57"/>
      <c r="V9" s="58" t="str">
        <f t="shared" ref="V9:V38" si="10">IF(J9="","",J9)</f>
        <v/>
      </c>
      <c r="W9" s="56">
        <v>2</v>
      </c>
      <c r="X9" s="63"/>
      <c r="Y9" s="130" t="str">
        <f t="shared" ref="Y9:Y38" si="11">IF(X10="","",IF(X10=X9,"",X10-X9))</f>
        <v/>
      </c>
      <c r="Z9" s="63"/>
      <c r="AA9" s="130" t="str">
        <f t="shared" ref="AA9:AA38" si="12">IF(Z10="","",IF(Z10=Z9,"",Z10-Z9))</f>
        <v/>
      </c>
      <c r="AB9" s="63"/>
      <c r="AC9" s="130" t="str">
        <f t="shared" ref="AC9:AC38" si="13">IF(AB10="","",IF(AB10=AB9,"",AB10-AB9))</f>
        <v/>
      </c>
      <c r="AD9" s="63"/>
      <c r="AE9" s="130" t="str">
        <f t="shared" si="2"/>
        <v/>
      </c>
      <c r="AF9" s="125" t="str">
        <f t="shared" ref="AF9:AF38" si="14">IF(J9="","",J9)</f>
        <v/>
      </c>
      <c r="AG9" s="56">
        <v>2</v>
      </c>
      <c r="AH9" s="63"/>
      <c r="AI9" s="130" t="str">
        <f t="shared" ref="AI9:AI38" si="15">IF(AH10="","",IF(AH10=AH9,"",AH10-AH9))</f>
        <v/>
      </c>
      <c r="AJ9" s="63"/>
      <c r="AK9" s="130" t="str">
        <f t="shared" ref="AK9:AK38" si="16">IF(AJ10="","",IF(AJ10=AJ9,"",AJ10-AJ9))</f>
        <v/>
      </c>
      <c r="AL9" s="63"/>
      <c r="AM9" s="130" t="str">
        <f t="shared" ref="AM9:AM38" si="17">IF(AL10="","",IF(AL10=AL9,"",AL10-AL9))</f>
        <v/>
      </c>
      <c r="AN9" s="63"/>
      <c r="AO9" s="130" t="str">
        <f t="shared" si="3"/>
        <v/>
      </c>
      <c r="AP9" s="125" t="str">
        <f t="shared" ref="AP9:AP38" si="18">IF(J9="","",J9)</f>
        <v/>
      </c>
      <c r="AQ9" s="56">
        <v>2</v>
      </c>
      <c r="AR9" s="63"/>
      <c r="AS9" s="130" t="str">
        <f t="shared" ref="AS9:AS38" si="19">IF(AR10="","",IF(AR10=AR9,"",AR10-AR9))</f>
        <v/>
      </c>
      <c r="AT9" s="63"/>
      <c r="AU9" s="130" t="str">
        <f t="shared" ref="AU9:AU38" si="20">IF(AT10="","",IF(AT10=AT9,"",AT10-AT9))</f>
        <v/>
      </c>
      <c r="AV9" s="63"/>
      <c r="AW9" s="130" t="str">
        <f t="shared" ref="AW9:AW38" si="21">IF(AV10="","",IF(AV10=AV9,"",AV10-AV9))</f>
        <v/>
      </c>
      <c r="AX9" s="63"/>
      <c r="AY9" s="130" t="str">
        <f t="shared" si="4"/>
        <v/>
      </c>
      <c r="AZ9" s="125" t="str">
        <f t="shared" ref="AZ9:AZ38" si="22">IF(J9="","",J9)</f>
        <v/>
      </c>
      <c r="BA9" s="56">
        <v>2</v>
      </c>
      <c r="BB9" s="63"/>
      <c r="BC9" s="62"/>
      <c r="BD9" s="61"/>
      <c r="BE9" s="61"/>
      <c r="BF9" s="61"/>
      <c r="BG9" s="61"/>
      <c r="BH9" s="64"/>
      <c r="BI9" s="64"/>
      <c r="BJ9" s="64"/>
      <c r="BK9" s="64"/>
      <c r="BL9" s="64"/>
      <c r="BM9" s="64"/>
      <c r="BN9" s="65" t="str">
        <f t="shared" ref="BN9:BN38" si="23">IF(J9="","",J9)</f>
        <v/>
      </c>
      <c r="BO9" s="56">
        <v>2</v>
      </c>
      <c r="BP9" s="64"/>
      <c r="BQ9" s="62"/>
      <c r="BR9" s="61"/>
      <c r="BS9" s="61"/>
      <c r="BT9" s="61"/>
      <c r="BU9" s="64"/>
      <c r="BV9" s="63"/>
      <c r="BW9" s="63"/>
      <c r="BX9" s="66"/>
      <c r="BY9" s="172"/>
      <c r="BZ9" s="67" t="str">
        <f t="shared" ref="BZ9:BZ38" si="24">IF(J9="","",J9)</f>
        <v/>
      </c>
      <c r="CA9" s="56">
        <v>2</v>
      </c>
      <c r="CB9" s="61"/>
      <c r="CC9" s="61"/>
      <c r="CD9" s="68" t="str">
        <f t="shared" ref="CD9:CD38" si="25">IF(CB10="","",IF(CC9="",IF(CB9=CB10,"",(CB9-CB10)),IF(CC9=CB10,"",(CC9-CB10))))</f>
        <v/>
      </c>
      <c r="CE9" s="69" t="str">
        <f t="shared" ref="CE9:CE38" si="26">IF(CD9="","",(CD9*(0.785*77*77)/1000))</f>
        <v/>
      </c>
      <c r="CF9" s="69" t="str">
        <f t="shared" ref="CF9:CF38" si="27">IF(CE9="","",(CE9*0.12*1000)/I9)</f>
        <v/>
      </c>
      <c r="CG9" s="62"/>
      <c r="CH9" s="62"/>
      <c r="CI9" s="65" t="str">
        <f t="shared" ref="CI9:CI38" si="28">IF(J9="","",J9)</f>
        <v/>
      </c>
      <c r="CJ9" s="56">
        <v>2</v>
      </c>
      <c r="CK9" s="61"/>
      <c r="CL9" s="61"/>
      <c r="CM9" s="68" t="str">
        <f t="shared" ref="CM9:CM38" si="29">IF(CK10="","",IF(CL9="",IF(CK9=CK10,"",(CK9-CK10)),IF(CL9=CK10,"",(CL9-CK10))))</f>
        <v/>
      </c>
      <c r="CN9" s="68" t="str">
        <f t="shared" ref="CN9:CN38" si="30">IF(CM9="","",(CM9*(0.785*77*77)/1000))</f>
        <v/>
      </c>
      <c r="CO9" s="68" t="str">
        <f t="shared" ref="CO9:CO38" si="31">IF(CN9="","",(CN9*0.33*1.205*1000)/C9)</f>
        <v/>
      </c>
      <c r="CP9" s="62"/>
      <c r="CQ9" s="62"/>
      <c r="CR9" s="65" t="str">
        <f t="shared" ref="CR9:CR38" si="32">IF(J9="","",J9)</f>
        <v/>
      </c>
      <c r="CS9" s="56">
        <v>2</v>
      </c>
      <c r="CT9" s="61"/>
      <c r="CU9" s="61"/>
      <c r="CV9" s="68" t="str">
        <f t="shared" ref="CV9:CV38" si="33">IF(CT10="","",IF(CU9="",IF(CT9=CT10,"",(CT9-CT10)),IF(CU9=CT10,"",(CU9-CT10))))</f>
        <v/>
      </c>
      <c r="CW9" s="68" t="str">
        <f t="shared" ref="CW9:CW38" si="34">IF(CV9="","",(CV9*(0.785*92*92)/1000))</f>
        <v/>
      </c>
      <c r="CX9" s="69" t="str">
        <f t="shared" ref="CX9:CX38" si="35">IF(CW9="","",(CW9)/C9)</f>
        <v/>
      </c>
      <c r="CY9" s="66"/>
      <c r="CZ9" s="66"/>
      <c r="DA9" s="66"/>
      <c r="DB9" s="65" t="str">
        <f t="shared" ref="DB9:DB38" si="36">IF(J9="","",J9)</f>
        <v/>
      </c>
      <c r="DC9" s="56">
        <v>2</v>
      </c>
      <c r="DD9" s="61"/>
      <c r="DE9" s="61"/>
      <c r="DF9" s="68" t="str">
        <f t="shared" ref="DF9:DF38" si="37">IF(DD10="","",IF(DE9="",IF(DD9=DD10,"",(DD9-DD10)),IF(DE9=DD10,"",(DE9-DD10))))</f>
        <v/>
      </c>
      <c r="DG9" s="69" t="str">
        <f t="shared" ref="DG9:DG38" si="38">IF(DF9="","",(DF9*(0.785*92*92)*0.00812/1000))</f>
        <v/>
      </c>
      <c r="DH9" s="68" t="str">
        <f t="shared" ref="DH9:DH38" si="39">IF(DG9="","",(DG9*1000)/C9)</f>
        <v/>
      </c>
      <c r="DI9" s="62"/>
      <c r="DJ9" s="62"/>
      <c r="DK9" s="65" t="str">
        <f t="shared" ref="DK9:DK38" si="40">IF(J9="","",J9)</f>
        <v/>
      </c>
      <c r="DL9" s="56">
        <v>2</v>
      </c>
      <c r="DM9" s="63"/>
      <c r="DN9" s="64"/>
      <c r="DO9" s="64"/>
      <c r="DP9" s="64"/>
      <c r="DQ9" s="63"/>
      <c r="DR9" s="61"/>
      <c r="DS9" s="64"/>
      <c r="DT9" s="61"/>
      <c r="DU9" s="63"/>
      <c r="DV9" s="64"/>
      <c r="DW9" s="64"/>
      <c r="DX9" s="66"/>
      <c r="DY9" s="65" t="str">
        <f t="shared" ref="DY9:DY38" si="41">IF(J9="","",J9)</f>
        <v/>
      </c>
      <c r="DZ9" s="128">
        <v>2</v>
      </c>
      <c r="EA9" s="173" t="str">
        <f t="shared" ref="EA9:EA38" si="42">IF(C9="","",C9/1496)</f>
        <v/>
      </c>
      <c r="EB9" s="173" t="str">
        <f t="shared" ref="EB9:EB38" si="43">IF(F9="","",IF(Q9="",F9/1360,(F9+Q9)/1360))</f>
        <v/>
      </c>
      <c r="EC9" s="173" t="str">
        <f t="shared" ref="EC9:EC38" si="44">IF(I9="","",IF(C9="","",I9/C9))</f>
        <v/>
      </c>
      <c r="ED9" s="63"/>
      <c r="EE9" s="63"/>
      <c r="EF9" s="63"/>
      <c r="EG9" s="63"/>
      <c r="EH9" s="127" t="str">
        <f t="shared" si="5"/>
        <v/>
      </c>
      <c r="EI9" s="56">
        <v>2</v>
      </c>
      <c r="EJ9" s="334"/>
      <c r="EK9" s="334"/>
      <c r="EL9" s="334"/>
      <c r="EM9" s="334"/>
      <c r="EN9" s="334"/>
      <c r="EO9" s="334"/>
      <c r="EP9" s="334"/>
      <c r="EQ9" s="65" t="str">
        <f t="shared" ref="EQ9:EQ38" si="45">IF(J9="","",J9)</f>
        <v/>
      </c>
      <c r="ER9" s="20"/>
      <c r="ES9" s="20"/>
      <c r="ET9" s="20"/>
      <c r="EU9" s="20"/>
      <c r="EV9" s="20"/>
      <c r="EW9" s="20"/>
      <c r="EX9" s="20"/>
    </row>
    <row r="10" spans="1:154" s="3" customFormat="1" ht="17.149999999999999" customHeight="1" x14ac:dyDescent="0.25">
      <c r="A10" s="56">
        <v>3</v>
      </c>
      <c r="B10" s="57"/>
      <c r="C10" s="58" t="str">
        <f t="shared" si="6"/>
        <v/>
      </c>
      <c r="D10" s="167"/>
      <c r="E10" s="57"/>
      <c r="F10" s="58" t="str">
        <f t="shared" si="7"/>
        <v/>
      </c>
      <c r="G10" s="168"/>
      <c r="H10" s="57"/>
      <c r="I10" s="58" t="str">
        <f t="shared" si="0"/>
        <v/>
      </c>
      <c r="J10" s="60"/>
      <c r="K10" s="56">
        <v>3</v>
      </c>
      <c r="L10" s="57"/>
      <c r="M10" s="58" t="str">
        <f t="shared" si="8"/>
        <v/>
      </c>
      <c r="N10" s="57"/>
      <c r="O10" s="58" t="str">
        <f t="shared" si="9"/>
        <v/>
      </c>
      <c r="P10" s="57"/>
      <c r="Q10" s="58" t="str">
        <f t="shared" si="1"/>
        <v/>
      </c>
      <c r="R10" s="57"/>
      <c r="S10" s="57"/>
      <c r="T10" s="170"/>
      <c r="U10" s="57"/>
      <c r="V10" s="58" t="str">
        <f t="shared" si="10"/>
        <v/>
      </c>
      <c r="W10" s="56">
        <v>3</v>
      </c>
      <c r="X10" s="63"/>
      <c r="Y10" s="130" t="str">
        <f t="shared" si="11"/>
        <v/>
      </c>
      <c r="Z10" s="63"/>
      <c r="AA10" s="130" t="str">
        <f t="shared" si="12"/>
        <v/>
      </c>
      <c r="AB10" s="63"/>
      <c r="AC10" s="130" t="str">
        <f t="shared" si="13"/>
        <v/>
      </c>
      <c r="AD10" s="63"/>
      <c r="AE10" s="130" t="str">
        <f t="shared" si="2"/>
        <v/>
      </c>
      <c r="AF10" s="125" t="str">
        <f t="shared" si="14"/>
        <v/>
      </c>
      <c r="AG10" s="56">
        <v>3</v>
      </c>
      <c r="AH10" s="63"/>
      <c r="AI10" s="130" t="str">
        <f t="shared" si="15"/>
        <v/>
      </c>
      <c r="AJ10" s="63"/>
      <c r="AK10" s="130" t="str">
        <f t="shared" si="16"/>
        <v/>
      </c>
      <c r="AL10" s="63"/>
      <c r="AM10" s="130" t="str">
        <f t="shared" si="17"/>
        <v/>
      </c>
      <c r="AN10" s="63"/>
      <c r="AO10" s="130" t="str">
        <f t="shared" si="3"/>
        <v/>
      </c>
      <c r="AP10" s="125" t="str">
        <f t="shared" si="18"/>
        <v/>
      </c>
      <c r="AQ10" s="56">
        <v>3</v>
      </c>
      <c r="AR10" s="63"/>
      <c r="AS10" s="130" t="str">
        <f t="shared" si="19"/>
        <v/>
      </c>
      <c r="AT10" s="63"/>
      <c r="AU10" s="130" t="str">
        <f t="shared" si="20"/>
        <v/>
      </c>
      <c r="AV10" s="63"/>
      <c r="AW10" s="130" t="str">
        <f t="shared" si="21"/>
        <v/>
      </c>
      <c r="AX10" s="63"/>
      <c r="AY10" s="130" t="str">
        <f t="shared" si="4"/>
        <v/>
      </c>
      <c r="AZ10" s="125" t="str">
        <f t="shared" si="22"/>
        <v/>
      </c>
      <c r="BA10" s="56">
        <v>3</v>
      </c>
      <c r="BB10" s="63"/>
      <c r="BC10" s="62"/>
      <c r="BD10" s="61"/>
      <c r="BE10" s="61"/>
      <c r="BF10" s="61"/>
      <c r="BG10" s="61"/>
      <c r="BH10" s="64"/>
      <c r="BI10" s="64"/>
      <c r="BJ10" s="64"/>
      <c r="BK10" s="64"/>
      <c r="BL10" s="64"/>
      <c r="BM10" s="64"/>
      <c r="BN10" s="65" t="str">
        <f t="shared" si="23"/>
        <v/>
      </c>
      <c r="BO10" s="56">
        <v>3</v>
      </c>
      <c r="BP10" s="64"/>
      <c r="BQ10" s="62"/>
      <c r="BR10" s="61"/>
      <c r="BS10" s="61"/>
      <c r="BT10" s="61"/>
      <c r="BU10" s="64"/>
      <c r="BV10" s="63"/>
      <c r="BW10" s="63"/>
      <c r="BX10" s="66"/>
      <c r="BY10" s="172"/>
      <c r="BZ10" s="67" t="str">
        <f t="shared" si="24"/>
        <v/>
      </c>
      <c r="CA10" s="56">
        <v>3</v>
      </c>
      <c r="CB10" s="61"/>
      <c r="CC10" s="61"/>
      <c r="CD10" s="68" t="str">
        <f t="shared" si="25"/>
        <v/>
      </c>
      <c r="CE10" s="69" t="str">
        <f t="shared" si="26"/>
        <v/>
      </c>
      <c r="CF10" s="69" t="str">
        <f t="shared" si="27"/>
        <v/>
      </c>
      <c r="CG10" s="62"/>
      <c r="CH10" s="62"/>
      <c r="CI10" s="65" t="str">
        <f t="shared" si="28"/>
        <v/>
      </c>
      <c r="CJ10" s="56">
        <v>3</v>
      </c>
      <c r="CK10" s="61"/>
      <c r="CL10" s="61"/>
      <c r="CM10" s="68" t="str">
        <f t="shared" si="29"/>
        <v/>
      </c>
      <c r="CN10" s="68" t="str">
        <f t="shared" si="30"/>
        <v/>
      </c>
      <c r="CO10" s="68" t="str">
        <f t="shared" si="31"/>
        <v/>
      </c>
      <c r="CP10" s="62"/>
      <c r="CQ10" s="62"/>
      <c r="CR10" s="65" t="str">
        <f t="shared" si="32"/>
        <v/>
      </c>
      <c r="CS10" s="56">
        <v>3</v>
      </c>
      <c r="CT10" s="61"/>
      <c r="CU10" s="61"/>
      <c r="CV10" s="68" t="str">
        <f t="shared" si="33"/>
        <v/>
      </c>
      <c r="CW10" s="68" t="str">
        <f t="shared" si="34"/>
        <v/>
      </c>
      <c r="CX10" s="69" t="str">
        <f t="shared" si="35"/>
        <v/>
      </c>
      <c r="CY10" s="66"/>
      <c r="CZ10" s="66"/>
      <c r="DA10" s="66"/>
      <c r="DB10" s="65" t="str">
        <f t="shared" si="36"/>
        <v/>
      </c>
      <c r="DC10" s="56">
        <v>3</v>
      </c>
      <c r="DD10" s="61"/>
      <c r="DE10" s="61"/>
      <c r="DF10" s="68" t="str">
        <f t="shared" si="37"/>
        <v/>
      </c>
      <c r="DG10" s="69" t="str">
        <f t="shared" si="38"/>
        <v/>
      </c>
      <c r="DH10" s="68" t="str">
        <f t="shared" si="39"/>
        <v/>
      </c>
      <c r="DI10" s="62"/>
      <c r="DJ10" s="62"/>
      <c r="DK10" s="65" t="str">
        <f t="shared" si="40"/>
        <v/>
      </c>
      <c r="DL10" s="56">
        <v>3</v>
      </c>
      <c r="DM10" s="63"/>
      <c r="DN10" s="64"/>
      <c r="DO10" s="64"/>
      <c r="DP10" s="64"/>
      <c r="DQ10" s="63"/>
      <c r="DR10" s="61"/>
      <c r="DS10" s="64"/>
      <c r="DT10" s="61"/>
      <c r="DU10" s="63"/>
      <c r="DV10" s="64"/>
      <c r="DW10" s="64"/>
      <c r="DX10" s="66"/>
      <c r="DY10" s="65" t="str">
        <f t="shared" si="41"/>
        <v/>
      </c>
      <c r="DZ10" s="128">
        <v>3</v>
      </c>
      <c r="EA10" s="173" t="str">
        <f t="shared" si="42"/>
        <v/>
      </c>
      <c r="EB10" s="173" t="str">
        <f t="shared" si="43"/>
        <v/>
      </c>
      <c r="EC10" s="173" t="str">
        <f t="shared" si="44"/>
        <v/>
      </c>
      <c r="ED10" s="63"/>
      <c r="EE10" s="63"/>
      <c r="EF10" s="63"/>
      <c r="EG10" s="63"/>
      <c r="EH10" s="127" t="str">
        <f t="shared" si="5"/>
        <v/>
      </c>
      <c r="EI10" s="56">
        <v>3</v>
      </c>
      <c r="EJ10" s="334"/>
      <c r="EK10" s="334"/>
      <c r="EL10" s="334"/>
      <c r="EM10" s="334"/>
      <c r="EN10" s="334"/>
      <c r="EO10" s="334"/>
      <c r="EP10" s="334"/>
      <c r="EQ10" s="65" t="str">
        <f t="shared" si="45"/>
        <v/>
      </c>
      <c r="ER10" s="20"/>
      <c r="ES10" s="20"/>
      <c r="ET10" s="20"/>
      <c r="EU10" s="20"/>
      <c r="EV10" s="20"/>
      <c r="EW10" s="20"/>
      <c r="EX10" s="20"/>
    </row>
    <row r="11" spans="1:154" s="3" customFormat="1" ht="17.149999999999999" customHeight="1" x14ac:dyDescent="0.25">
      <c r="A11" s="56">
        <v>4</v>
      </c>
      <c r="B11" s="57"/>
      <c r="C11" s="58" t="str">
        <f t="shared" si="6"/>
        <v/>
      </c>
      <c r="D11" s="167"/>
      <c r="E11" s="57"/>
      <c r="F11" s="58" t="str">
        <f t="shared" si="7"/>
        <v/>
      </c>
      <c r="G11" s="168"/>
      <c r="H11" s="57"/>
      <c r="I11" s="58" t="str">
        <f t="shared" si="0"/>
        <v/>
      </c>
      <c r="J11" s="60"/>
      <c r="K11" s="56">
        <v>4</v>
      </c>
      <c r="L11" s="57"/>
      <c r="M11" s="58" t="str">
        <f t="shared" si="8"/>
        <v/>
      </c>
      <c r="N11" s="57"/>
      <c r="O11" s="58" t="str">
        <f t="shared" si="9"/>
        <v/>
      </c>
      <c r="P11" s="57"/>
      <c r="Q11" s="169" t="str">
        <f t="shared" si="1"/>
        <v/>
      </c>
      <c r="R11" s="57"/>
      <c r="S11" s="57"/>
      <c r="T11" s="57"/>
      <c r="U11" s="57"/>
      <c r="V11" s="58" t="str">
        <f t="shared" si="10"/>
        <v/>
      </c>
      <c r="W11" s="56">
        <v>4</v>
      </c>
      <c r="X11" s="63"/>
      <c r="Y11" s="130" t="str">
        <f t="shared" si="11"/>
        <v/>
      </c>
      <c r="Z11" s="63"/>
      <c r="AA11" s="130" t="str">
        <f t="shared" si="12"/>
        <v/>
      </c>
      <c r="AB11" s="63"/>
      <c r="AC11" s="130" t="str">
        <f t="shared" si="13"/>
        <v/>
      </c>
      <c r="AD11" s="63"/>
      <c r="AE11" s="130" t="str">
        <f t="shared" si="2"/>
        <v/>
      </c>
      <c r="AF11" s="125" t="str">
        <f t="shared" si="14"/>
        <v/>
      </c>
      <c r="AG11" s="56">
        <v>4</v>
      </c>
      <c r="AH11" s="63"/>
      <c r="AI11" s="130" t="str">
        <f t="shared" si="15"/>
        <v/>
      </c>
      <c r="AJ11" s="63"/>
      <c r="AK11" s="130" t="str">
        <f t="shared" si="16"/>
        <v/>
      </c>
      <c r="AL11" s="63"/>
      <c r="AM11" s="130" t="str">
        <f t="shared" si="17"/>
        <v/>
      </c>
      <c r="AN11" s="63"/>
      <c r="AO11" s="130" t="str">
        <f t="shared" si="3"/>
        <v/>
      </c>
      <c r="AP11" s="125" t="str">
        <f t="shared" si="18"/>
        <v/>
      </c>
      <c r="AQ11" s="56">
        <v>4</v>
      </c>
      <c r="AR11" s="63"/>
      <c r="AS11" s="130" t="str">
        <f t="shared" si="19"/>
        <v/>
      </c>
      <c r="AT11" s="63"/>
      <c r="AU11" s="130" t="str">
        <f t="shared" si="20"/>
        <v/>
      </c>
      <c r="AV11" s="63"/>
      <c r="AW11" s="130" t="str">
        <f t="shared" si="21"/>
        <v/>
      </c>
      <c r="AX11" s="63"/>
      <c r="AY11" s="130" t="str">
        <f t="shared" si="4"/>
        <v/>
      </c>
      <c r="AZ11" s="125" t="str">
        <f t="shared" si="22"/>
        <v/>
      </c>
      <c r="BA11" s="56">
        <v>4</v>
      </c>
      <c r="BB11" s="63"/>
      <c r="BC11" s="62"/>
      <c r="BD11" s="61"/>
      <c r="BE11" s="61"/>
      <c r="BF11" s="61"/>
      <c r="BG11" s="61"/>
      <c r="BH11" s="64"/>
      <c r="BI11" s="64"/>
      <c r="BJ11" s="64"/>
      <c r="BK11" s="64"/>
      <c r="BL11" s="64"/>
      <c r="BM11" s="64"/>
      <c r="BN11" s="65" t="str">
        <f t="shared" si="23"/>
        <v/>
      </c>
      <c r="BO11" s="56">
        <v>4</v>
      </c>
      <c r="BP11" s="64"/>
      <c r="BQ11" s="62"/>
      <c r="BR11" s="61"/>
      <c r="BS11" s="61"/>
      <c r="BT11" s="61"/>
      <c r="BU11" s="64"/>
      <c r="BV11" s="63"/>
      <c r="BW11" s="63"/>
      <c r="BX11" s="66"/>
      <c r="BY11" s="172"/>
      <c r="BZ11" s="67" t="str">
        <f t="shared" si="24"/>
        <v/>
      </c>
      <c r="CA11" s="56">
        <v>4</v>
      </c>
      <c r="CB11" s="61"/>
      <c r="CC11" s="61"/>
      <c r="CD11" s="68" t="str">
        <f t="shared" si="25"/>
        <v/>
      </c>
      <c r="CE11" s="69" t="str">
        <f t="shared" si="26"/>
        <v/>
      </c>
      <c r="CF11" s="69" t="str">
        <f t="shared" si="27"/>
        <v/>
      </c>
      <c r="CG11" s="62"/>
      <c r="CH11" s="62"/>
      <c r="CI11" s="65" t="str">
        <f t="shared" si="28"/>
        <v/>
      </c>
      <c r="CJ11" s="56">
        <v>4</v>
      </c>
      <c r="CK11" s="61"/>
      <c r="CL11" s="61"/>
      <c r="CM11" s="68" t="str">
        <f t="shared" si="29"/>
        <v/>
      </c>
      <c r="CN11" s="68" t="str">
        <f t="shared" si="30"/>
        <v/>
      </c>
      <c r="CO11" s="68" t="str">
        <f t="shared" si="31"/>
        <v/>
      </c>
      <c r="CP11" s="62"/>
      <c r="CQ11" s="62"/>
      <c r="CR11" s="65" t="str">
        <f t="shared" si="32"/>
        <v/>
      </c>
      <c r="CS11" s="56">
        <v>4</v>
      </c>
      <c r="CT11" s="61"/>
      <c r="CU11" s="61"/>
      <c r="CV11" s="68" t="str">
        <f t="shared" si="33"/>
        <v/>
      </c>
      <c r="CW11" s="68" t="str">
        <f t="shared" si="34"/>
        <v/>
      </c>
      <c r="CX11" s="69" t="str">
        <f t="shared" si="35"/>
        <v/>
      </c>
      <c r="CY11" s="66"/>
      <c r="CZ11" s="66"/>
      <c r="DA11" s="66"/>
      <c r="DB11" s="65" t="str">
        <f t="shared" si="36"/>
        <v/>
      </c>
      <c r="DC11" s="56">
        <v>4</v>
      </c>
      <c r="DD11" s="61"/>
      <c r="DE11" s="61"/>
      <c r="DF11" s="68" t="str">
        <f t="shared" si="37"/>
        <v/>
      </c>
      <c r="DG11" s="69" t="str">
        <f t="shared" si="38"/>
        <v/>
      </c>
      <c r="DH11" s="68" t="str">
        <f t="shared" si="39"/>
        <v/>
      </c>
      <c r="DI11" s="62"/>
      <c r="DJ11" s="62"/>
      <c r="DK11" s="65" t="str">
        <f t="shared" si="40"/>
        <v/>
      </c>
      <c r="DL11" s="56">
        <v>4</v>
      </c>
      <c r="DM11" s="63"/>
      <c r="DN11" s="64"/>
      <c r="DO11" s="64"/>
      <c r="DP11" s="64"/>
      <c r="DQ11" s="63"/>
      <c r="DR11" s="61"/>
      <c r="DS11" s="64"/>
      <c r="DT11" s="61"/>
      <c r="DU11" s="63"/>
      <c r="DV11" s="64"/>
      <c r="DW11" s="64"/>
      <c r="DX11" s="66"/>
      <c r="DY11" s="65" t="str">
        <f t="shared" si="41"/>
        <v/>
      </c>
      <c r="DZ11" s="128">
        <v>4</v>
      </c>
      <c r="EA11" s="173" t="str">
        <f t="shared" si="42"/>
        <v/>
      </c>
      <c r="EB11" s="173" t="str">
        <f t="shared" si="43"/>
        <v/>
      </c>
      <c r="EC11" s="173" t="str">
        <f t="shared" si="44"/>
        <v/>
      </c>
      <c r="ED11" s="63"/>
      <c r="EE11" s="63"/>
      <c r="EF11" s="63"/>
      <c r="EG11" s="63"/>
      <c r="EH11" s="127" t="str">
        <f t="shared" si="5"/>
        <v/>
      </c>
      <c r="EI11" s="56">
        <v>4</v>
      </c>
      <c r="EJ11" s="334"/>
      <c r="EK11" s="334"/>
      <c r="EL11" s="334"/>
      <c r="EM11" s="334"/>
      <c r="EN11" s="334"/>
      <c r="EO11" s="334"/>
      <c r="EP11" s="334"/>
      <c r="EQ11" s="65" t="str">
        <f t="shared" si="45"/>
        <v/>
      </c>
      <c r="ER11" s="20"/>
      <c r="ES11" s="20"/>
      <c r="ET11" s="20"/>
      <c r="EU11" s="20"/>
      <c r="EV11" s="20"/>
      <c r="EW11" s="20"/>
      <c r="EX11" s="20"/>
    </row>
    <row r="12" spans="1:154" s="3" customFormat="1" ht="17.149999999999999" customHeight="1" x14ac:dyDescent="0.25">
      <c r="A12" s="56">
        <v>5</v>
      </c>
      <c r="B12" s="57"/>
      <c r="C12" s="58" t="str">
        <f t="shared" si="6"/>
        <v/>
      </c>
      <c r="D12" s="167"/>
      <c r="E12" s="57"/>
      <c r="F12" s="58" t="str">
        <f t="shared" si="7"/>
        <v/>
      </c>
      <c r="G12" s="168"/>
      <c r="H12" s="57"/>
      <c r="I12" s="58" t="str">
        <f t="shared" si="0"/>
        <v/>
      </c>
      <c r="J12" s="60"/>
      <c r="K12" s="56">
        <v>5</v>
      </c>
      <c r="L12" s="57"/>
      <c r="M12" s="58" t="str">
        <f t="shared" si="8"/>
        <v/>
      </c>
      <c r="N12" s="57"/>
      <c r="O12" s="58" t="str">
        <f t="shared" si="9"/>
        <v/>
      </c>
      <c r="P12" s="57"/>
      <c r="Q12" s="169" t="str">
        <f t="shared" si="1"/>
        <v/>
      </c>
      <c r="R12" s="57"/>
      <c r="S12" s="57"/>
      <c r="T12" s="57"/>
      <c r="U12" s="57"/>
      <c r="V12" s="58" t="str">
        <f t="shared" si="10"/>
        <v/>
      </c>
      <c r="W12" s="56">
        <v>5</v>
      </c>
      <c r="X12" s="63"/>
      <c r="Y12" s="130" t="str">
        <f t="shared" si="11"/>
        <v/>
      </c>
      <c r="Z12" s="63"/>
      <c r="AA12" s="130" t="str">
        <f t="shared" si="12"/>
        <v/>
      </c>
      <c r="AB12" s="63"/>
      <c r="AC12" s="130" t="str">
        <f t="shared" si="13"/>
        <v/>
      </c>
      <c r="AD12" s="63"/>
      <c r="AE12" s="130" t="str">
        <f t="shared" si="2"/>
        <v/>
      </c>
      <c r="AF12" s="125" t="str">
        <f t="shared" si="14"/>
        <v/>
      </c>
      <c r="AG12" s="56">
        <v>5</v>
      </c>
      <c r="AH12" s="63"/>
      <c r="AI12" s="130" t="str">
        <f t="shared" si="15"/>
        <v/>
      </c>
      <c r="AJ12" s="63"/>
      <c r="AK12" s="130" t="str">
        <f t="shared" si="16"/>
        <v/>
      </c>
      <c r="AL12" s="63"/>
      <c r="AM12" s="130" t="str">
        <f t="shared" si="17"/>
        <v/>
      </c>
      <c r="AN12" s="63"/>
      <c r="AO12" s="130" t="str">
        <f t="shared" si="3"/>
        <v/>
      </c>
      <c r="AP12" s="125" t="str">
        <f t="shared" si="18"/>
        <v/>
      </c>
      <c r="AQ12" s="56">
        <v>5</v>
      </c>
      <c r="AR12" s="63"/>
      <c r="AS12" s="130" t="str">
        <f t="shared" si="19"/>
        <v/>
      </c>
      <c r="AT12" s="63"/>
      <c r="AU12" s="130" t="str">
        <f t="shared" si="20"/>
        <v/>
      </c>
      <c r="AV12" s="63"/>
      <c r="AW12" s="130" t="str">
        <f t="shared" si="21"/>
        <v/>
      </c>
      <c r="AX12" s="63"/>
      <c r="AY12" s="130" t="str">
        <f t="shared" si="4"/>
        <v/>
      </c>
      <c r="AZ12" s="125" t="str">
        <f t="shared" si="22"/>
        <v/>
      </c>
      <c r="BA12" s="56">
        <v>5</v>
      </c>
      <c r="BB12" s="63"/>
      <c r="BC12" s="62"/>
      <c r="BD12" s="61"/>
      <c r="BE12" s="61"/>
      <c r="BF12" s="61"/>
      <c r="BG12" s="61"/>
      <c r="BH12" s="64"/>
      <c r="BI12" s="64"/>
      <c r="BJ12" s="64"/>
      <c r="BK12" s="64"/>
      <c r="BL12" s="64"/>
      <c r="BM12" s="64"/>
      <c r="BN12" s="65" t="str">
        <f t="shared" si="23"/>
        <v/>
      </c>
      <c r="BO12" s="56">
        <v>5</v>
      </c>
      <c r="BP12" s="64"/>
      <c r="BQ12" s="62"/>
      <c r="BR12" s="61"/>
      <c r="BS12" s="61"/>
      <c r="BT12" s="61"/>
      <c r="BU12" s="64"/>
      <c r="BV12" s="63"/>
      <c r="BW12" s="63"/>
      <c r="BX12" s="66"/>
      <c r="BY12" s="172"/>
      <c r="BZ12" s="67" t="str">
        <f t="shared" si="24"/>
        <v/>
      </c>
      <c r="CA12" s="56">
        <v>5</v>
      </c>
      <c r="CB12" s="61"/>
      <c r="CC12" s="61"/>
      <c r="CD12" s="68" t="str">
        <f t="shared" si="25"/>
        <v/>
      </c>
      <c r="CE12" s="69" t="str">
        <f t="shared" si="26"/>
        <v/>
      </c>
      <c r="CF12" s="69" t="str">
        <f t="shared" si="27"/>
        <v/>
      </c>
      <c r="CG12" s="62"/>
      <c r="CH12" s="62"/>
      <c r="CI12" s="65" t="str">
        <f t="shared" si="28"/>
        <v/>
      </c>
      <c r="CJ12" s="56">
        <v>5</v>
      </c>
      <c r="CK12" s="61"/>
      <c r="CL12" s="61"/>
      <c r="CM12" s="68" t="str">
        <f t="shared" si="29"/>
        <v/>
      </c>
      <c r="CN12" s="68" t="str">
        <f t="shared" si="30"/>
        <v/>
      </c>
      <c r="CO12" s="68" t="str">
        <f t="shared" si="31"/>
        <v/>
      </c>
      <c r="CP12" s="62"/>
      <c r="CQ12" s="62"/>
      <c r="CR12" s="65" t="str">
        <f t="shared" si="32"/>
        <v/>
      </c>
      <c r="CS12" s="56">
        <v>5</v>
      </c>
      <c r="CT12" s="61"/>
      <c r="CU12" s="61"/>
      <c r="CV12" s="68" t="str">
        <f t="shared" si="33"/>
        <v/>
      </c>
      <c r="CW12" s="68" t="str">
        <f t="shared" si="34"/>
        <v/>
      </c>
      <c r="CX12" s="69" t="str">
        <f t="shared" si="35"/>
        <v/>
      </c>
      <c r="CY12" s="66"/>
      <c r="CZ12" s="66"/>
      <c r="DA12" s="66"/>
      <c r="DB12" s="65" t="str">
        <f t="shared" si="36"/>
        <v/>
      </c>
      <c r="DC12" s="56">
        <v>5</v>
      </c>
      <c r="DD12" s="61"/>
      <c r="DE12" s="61"/>
      <c r="DF12" s="68" t="str">
        <f t="shared" si="37"/>
        <v/>
      </c>
      <c r="DG12" s="69" t="str">
        <f t="shared" si="38"/>
        <v/>
      </c>
      <c r="DH12" s="68" t="str">
        <f t="shared" si="39"/>
        <v/>
      </c>
      <c r="DI12" s="62"/>
      <c r="DJ12" s="62"/>
      <c r="DK12" s="65" t="str">
        <f t="shared" si="40"/>
        <v/>
      </c>
      <c r="DL12" s="56">
        <v>5</v>
      </c>
      <c r="DM12" s="63"/>
      <c r="DN12" s="64"/>
      <c r="DO12" s="64"/>
      <c r="DP12" s="64"/>
      <c r="DQ12" s="63"/>
      <c r="DR12" s="61"/>
      <c r="DS12" s="64"/>
      <c r="DT12" s="61"/>
      <c r="DU12" s="63"/>
      <c r="DV12" s="64"/>
      <c r="DW12" s="64"/>
      <c r="DX12" s="66"/>
      <c r="DY12" s="65" t="str">
        <f t="shared" si="41"/>
        <v/>
      </c>
      <c r="DZ12" s="128">
        <v>5</v>
      </c>
      <c r="EA12" s="173" t="str">
        <f t="shared" si="42"/>
        <v/>
      </c>
      <c r="EB12" s="173" t="str">
        <f t="shared" si="43"/>
        <v/>
      </c>
      <c r="EC12" s="173" t="str">
        <f t="shared" si="44"/>
        <v/>
      </c>
      <c r="ED12" s="63"/>
      <c r="EE12" s="63"/>
      <c r="EF12" s="63"/>
      <c r="EG12" s="63"/>
      <c r="EH12" s="127" t="str">
        <f t="shared" si="5"/>
        <v/>
      </c>
      <c r="EI12" s="56">
        <v>5</v>
      </c>
      <c r="EJ12" s="334"/>
      <c r="EK12" s="334"/>
      <c r="EL12" s="334"/>
      <c r="EM12" s="334"/>
      <c r="EN12" s="334"/>
      <c r="EO12" s="334"/>
      <c r="EP12" s="334"/>
      <c r="EQ12" s="65" t="str">
        <f t="shared" si="45"/>
        <v/>
      </c>
      <c r="ER12" s="20"/>
      <c r="ES12" s="20"/>
      <c r="ET12" s="20"/>
      <c r="EU12" s="20"/>
      <c r="EV12" s="20"/>
      <c r="EW12" s="20"/>
      <c r="EX12" s="20"/>
    </row>
    <row r="13" spans="1:154" s="3" customFormat="1" ht="17.149999999999999" customHeight="1" x14ac:dyDescent="0.25">
      <c r="A13" s="56">
        <v>6</v>
      </c>
      <c r="B13" s="57"/>
      <c r="C13" s="58" t="str">
        <f t="shared" si="6"/>
        <v/>
      </c>
      <c r="D13" s="167"/>
      <c r="E13" s="57"/>
      <c r="F13" s="58" t="str">
        <f t="shared" si="7"/>
        <v/>
      </c>
      <c r="G13" s="168"/>
      <c r="H13" s="57"/>
      <c r="I13" s="58" t="str">
        <f t="shared" si="0"/>
        <v/>
      </c>
      <c r="J13" s="60"/>
      <c r="K13" s="56">
        <v>6</v>
      </c>
      <c r="L13" s="57"/>
      <c r="M13" s="58" t="str">
        <f t="shared" si="8"/>
        <v/>
      </c>
      <c r="N13" s="57"/>
      <c r="O13" s="58" t="str">
        <f t="shared" si="9"/>
        <v/>
      </c>
      <c r="P13" s="57"/>
      <c r="Q13" s="169" t="str">
        <f t="shared" si="1"/>
        <v/>
      </c>
      <c r="R13" s="57"/>
      <c r="S13" s="57"/>
      <c r="T13" s="57"/>
      <c r="U13" s="57"/>
      <c r="V13" s="58" t="str">
        <f t="shared" si="10"/>
        <v/>
      </c>
      <c r="W13" s="56">
        <v>6</v>
      </c>
      <c r="X13" s="63"/>
      <c r="Y13" s="130" t="str">
        <f t="shared" si="11"/>
        <v/>
      </c>
      <c r="Z13" s="63"/>
      <c r="AA13" s="130" t="str">
        <f t="shared" si="12"/>
        <v/>
      </c>
      <c r="AB13" s="63"/>
      <c r="AC13" s="130" t="str">
        <f t="shared" si="13"/>
        <v/>
      </c>
      <c r="AD13" s="63"/>
      <c r="AE13" s="130" t="str">
        <f t="shared" si="2"/>
        <v/>
      </c>
      <c r="AF13" s="125" t="str">
        <f t="shared" si="14"/>
        <v/>
      </c>
      <c r="AG13" s="56">
        <v>6</v>
      </c>
      <c r="AH13" s="63"/>
      <c r="AI13" s="130" t="str">
        <f t="shared" si="15"/>
        <v/>
      </c>
      <c r="AJ13" s="63"/>
      <c r="AK13" s="130" t="str">
        <f t="shared" si="16"/>
        <v/>
      </c>
      <c r="AL13" s="63"/>
      <c r="AM13" s="130" t="str">
        <f t="shared" si="17"/>
        <v/>
      </c>
      <c r="AN13" s="63"/>
      <c r="AO13" s="130" t="str">
        <f t="shared" si="3"/>
        <v/>
      </c>
      <c r="AP13" s="125" t="str">
        <f t="shared" si="18"/>
        <v/>
      </c>
      <c r="AQ13" s="56">
        <v>6</v>
      </c>
      <c r="AR13" s="63"/>
      <c r="AS13" s="130" t="str">
        <f t="shared" si="19"/>
        <v/>
      </c>
      <c r="AT13" s="63"/>
      <c r="AU13" s="130" t="str">
        <f t="shared" si="20"/>
        <v/>
      </c>
      <c r="AV13" s="63"/>
      <c r="AW13" s="130" t="str">
        <f t="shared" si="21"/>
        <v/>
      </c>
      <c r="AX13" s="63"/>
      <c r="AY13" s="130" t="str">
        <f t="shared" si="4"/>
        <v/>
      </c>
      <c r="AZ13" s="125" t="str">
        <f t="shared" si="22"/>
        <v/>
      </c>
      <c r="BA13" s="56">
        <v>6</v>
      </c>
      <c r="BB13" s="63"/>
      <c r="BC13" s="62"/>
      <c r="BD13" s="61"/>
      <c r="BE13" s="61"/>
      <c r="BF13" s="61"/>
      <c r="BG13" s="61"/>
      <c r="BH13" s="64"/>
      <c r="BI13" s="64"/>
      <c r="BJ13" s="64"/>
      <c r="BK13" s="64"/>
      <c r="BL13" s="64"/>
      <c r="BM13" s="64"/>
      <c r="BN13" s="65" t="str">
        <f t="shared" si="23"/>
        <v/>
      </c>
      <c r="BO13" s="56">
        <v>6</v>
      </c>
      <c r="BP13" s="64"/>
      <c r="BQ13" s="62"/>
      <c r="BR13" s="61"/>
      <c r="BS13" s="61"/>
      <c r="BT13" s="61"/>
      <c r="BU13" s="64"/>
      <c r="BV13" s="63"/>
      <c r="BW13" s="63"/>
      <c r="BX13" s="66"/>
      <c r="BY13" s="172"/>
      <c r="BZ13" s="67" t="str">
        <f t="shared" si="24"/>
        <v/>
      </c>
      <c r="CA13" s="56">
        <v>6</v>
      </c>
      <c r="CB13" s="61"/>
      <c r="CC13" s="61"/>
      <c r="CD13" s="68" t="str">
        <f t="shared" si="25"/>
        <v/>
      </c>
      <c r="CE13" s="69" t="str">
        <f t="shared" si="26"/>
        <v/>
      </c>
      <c r="CF13" s="69" t="str">
        <f t="shared" si="27"/>
        <v/>
      </c>
      <c r="CG13" s="62"/>
      <c r="CH13" s="62"/>
      <c r="CI13" s="65" t="str">
        <f t="shared" si="28"/>
        <v/>
      </c>
      <c r="CJ13" s="56">
        <v>6</v>
      </c>
      <c r="CK13" s="61"/>
      <c r="CL13" s="61"/>
      <c r="CM13" s="68" t="str">
        <f t="shared" si="29"/>
        <v/>
      </c>
      <c r="CN13" s="68" t="str">
        <f t="shared" si="30"/>
        <v/>
      </c>
      <c r="CO13" s="68" t="str">
        <f t="shared" si="31"/>
        <v/>
      </c>
      <c r="CP13" s="62"/>
      <c r="CQ13" s="62"/>
      <c r="CR13" s="65" t="str">
        <f t="shared" si="32"/>
        <v/>
      </c>
      <c r="CS13" s="56">
        <v>6</v>
      </c>
      <c r="CT13" s="61"/>
      <c r="CU13" s="61"/>
      <c r="CV13" s="68" t="str">
        <f t="shared" si="33"/>
        <v/>
      </c>
      <c r="CW13" s="68" t="str">
        <f t="shared" si="34"/>
        <v/>
      </c>
      <c r="CX13" s="69" t="str">
        <f t="shared" si="35"/>
        <v/>
      </c>
      <c r="CY13" s="66"/>
      <c r="CZ13" s="66"/>
      <c r="DA13" s="66"/>
      <c r="DB13" s="65" t="str">
        <f t="shared" si="36"/>
        <v/>
      </c>
      <c r="DC13" s="56">
        <v>6</v>
      </c>
      <c r="DD13" s="61"/>
      <c r="DE13" s="61"/>
      <c r="DF13" s="68" t="str">
        <f t="shared" si="37"/>
        <v/>
      </c>
      <c r="DG13" s="69" t="str">
        <f t="shared" si="38"/>
        <v/>
      </c>
      <c r="DH13" s="68" t="str">
        <f t="shared" si="39"/>
        <v/>
      </c>
      <c r="DI13" s="62"/>
      <c r="DJ13" s="62"/>
      <c r="DK13" s="65" t="str">
        <f t="shared" si="40"/>
        <v/>
      </c>
      <c r="DL13" s="56">
        <v>6</v>
      </c>
      <c r="DM13" s="63"/>
      <c r="DN13" s="64"/>
      <c r="DO13" s="64"/>
      <c r="DP13" s="64"/>
      <c r="DQ13" s="63"/>
      <c r="DR13" s="61"/>
      <c r="DS13" s="64"/>
      <c r="DT13" s="61"/>
      <c r="DU13" s="63"/>
      <c r="DV13" s="64"/>
      <c r="DW13" s="64"/>
      <c r="DX13" s="66"/>
      <c r="DY13" s="65" t="str">
        <f t="shared" si="41"/>
        <v/>
      </c>
      <c r="DZ13" s="128">
        <v>6</v>
      </c>
      <c r="EA13" s="173" t="str">
        <f t="shared" si="42"/>
        <v/>
      </c>
      <c r="EB13" s="173" t="str">
        <f t="shared" si="43"/>
        <v/>
      </c>
      <c r="EC13" s="173" t="str">
        <f t="shared" si="44"/>
        <v/>
      </c>
      <c r="ED13" s="63"/>
      <c r="EE13" s="63"/>
      <c r="EF13" s="63"/>
      <c r="EG13" s="63"/>
      <c r="EH13" s="127" t="str">
        <f t="shared" si="5"/>
        <v/>
      </c>
      <c r="EI13" s="56">
        <v>6</v>
      </c>
      <c r="EJ13" s="334"/>
      <c r="EK13" s="334"/>
      <c r="EL13" s="334"/>
      <c r="EM13" s="334"/>
      <c r="EN13" s="334"/>
      <c r="EO13" s="334"/>
      <c r="EP13" s="334"/>
      <c r="EQ13" s="65" t="str">
        <f t="shared" si="45"/>
        <v/>
      </c>
      <c r="ER13" s="20"/>
      <c r="ES13" s="20"/>
      <c r="ET13" s="20"/>
      <c r="EU13" s="20"/>
      <c r="EV13" s="20"/>
      <c r="EW13" s="20"/>
      <c r="EX13" s="20"/>
    </row>
    <row r="14" spans="1:154" s="3" customFormat="1" ht="17.149999999999999" customHeight="1" x14ac:dyDescent="0.25">
      <c r="A14" s="56">
        <v>7</v>
      </c>
      <c r="B14" s="57"/>
      <c r="C14" s="58" t="str">
        <f t="shared" si="6"/>
        <v/>
      </c>
      <c r="D14" s="167"/>
      <c r="E14" s="57"/>
      <c r="F14" s="58" t="str">
        <f t="shared" si="7"/>
        <v/>
      </c>
      <c r="G14" s="168"/>
      <c r="H14" s="57"/>
      <c r="I14" s="58" t="str">
        <f t="shared" si="0"/>
        <v/>
      </c>
      <c r="J14" s="60"/>
      <c r="K14" s="56">
        <v>7</v>
      </c>
      <c r="L14" s="57"/>
      <c r="M14" s="58" t="str">
        <f t="shared" si="8"/>
        <v/>
      </c>
      <c r="N14" s="57"/>
      <c r="O14" s="58" t="str">
        <f t="shared" si="9"/>
        <v/>
      </c>
      <c r="P14" s="57"/>
      <c r="Q14" s="169" t="str">
        <f t="shared" si="1"/>
        <v/>
      </c>
      <c r="R14" s="57"/>
      <c r="S14" s="57"/>
      <c r="T14" s="57"/>
      <c r="U14" s="57"/>
      <c r="V14" s="58" t="str">
        <f t="shared" si="10"/>
        <v/>
      </c>
      <c r="W14" s="56">
        <v>7</v>
      </c>
      <c r="X14" s="63"/>
      <c r="Y14" s="130" t="str">
        <f t="shared" si="11"/>
        <v/>
      </c>
      <c r="Z14" s="63"/>
      <c r="AA14" s="130" t="str">
        <f t="shared" si="12"/>
        <v/>
      </c>
      <c r="AB14" s="63"/>
      <c r="AC14" s="130" t="str">
        <f t="shared" si="13"/>
        <v/>
      </c>
      <c r="AD14" s="63"/>
      <c r="AE14" s="130" t="str">
        <f t="shared" si="2"/>
        <v/>
      </c>
      <c r="AF14" s="125" t="str">
        <f t="shared" si="14"/>
        <v/>
      </c>
      <c r="AG14" s="56">
        <v>7</v>
      </c>
      <c r="AH14" s="63"/>
      <c r="AI14" s="130" t="str">
        <f t="shared" si="15"/>
        <v/>
      </c>
      <c r="AJ14" s="63"/>
      <c r="AK14" s="130" t="str">
        <f t="shared" si="16"/>
        <v/>
      </c>
      <c r="AL14" s="63"/>
      <c r="AM14" s="130" t="str">
        <f t="shared" si="17"/>
        <v/>
      </c>
      <c r="AN14" s="63"/>
      <c r="AO14" s="130" t="str">
        <f t="shared" si="3"/>
        <v/>
      </c>
      <c r="AP14" s="125" t="str">
        <f t="shared" si="18"/>
        <v/>
      </c>
      <c r="AQ14" s="56">
        <v>7</v>
      </c>
      <c r="AR14" s="63"/>
      <c r="AS14" s="130" t="str">
        <f t="shared" si="19"/>
        <v/>
      </c>
      <c r="AT14" s="63"/>
      <c r="AU14" s="130" t="str">
        <f t="shared" si="20"/>
        <v/>
      </c>
      <c r="AV14" s="63"/>
      <c r="AW14" s="130" t="str">
        <f t="shared" si="21"/>
        <v/>
      </c>
      <c r="AX14" s="63"/>
      <c r="AY14" s="130" t="str">
        <f t="shared" si="4"/>
        <v/>
      </c>
      <c r="AZ14" s="125" t="str">
        <f t="shared" si="22"/>
        <v/>
      </c>
      <c r="BA14" s="56">
        <v>7</v>
      </c>
      <c r="BB14" s="63"/>
      <c r="BC14" s="62"/>
      <c r="BD14" s="61"/>
      <c r="BE14" s="61"/>
      <c r="BF14" s="61"/>
      <c r="BG14" s="61"/>
      <c r="BH14" s="64"/>
      <c r="BI14" s="64"/>
      <c r="BJ14" s="64"/>
      <c r="BK14" s="64"/>
      <c r="BL14" s="64"/>
      <c r="BM14" s="64"/>
      <c r="BN14" s="65" t="str">
        <f t="shared" si="23"/>
        <v/>
      </c>
      <c r="BO14" s="56">
        <v>7</v>
      </c>
      <c r="BP14" s="64"/>
      <c r="BQ14" s="62"/>
      <c r="BR14" s="61"/>
      <c r="BS14" s="61"/>
      <c r="BT14" s="61"/>
      <c r="BU14" s="64"/>
      <c r="BV14" s="63"/>
      <c r="BW14" s="63"/>
      <c r="BX14" s="66"/>
      <c r="BY14" s="172"/>
      <c r="BZ14" s="67" t="str">
        <f t="shared" si="24"/>
        <v/>
      </c>
      <c r="CA14" s="56">
        <v>7</v>
      </c>
      <c r="CB14" s="61"/>
      <c r="CC14" s="61"/>
      <c r="CD14" s="68" t="str">
        <f t="shared" si="25"/>
        <v/>
      </c>
      <c r="CE14" s="69" t="str">
        <f t="shared" si="26"/>
        <v/>
      </c>
      <c r="CF14" s="69" t="str">
        <f t="shared" si="27"/>
        <v/>
      </c>
      <c r="CG14" s="62"/>
      <c r="CH14" s="62"/>
      <c r="CI14" s="65" t="str">
        <f t="shared" si="28"/>
        <v/>
      </c>
      <c r="CJ14" s="56">
        <v>7</v>
      </c>
      <c r="CK14" s="61"/>
      <c r="CL14" s="61"/>
      <c r="CM14" s="68" t="str">
        <f t="shared" si="29"/>
        <v/>
      </c>
      <c r="CN14" s="68" t="str">
        <f t="shared" si="30"/>
        <v/>
      </c>
      <c r="CO14" s="68" t="str">
        <f t="shared" si="31"/>
        <v/>
      </c>
      <c r="CP14" s="62"/>
      <c r="CQ14" s="62"/>
      <c r="CR14" s="65" t="str">
        <f t="shared" si="32"/>
        <v/>
      </c>
      <c r="CS14" s="56">
        <v>7</v>
      </c>
      <c r="CT14" s="61"/>
      <c r="CU14" s="61"/>
      <c r="CV14" s="68" t="str">
        <f t="shared" si="33"/>
        <v/>
      </c>
      <c r="CW14" s="68" t="str">
        <f t="shared" si="34"/>
        <v/>
      </c>
      <c r="CX14" s="69" t="str">
        <f t="shared" si="35"/>
        <v/>
      </c>
      <c r="CY14" s="66"/>
      <c r="CZ14" s="66"/>
      <c r="DA14" s="66"/>
      <c r="DB14" s="65" t="str">
        <f t="shared" si="36"/>
        <v/>
      </c>
      <c r="DC14" s="56">
        <v>7</v>
      </c>
      <c r="DD14" s="61"/>
      <c r="DE14" s="61"/>
      <c r="DF14" s="68" t="str">
        <f t="shared" si="37"/>
        <v/>
      </c>
      <c r="DG14" s="69" t="str">
        <f t="shared" si="38"/>
        <v/>
      </c>
      <c r="DH14" s="68" t="str">
        <f t="shared" si="39"/>
        <v/>
      </c>
      <c r="DI14" s="62"/>
      <c r="DJ14" s="62"/>
      <c r="DK14" s="65" t="str">
        <f t="shared" si="40"/>
        <v/>
      </c>
      <c r="DL14" s="56">
        <v>7</v>
      </c>
      <c r="DM14" s="63"/>
      <c r="DN14" s="64"/>
      <c r="DO14" s="64"/>
      <c r="DP14" s="64"/>
      <c r="DQ14" s="63"/>
      <c r="DR14" s="61"/>
      <c r="DS14" s="64"/>
      <c r="DT14" s="61"/>
      <c r="DU14" s="63"/>
      <c r="DV14" s="64"/>
      <c r="DW14" s="64"/>
      <c r="DX14" s="66"/>
      <c r="DY14" s="65" t="str">
        <f t="shared" si="41"/>
        <v/>
      </c>
      <c r="DZ14" s="128">
        <v>7</v>
      </c>
      <c r="EA14" s="173" t="str">
        <f t="shared" si="42"/>
        <v/>
      </c>
      <c r="EB14" s="173" t="str">
        <f t="shared" si="43"/>
        <v/>
      </c>
      <c r="EC14" s="173" t="str">
        <f t="shared" si="44"/>
        <v/>
      </c>
      <c r="ED14" s="63"/>
      <c r="EE14" s="63"/>
      <c r="EF14" s="63"/>
      <c r="EG14" s="63"/>
      <c r="EH14" s="127" t="str">
        <f t="shared" si="5"/>
        <v/>
      </c>
      <c r="EI14" s="56">
        <v>7</v>
      </c>
      <c r="EJ14" s="334"/>
      <c r="EK14" s="334"/>
      <c r="EL14" s="334"/>
      <c r="EM14" s="334"/>
      <c r="EN14" s="334"/>
      <c r="EO14" s="334"/>
      <c r="EP14" s="334"/>
      <c r="EQ14" s="65" t="str">
        <f t="shared" si="45"/>
        <v/>
      </c>
      <c r="ER14" s="20"/>
      <c r="ES14" s="20"/>
      <c r="ET14" s="20"/>
      <c r="EU14" s="20"/>
      <c r="EV14" s="20"/>
      <c r="EW14" s="20"/>
      <c r="EX14" s="20"/>
    </row>
    <row r="15" spans="1:154" s="3" customFormat="1" ht="17.149999999999999" customHeight="1" x14ac:dyDescent="0.25">
      <c r="A15" s="56">
        <v>8</v>
      </c>
      <c r="B15" s="57"/>
      <c r="C15" s="58" t="str">
        <f t="shared" si="6"/>
        <v/>
      </c>
      <c r="D15" s="167"/>
      <c r="E15" s="57"/>
      <c r="F15" s="58" t="str">
        <f t="shared" si="7"/>
        <v/>
      </c>
      <c r="G15" s="168"/>
      <c r="H15" s="57"/>
      <c r="I15" s="58" t="str">
        <f t="shared" si="0"/>
        <v/>
      </c>
      <c r="J15" s="60"/>
      <c r="K15" s="56">
        <v>8</v>
      </c>
      <c r="L15" s="57"/>
      <c r="M15" s="58" t="str">
        <f t="shared" si="8"/>
        <v/>
      </c>
      <c r="N15" s="57"/>
      <c r="O15" s="58" t="str">
        <f t="shared" si="9"/>
        <v/>
      </c>
      <c r="P15" s="57"/>
      <c r="Q15" s="169" t="str">
        <f t="shared" si="1"/>
        <v/>
      </c>
      <c r="R15" s="57"/>
      <c r="S15" s="57"/>
      <c r="T15" s="57"/>
      <c r="U15" s="57"/>
      <c r="V15" s="58" t="str">
        <f t="shared" si="10"/>
        <v/>
      </c>
      <c r="W15" s="56">
        <v>8</v>
      </c>
      <c r="X15" s="63"/>
      <c r="Y15" s="130" t="str">
        <f t="shared" si="11"/>
        <v/>
      </c>
      <c r="Z15" s="63"/>
      <c r="AA15" s="130" t="str">
        <f t="shared" si="12"/>
        <v/>
      </c>
      <c r="AB15" s="63"/>
      <c r="AC15" s="130" t="str">
        <f t="shared" si="13"/>
        <v/>
      </c>
      <c r="AD15" s="63"/>
      <c r="AE15" s="130" t="str">
        <f t="shared" si="2"/>
        <v/>
      </c>
      <c r="AF15" s="125" t="str">
        <f t="shared" si="14"/>
        <v/>
      </c>
      <c r="AG15" s="56">
        <v>8</v>
      </c>
      <c r="AH15" s="63"/>
      <c r="AI15" s="130" t="str">
        <f t="shared" si="15"/>
        <v/>
      </c>
      <c r="AJ15" s="63"/>
      <c r="AK15" s="130" t="str">
        <f t="shared" si="16"/>
        <v/>
      </c>
      <c r="AL15" s="63"/>
      <c r="AM15" s="130" t="str">
        <f t="shared" si="17"/>
        <v/>
      </c>
      <c r="AN15" s="63"/>
      <c r="AO15" s="130" t="str">
        <f t="shared" si="3"/>
        <v/>
      </c>
      <c r="AP15" s="125" t="str">
        <f t="shared" si="18"/>
        <v/>
      </c>
      <c r="AQ15" s="56">
        <v>8</v>
      </c>
      <c r="AR15" s="63"/>
      <c r="AS15" s="130" t="str">
        <f t="shared" si="19"/>
        <v/>
      </c>
      <c r="AT15" s="63"/>
      <c r="AU15" s="130" t="str">
        <f t="shared" si="20"/>
        <v/>
      </c>
      <c r="AV15" s="63"/>
      <c r="AW15" s="130" t="str">
        <f t="shared" si="21"/>
        <v/>
      </c>
      <c r="AX15" s="63"/>
      <c r="AY15" s="130" t="str">
        <f t="shared" si="4"/>
        <v/>
      </c>
      <c r="AZ15" s="125" t="str">
        <f t="shared" si="22"/>
        <v/>
      </c>
      <c r="BA15" s="56">
        <v>8</v>
      </c>
      <c r="BB15" s="63"/>
      <c r="BC15" s="62"/>
      <c r="BD15" s="61"/>
      <c r="BE15" s="61"/>
      <c r="BF15" s="61"/>
      <c r="BG15" s="61"/>
      <c r="BH15" s="64"/>
      <c r="BI15" s="64"/>
      <c r="BJ15" s="64"/>
      <c r="BK15" s="64"/>
      <c r="BL15" s="64"/>
      <c r="BM15" s="64"/>
      <c r="BN15" s="65" t="str">
        <f t="shared" si="23"/>
        <v/>
      </c>
      <c r="BO15" s="56">
        <v>8</v>
      </c>
      <c r="BP15" s="64"/>
      <c r="BQ15" s="62"/>
      <c r="BR15" s="61"/>
      <c r="BS15" s="61"/>
      <c r="BT15" s="61"/>
      <c r="BU15" s="64"/>
      <c r="BV15" s="63"/>
      <c r="BW15" s="63"/>
      <c r="BX15" s="66"/>
      <c r="BY15" s="172"/>
      <c r="BZ15" s="67" t="str">
        <f t="shared" si="24"/>
        <v/>
      </c>
      <c r="CA15" s="56">
        <v>8</v>
      </c>
      <c r="CB15" s="61"/>
      <c r="CC15" s="61"/>
      <c r="CD15" s="68" t="str">
        <f t="shared" si="25"/>
        <v/>
      </c>
      <c r="CE15" s="69" t="str">
        <f t="shared" si="26"/>
        <v/>
      </c>
      <c r="CF15" s="69" t="str">
        <f t="shared" si="27"/>
        <v/>
      </c>
      <c r="CG15" s="62"/>
      <c r="CH15" s="62"/>
      <c r="CI15" s="65" t="str">
        <f t="shared" si="28"/>
        <v/>
      </c>
      <c r="CJ15" s="56">
        <v>8</v>
      </c>
      <c r="CK15" s="61"/>
      <c r="CL15" s="61"/>
      <c r="CM15" s="68" t="str">
        <f t="shared" si="29"/>
        <v/>
      </c>
      <c r="CN15" s="68" t="str">
        <f t="shared" si="30"/>
        <v/>
      </c>
      <c r="CO15" s="68" t="str">
        <f t="shared" si="31"/>
        <v/>
      </c>
      <c r="CP15" s="62"/>
      <c r="CQ15" s="62"/>
      <c r="CR15" s="65" t="str">
        <f t="shared" si="32"/>
        <v/>
      </c>
      <c r="CS15" s="56">
        <v>8</v>
      </c>
      <c r="CT15" s="61"/>
      <c r="CU15" s="61"/>
      <c r="CV15" s="68" t="str">
        <f t="shared" si="33"/>
        <v/>
      </c>
      <c r="CW15" s="68" t="str">
        <f t="shared" si="34"/>
        <v/>
      </c>
      <c r="CX15" s="69" t="str">
        <f t="shared" si="35"/>
        <v/>
      </c>
      <c r="CY15" s="66"/>
      <c r="CZ15" s="66"/>
      <c r="DA15" s="66"/>
      <c r="DB15" s="65" t="str">
        <f t="shared" si="36"/>
        <v/>
      </c>
      <c r="DC15" s="56">
        <v>8</v>
      </c>
      <c r="DD15" s="61"/>
      <c r="DE15" s="61"/>
      <c r="DF15" s="68" t="str">
        <f t="shared" si="37"/>
        <v/>
      </c>
      <c r="DG15" s="69" t="str">
        <f t="shared" si="38"/>
        <v/>
      </c>
      <c r="DH15" s="68" t="str">
        <f t="shared" si="39"/>
        <v/>
      </c>
      <c r="DI15" s="62"/>
      <c r="DJ15" s="62"/>
      <c r="DK15" s="65" t="str">
        <f t="shared" si="40"/>
        <v/>
      </c>
      <c r="DL15" s="56">
        <v>8</v>
      </c>
      <c r="DM15" s="63"/>
      <c r="DN15" s="64"/>
      <c r="DO15" s="64"/>
      <c r="DP15" s="64"/>
      <c r="DQ15" s="63"/>
      <c r="DR15" s="61"/>
      <c r="DS15" s="64"/>
      <c r="DT15" s="61"/>
      <c r="DU15" s="63"/>
      <c r="DV15" s="64"/>
      <c r="DW15" s="64"/>
      <c r="DX15" s="66"/>
      <c r="DY15" s="65" t="str">
        <f t="shared" si="41"/>
        <v/>
      </c>
      <c r="DZ15" s="128">
        <v>8</v>
      </c>
      <c r="EA15" s="173" t="str">
        <f t="shared" si="42"/>
        <v/>
      </c>
      <c r="EB15" s="173" t="str">
        <f t="shared" si="43"/>
        <v/>
      </c>
      <c r="EC15" s="173" t="str">
        <f t="shared" si="44"/>
        <v/>
      </c>
      <c r="ED15" s="63"/>
      <c r="EE15" s="63"/>
      <c r="EF15" s="63"/>
      <c r="EG15" s="63"/>
      <c r="EH15" s="127" t="str">
        <f t="shared" si="5"/>
        <v/>
      </c>
      <c r="EI15" s="56">
        <v>8</v>
      </c>
      <c r="EJ15" s="334"/>
      <c r="EK15" s="334"/>
      <c r="EL15" s="334"/>
      <c r="EM15" s="334"/>
      <c r="EN15" s="334"/>
      <c r="EO15" s="334"/>
      <c r="EP15" s="334"/>
      <c r="EQ15" s="65" t="str">
        <f t="shared" si="45"/>
        <v/>
      </c>
      <c r="ER15" s="20"/>
      <c r="ES15" s="20"/>
      <c r="ET15" s="20"/>
      <c r="EU15" s="20"/>
      <c r="EV15" s="20"/>
      <c r="EW15" s="20"/>
      <c r="EX15" s="20"/>
    </row>
    <row r="16" spans="1:154" s="3" customFormat="1" ht="17.149999999999999" customHeight="1" x14ac:dyDescent="0.25">
      <c r="A16" s="56">
        <v>9</v>
      </c>
      <c r="B16" s="57"/>
      <c r="C16" s="58" t="str">
        <f t="shared" si="6"/>
        <v/>
      </c>
      <c r="D16" s="167"/>
      <c r="E16" s="57"/>
      <c r="F16" s="58" t="str">
        <f t="shared" si="7"/>
        <v/>
      </c>
      <c r="G16" s="168"/>
      <c r="H16" s="57"/>
      <c r="I16" s="58" t="str">
        <f t="shared" si="0"/>
        <v/>
      </c>
      <c r="J16" s="60"/>
      <c r="K16" s="56">
        <v>9</v>
      </c>
      <c r="L16" s="57"/>
      <c r="M16" s="58" t="str">
        <f t="shared" si="8"/>
        <v/>
      </c>
      <c r="N16" s="57"/>
      <c r="O16" s="58" t="str">
        <f t="shared" si="9"/>
        <v/>
      </c>
      <c r="P16" s="57"/>
      <c r="Q16" s="169" t="str">
        <f t="shared" si="1"/>
        <v/>
      </c>
      <c r="R16" s="57"/>
      <c r="S16" s="57"/>
      <c r="T16" s="57"/>
      <c r="U16" s="57"/>
      <c r="V16" s="58" t="str">
        <f t="shared" si="10"/>
        <v/>
      </c>
      <c r="W16" s="56">
        <v>9</v>
      </c>
      <c r="X16" s="63"/>
      <c r="Y16" s="130" t="str">
        <f t="shared" si="11"/>
        <v/>
      </c>
      <c r="Z16" s="63"/>
      <c r="AA16" s="130" t="str">
        <f t="shared" si="12"/>
        <v/>
      </c>
      <c r="AB16" s="63"/>
      <c r="AC16" s="130" t="str">
        <f t="shared" si="13"/>
        <v/>
      </c>
      <c r="AD16" s="63"/>
      <c r="AE16" s="130" t="str">
        <f t="shared" si="2"/>
        <v/>
      </c>
      <c r="AF16" s="125" t="str">
        <f t="shared" si="14"/>
        <v/>
      </c>
      <c r="AG16" s="56">
        <v>9</v>
      </c>
      <c r="AH16" s="63"/>
      <c r="AI16" s="130" t="str">
        <f t="shared" si="15"/>
        <v/>
      </c>
      <c r="AJ16" s="63"/>
      <c r="AK16" s="130" t="str">
        <f t="shared" si="16"/>
        <v/>
      </c>
      <c r="AL16" s="63"/>
      <c r="AM16" s="130" t="str">
        <f t="shared" si="17"/>
        <v/>
      </c>
      <c r="AN16" s="63"/>
      <c r="AO16" s="130" t="str">
        <f t="shared" si="3"/>
        <v/>
      </c>
      <c r="AP16" s="125" t="str">
        <f t="shared" si="18"/>
        <v/>
      </c>
      <c r="AQ16" s="56">
        <v>9</v>
      </c>
      <c r="AR16" s="63"/>
      <c r="AS16" s="130" t="str">
        <f t="shared" si="19"/>
        <v/>
      </c>
      <c r="AT16" s="63"/>
      <c r="AU16" s="130" t="str">
        <f t="shared" si="20"/>
        <v/>
      </c>
      <c r="AV16" s="63"/>
      <c r="AW16" s="130" t="str">
        <f t="shared" si="21"/>
        <v/>
      </c>
      <c r="AX16" s="63"/>
      <c r="AY16" s="130" t="str">
        <f t="shared" si="4"/>
        <v/>
      </c>
      <c r="AZ16" s="125" t="str">
        <f t="shared" si="22"/>
        <v/>
      </c>
      <c r="BA16" s="56">
        <v>9</v>
      </c>
      <c r="BB16" s="63"/>
      <c r="BC16" s="62"/>
      <c r="BD16" s="61"/>
      <c r="BE16" s="61"/>
      <c r="BF16" s="61"/>
      <c r="BG16" s="61"/>
      <c r="BH16" s="64"/>
      <c r="BI16" s="64"/>
      <c r="BJ16" s="64"/>
      <c r="BK16" s="64"/>
      <c r="BL16" s="64"/>
      <c r="BM16" s="64"/>
      <c r="BN16" s="65" t="str">
        <f t="shared" si="23"/>
        <v/>
      </c>
      <c r="BO16" s="56">
        <v>9</v>
      </c>
      <c r="BP16" s="64"/>
      <c r="BQ16" s="62"/>
      <c r="BR16" s="61"/>
      <c r="BS16" s="61"/>
      <c r="BT16" s="61"/>
      <c r="BU16" s="64"/>
      <c r="BV16" s="63"/>
      <c r="BW16" s="63"/>
      <c r="BX16" s="66"/>
      <c r="BY16" s="172"/>
      <c r="BZ16" s="67" t="str">
        <f t="shared" si="24"/>
        <v/>
      </c>
      <c r="CA16" s="56">
        <v>9</v>
      </c>
      <c r="CB16" s="61"/>
      <c r="CC16" s="61"/>
      <c r="CD16" s="68" t="str">
        <f t="shared" si="25"/>
        <v/>
      </c>
      <c r="CE16" s="69" t="str">
        <f t="shared" si="26"/>
        <v/>
      </c>
      <c r="CF16" s="69" t="str">
        <f t="shared" si="27"/>
        <v/>
      </c>
      <c r="CG16" s="62"/>
      <c r="CH16" s="62"/>
      <c r="CI16" s="65" t="str">
        <f t="shared" si="28"/>
        <v/>
      </c>
      <c r="CJ16" s="56">
        <v>9</v>
      </c>
      <c r="CK16" s="61"/>
      <c r="CL16" s="61"/>
      <c r="CM16" s="68" t="str">
        <f t="shared" si="29"/>
        <v/>
      </c>
      <c r="CN16" s="68" t="str">
        <f t="shared" si="30"/>
        <v/>
      </c>
      <c r="CO16" s="68" t="str">
        <f t="shared" si="31"/>
        <v/>
      </c>
      <c r="CP16" s="62"/>
      <c r="CQ16" s="62"/>
      <c r="CR16" s="65" t="str">
        <f t="shared" si="32"/>
        <v/>
      </c>
      <c r="CS16" s="56">
        <v>9</v>
      </c>
      <c r="CT16" s="61"/>
      <c r="CU16" s="61"/>
      <c r="CV16" s="68" t="str">
        <f t="shared" si="33"/>
        <v/>
      </c>
      <c r="CW16" s="68" t="str">
        <f t="shared" si="34"/>
        <v/>
      </c>
      <c r="CX16" s="69" t="str">
        <f t="shared" si="35"/>
        <v/>
      </c>
      <c r="CY16" s="66"/>
      <c r="CZ16" s="66"/>
      <c r="DA16" s="66"/>
      <c r="DB16" s="65" t="str">
        <f t="shared" si="36"/>
        <v/>
      </c>
      <c r="DC16" s="56">
        <v>9</v>
      </c>
      <c r="DD16" s="61"/>
      <c r="DE16" s="61"/>
      <c r="DF16" s="68" t="str">
        <f t="shared" si="37"/>
        <v/>
      </c>
      <c r="DG16" s="69" t="str">
        <f t="shared" si="38"/>
        <v/>
      </c>
      <c r="DH16" s="68" t="str">
        <f t="shared" si="39"/>
        <v/>
      </c>
      <c r="DI16" s="62"/>
      <c r="DJ16" s="62"/>
      <c r="DK16" s="65" t="str">
        <f t="shared" si="40"/>
        <v/>
      </c>
      <c r="DL16" s="56">
        <v>9</v>
      </c>
      <c r="DM16" s="63"/>
      <c r="DN16" s="64"/>
      <c r="DO16" s="64"/>
      <c r="DP16" s="64"/>
      <c r="DQ16" s="63"/>
      <c r="DR16" s="61"/>
      <c r="DS16" s="64"/>
      <c r="DT16" s="61"/>
      <c r="DU16" s="63"/>
      <c r="DV16" s="64"/>
      <c r="DW16" s="64"/>
      <c r="DX16" s="66"/>
      <c r="DY16" s="65" t="str">
        <f t="shared" si="41"/>
        <v/>
      </c>
      <c r="DZ16" s="128">
        <v>9</v>
      </c>
      <c r="EA16" s="173" t="str">
        <f t="shared" si="42"/>
        <v/>
      </c>
      <c r="EB16" s="173" t="str">
        <f t="shared" si="43"/>
        <v/>
      </c>
      <c r="EC16" s="173" t="str">
        <f t="shared" si="44"/>
        <v/>
      </c>
      <c r="ED16" s="63"/>
      <c r="EE16" s="63"/>
      <c r="EF16" s="63"/>
      <c r="EG16" s="63"/>
      <c r="EH16" s="127" t="str">
        <f t="shared" si="5"/>
        <v/>
      </c>
      <c r="EI16" s="56">
        <v>9</v>
      </c>
      <c r="EJ16" s="334"/>
      <c r="EK16" s="334"/>
      <c r="EL16" s="334"/>
      <c r="EM16" s="334"/>
      <c r="EN16" s="334"/>
      <c r="EO16" s="334"/>
      <c r="EP16" s="334"/>
      <c r="EQ16" s="65" t="str">
        <f t="shared" si="45"/>
        <v/>
      </c>
      <c r="ER16" s="20"/>
      <c r="ES16" s="20"/>
      <c r="ET16" s="20"/>
      <c r="EU16" s="20"/>
      <c r="EV16" s="20"/>
      <c r="EW16" s="20"/>
      <c r="EX16" s="20"/>
    </row>
    <row r="17" spans="1:154" s="3" customFormat="1" ht="17.149999999999999" customHeight="1" x14ac:dyDescent="0.25">
      <c r="A17" s="56">
        <v>10</v>
      </c>
      <c r="B17" s="57"/>
      <c r="C17" s="58" t="str">
        <f t="shared" si="6"/>
        <v/>
      </c>
      <c r="D17" s="167"/>
      <c r="E17" s="57"/>
      <c r="F17" s="58" t="str">
        <f t="shared" si="7"/>
        <v/>
      </c>
      <c r="G17" s="168"/>
      <c r="H17" s="57"/>
      <c r="I17" s="58" t="str">
        <f t="shared" si="0"/>
        <v/>
      </c>
      <c r="J17" s="60"/>
      <c r="K17" s="56">
        <v>10</v>
      </c>
      <c r="L17" s="57"/>
      <c r="M17" s="58" t="str">
        <f t="shared" si="8"/>
        <v/>
      </c>
      <c r="N17" s="57"/>
      <c r="O17" s="58" t="str">
        <f t="shared" si="9"/>
        <v/>
      </c>
      <c r="P17" s="57"/>
      <c r="Q17" s="169" t="str">
        <f t="shared" si="1"/>
        <v/>
      </c>
      <c r="R17" s="57"/>
      <c r="S17" s="57"/>
      <c r="T17" s="57"/>
      <c r="U17" s="57"/>
      <c r="V17" s="58" t="str">
        <f t="shared" si="10"/>
        <v/>
      </c>
      <c r="W17" s="56">
        <v>10</v>
      </c>
      <c r="X17" s="63"/>
      <c r="Y17" s="130" t="str">
        <f t="shared" si="11"/>
        <v/>
      </c>
      <c r="Z17" s="63"/>
      <c r="AA17" s="130" t="str">
        <f t="shared" si="12"/>
        <v/>
      </c>
      <c r="AB17" s="63"/>
      <c r="AC17" s="130" t="str">
        <f t="shared" si="13"/>
        <v/>
      </c>
      <c r="AD17" s="63"/>
      <c r="AE17" s="130" t="str">
        <f t="shared" si="2"/>
        <v/>
      </c>
      <c r="AF17" s="125" t="str">
        <f t="shared" si="14"/>
        <v/>
      </c>
      <c r="AG17" s="56">
        <v>10</v>
      </c>
      <c r="AH17" s="63"/>
      <c r="AI17" s="130" t="str">
        <f t="shared" si="15"/>
        <v/>
      </c>
      <c r="AJ17" s="63"/>
      <c r="AK17" s="130" t="str">
        <f t="shared" si="16"/>
        <v/>
      </c>
      <c r="AL17" s="63"/>
      <c r="AM17" s="130" t="str">
        <f t="shared" si="17"/>
        <v/>
      </c>
      <c r="AN17" s="63"/>
      <c r="AO17" s="130" t="str">
        <f t="shared" si="3"/>
        <v/>
      </c>
      <c r="AP17" s="125" t="str">
        <f t="shared" si="18"/>
        <v/>
      </c>
      <c r="AQ17" s="56">
        <v>10</v>
      </c>
      <c r="AR17" s="63"/>
      <c r="AS17" s="130" t="str">
        <f t="shared" si="19"/>
        <v/>
      </c>
      <c r="AT17" s="63"/>
      <c r="AU17" s="130" t="str">
        <f t="shared" si="20"/>
        <v/>
      </c>
      <c r="AV17" s="63"/>
      <c r="AW17" s="130" t="str">
        <f t="shared" si="21"/>
        <v/>
      </c>
      <c r="AX17" s="63"/>
      <c r="AY17" s="130" t="str">
        <f t="shared" si="4"/>
        <v/>
      </c>
      <c r="AZ17" s="125" t="str">
        <f t="shared" si="22"/>
        <v/>
      </c>
      <c r="BA17" s="56">
        <v>10</v>
      </c>
      <c r="BB17" s="63"/>
      <c r="BC17" s="62"/>
      <c r="BD17" s="61"/>
      <c r="BE17" s="61"/>
      <c r="BF17" s="61"/>
      <c r="BG17" s="61"/>
      <c r="BH17" s="64"/>
      <c r="BI17" s="64"/>
      <c r="BJ17" s="64"/>
      <c r="BK17" s="64"/>
      <c r="BL17" s="64"/>
      <c r="BM17" s="64"/>
      <c r="BN17" s="65" t="str">
        <f t="shared" si="23"/>
        <v/>
      </c>
      <c r="BO17" s="56">
        <v>10</v>
      </c>
      <c r="BP17" s="64"/>
      <c r="BQ17" s="62"/>
      <c r="BR17" s="61"/>
      <c r="BS17" s="61"/>
      <c r="BT17" s="61"/>
      <c r="BU17" s="64"/>
      <c r="BV17" s="63"/>
      <c r="BW17" s="63"/>
      <c r="BX17" s="66"/>
      <c r="BY17" s="172"/>
      <c r="BZ17" s="67" t="str">
        <f t="shared" si="24"/>
        <v/>
      </c>
      <c r="CA17" s="56">
        <v>10</v>
      </c>
      <c r="CB17" s="61"/>
      <c r="CC17" s="61"/>
      <c r="CD17" s="68" t="str">
        <f t="shared" si="25"/>
        <v/>
      </c>
      <c r="CE17" s="69" t="str">
        <f t="shared" si="26"/>
        <v/>
      </c>
      <c r="CF17" s="69" t="str">
        <f t="shared" si="27"/>
        <v/>
      </c>
      <c r="CG17" s="62"/>
      <c r="CH17" s="62"/>
      <c r="CI17" s="65" t="str">
        <f t="shared" si="28"/>
        <v/>
      </c>
      <c r="CJ17" s="56">
        <v>10</v>
      </c>
      <c r="CK17" s="61"/>
      <c r="CL17" s="61"/>
      <c r="CM17" s="68" t="str">
        <f t="shared" si="29"/>
        <v/>
      </c>
      <c r="CN17" s="68" t="str">
        <f t="shared" si="30"/>
        <v/>
      </c>
      <c r="CO17" s="68" t="str">
        <f t="shared" si="31"/>
        <v/>
      </c>
      <c r="CP17" s="62"/>
      <c r="CQ17" s="62"/>
      <c r="CR17" s="65" t="str">
        <f t="shared" si="32"/>
        <v/>
      </c>
      <c r="CS17" s="56">
        <v>10</v>
      </c>
      <c r="CT17" s="61"/>
      <c r="CU17" s="61"/>
      <c r="CV17" s="68" t="str">
        <f t="shared" si="33"/>
        <v/>
      </c>
      <c r="CW17" s="68" t="str">
        <f t="shared" si="34"/>
        <v/>
      </c>
      <c r="CX17" s="69" t="str">
        <f t="shared" si="35"/>
        <v/>
      </c>
      <c r="CY17" s="66"/>
      <c r="CZ17" s="66"/>
      <c r="DA17" s="66"/>
      <c r="DB17" s="65" t="str">
        <f t="shared" si="36"/>
        <v/>
      </c>
      <c r="DC17" s="56">
        <v>10</v>
      </c>
      <c r="DD17" s="61"/>
      <c r="DE17" s="61"/>
      <c r="DF17" s="68" t="str">
        <f t="shared" si="37"/>
        <v/>
      </c>
      <c r="DG17" s="69" t="str">
        <f t="shared" si="38"/>
        <v/>
      </c>
      <c r="DH17" s="68" t="str">
        <f t="shared" si="39"/>
        <v/>
      </c>
      <c r="DI17" s="62"/>
      <c r="DJ17" s="62"/>
      <c r="DK17" s="65" t="str">
        <f t="shared" si="40"/>
        <v/>
      </c>
      <c r="DL17" s="56">
        <v>10</v>
      </c>
      <c r="DM17" s="63"/>
      <c r="DN17" s="64"/>
      <c r="DO17" s="64"/>
      <c r="DP17" s="64"/>
      <c r="DQ17" s="63"/>
      <c r="DR17" s="61"/>
      <c r="DS17" s="64"/>
      <c r="DT17" s="61"/>
      <c r="DU17" s="63"/>
      <c r="DV17" s="64"/>
      <c r="DW17" s="64"/>
      <c r="DX17" s="66"/>
      <c r="DY17" s="65" t="str">
        <f t="shared" si="41"/>
        <v/>
      </c>
      <c r="DZ17" s="128">
        <v>10</v>
      </c>
      <c r="EA17" s="173" t="str">
        <f t="shared" si="42"/>
        <v/>
      </c>
      <c r="EB17" s="173" t="str">
        <f t="shared" si="43"/>
        <v/>
      </c>
      <c r="EC17" s="173" t="str">
        <f t="shared" si="44"/>
        <v/>
      </c>
      <c r="ED17" s="63"/>
      <c r="EE17" s="63"/>
      <c r="EF17" s="63"/>
      <c r="EG17" s="63"/>
      <c r="EH17" s="127" t="str">
        <f t="shared" si="5"/>
        <v/>
      </c>
      <c r="EI17" s="56">
        <v>10</v>
      </c>
      <c r="EJ17" s="334"/>
      <c r="EK17" s="334"/>
      <c r="EL17" s="334"/>
      <c r="EM17" s="334"/>
      <c r="EN17" s="334"/>
      <c r="EO17" s="334"/>
      <c r="EP17" s="334"/>
      <c r="EQ17" s="65" t="str">
        <f t="shared" si="45"/>
        <v/>
      </c>
      <c r="ER17" s="20"/>
      <c r="ES17" s="20"/>
      <c r="ET17" s="20"/>
      <c r="EU17" s="20"/>
      <c r="EV17" s="20"/>
      <c r="EW17" s="20"/>
      <c r="EX17" s="20"/>
    </row>
    <row r="18" spans="1:154" s="3" customFormat="1" ht="17.149999999999999" customHeight="1" x14ac:dyDescent="0.25">
      <c r="A18" s="56">
        <v>11</v>
      </c>
      <c r="B18" s="57"/>
      <c r="C18" s="58" t="str">
        <f t="shared" si="6"/>
        <v/>
      </c>
      <c r="D18" s="167"/>
      <c r="E18" s="57"/>
      <c r="F18" s="58" t="str">
        <f t="shared" si="7"/>
        <v/>
      </c>
      <c r="G18" s="168"/>
      <c r="H18" s="57"/>
      <c r="I18" s="58" t="str">
        <f t="shared" si="0"/>
        <v/>
      </c>
      <c r="J18" s="60"/>
      <c r="K18" s="56">
        <v>11</v>
      </c>
      <c r="L18" s="57"/>
      <c r="M18" s="58" t="str">
        <f t="shared" si="8"/>
        <v/>
      </c>
      <c r="N18" s="57"/>
      <c r="O18" s="58" t="str">
        <f t="shared" si="9"/>
        <v/>
      </c>
      <c r="P18" s="57"/>
      <c r="Q18" s="169" t="str">
        <f t="shared" si="1"/>
        <v/>
      </c>
      <c r="R18" s="57"/>
      <c r="S18" s="57"/>
      <c r="T18" s="57"/>
      <c r="U18" s="57"/>
      <c r="V18" s="58" t="str">
        <f t="shared" si="10"/>
        <v/>
      </c>
      <c r="W18" s="56">
        <v>11</v>
      </c>
      <c r="X18" s="63"/>
      <c r="Y18" s="130" t="str">
        <f t="shared" si="11"/>
        <v/>
      </c>
      <c r="Z18" s="63"/>
      <c r="AA18" s="130" t="str">
        <f t="shared" si="12"/>
        <v/>
      </c>
      <c r="AB18" s="63"/>
      <c r="AC18" s="130" t="str">
        <f t="shared" si="13"/>
        <v/>
      </c>
      <c r="AD18" s="63"/>
      <c r="AE18" s="130" t="str">
        <f t="shared" si="2"/>
        <v/>
      </c>
      <c r="AF18" s="125" t="str">
        <f t="shared" si="14"/>
        <v/>
      </c>
      <c r="AG18" s="56">
        <v>11</v>
      </c>
      <c r="AH18" s="63"/>
      <c r="AI18" s="130" t="str">
        <f t="shared" si="15"/>
        <v/>
      </c>
      <c r="AJ18" s="63"/>
      <c r="AK18" s="130" t="str">
        <f t="shared" si="16"/>
        <v/>
      </c>
      <c r="AL18" s="63"/>
      <c r="AM18" s="130" t="str">
        <f t="shared" si="17"/>
        <v/>
      </c>
      <c r="AN18" s="63"/>
      <c r="AO18" s="130" t="str">
        <f t="shared" si="3"/>
        <v/>
      </c>
      <c r="AP18" s="125" t="str">
        <f t="shared" si="18"/>
        <v/>
      </c>
      <c r="AQ18" s="56">
        <v>11</v>
      </c>
      <c r="AR18" s="63"/>
      <c r="AS18" s="130" t="str">
        <f t="shared" si="19"/>
        <v/>
      </c>
      <c r="AT18" s="63"/>
      <c r="AU18" s="130" t="str">
        <f t="shared" si="20"/>
        <v/>
      </c>
      <c r="AV18" s="63"/>
      <c r="AW18" s="130" t="str">
        <f t="shared" si="21"/>
        <v/>
      </c>
      <c r="AX18" s="63"/>
      <c r="AY18" s="130" t="str">
        <f t="shared" si="4"/>
        <v/>
      </c>
      <c r="AZ18" s="125" t="str">
        <f t="shared" si="22"/>
        <v/>
      </c>
      <c r="BA18" s="56">
        <v>11</v>
      </c>
      <c r="BB18" s="63"/>
      <c r="BC18" s="62"/>
      <c r="BD18" s="61"/>
      <c r="BE18" s="61"/>
      <c r="BF18" s="61"/>
      <c r="BG18" s="61"/>
      <c r="BH18" s="64"/>
      <c r="BI18" s="64"/>
      <c r="BJ18" s="64"/>
      <c r="BK18" s="64"/>
      <c r="BL18" s="64"/>
      <c r="BM18" s="64"/>
      <c r="BN18" s="65" t="str">
        <f t="shared" si="23"/>
        <v/>
      </c>
      <c r="BO18" s="56">
        <v>11</v>
      </c>
      <c r="BP18" s="64"/>
      <c r="BQ18" s="62"/>
      <c r="BR18" s="61"/>
      <c r="BS18" s="61"/>
      <c r="BT18" s="61"/>
      <c r="BU18" s="64"/>
      <c r="BV18" s="63"/>
      <c r="BW18" s="63"/>
      <c r="BX18" s="66"/>
      <c r="BY18" s="172"/>
      <c r="BZ18" s="67" t="str">
        <f t="shared" si="24"/>
        <v/>
      </c>
      <c r="CA18" s="56">
        <v>11</v>
      </c>
      <c r="CB18" s="61"/>
      <c r="CC18" s="61"/>
      <c r="CD18" s="68" t="str">
        <f t="shared" si="25"/>
        <v/>
      </c>
      <c r="CE18" s="69" t="str">
        <f t="shared" si="26"/>
        <v/>
      </c>
      <c r="CF18" s="69" t="str">
        <f t="shared" si="27"/>
        <v/>
      </c>
      <c r="CG18" s="62"/>
      <c r="CH18" s="62"/>
      <c r="CI18" s="65" t="str">
        <f t="shared" si="28"/>
        <v/>
      </c>
      <c r="CJ18" s="56">
        <v>11</v>
      </c>
      <c r="CK18" s="61"/>
      <c r="CL18" s="61"/>
      <c r="CM18" s="68" t="str">
        <f t="shared" si="29"/>
        <v/>
      </c>
      <c r="CN18" s="68" t="str">
        <f t="shared" si="30"/>
        <v/>
      </c>
      <c r="CO18" s="68" t="str">
        <f t="shared" si="31"/>
        <v/>
      </c>
      <c r="CP18" s="62"/>
      <c r="CQ18" s="62"/>
      <c r="CR18" s="65" t="str">
        <f t="shared" si="32"/>
        <v/>
      </c>
      <c r="CS18" s="56">
        <v>11</v>
      </c>
      <c r="CT18" s="61"/>
      <c r="CU18" s="61"/>
      <c r="CV18" s="68" t="str">
        <f t="shared" si="33"/>
        <v/>
      </c>
      <c r="CW18" s="68" t="str">
        <f t="shared" si="34"/>
        <v/>
      </c>
      <c r="CX18" s="69" t="str">
        <f t="shared" si="35"/>
        <v/>
      </c>
      <c r="CY18" s="66"/>
      <c r="CZ18" s="66"/>
      <c r="DA18" s="66"/>
      <c r="DB18" s="65" t="str">
        <f t="shared" si="36"/>
        <v/>
      </c>
      <c r="DC18" s="56">
        <v>11</v>
      </c>
      <c r="DD18" s="61"/>
      <c r="DE18" s="61"/>
      <c r="DF18" s="68" t="str">
        <f t="shared" si="37"/>
        <v/>
      </c>
      <c r="DG18" s="69" t="str">
        <f t="shared" si="38"/>
        <v/>
      </c>
      <c r="DH18" s="68" t="str">
        <f t="shared" si="39"/>
        <v/>
      </c>
      <c r="DI18" s="62"/>
      <c r="DJ18" s="62"/>
      <c r="DK18" s="65" t="str">
        <f t="shared" si="40"/>
        <v/>
      </c>
      <c r="DL18" s="56">
        <v>11</v>
      </c>
      <c r="DM18" s="63"/>
      <c r="DN18" s="64"/>
      <c r="DO18" s="64"/>
      <c r="DP18" s="64"/>
      <c r="DQ18" s="63"/>
      <c r="DR18" s="61"/>
      <c r="DS18" s="64"/>
      <c r="DT18" s="61"/>
      <c r="DU18" s="63"/>
      <c r="DV18" s="64"/>
      <c r="DW18" s="64"/>
      <c r="DX18" s="66"/>
      <c r="DY18" s="65" t="str">
        <f t="shared" si="41"/>
        <v/>
      </c>
      <c r="DZ18" s="128">
        <v>11</v>
      </c>
      <c r="EA18" s="173" t="str">
        <f t="shared" si="42"/>
        <v/>
      </c>
      <c r="EB18" s="173" t="str">
        <f t="shared" si="43"/>
        <v/>
      </c>
      <c r="EC18" s="173" t="str">
        <f t="shared" si="44"/>
        <v/>
      </c>
      <c r="ED18" s="63"/>
      <c r="EE18" s="63"/>
      <c r="EF18" s="63"/>
      <c r="EG18" s="63"/>
      <c r="EH18" s="127" t="str">
        <f t="shared" si="5"/>
        <v/>
      </c>
      <c r="EI18" s="56">
        <v>11</v>
      </c>
      <c r="EJ18" s="334"/>
      <c r="EK18" s="334"/>
      <c r="EL18" s="334"/>
      <c r="EM18" s="334"/>
      <c r="EN18" s="334"/>
      <c r="EO18" s="334"/>
      <c r="EP18" s="334"/>
      <c r="EQ18" s="65" t="str">
        <f t="shared" si="45"/>
        <v/>
      </c>
      <c r="ER18" s="20"/>
      <c r="ES18" s="20"/>
      <c r="ET18" s="20"/>
      <c r="EU18" s="20"/>
      <c r="EV18" s="20"/>
      <c r="EW18" s="20"/>
      <c r="EX18" s="20"/>
    </row>
    <row r="19" spans="1:154" s="3" customFormat="1" ht="17.149999999999999" customHeight="1" x14ac:dyDescent="0.25">
      <c r="A19" s="56">
        <v>12</v>
      </c>
      <c r="B19" s="57"/>
      <c r="C19" s="58" t="str">
        <f t="shared" si="6"/>
        <v/>
      </c>
      <c r="D19" s="167"/>
      <c r="E19" s="57"/>
      <c r="F19" s="58" t="str">
        <f t="shared" si="7"/>
        <v/>
      </c>
      <c r="G19" s="168"/>
      <c r="H19" s="57"/>
      <c r="I19" s="58" t="str">
        <f t="shared" si="0"/>
        <v/>
      </c>
      <c r="J19" s="60"/>
      <c r="K19" s="56">
        <v>12</v>
      </c>
      <c r="L19" s="57"/>
      <c r="M19" s="58" t="str">
        <f t="shared" si="8"/>
        <v/>
      </c>
      <c r="N19" s="57"/>
      <c r="O19" s="58" t="str">
        <f t="shared" si="9"/>
        <v/>
      </c>
      <c r="P19" s="57"/>
      <c r="Q19" s="169" t="str">
        <f t="shared" si="1"/>
        <v/>
      </c>
      <c r="R19" s="57"/>
      <c r="S19" s="57"/>
      <c r="T19" s="57"/>
      <c r="U19" s="57"/>
      <c r="V19" s="58" t="str">
        <f t="shared" si="10"/>
        <v/>
      </c>
      <c r="W19" s="56">
        <v>12</v>
      </c>
      <c r="X19" s="63"/>
      <c r="Y19" s="130" t="str">
        <f t="shared" si="11"/>
        <v/>
      </c>
      <c r="Z19" s="63"/>
      <c r="AA19" s="130" t="str">
        <f t="shared" si="12"/>
        <v/>
      </c>
      <c r="AB19" s="63"/>
      <c r="AC19" s="130" t="str">
        <f t="shared" si="13"/>
        <v/>
      </c>
      <c r="AD19" s="63"/>
      <c r="AE19" s="130" t="str">
        <f t="shared" si="2"/>
        <v/>
      </c>
      <c r="AF19" s="125" t="str">
        <f t="shared" si="14"/>
        <v/>
      </c>
      <c r="AG19" s="56">
        <v>12</v>
      </c>
      <c r="AH19" s="63"/>
      <c r="AI19" s="130" t="str">
        <f t="shared" si="15"/>
        <v/>
      </c>
      <c r="AJ19" s="63"/>
      <c r="AK19" s="130" t="str">
        <f t="shared" si="16"/>
        <v/>
      </c>
      <c r="AL19" s="63"/>
      <c r="AM19" s="130" t="str">
        <f t="shared" si="17"/>
        <v/>
      </c>
      <c r="AN19" s="63"/>
      <c r="AO19" s="130" t="str">
        <f t="shared" si="3"/>
        <v/>
      </c>
      <c r="AP19" s="125" t="str">
        <f t="shared" si="18"/>
        <v/>
      </c>
      <c r="AQ19" s="56">
        <v>12</v>
      </c>
      <c r="AR19" s="63"/>
      <c r="AS19" s="130" t="str">
        <f t="shared" si="19"/>
        <v/>
      </c>
      <c r="AT19" s="63"/>
      <c r="AU19" s="130" t="str">
        <f t="shared" si="20"/>
        <v/>
      </c>
      <c r="AV19" s="63"/>
      <c r="AW19" s="130" t="str">
        <f t="shared" si="21"/>
        <v/>
      </c>
      <c r="AX19" s="63"/>
      <c r="AY19" s="130" t="str">
        <f t="shared" si="4"/>
        <v/>
      </c>
      <c r="AZ19" s="125" t="str">
        <f t="shared" si="22"/>
        <v/>
      </c>
      <c r="BA19" s="56">
        <v>12</v>
      </c>
      <c r="BB19" s="63"/>
      <c r="BC19" s="62"/>
      <c r="BD19" s="61"/>
      <c r="BE19" s="61"/>
      <c r="BF19" s="61"/>
      <c r="BG19" s="61"/>
      <c r="BH19" s="64"/>
      <c r="BI19" s="64"/>
      <c r="BJ19" s="64"/>
      <c r="BK19" s="64"/>
      <c r="BL19" s="64"/>
      <c r="BM19" s="64"/>
      <c r="BN19" s="65" t="str">
        <f t="shared" si="23"/>
        <v/>
      </c>
      <c r="BO19" s="56">
        <v>12</v>
      </c>
      <c r="BP19" s="64"/>
      <c r="BQ19" s="62"/>
      <c r="BR19" s="61"/>
      <c r="BS19" s="61"/>
      <c r="BT19" s="61"/>
      <c r="BU19" s="64"/>
      <c r="BV19" s="63"/>
      <c r="BW19" s="63"/>
      <c r="BX19" s="66"/>
      <c r="BY19" s="172"/>
      <c r="BZ19" s="67" t="str">
        <f t="shared" si="24"/>
        <v/>
      </c>
      <c r="CA19" s="56">
        <v>12</v>
      </c>
      <c r="CB19" s="61"/>
      <c r="CC19" s="61"/>
      <c r="CD19" s="68" t="str">
        <f t="shared" si="25"/>
        <v/>
      </c>
      <c r="CE19" s="69" t="str">
        <f t="shared" si="26"/>
        <v/>
      </c>
      <c r="CF19" s="69" t="str">
        <f t="shared" si="27"/>
        <v/>
      </c>
      <c r="CG19" s="62"/>
      <c r="CH19" s="62"/>
      <c r="CI19" s="65" t="str">
        <f t="shared" si="28"/>
        <v/>
      </c>
      <c r="CJ19" s="56">
        <v>12</v>
      </c>
      <c r="CK19" s="61"/>
      <c r="CL19" s="61"/>
      <c r="CM19" s="68" t="str">
        <f t="shared" si="29"/>
        <v/>
      </c>
      <c r="CN19" s="68" t="str">
        <f t="shared" si="30"/>
        <v/>
      </c>
      <c r="CO19" s="68" t="str">
        <f t="shared" si="31"/>
        <v/>
      </c>
      <c r="CP19" s="62"/>
      <c r="CQ19" s="62"/>
      <c r="CR19" s="65" t="str">
        <f t="shared" si="32"/>
        <v/>
      </c>
      <c r="CS19" s="56">
        <v>12</v>
      </c>
      <c r="CT19" s="61"/>
      <c r="CU19" s="61"/>
      <c r="CV19" s="68" t="str">
        <f t="shared" si="33"/>
        <v/>
      </c>
      <c r="CW19" s="68" t="str">
        <f t="shared" si="34"/>
        <v/>
      </c>
      <c r="CX19" s="69" t="str">
        <f t="shared" si="35"/>
        <v/>
      </c>
      <c r="CY19" s="66"/>
      <c r="CZ19" s="66"/>
      <c r="DA19" s="66"/>
      <c r="DB19" s="65" t="str">
        <f t="shared" si="36"/>
        <v/>
      </c>
      <c r="DC19" s="56">
        <v>12</v>
      </c>
      <c r="DD19" s="61"/>
      <c r="DE19" s="61"/>
      <c r="DF19" s="68" t="str">
        <f t="shared" si="37"/>
        <v/>
      </c>
      <c r="DG19" s="69" t="str">
        <f t="shared" si="38"/>
        <v/>
      </c>
      <c r="DH19" s="68" t="str">
        <f t="shared" si="39"/>
        <v/>
      </c>
      <c r="DI19" s="62"/>
      <c r="DJ19" s="62"/>
      <c r="DK19" s="65" t="str">
        <f t="shared" si="40"/>
        <v/>
      </c>
      <c r="DL19" s="56">
        <v>12</v>
      </c>
      <c r="DM19" s="63"/>
      <c r="DN19" s="64"/>
      <c r="DO19" s="64"/>
      <c r="DP19" s="64"/>
      <c r="DQ19" s="63"/>
      <c r="DR19" s="61"/>
      <c r="DS19" s="64"/>
      <c r="DT19" s="61"/>
      <c r="DU19" s="63"/>
      <c r="DV19" s="64"/>
      <c r="DW19" s="64"/>
      <c r="DX19" s="66"/>
      <c r="DY19" s="65" t="str">
        <f t="shared" si="41"/>
        <v/>
      </c>
      <c r="DZ19" s="128">
        <v>12</v>
      </c>
      <c r="EA19" s="173" t="str">
        <f t="shared" si="42"/>
        <v/>
      </c>
      <c r="EB19" s="173" t="str">
        <f t="shared" si="43"/>
        <v/>
      </c>
      <c r="EC19" s="173" t="str">
        <f t="shared" si="44"/>
        <v/>
      </c>
      <c r="ED19" s="63"/>
      <c r="EE19" s="63"/>
      <c r="EF19" s="63"/>
      <c r="EG19" s="63"/>
      <c r="EH19" s="127" t="str">
        <f t="shared" si="5"/>
        <v/>
      </c>
      <c r="EI19" s="56">
        <v>12</v>
      </c>
      <c r="EJ19" s="334"/>
      <c r="EK19" s="334"/>
      <c r="EL19" s="334"/>
      <c r="EM19" s="334"/>
      <c r="EN19" s="334"/>
      <c r="EO19" s="334"/>
      <c r="EP19" s="334"/>
      <c r="EQ19" s="65" t="str">
        <f t="shared" si="45"/>
        <v/>
      </c>
      <c r="ER19" s="20"/>
      <c r="ES19" s="20"/>
      <c r="ET19" s="20"/>
      <c r="EU19" s="20"/>
      <c r="EV19" s="20"/>
      <c r="EW19" s="20"/>
      <c r="EX19" s="20"/>
    </row>
    <row r="20" spans="1:154" s="3" customFormat="1" ht="17.149999999999999" customHeight="1" x14ac:dyDescent="0.25">
      <c r="A20" s="56">
        <v>13</v>
      </c>
      <c r="B20" s="57"/>
      <c r="C20" s="58" t="str">
        <f t="shared" si="6"/>
        <v/>
      </c>
      <c r="D20" s="167"/>
      <c r="E20" s="59"/>
      <c r="F20" s="58" t="str">
        <f t="shared" si="7"/>
        <v/>
      </c>
      <c r="G20" s="168"/>
      <c r="H20" s="57"/>
      <c r="I20" s="58" t="str">
        <f t="shared" si="0"/>
        <v/>
      </c>
      <c r="J20" s="60"/>
      <c r="K20" s="56">
        <v>13</v>
      </c>
      <c r="L20" s="57"/>
      <c r="M20" s="58" t="str">
        <f t="shared" si="8"/>
        <v/>
      </c>
      <c r="N20" s="59"/>
      <c r="O20" s="58" t="str">
        <f t="shared" si="9"/>
        <v/>
      </c>
      <c r="P20" s="57"/>
      <c r="Q20" s="169" t="str">
        <f t="shared" si="1"/>
        <v/>
      </c>
      <c r="R20" s="57"/>
      <c r="S20" s="57"/>
      <c r="T20" s="57"/>
      <c r="U20" s="57"/>
      <c r="V20" s="58" t="str">
        <f t="shared" si="10"/>
        <v/>
      </c>
      <c r="W20" s="56">
        <v>13</v>
      </c>
      <c r="X20" s="63"/>
      <c r="Y20" s="130" t="str">
        <f t="shared" si="11"/>
        <v/>
      </c>
      <c r="Z20" s="63"/>
      <c r="AA20" s="130" t="str">
        <f t="shared" si="12"/>
        <v/>
      </c>
      <c r="AB20" s="63"/>
      <c r="AC20" s="130" t="str">
        <f t="shared" si="13"/>
        <v/>
      </c>
      <c r="AD20" s="63"/>
      <c r="AE20" s="130" t="str">
        <f t="shared" si="2"/>
        <v/>
      </c>
      <c r="AF20" s="125" t="str">
        <f t="shared" si="14"/>
        <v/>
      </c>
      <c r="AG20" s="56">
        <v>13</v>
      </c>
      <c r="AH20" s="63"/>
      <c r="AI20" s="130" t="str">
        <f t="shared" si="15"/>
        <v/>
      </c>
      <c r="AJ20" s="63"/>
      <c r="AK20" s="130" t="str">
        <f t="shared" si="16"/>
        <v/>
      </c>
      <c r="AL20" s="63"/>
      <c r="AM20" s="130" t="str">
        <f t="shared" si="17"/>
        <v/>
      </c>
      <c r="AN20" s="63"/>
      <c r="AO20" s="130" t="str">
        <f t="shared" si="3"/>
        <v/>
      </c>
      <c r="AP20" s="125" t="str">
        <f t="shared" si="18"/>
        <v/>
      </c>
      <c r="AQ20" s="56">
        <v>13</v>
      </c>
      <c r="AR20" s="63"/>
      <c r="AS20" s="130" t="str">
        <f t="shared" si="19"/>
        <v/>
      </c>
      <c r="AT20" s="63"/>
      <c r="AU20" s="130" t="str">
        <f t="shared" si="20"/>
        <v/>
      </c>
      <c r="AV20" s="63"/>
      <c r="AW20" s="130" t="str">
        <f t="shared" si="21"/>
        <v/>
      </c>
      <c r="AX20" s="63"/>
      <c r="AY20" s="130" t="str">
        <f t="shared" si="4"/>
        <v/>
      </c>
      <c r="AZ20" s="125" t="str">
        <f t="shared" si="22"/>
        <v/>
      </c>
      <c r="BA20" s="56">
        <v>13</v>
      </c>
      <c r="BB20" s="63"/>
      <c r="BC20" s="62"/>
      <c r="BD20" s="61"/>
      <c r="BE20" s="61"/>
      <c r="BF20" s="61"/>
      <c r="BG20" s="61"/>
      <c r="BH20" s="64"/>
      <c r="BI20" s="64"/>
      <c r="BJ20" s="64"/>
      <c r="BK20" s="64"/>
      <c r="BL20" s="64"/>
      <c r="BM20" s="64"/>
      <c r="BN20" s="65" t="str">
        <f t="shared" si="23"/>
        <v/>
      </c>
      <c r="BO20" s="56">
        <v>13</v>
      </c>
      <c r="BP20" s="64"/>
      <c r="BQ20" s="62"/>
      <c r="BR20" s="61"/>
      <c r="BS20" s="61"/>
      <c r="BT20" s="61"/>
      <c r="BU20" s="64"/>
      <c r="BV20" s="63"/>
      <c r="BW20" s="63"/>
      <c r="BX20" s="66"/>
      <c r="BY20" s="172"/>
      <c r="BZ20" s="67" t="str">
        <f t="shared" si="24"/>
        <v/>
      </c>
      <c r="CA20" s="56">
        <v>13</v>
      </c>
      <c r="CB20" s="61"/>
      <c r="CC20" s="61"/>
      <c r="CD20" s="68" t="str">
        <f t="shared" si="25"/>
        <v/>
      </c>
      <c r="CE20" s="69" t="str">
        <f t="shared" si="26"/>
        <v/>
      </c>
      <c r="CF20" s="69" t="str">
        <f t="shared" si="27"/>
        <v/>
      </c>
      <c r="CG20" s="62"/>
      <c r="CH20" s="62"/>
      <c r="CI20" s="65" t="str">
        <f t="shared" si="28"/>
        <v/>
      </c>
      <c r="CJ20" s="56">
        <v>13</v>
      </c>
      <c r="CK20" s="61"/>
      <c r="CL20" s="61"/>
      <c r="CM20" s="68" t="str">
        <f t="shared" si="29"/>
        <v/>
      </c>
      <c r="CN20" s="68" t="str">
        <f t="shared" si="30"/>
        <v/>
      </c>
      <c r="CO20" s="68" t="str">
        <f t="shared" si="31"/>
        <v/>
      </c>
      <c r="CP20" s="62"/>
      <c r="CQ20" s="62"/>
      <c r="CR20" s="65" t="str">
        <f t="shared" si="32"/>
        <v/>
      </c>
      <c r="CS20" s="56">
        <v>13</v>
      </c>
      <c r="CT20" s="61"/>
      <c r="CU20" s="61"/>
      <c r="CV20" s="68" t="str">
        <f t="shared" si="33"/>
        <v/>
      </c>
      <c r="CW20" s="68" t="str">
        <f t="shared" si="34"/>
        <v/>
      </c>
      <c r="CX20" s="69" t="str">
        <f t="shared" si="35"/>
        <v/>
      </c>
      <c r="CY20" s="66"/>
      <c r="CZ20" s="66"/>
      <c r="DA20" s="66"/>
      <c r="DB20" s="65" t="str">
        <f t="shared" si="36"/>
        <v/>
      </c>
      <c r="DC20" s="56">
        <v>13</v>
      </c>
      <c r="DD20" s="61"/>
      <c r="DE20" s="61"/>
      <c r="DF20" s="68" t="str">
        <f t="shared" si="37"/>
        <v/>
      </c>
      <c r="DG20" s="69" t="str">
        <f t="shared" si="38"/>
        <v/>
      </c>
      <c r="DH20" s="68" t="str">
        <f t="shared" si="39"/>
        <v/>
      </c>
      <c r="DI20" s="62"/>
      <c r="DJ20" s="62"/>
      <c r="DK20" s="65" t="str">
        <f t="shared" si="40"/>
        <v/>
      </c>
      <c r="DL20" s="56">
        <v>13</v>
      </c>
      <c r="DM20" s="63"/>
      <c r="DN20" s="64"/>
      <c r="DO20" s="64"/>
      <c r="DP20" s="64"/>
      <c r="DQ20" s="63"/>
      <c r="DR20" s="61"/>
      <c r="DS20" s="64"/>
      <c r="DT20" s="61"/>
      <c r="DU20" s="63"/>
      <c r="DV20" s="64"/>
      <c r="DW20" s="64"/>
      <c r="DX20" s="66"/>
      <c r="DY20" s="65" t="str">
        <f t="shared" si="41"/>
        <v/>
      </c>
      <c r="DZ20" s="128">
        <v>13</v>
      </c>
      <c r="EA20" s="173" t="str">
        <f t="shared" si="42"/>
        <v/>
      </c>
      <c r="EB20" s="173" t="str">
        <f t="shared" si="43"/>
        <v/>
      </c>
      <c r="EC20" s="173" t="str">
        <f t="shared" si="44"/>
        <v/>
      </c>
      <c r="ED20" s="63"/>
      <c r="EE20" s="63"/>
      <c r="EF20" s="63"/>
      <c r="EG20" s="63"/>
      <c r="EH20" s="127" t="str">
        <f t="shared" si="5"/>
        <v/>
      </c>
      <c r="EI20" s="56">
        <v>13</v>
      </c>
      <c r="EJ20" s="334"/>
      <c r="EK20" s="334"/>
      <c r="EL20" s="334"/>
      <c r="EM20" s="334"/>
      <c r="EN20" s="334"/>
      <c r="EO20" s="334"/>
      <c r="EP20" s="334"/>
      <c r="EQ20" s="65" t="str">
        <f t="shared" si="45"/>
        <v/>
      </c>
      <c r="ER20" s="20"/>
      <c r="ES20" s="20"/>
      <c r="ET20" s="20"/>
      <c r="EU20" s="20"/>
      <c r="EV20" s="20"/>
      <c r="EW20" s="20"/>
      <c r="EX20" s="20"/>
    </row>
    <row r="21" spans="1:154" s="3" customFormat="1" ht="17.149999999999999" customHeight="1" x14ac:dyDescent="0.25">
      <c r="A21" s="56">
        <v>14</v>
      </c>
      <c r="B21" s="57"/>
      <c r="C21" s="58" t="str">
        <f t="shared" si="6"/>
        <v/>
      </c>
      <c r="D21" s="167"/>
      <c r="E21" s="59"/>
      <c r="F21" s="58" t="str">
        <f t="shared" si="7"/>
        <v/>
      </c>
      <c r="G21" s="168"/>
      <c r="H21" s="57"/>
      <c r="I21" s="58" t="str">
        <f t="shared" si="0"/>
        <v/>
      </c>
      <c r="J21" s="60"/>
      <c r="K21" s="56">
        <v>14</v>
      </c>
      <c r="L21" s="57"/>
      <c r="M21" s="58" t="str">
        <f t="shared" si="8"/>
        <v/>
      </c>
      <c r="N21" s="59"/>
      <c r="O21" s="58" t="str">
        <f t="shared" si="9"/>
        <v/>
      </c>
      <c r="P21" s="57"/>
      <c r="Q21" s="169" t="str">
        <f t="shared" si="1"/>
        <v/>
      </c>
      <c r="R21" s="57"/>
      <c r="S21" s="57"/>
      <c r="T21" s="57"/>
      <c r="U21" s="57"/>
      <c r="V21" s="58" t="str">
        <f t="shared" si="10"/>
        <v/>
      </c>
      <c r="W21" s="56">
        <v>14</v>
      </c>
      <c r="X21" s="63"/>
      <c r="Y21" s="130" t="str">
        <f t="shared" si="11"/>
        <v/>
      </c>
      <c r="Z21" s="63"/>
      <c r="AA21" s="130" t="str">
        <f t="shared" si="12"/>
        <v/>
      </c>
      <c r="AB21" s="63"/>
      <c r="AC21" s="130" t="str">
        <f t="shared" si="13"/>
        <v/>
      </c>
      <c r="AD21" s="63"/>
      <c r="AE21" s="130" t="str">
        <f t="shared" si="2"/>
        <v/>
      </c>
      <c r="AF21" s="125" t="str">
        <f t="shared" si="14"/>
        <v/>
      </c>
      <c r="AG21" s="56">
        <v>14</v>
      </c>
      <c r="AH21" s="63"/>
      <c r="AI21" s="130" t="str">
        <f t="shared" si="15"/>
        <v/>
      </c>
      <c r="AJ21" s="63"/>
      <c r="AK21" s="130" t="str">
        <f t="shared" si="16"/>
        <v/>
      </c>
      <c r="AL21" s="63"/>
      <c r="AM21" s="130" t="str">
        <f t="shared" si="17"/>
        <v/>
      </c>
      <c r="AN21" s="63"/>
      <c r="AO21" s="130" t="str">
        <f t="shared" si="3"/>
        <v/>
      </c>
      <c r="AP21" s="125" t="str">
        <f t="shared" si="18"/>
        <v/>
      </c>
      <c r="AQ21" s="56">
        <v>14</v>
      </c>
      <c r="AR21" s="63"/>
      <c r="AS21" s="130" t="str">
        <f t="shared" si="19"/>
        <v/>
      </c>
      <c r="AT21" s="63"/>
      <c r="AU21" s="130" t="str">
        <f t="shared" si="20"/>
        <v/>
      </c>
      <c r="AV21" s="63"/>
      <c r="AW21" s="130" t="str">
        <f t="shared" si="21"/>
        <v/>
      </c>
      <c r="AX21" s="63"/>
      <c r="AY21" s="130" t="str">
        <f t="shared" si="4"/>
        <v/>
      </c>
      <c r="AZ21" s="125" t="str">
        <f t="shared" si="22"/>
        <v/>
      </c>
      <c r="BA21" s="56">
        <v>14</v>
      </c>
      <c r="BB21" s="63"/>
      <c r="BC21" s="62"/>
      <c r="BD21" s="61"/>
      <c r="BE21" s="61"/>
      <c r="BF21" s="61"/>
      <c r="BG21" s="61"/>
      <c r="BH21" s="64"/>
      <c r="BI21" s="64"/>
      <c r="BJ21" s="64"/>
      <c r="BK21" s="64"/>
      <c r="BL21" s="64"/>
      <c r="BM21" s="64"/>
      <c r="BN21" s="65" t="str">
        <f t="shared" si="23"/>
        <v/>
      </c>
      <c r="BO21" s="56">
        <v>14</v>
      </c>
      <c r="BP21" s="64"/>
      <c r="BQ21" s="62"/>
      <c r="BR21" s="61"/>
      <c r="BS21" s="61"/>
      <c r="BT21" s="61"/>
      <c r="BU21" s="64"/>
      <c r="BV21" s="63"/>
      <c r="BW21" s="63"/>
      <c r="BX21" s="66"/>
      <c r="BY21" s="172"/>
      <c r="BZ21" s="67" t="str">
        <f t="shared" si="24"/>
        <v/>
      </c>
      <c r="CA21" s="56">
        <v>14</v>
      </c>
      <c r="CB21" s="61"/>
      <c r="CC21" s="61"/>
      <c r="CD21" s="68" t="str">
        <f t="shared" si="25"/>
        <v/>
      </c>
      <c r="CE21" s="69" t="str">
        <f t="shared" si="26"/>
        <v/>
      </c>
      <c r="CF21" s="69" t="str">
        <f t="shared" si="27"/>
        <v/>
      </c>
      <c r="CG21" s="62"/>
      <c r="CH21" s="62"/>
      <c r="CI21" s="65" t="str">
        <f t="shared" si="28"/>
        <v/>
      </c>
      <c r="CJ21" s="56">
        <v>14</v>
      </c>
      <c r="CK21" s="61"/>
      <c r="CL21" s="61"/>
      <c r="CM21" s="68" t="str">
        <f t="shared" si="29"/>
        <v/>
      </c>
      <c r="CN21" s="68" t="str">
        <f t="shared" si="30"/>
        <v/>
      </c>
      <c r="CO21" s="68" t="str">
        <f t="shared" si="31"/>
        <v/>
      </c>
      <c r="CP21" s="62"/>
      <c r="CQ21" s="62"/>
      <c r="CR21" s="65" t="str">
        <f t="shared" si="32"/>
        <v/>
      </c>
      <c r="CS21" s="56">
        <v>14</v>
      </c>
      <c r="CT21" s="61"/>
      <c r="CU21" s="61"/>
      <c r="CV21" s="68" t="str">
        <f t="shared" si="33"/>
        <v/>
      </c>
      <c r="CW21" s="68" t="str">
        <f t="shared" si="34"/>
        <v/>
      </c>
      <c r="CX21" s="69" t="str">
        <f t="shared" si="35"/>
        <v/>
      </c>
      <c r="CY21" s="66"/>
      <c r="CZ21" s="66"/>
      <c r="DA21" s="66"/>
      <c r="DB21" s="65" t="str">
        <f t="shared" si="36"/>
        <v/>
      </c>
      <c r="DC21" s="56">
        <v>14</v>
      </c>
      <c r="DD21" s="61"/>
      <c r="DE21" s="61"/>
      <c r="DF21" s="68" t="str">
        <f t="shared" si="37"/>
        <v/>
      </c>
      <c r="DG21" s="69" t="str">
        <f t="shared" si="38"/>
        <v/>
      </c>
      <c r="DH21" s="68" t="str">
        <f t="shared" si="39"/>
        <v/>
      </c>
      <c r="DI21" s="62"/>
      <c r="DJ21" s="62"/>
      <c r="DK21" s="65" t="str">
        <f t="shared" si="40"/>
        <v/>
      </c>
      <c r="DL21" s="56">
        <v>14</v>
      </c>
      <c r="DM21" s="63"/>
      <c r="DN21" s="64"/>
      <c r="DO21" s="64"/>
      <c r="DP21" s="64"/>
      <c r="DQ21" s="63"/>
      <c r="DR21" s="61"/>
      <c r="DS21" s="64"/>
      <c r="DT21" s="61"/>
      <c r="DU21" s="63"/>
      <c r="DV21" s="64"/>
      <c r="DW21" s="64"/>
      <c r="DX21" s="66"/>
      <c r="DY21" s="65" t="str">
        <f t="shared" si="41"/>
        <v/>
      </c>
      <c r="DZ21" s="128">
        <v>14</v>
      </c>
      <c r="EA21" s="173" t="str">
        <f t="shared" si="42"/>
        <v/>
      </c>
      <c r="EB21" s="173" t="str">
        <f t="shared" si="43"/>
        <v/>
      </c>
      <c r="EC21" s="173" t="str">
        <f t="shared" si="44"/>
        <v/>
      </c>
      <c r="ED21" s="63"/>
      <c r="EE21" s="63"/>
      <c r="EF21" s="63"/>
      <c r="EG21" s="63"/>
      <c r="EH21" s="127" t="str">
        <f t="shared" si="5"/>
        <v/>
      </c>
      <c r="EI21" s="56">
        <v>14</v>
      </c>
      <c r="EJ21" s="334"/>
      <c r="EK21" s="334"/>
      <c r="EL21" s="334"/>
      <c r="EM21" s="334"/>
      <c r="EN21" s="334"/>
      <c r="EO21" s="334"/>
      <c r="EP21" s="334"/>
      <c r="EQ21" s="65" t="str">
        <f t="shared" si="45"/>
        <v/>
      </c>
      <c r="ER21" s="20"/>
      <c r="ES21" s="20"/>
      <c r="ET21" s="20"/>
      <c r="EU21" s="20"/>
      <c r="EV21" s="20"/>
      <c r="EW21" s="20"/>
      <c r="EX21" s="20"/>
    </row>
    <row r="22" spans="1:154" s="3" customFormat="1" ht="17.149999999999999" customHeight="1" x14ac:dyDescent="0.25">
      <c r="A22" s="56">
        <v>15</v>
      </c>
      <c r="B22" s="57"/>
      <c r="C22" s="58" t="str">
        <f t="shared" si="6"/>
        <v/>
      </c>
      <c r="D22" s="167"/>
      <c r="E22" s="59"/>
      <c r="F22" s="58" t="str">
        <f t="shared" si="7"/>
        <v/>
      </c>
      <c r="G22" s="168"/>
      <c r="H22" s="57"/>
      <c r="I22" s="58" t="str">
        <f t="shared" si="0"/>
        <v/>
      </c>
      <c r="J22" s="60"/>
      <c r="K22" s="56">
        <v>15</v>
      </c>
      <c r="L22" s="57"/>
      <c r="M22" s="58" t="str">
        <f t="shared" si="8"/>
        <v/>
      </c>
      <c r="N22" s="59"/>
      <c r="O22" s="58" t="str">
        <f t="shared" si="9"/>
        <v/>
      </c>
      <c r="P22" s="57"/>
      <c r="Q22" s="169" t="str">
        <f t="shared" si="1"/>
        <v/>
      </c>
      <c r="R22" s="57"/>
      <c r="S22" s="57"/>
      <c r="T22" s="57"/>
      <c r="U22" s="57"/>
      <c r="V22" s="58" t="str">
        <f t="shared" si="10"/>
        <v/>
      </c>
      <c r="W22" s="56">
        <v>15</v>
      </c>
      <c r="X22" s="63"/>
      <c r="Y22" s="130" t="str">
        <f t="shared" si="11"/>
        <v/>
      </c>
      <c r="Z22" s="63"/>
      <c r="AA22" s="130" t="str">
        <f t="shared" si="12"/>
        <v/>
      </c>
      <c r="AB22" s="63"/>
      <c r="AC22" s="130" t="str">
        <f t="shared" si="13"/>
        <v/>
      </c>
      <c r="AD22" s="63"/>
      <c r="AE22" s="130" t="str">
        <f t="shared" si="2"/>
        <v/>
      </c>
      <c r="AF22" s="125" t="str">
        <f t="shared" si="14"/>
        <v/>
      </c>
      <c r="AG22" s="56">
        <v>15</v>
      </c>
      <c r="AH22" s="63"/>
      <c r="AI22" s="130" t="str">
        <f t="shared" si="15"/>
        <v/>
      </c>
      <c r="AJ22" s="63"/>
      <c r="AK22" s="130" t="str">
        <f t="shared" si="16"/>
        <v/>
      </c>
      <c r="AL22" s="63"/>
      <c r="AM22" s="130" t="str">
        <f t="shared" si="17"/>
        <v/>
      </c>
      <c r="AN22" s="63"/>
      <c r="AO22" s="130" t="str">
        <f t="shared" si="3"/>
        <v/>
      </c>
      <c r="AP22" s="125" t="str">
        <f t="shared" si="18"/>
        <v/>
      </c>
      <c r="AQ22" s="56">
        <v>15</v>
      </c>
      <c r="AR22" s="63"/>
      <c r="AS22" s="130" t="str">
        <f t="shared" si="19"/>
        <v/>
      </c>
      <c r="AT22" s="63"/>
      <c r="AU22" s="130" t="str">
        <f t="shared" si="20"/>
        <v/>
      </c>
      <c r="AV22" s="63"/>
      <c r="AW22" s="130" t="str">
        <f t="shared" si="21"/>
        <v/>
      </c>
      <c r="AX22" s="63"/>
      <c r="AY22" s="130" t="str">
        <f t="shared" si="4"/>
        <v/>
      </c>
      <c r="AZ22" s="125" t="str">
        <f t="shared" si="22"/>
        <v/>
      </c>
      <c r="BA22" s="56">
        <v>15</v>
      </c>
      <c r="BB22" s="63"/>
      <c r="BC22" s="70"/>
      <c r="BD22" s="71"/>
      <c r="BE22" s="71"/>
      <c r="BF22" s="71"/>
      <c r="BG22" s="71"/>
      <c r="BH22" s="72"/>
      <c r="BI22" s="72"/>
      <c r="BJ22" s="72"/>
      <c r="BK22" s="72"/>
      <c r="BL22" s="64"/>
      <c r="BM22" s="64"/>
      <c r="BN22" s="65" t="str">
        <f t="shared" si="23"/>
        <v/>
      </c>
      <c r="BO22" s="56">
        <v>15</v>
      </c>
      <c r="BP22" s="64"/>
      <c r="BQ22" s="62"/>
      <c r="BR22" s="61"/>
      <c r="BS22" s="61"/>
      <c r="BT22" s="61"/>
      <c r="BU22" s="64"/>
      <c r="BV22" s="63"/>
      <c r="BW22" s="63"/>
      <c r="BX22" s="66"/>
      <c r="BY22" s="172"/>
      <c r="BZ22" s="67" t="str">
        <f t="shared" si="24"/>
        <v/>
      </c>
      <c r="CA22" s="56">
        <v>15</v>
      </c>
      <c r="CB22" s="61"/>
      <c r="CC22" s="61"/>
      <c r="CD22" s="68" t="str">
        <f t="shared" si="25"/>
        <v/>
      </c>
      <c r="CE22" s="69" t="str">
        <f t="shared" si="26"/>
        <v/>
      </c>
      <c r="CF22" s="69" t="str">
        <f t="shared" si="27"/>
        <v/>
      </c>
      <c r="CG22" s="62"/>
      <c r="CH22" s="62"/>
      <c r="CI22" s="65" t="str">
        <f t="shared" si="28"/>
        <v/>
      </c>
      <c r="CJ22" s="56">
        <v>15</v>
      </c>
      <c r="CK22" s="61"/>
      <c r="CL22" s="61"/>
      <c r="CM22" s="68" t="str">
        <f t="shared" si="29"/>
        <v/>
      </c>
      <c r="CN22" s="68" t="str">
        <f t="shared" si="30"/>
        <v/>
      </c>
      <c r="CO22" s="68" t="str">
        <f t="shared" si="31"/>
        <v/>
      </c>
      <c r="CP22" s="62"/>
      <c r="CQ22" s="62"/>
      <c r="CR22" s="65" t="str">
        <f t="shared" si="32"/>
        <v/>
      </c>
      <c r="CS22" s="56">
        <v>15</v>
      </c>
      <c r="CT22" s="61"/>
      <c r="CU22" s="61"/>
      <c r="CV22" s="68" t="str">
        <f t="shared" si="33"/>
        <v/>
      </c>
      <c r="CW22" s="68" t="str">
        <f t="shared" si="34"/>
        <v/>
      </c>
      <c r="CX22" s="69" t="str">
        <f t="shared" si="35"/>
        <v/>
      </c>
      <c r="CY22" s="66"/>
      <c r="CZ22" s="66"/>
      <c r="DA22" s="66"/>
      <c r="DB22" s="65" t="str">
        <f t="shared" si="36"/>
        <v/>
      </c>
      <c r="DC22" s="56">
        <v>15</v>
      </c>
      <c r="DD22" s="61"/>
      <c r="DE22" s="61"/>
      <c r="DF22" s="68" t="str">
        <f t="shared" si="37"/>
        <v/>
      </c>
      <c r="DG22" s="69" t="str">
        <f t="shared" si="38"/>
        <v/>
      </c>
      <c r="DH22" s="68" t="str">
        <f t="shared" si="39"/>
        <v/>
      </c>
      <c r="DI22" s="62"/>
      <c r="DJ22" s="62"/>
      <c r="DK22" s="65" t="str">
        <f t="shared" si="40"/>
        <v/>
      </c>
      <c r="DL22" s="56">
        <v>15</v>
      </c>
      <c r="DM22" s="63"/>
      <c r="DN22" s="64"/>
      <c r="DO22" s="64"/>
      <c r="DP22" s="64"/>
      <c r="DQ22" s="63"/>
      <c r="DR22" s="61"/>
      <c r="DS22" s="64"/>
      <c r="DT22" s="61"/>
      <c r="DU22" s="63"/>
      <c r="DV22" s="64"/>
      <c r="DW22" s="64"/>
      <c r="DX22" s="66"/>
      <c r="DY22" s="65" t="str">
        <f t="shared" si="41"/>
        <v/>
      </c>
      <c r="DZ22" s="128">
        <v>15</v>
      </c>
      <c r="EA22" s="173" t="str">
        <f t="shared" si="42"/>
        <v/>
      </c>
      <c r="EB22" s="173" t="str">
        <f t="shared" si="43"/>
        <v/>
      </c>
      <c r="EC22" s="173" t="str">
        <f t="shared" si="44"/>
        <v/>
      </c>
      <c r="ED22" s="63"/>
      <c r="EE22" s="63"/>
      <c r="EF22" s="63"/>
      <c r="EG22" s="63"/>
      <c r="EH22" s="127" t="str">
        <f t="shared" si="5"/>
        <v/>
      </c>
      <c r="EI22" s="56">
        <v>15</v>
      </c>
      <c r="EJ22" s="334"/>
      <c r="EK22" s="334"/>
      <c r="EL22" s="334"/>
      <c r="EM22" s="334"/>
      <c r="EN22" s="334"/>
      <c r="EO22" s="334"/>
      <c r="EP22" s="334"/>
      <c r="EQ22" s="65" t="str">
        <f t="shared" si="45"/>
        <v/>
      </c>
      <c r="ER22" s="20"/>
      <c r="ES22" s="20"/>
      <c r="ET22" s="20"/>
      <c r="EU22" s="20"/>
      <c r="EV22" s="20"/>
      <c r="EW22" s="20"/>
      <c r="EX22" s="20"/>
    </row>
    <row r="23" spans="1:154" s="3" customFormat="1" ht="17.149999999999999" customHeight="1" x14ac:dyDescent="0.25">
      <c r="A23" s="56">
        <v>16</v>
      </c>
      <c r="B23" s="57"/>
      <c r="C23" s="58" t="str">
        <f t="shared" si="6"/>
        <v/>
      </c>
      <c r="D23" s="167"/>
      <c r="E23" s="59"/>
      <c r="F23" s="58" t="str">
        <f t="shared" si="7"/>
        <v/>
      </c>
      <c r="G23" s="168"/>
      <c r="H23" s="57"/>
      <c r="I23" s="58" t="str">
        <f t="shared" si="0"/>
        <v/>
      </c>
      <c r="J23" s="60"/>
      <c r="K23" s="56">
        <v>16</v>
      </c>
      <c r="L23" s="57"/>
      <c r="M23" s="58" t="str">
        <f t="shared" si="8"/>
        <v/>
      </c>
      <c r="N23" s="59"/>
      <c r="O23" s="58" t="str">
        <f t="shared" si="9"/>
        <v/>
      </c>
      <c r="P23" s="57"/>
      <c r="Q23" s="169" t="str">
        <f t="shared" si="1"/>
        <v/>
      </c>
      <c r="R23" s="57"/>
      <c r="S23" s="57"/>
      <c r="T23" s="57"/>
      <c r="U23" s="57"/>
      <c r="V23" s="58" t="str">
        <f t="shared" si="10"/>
        <v/>
      </c>
      <c r="W23" s="56">
        <v>16</v>
      </c>
      <c r="X23" s="63"/>
      <c r="Y23" s="130" t="str">
        <f t="shared" si="11"/>
        <v/>
      </c>
      <c r="Z23" s="63"/>
      <c r="AA23" s="130" t="str">
        <f t="shared" si="12"/>
        <v/>
      </c>
      <c r="AB23" s="63"/>
      <c r="AC23" s="130" t="str">
        <f t="shared" si="13"/>
        <v/>
      </c>
      <c r="AD23" s="63"/>
      <c r="AE23" s="130" t="str">
        <f t="shared" si="2"/>
        <v/>
      </c>
      <c r="AF23" s="125" t="str">
        <f t="shared" si="14"/>
        <v/>
      </c>
      <c r="AG23" s="56">
        <v>16</v>
      </c>
      <c r="AH23" s="63"/>
      <c r="AI23" s="130" t="str">
        <f t="shared" si="15"/>
        <v/>
      </c>
      <c r="AJ23" s="63"/>
      <c r="AK23" s="130" t="str">
        <f t="shared" si="16"/>
        <v/>
      </c>
      <c r="AL23" s="63"/>
      <c r="AM23" s="130" t="str">
        <f t="shared" si="17"/>
        <v/>
      </c>
      <c r="AN23" s="63"/>
      <c r="AO23" s="130" t="str">
        <f t="shared" si="3"/>
        <v/>
      </c>
      <c r="AP23" s="125" t="str">
        <f t="shared" si="18"/>
        <v/>
      </c>
      <c r="AQ23" s="56">
        <v>16</v>
      </c>
      <c r="AR23" s="63"/>
      <c r="AS23" s="130" t="str">
        <f t="shared" si="19"/>
        <v/>
      </c>
      <c r="AT23" s="63"/>
      <c r="AU23" s="130" t="str">
        <f t="shared" si="20"/>
        <v/>
      </c>
      <c r="AV23" s="63"/>
      <c r="AW23" s="130" t="str">
        <f t="shared" si="21"/>
        <v/>
      </c>
      <c r="AX23" s="63"/>
      <c r="AY23" s="130" t="str">
        <f t="shared" si="4"/>
        <v/>
      </c>
      <c r="AZ23" s="125" t="str">
        <f t="shared" si="22"/>
        <v/>
      </c>
      <c r="BA23" s="56">
        <v>16</v>
      </c>
      <c r="BB23" s="63"/>
      <c r="BC23" s="62"/>
      <c r="BD23" s="61"/>
      <c r="BE23" s="61"/>
      <c r="BF23" s="61"/>
      <c r="BG23" s="61"/>
      <c r="BH23" s="64"/>
      <c r="BI23" s="64"/>
      <c r="BJ23" s="64"/>
      <c r="BK23" s="64"/>
      <c r="BL23" s="64"/>
      <c r="BM23" s="64"/>
      <c r="BN23" s="65" t="str">
        <f t="shared" si="23"/>
        <v/>
      </c>
      <c r="BO23" s="56">
        <v>16</v>
      </c>
      <c r="BP23" s="64"/>
      <c r="BQ23" s="62"/>
      <c r="BR23" s="61"/>
      <c r="BS23" s="61"/>
      <c r="BT23" s="61"/>
      <c r="BU23" s="64"/>
      <c r="BV23" s="63"/>
      <c r="BW23" s="63"/>
      <c r="BX23" s="66"/>
      <c r="BY23" s="172"/>
      <c r="BZ23" s="67" t="str">
        <f t="shared" si="24"/>
        <v/>
      </c>
      <c r="CA23" s="56">
        <v>16</v>
      </c>
      <c r="CB23" s="61"/>
      <c r="CC23" s="61"/>
      <c r="CD23" s="68" t="str">
        <f t="shared" si="25"/>
        <v/>
      </c>
      <c r="CE23" s="69" t="str">
        <f t="shared" si="26"/>
        <v/>
      </c>
      <c r="CF23" s="69" t="str">
        <f t="shared" si="27"/>
        <v/>
      </c>
      <c r="CG23" s="62"/>
      <c r="CH23" s="62"/>
      <c r="CI23" s="65" t="str">
        <f t="shared" si="28"/>
        <v/>
      </c>
      <c r="CJ23" s="56">
        <v>16</v>
      </c>
      <c r="CK23" s="61"/>
      <c r="CL23" s="61"/>
      <c r="CM23" s="68" t="str">
        <f t="shared" si="29"/>
        <v/>
      </c>
      <c r="CN23" s="68" t="str">
        <f t="shared" si="30"/>
        <v/>
      </c>
      <c r="CO23" s="68" t="str">
        <f t="shared" si="31"/>
        <v/>
      </c>
      <c r="CP23" s="62"/>
      <c r="CQ23" s="62"/>
      <c r="CR23" s="65" t="str">
        <f t="shared" si="32"/>
        <v/>
      </c>
      <c r="CS23" s="56">
        <v>16</v>
      </c>
      <c r="CT23" s="61"/>
      <c r="CU23" s="61"/>
      <c r="CV23" s="68" t="str">
        <f t="shared" si="33"/>
        <v/>
      </c>
      <c r="CW23" s="68" t="str">
        <f t="shared" si="34"/>
        <v/>
      </c>
      <c r="CX23" s="69" t="str">
        <f t="shared" si="35"/>
        <v/>
      </c>
      <c r="CY23" s="66"/>
      <c r="CZ23" s="66"/>
      <c r="DA23" s="66"/>
      <c r="DB23" s="65" t="str">
        <f t="shared" si="36"/>
        <v/>
      </c>
      <c r="DC23" s="56">
        <v>16</v>
      </c>
      <c r="DD23" s="61"/>
      <c r="DE23" s="61"/>
      <c r="DF23" s="68" t="str">
        <f t="shared" si="37"/>
        <v/>
      </c>
      <c r="DG23" s="69" t="str">
        <f t="shared" si="38"/>
        <v/>
      </c>
      <c r="DH23" s="68" t="str">
        <f t="shared" si="39"/>
        <v/>
      </c>
      <c r="DI23" s="62"/>
      <c r="DJ23" s="62"/>
      <c r="DK23" s="65" t="str">
        <f t="shared" si="40"/>
        <v/>
      </c>
      <c r="DL23" s="56">
        <v>16</v>
      </c>
      <c r="DM23" s="63"/>
      <c r="DN23" s="64"/>
      <c r="DO23" s="64"/>
      <c r="DP23" s="64"/>
      <c r="DQ23" s="63"/>
      <c r="DR23" s="61"/>
      <c r="DS23" s="64"/>
      <c r="DT23" s="61"/>
      <c r="DU23" s="63"/>
      <c r="DV23" s="64"/>
      <c r="DW23" s="64"/>
      <c r="DX23" s="66"/>
      <c r="DY23" s="65" t="str">
        <f t="shared" si="41"/>
        <v/>
      </c>
      <c r="DZ23" s="128">
        <v>16</v>
      </c>
      <c r="EA23" s="173" t="str">
        <f t="shared" si="42"/>
        <v/>
      </c>
      <c r="EB23" s="173" t="str">
        <f t="shared" si="43"/>
        <v/>
      </c>
      <c r="EC23" s="173" t="str">
        <f t="shared" si="44"/>
        <v/>
      </c>
      <c r="ED23" s="63"/>
      <c r="EE23" s="63"/>
      <c r="EF23" s="63"/>
      <c r="EG23" s="63"/>
      <c r="EH23" s="127" t="str">
        <f t="shared" si="5"/>
        <v/>
      </c>
      <c r="EI23" s="56">
        <v>16</v>
      </c>
      <c r="EJ23" s="334"/>
      <c r="EK23" s="334"/>
      <c r="EL23" s="334"/>
      <c r="EM23" s="334"/>
      <c r="EN23" s="334"/>
      <c r="EO23" s="334"/>
      <c r="EP23" s="334"/>
      <c r="EQ23" s="65" t="str">
        <f t="shared" si="45"/>
        <v/>
      </c>
      <c r="ER23" s="20"/>
      <c r="ES23" s="20"/>
      <c r="ET23" s="20"/>
      <c r="EU23" s="20"/>
      <c r="EV23" s="20"/>
      <c r="EW23" s="20"/>
      <c r="EX23" s="20"/>
    </row>
    <row r="24" spans="1:154" s="3" customFormat="1" ht="17.149999999999999" customHeight="1" x14ac:dyDescent="0.25">
      <c r="A24" s="56">
        <v>17</v>
      </c>
      <c r="B24" s="57"/>
      <c r="C24" s="58" t="str">
        <f t="shared" si="6"/>
        <v/>
      </c>
      <c r="D24" s="167"/>
      <c r="E24" s="59"/>
      <c r="F24" s="58" t="str">
        <f t="shared" si="7"/>
        <v/>
      </c>
      <c r="G24" s="168"/>
      <c r="H24" s="57"/>
      <c r="I24" s="58" t="str">
        <f t="shared" si="0"/>
        <v/>
      </c>
      <c r="J24" s="60"/>
      <c r="K24" s="56">
        <v>17</v>
      </c>
      <c r="L24" s="57"/>
      <c r="M24" s="58" t="str">
        <f t="shared" si="8"/>
        <v/>
      </c>
      <c r="N24" s="59"/>
      <c r="O24" s="58" t="str">
        <f t="shared" si="9"/>
        <v/>
      </c>
      <c r="P24" s="57"/>
      <c r="Q24" s="169" t="str">
        <f t="shared" si="1"/>
        <v/>
      </c>
      <c r="R24" s="57"/>
      <c r="S24" s="57"/>
      <c r="T24" s="57"/>
      <c r="U24" s="57"/>
      <c r="V24" s="58" t="str">
        <f t="shared" si="10"/>
        <v/>
      </c>
      <c r="W24" s="56">
        <v>17</v>
      </c>
      <c r="X24" s="63"/>
      <c r="Y24" s="130" t="str">
        <f t="shared" si="11"/>
        <v/>
      </c>
      <c r="Z24" s="63"/>
      <c r="AA24" s="130" t="str">
        <f t="shared" si="12"/>
        <v/>
      </c>
      <c r="AB24" s="63"/>
      <c r="AC24" s="130" t="str">
        <f t="shared" si="13"/>
        <v/>
      </c>
      <c r="AD24" s="63"/>
      <c r="AE24" s="130" t="str">
        <f t="shared" si="2"/>
        <v/>
      </c>
      <c r="AF24" s="125" t="str">
        <f t="shared" si="14"/>
        <v/>
      </c>
      <c r="AG24" s="56">
        <v>17</v>
      </c>
      <c r="AH24" s="63"/>
      <c r="AI24" s="130" t="str">
        <f t="shared" si="15"/>
        <v/>
      </c>
      <c r="AJ24" s="63"/>
      <c r="AK24" s="130" t="str">
        <f t="shared" si="16"/>
        <v/>
      </c>
      <c r="AL24" s="63"/>
      <c r="AM24" s="130" t="str">
        <f t="shared" si="17"/>
        <v/>
      </c>
      <c r="AN24" s="63"/>
      <c r="AO24" s="130" t="str">
        <f t="shared" si="3"/>
        <v/>
      </c>
      <c r="AP24" s="125" t="str">
        <f t="shared" si="18"/>
        <v/>
      </c>
      <c r="AQ24" s="56">
        <v>17</v>
      </c>
      <c r="AR24" s="63"/>
      <c r="AS24" s="130" t="str">
        <f t="shared" si="19"/>
        <v/>
      </c>
      <c r="AT24" s="63"/>
      <c r="AU24" s="130" t="str">
        <f t="shared" si="20"/>
        <v/>
      </c>
      <c r="AV24" s="63"/>
      <c r="AW24" s="130" t="str">
        <f t="shared" si="21"/>
        <v/>
      </c>
      <c r="AX24" s="63"/>
      <c r="AY24" s="130" t="str">
        <f t="shared" si="4"/>
        <v/>
      </c>
      <c r="AZ24" s="125" t="str">
        <f t="shared" si="22"/>
        <v/>
      </c>
      <c r="BA24" s="56">
        <v>17</v>
      </c>
      <c r="BB24" s="63"/>
      <c r="BC24" s="62"/>
      <c r="BD24" s="61"/>
      <c r="BE24" s="61"/>
      <c r="BF24" s="61"/>
      <c r="BG24" s="61"/>
      <c r="BH24" s="64"/>
      <c r="BI24" s="64"/>
      <c r="BJ24" s="64"/>
      <c r="BK24" s="64"/>
      <c r="BL24" s="64"/>
      <c r="BM24" s="64"/>
      <c r="BN24" s="65" t="str">
        <f t="shared" si="23"/>
        <v/>
      </c>
      <c r="BO24" s="56">
        <v>17</v>
      </c>
      <c r="BP24" s="64"/>
      <c r="BQ24" s="62"/>
      <c r="BR24" s="61"/>
      <c r="BS24" s="61"/>
      <c r="BT24" s="61"/>
      <c r="BU24" s="64"/>
      <c r="BV24" s="63"/>
      <c r="BW24" s="63"/>
      <c r="BX24" s="66"/>
      <c r="BY24" s="172"/>
      <c r="BZ24" s="67" t="str">
        <f t="shared" si="24"/>
        <v/>
      </c>
      <c r="CA24" s="56">
        <v>17</v>
      </c>
      <c r="CB24" s="61"/>
      <c r="CC24" s="61"/>
      <c r="CD24" s="68" t="str">
        <f t="shared" si="25"/>
        <v/>
      </c>
      <c r="CE24" s="69" t="str">
        <f t="shared" si="26"/>
        <v/>
      </c>
      <c r="CF24" s="69" t="str">
        <f t="shared" si="27"/>
        <v/>
      </c>
      <c r="CG24" s="62"/>
      <c r="CH24" s="62"/>
      <c r="CI24" s="65" t="str">
        <f t="shared" si="28"/>
        <v/>
      </c>
      <c r="CJ24" s="56">
        <v>17</v>
      </c>
      <c r="CK24" s="61"/>
      <c r="CL24" s="61"/>
      <c r="CM24" s="68" t="str">
        <f t="shared" si="29"/>
        <v/>
      </c>
      <c r="CN24" s="68" t="str">
        <f t="shared" si="30"/>
        <v/>
      </c>
      <c r="CO24" s="68" t="str">
        <f t="shared" si="31"/>
        <v/>
      </c>
      <c r="CP24" s="62"/>
      <c r="CQ24" s="62"/>
      <c r="CR24" s="65" t="str">
        <f t="shared" si="32"/>
        <v/>
      </c>
      <c r="CS24" s="56">
        <v>17</v>
      </c>
      <c r="CT24" s="61"/>
      <c r="CU24" s="61"/>
      <c r="CV24" s="68" t="str">
        <f t="shared" si="33"/>
        <v/>
      </c>
      <c r="CW24" s="68" t="str">
        <f t="shared" si="34"/>
        <v/>
      </c>
      <c r="CX24" s="69" t="str">
        <f t="shared" si="35"/>
        <v/>
      </c>
      <c r="CY24" s="66"/>
      <c r="CZ24" s="66"/>
      <c r="DA24" s="66"/>
      <c r="DB24" s="65" t="str">
        <f t="shared" si="36"/>
        <v/>
      </c>
      <c r="DC24" s="56">
        <v>17</v>
      </c>
      <c r="DD24" s="61"/>
      <c r="DE24" s="61"/>
      <c r="DF24" s="68" t="str">
        <f t="shared" si="37"/>
        <v/>
      </c>
      <c r="DG24" s="69" t="str">
        <f t="shared" si="38"/>
        <v/>
      </c>
      <c r="DH24" s="68" t="str">
        <f t="shared" si="39"/>
        <v/>
      </c>
      <c r="DI24" s="62"/>
      <c r="DJ24" s="62"/>
      <c r="DK24" s="65" t="str">
        <f t="shared" si="40"/>
        <v/>
      </c>
      <c r="DL24" s="56">
        <v>17</v>
      </c>
      <c r="DM24" s="63"/>
      <c r="DN24" s="64"/>
      <c r="DO24" s="64"/>
      <c r="DP24" s="64"/>
      <c r="DQ24" s="63"/>
      <c r="DR24" s="61"/>
      <c r="DS24" s="64"/>
      <c r="DT24" s="61"/>
      <c r="DU24" s="63"/>
      <c r="DV24" s="64"/>
      <c r="DW24" s="64"/>
      <c r="DX24" s="66"/>
      <c r="DY24" s="65" t="str">
        <f t="shared" si="41"/>
        <v/>
      </c>
      <c r="DZ24" s="128">
        <v>17</v>
      </c>
      <c r="EA24" s="173" t="str">
        <f t="shared" si="42"/>
        <v/>
      </c>
      <c r="EB24" s="173" t="str">
        <f t="shared" si="43"/>
        <v/>
      </c>
      <c r="EC24" s="173" t="str">
        <f t="shared" si="44"/>
        <v/>
      </c>
      <c r="ED24" s="63"/>
      <c r="EE24" s="63"/>
      <c r="EF24" s="63"/>
      <c r="EG24" s="63"/>
      <c r="EH24" s="127" t="str">
        <f t="shared" si="5"/>
        <v/>
      </c>
      <c r="EI24" s="56">
        <v>17</v>
      </c>
      <c r="EJ24" s="334"/>
      <c r="EK24" s="334"/>
      <c r="EL24" s="334"/>
      <c r="EM24" s="334"/>
      <c r="EN24" s="334"/>
      <c r="EO24" s="334"/>
      <c r="EP24" s="334"/>
      <c r="EQ24" s="65" t="str">
        <f t="shared" si="45"/>
        <v/>
      </c>
      <c r="ER24" s="20"/>
      <c r="ES24" s="20"/>
      <c r="ET24" s="20"/>
      <c r="EU24" s="20"/>
      <c r="EV24" s="20"/>
      <c r="EW24" s="20"/>
      <c r="EX24" s="20"/>
    </row>
    <row r="25" spans="1:154" s="3" customFormat="1" ht="17.149999999999999" customHeight="1" x14ac:dyDescent="0.25">
      <c r="A25" s="56">
        <v>18</v>
      </c>
      <c r="B25" s="57"/>
      <c r="C25" s="58" t="str">
        <f t="shared" si="6"/>
        <v/>
      </c>
      <c r="D25" s="167"/>
      <c r="E25" s="59"/>
      <c r="F25" s="58" t="str">
        <f t="shared" si="7"/>
        <v/>
      </c>
      <c r="G25" s="168"/>
      <c r="H25" s="57"/>
      <c r="I25" s="58" t="str">
        <f t="shared" si="0"/>
        <v/>
      </c>
      <c r="J25" s="60"/>
      <c r="K25" s="56">
        <v>18</v>
      </c>
      <c r="L25" s="57"/>
      <c r="M25" s="58" t="str">
        <f t="shared" si="8"/>
        <v/>
      </c>
      <c r="N25" s="59"/>
      <c r="O25" s="58" t="str">
        <f t="shared" si="9"/>
        <v/>
      </c>
      <c r="P25" s="57"/>
      <c r="Q25" s="169" t="str">
        <f t="shared" si="1"/>
        <v/>
      </c>
      <c r="R25" s="57"/>
      <c r="S25" s="57"/>
      <c r="T25" s="57"/>
      <c r="U25" s="57"/>
      <c r="V25" s="58" t="str">
        <f t="shared" si="10"/>
        <v/>
      </c>
      <c r="W25" s="56">
        <v>18</v>
      </c>
      <c r="X25" s="63"/>
      <c r="Y25" s="130" t="str">
        <f t="shared" si="11"/>
        <v/>
      </c>
      <c r="Z25" s="63"/>
      <c r="AA25" s="130" t="str">
        <f t="shared" si="12"/>
        <v/>
      </c>
      <c r="AB25" s="63"/>
      <c r="AC25" s="130" t="str">
        <f t="shared" si="13"/>
        <v/>
      </c>
      <c r="AD25" s="63"/>
      <c r="AE25" s="130" t="str">
        <f t="shared" si="2"/>
        <v/>
      </c>
      <c r="AF25" s="125" t="str">
        <f t="shared" si="14"/>
        <v/>
      </c>
      <c r="AG25" s="56">
        <v>18</v>
      </c>
      <c r="AH25" s="63"/>
      <c r="AI25" s="130" t="str">
        <f t="shared" si="15"/>
        <v/>
      </c>
      <c r="AJ25" s="63"/>
      <c r="AK25" s="130" t="str">
        <f t="shared" si="16"/>
        <v/>
      </c>
      <c r="AL25" s="63"/>
      <c r="AM25" s="130" t="str">
        <f t="shared" si="17"/>
        <v/>
      </c>
      <c r="AN25" s="63"/>
      <c r="AO25" s="130" t="str">
        <f t="shared" si="3"/>
        <v/>
      </c>
      <c r="AP25" s="125" t="str">
        <f t="shared" si="18"/>
        <v/>
      </c>
      <c r="AQ25" s="56">
        <v>18</v>
      </c>
      <c r="AR25" s="63"/>
      <c r="AS25" s="130" t="str">
        <f t="shared" si="19"/>
        <v/>
      </c>
      <c r="AT25" s="63"/>
      <c r="AU25" s="130" t="str">
        <f t="shared" si="20"/>
        <v/>
      </c>
      <c r="AV25" s="63"/>
      <c r="AW25" s="130" t="str">
        <f t="shared" si="21"/>
        <v/>
      </c>
      <c r="AX25" s="63"/>
      <c r="AY25" s="130" t="str">
        <f t="shared" si="4"/>
        <v/>
      </c>
      <c r="AZ25" s="125" t="str">
        <f t="shared" si="22"/>
        <v/>
      </c>
      <c r="BA25" s="56">
        <v>18</v>
      </c>
      <c r="BB25" s="63"/>
      <c r="BC25" s="62"/>
      <c r="BD25" s="61"/>
      <c r="BE25" s="61"/>
      <c r="BF25" s="61"/>
      <c r="BG25" s="61"/>
      <c r="BH25" s="64"/>
      <c r="BI25" s="64"/>
      <c r="BJ25" s="64"/>
      <c r="BK25" s="64"/>
      <c r="BL25" s="64"/>
      <c r="BM25" s="64"/>
      <c r="BN25" s="65" t="str">
        <f t="shared" si="23"/>
        <v/>
      </c>
      <c r="BO25" s="56">
        <v>18</v>
      </c>
      <c r="BP25" s="64"/>
      <c r="BQ25" s="62"/>
      <c r="BR25" s="61"/>
      <c r="BS25" s="61"/>
      <c r="BT25" s="61"/>
      <c r="BU25" s="64"/>
      <c r="BV25" s="63"/>
      <c r="BW25" s="63"/>
      <c r="BX25" s="66"/>
      <c r="BY25" s="172"/>
      <c r="BZ25" s="67" t="str">
        <f t="shared" si="24"/>
        <v/>
      </c>
      <c r="CA25" s="56">
        <v>18</v>
      </c>
      <c r="CB25" s="61"/>
      <c r="CC25" s="61"/>
      <c r="CD25" s="68" t="str">
        <f t="shared" si="25"/>
        <v/>
      </c>
      <c r="CE25" s="69" t="str">
        <f t="shared" si="26"/>
        <v/>
      </c>
      <c r="CF25" s="69" t="str">
        <f t="shared" si="27"/>
        <v/>
      </c>
      <c r="CG25" s="62"/>
      <c r="CH25" s="62"/>
      <c r="CI25" s="65" t="str">
        <f t="shared" si="28"/>
        <v/>
      </c>
      <c r="CJ25" s="56">
        <v>18</v>
      </c>
      <c r="CK25" s="61"/>
      <c r="CL25" s="61"/>
      <c r="CM25" s="68" t="str">
        <f t="shared" si="29"/>
        <v/>
      </c>
      <c r="CN25" s="68" t="str">
        <f t="shared" si="30"/>
        <v/>
      </c>
      <c r="CO25" s="68" t="str">
        <f t="shared" si="31"/>
        <v/>
      </c>
      <c r="CP25" s="62"/>
      <c r="CQ25" s="62"/>
      <c r="CR25" s="65" t="str">
        <f t="shared" si="32"/>
        <v/>
      </c>
      <c r="CS25" s="56">
        <v>18</v>
      </c>
      <c r="CT25" s="61"/>
      <c r="CU25" s="61"/>
      <c r="CV25" s="68" t="str">
        <f t="shared" si="33"/>
        <v/>
      </c>
      <c r="CW25" s="68" t="str">
        <f t="shared" si="34"/>
        <v/>
      </c>
      <c r="CX25" s="69" t="str">
        <f t="shared" si="35"/>
        <v/>
      </c>
      <c r="CY25" s="66"/>
      <c r="CZ25" s="66"/>
      <c r="DA25" s="66"/>
      <c r="DB25" s="65" t="str">
        <f t="shared" si="36"/>
        <v/>
      </c>
      <c r="DC25" s="56">
        <v>18</v>
      </c>
      <c r="DD25" s="61"/>
      <c r="DE25" s="61"/>
      <c r="DF25" s="68" t="str">
        <f t="shared" si="37"/>
        <v/>
      </c>
      <c r="DG25" s="69" t="str">
        <f t="shared" si="38"/>
        <v/>
      </c>
      <c r="DH25" s="68" t="str">
        <f t="shared" si="39"/>
        <v/>
      </c>
      <c r="DI25" s="62"/>
      <c r="DJ25" s="62"/>
      <c r="DK25" s="65" t="str">
        <f t="shared" si="40"/>
        <v/>
      </c>
      <c r="DL25" s="56">
        <v>18</v>
      </c>
      <c r="DM25" s="63"/>
      <c r="DN25" s="64"/>
      <c r="DO25" s="64"/>
      <c r="DP25" s="64"/>
      <c r="DQ25" s="63"/>
      <c r="DR25" s="61"/>
      <c r="DS25" s="64"/>
      <c r="DT25" s="61"/>
      <c r="DU25" s="63"/>
      <c r="DV25" s="64"/>
      <c r="DW25" s="64"/>
      <c r="DX25" s="66"/>
      <c r="DY25" s="65" t="str">
        <f t="shared" si="41"/>
        <v/>
      </c>
      <c r="DZ25" s="128">
        <v>18</v>
      </c>
      <c r="EA25" s="173" t="str">
        <f t="shared" si="42"/>
        <v/>
      </c>
      <c r="EB25" s="173" t="str">
        <f t="shared" si="43"/>
        <v/>
      </c>
      <c r="EC25" s="173" t="str">
        <f t="shared" si="44"/>
        <v/>
      </c>
      <c r="ED25" s="63"/>
      <c r="EE25" s="63"/>
      <c r="EF25" s="63"/>
      <c r="EG25" s="63"/>
      <c r="EH25" s="127" t="str">
        <f t="shared" si="5"/>
        <v/>
      </c>
      <c r="EI25" s="56">
        <v>18</v>
      </c>
      <c r="EJ25" s="334"/>
      <c r="EK25" s="334"/>
      <c r="EL25" s="334"/>
      <c r="EM25" s="334"/>
      <c r="EN25" s="334"/>
      <c r="EO25" s="334"/>
      <c r="EP25" s="334"/>
      <c r="EQ25" s="65" t="str">
        <f t="shared" si="45"/>
        <v/>
      </c>
      <c r="ER25" s="20"/>
      <c r="ES25" s="20"/>
      <c r="ET25" s="20"/>
      <c r="EU25" s="20"/>
      <c r="EV25" s="20"/>
      <c r="EW25" s="20"/>
      <c r="EX25" s="20"/>
    </row>
    <row r="26" spans="1:154" s="3" customFormat="1" ht="17.149999999999999" customHeight="1" x14ac:dyDescent="0.25">
      <c r="A26" s="56">
        <v>19</v>
      </c>
      <c r="B26" s="57"/>
      <c r="C26" s="58" t="str">
        <f t="shared" si="6"/>
        <v/>
      </c>
      <c r="D26" s="167"/>
      <c r="E26" s="59"/>
      <c r="F26" s="58" t="str">
        <f t="shared" si="7"/>
        <v/>
      </c>
      <c r="G26" s="168"/>
      <c r="H26" s="57"/>
      <c r="I26" s="58" t="str">
        <f t="shared" si="0"/>
        <v/>
      </c>
      <c r="J26" s="60"/>
      <c r="K26" s="56">
        <v>19</v>
      </c>
      <c r="L26" s="57"/>
      <c r="M26" s="58" t="str">
        <f t="shared" si="8"/>
        <v/>
      </c>
      <c r="N26" s="59"/>
      <c r="O26" s="58" t="str">
        <f t="shared" si="9"/>
        <v/>
      </c>
      <c r="P26" s="57"/>
      <c r="Q26" s="169" t="str">
        <f t="shared" si="1"/>
        <v/>
      </c>
      <c r="R26" s="57"/>
      <c r="S26" s="57"/>
      <c r="T26" s="57"/>
      <c r="U26" s="57"/>
      <c r="V26" s="58" t="str">
        <f t="shared" si="10"/>
        <v/>
      </c>
      <c r="W26" s="56">
        <v>19</v>
      </c>
      <c r="X26" s="63"/>
      <c r="Y26" s="130" t="str">
        <f t="shared" si="11"/>
        <v/>
      </c>
      <c r="Z26" s="63"/>
      <c r="AA26" s="130" t="str">
        <f t="shared" si="12"/>
        <v/>
      </c>
      <c r="AB26" s="63"/>
      <c r="AC26" s="130" t="str">
        <f t="shared" si="13"/>
        <v/>
      </c>
      <c r="AD26" s="63"/>
      <c r="AE26" s="130" t="str">
        <f t="shared" si="2"/>
        <v/>
      </c>
      <c r="AF26" s="125" t="str">
        <f t="shared" si="14"/>
        <v/>
      </c>
      <c r="AG26" s="56">
        <v>19</v>
      </c>
      <c r="AH26" s="63"/>
      <c r="AI26" s="130" t="str">
        <f t="shared" si="15"/>
        <v/>
      </c>
      <c r="AJ26" s="63"/>
      <c r="AK26" s="130" t="str">
        <f t="shared" si="16"/>
        <v/>
      </c>
      <c r="AL26" s="63"/>
      <c r="AM26" s="130" t="str">
        <f t="shared" si="17"/>
        <v/>
      </c>
      <c r="AN26" s="63"/>
      <c r="AO26" s="130" t="str">
        <f t="shared" si="3"/>
        <v/>
      </c>
      <c r="AP26" s="125" t="str">
        <f t="shared" si="18"/>
        <v/>
      </c>
      <c r="AQ26" s="56">
        <v>19</v>
      </c>
      <c r="AR26" s="63"/>
      <c r="AS26" s="130" t="str">
        <f t="shared" si="19"/>
        <v/>
      </c>
      <c r="AT26" s="63"/>
      <c r="AU26" s="130" t="str">
        <f t="shared" si="20"/>
        <v/>
      </c>
      <c r="AV26" s="63"/>
      <c r="AW26" s="130" t="str">
        <f t="shared" si="21"/>
        <v/>
      </c>
      <c r="AX26" s="63"/>
      <c r="AY26" s="130" t="str">
        <f t="shared" si="4"/>
        <v/>
      </c>
      <c r="AZ26" s="125" t="str">
        <f t="shared" si="22"/>
        <v/>
      </c>
      <c r="BA26" s="56">
        <v>19</v>
      </c>
      <c r="BB26" s="63"/>
      <c r="BC26" s="62"/>
      <c r="BD26" s="61"/>
      <c r="BE26" s="61"/>
      <c r="BF26" s="61"/>
      <c r="BG26" s="61"/>
      <c r="BH26" s="64"/>
      <c r="BI26" s="64"/>
      <c r="BJ26" s="64"/>
      <c r="BK26" s="64"/>
      <c r="BL26" s="64"/>
      <c r="BM26" s="64"/>
      <c r="BN26" s="65" t="str">
        <f t="shared" si="23"/>
        <v/>
      </c>
      <c r="BO26" s="56">
        <v>19</v>
      </c>
      <c r="BP26" s="64"/>
      <c r="BQ26" s="62"/>
      <c r="BR26" s="61"/>
      <c r="BS26" s="61"/>
      <c r="BT26" s="61"/>
      <c r="BU26" s="64"/>
      <c r="BV26" s="63"/>
      <c r="BW26" s="63"/>
      <c r="BX26" s="66"/>
      <c r="BY26" s="172"/>
      <c r="BZ26" s="67" t="str">
        <f t="shared" si="24"/>
        <v/>
      </c>
      <c r="CA26" s="56">
        <v>19</v>
      </c>
      <c r="CB26" s="61"/>
      <c r="CC26" s="61"/>
      <c r="CD26" s="68" t="str">
        <f t="shared" si="25"/>
        <v/>
      </c>
      <c r="CE26" s="69" t="str">
        <f t="shared" si="26"/>
        <v/>
      </c>
      <c r="CF26" s="69" t="str">
        <f t="shared" si="27"/>
        <v/>
      </c>
      <c r="CG26" s="62"/>
      <c r="CH26" s="62"/>
      <c r="CI26" s="65" t="str">
        <f t="shared" si="28"/>
        <v/>
      </c>
      <c r="CJ26" s="56">
        <v>19</v>
      </c>
      <c r="CK26" s="61"/>
      <c r="CL26" s="61"/>
      <c r="CM26" s="68" t="str">
        <f t="shared" si="29"/>
        <v/>
      </c>
      <c r="CN26" s="68" t="str">
        <f t="shared" si="30"/>
        <v/>
      </c>
      <c r="CO26" s="68" t="str">
        <f t="shared" si="31"/>
        <v/>
      </c>
      <c r="CP26" s="62"/>
      <c r="CQ26" s="62"/>
      <c r="CR26" s="65" t="str">
        <f t="shared" si="32"/>
        <v/>
      </c>
      <c r="CS26" s="56">
        <v>19</v>
      </c>
      <c r="CT26" s="61"/>
      <c r="CU26" s="61"/>
      <c r="CV26" s="68" t="str">
        <f t="shared" si="33"/>
        <v/>
      </c>
      <c r="CW26" s="68" t="str">
        <f t="shared" si="34"/>
        <v/>
      </c>
      <c r="CX26" s="69" t="str">
        <f t="shared" si="35"/>
        <v/>
      </c>
      <c r="CY26" s="66"/>
      <c r="CZ26" s="66"/>
      <c r="DA26" s="66"/>
      <c r="DB26" s="65" t="str">
        <f t="shared" si="36"/>
        <v/>
      </c>
      <c r="DC26" s="56">
        <v>19</v>
      </c>
      <c r="DD26" s="61"/>
      <c r="DE26" s="61"/>
      <c r="DF26" s="68" t="str">
        <f t="shared" si="37"/>
        <v/>
      </c>
      <c r="DG26" s="69" t="str">
        <f t="shared" si="38"/>
        <v/>
      </c>
      <c r="DH26" s="68" t="str">
        <f t="shared" si="39"/>
        <v/>
      </c>
      <c r="DI26" s="62"/>
      <c r="DJ26" s="62"/>
      <c r="DK26" s="65" t="str">
        <f t="shared" si="40"/>
        <v/>
      </c>
      <c r="DL26" s="56">
        <v>19</v>
      </c>
      <c r="DM26" s="63"/>
      <c r="DN26" s="64"/>
      <c r="DO26" s="64"/>
      <c r="DP26" s="64"/>
      <c r="DQ26" s="63"/>
      <c r="DR26" s="61"/>
      <c r="DS26" s="64"/>
      <c r="DT26" s="61"/>
      <c r="DU26" s="63"/>
      <c r="DV26" s="64"/>
      <c r="DW26" s="64"/>
      <c r="DX26" s="66"/>
      <c r="DY26" s="65" t="str">
        <f t="shared" si="41"/>
        <v/>
      </c>
      <c r="DZ26" s="128">
        <v>19</v>
      </c>
      <c r="EA26" s="173" t="str">
        <f t="shared" si="42"/>
        <v/>
      </c>
      <c r="EB26" s="173" t="str">
        <f t="shared" si="43"/>
        <v/>
      </c>
      <c r="EC26" s="173" t="str">
        <f t="shared" si="44"/>
        <v/>
      </c>
      <c r="ED26" s="63"/>
      <c r="EE26" s="63"/>
      <c r="EF26" s="63"/>
      <c r="EG26" s="63"/>
      <c r="EH26" s="127" t="str">
        <f t="shared" si="5"/>
        <v/>
      </c>
      <c r="EI26" s="56">
        <v>19</v>
      </c>
      <c r="EJ26" s="334"/>
      <c r="EK26" s="334"/>
      <c r="EL26" s="334"/>
      <c r="EM26" s="334"/>
      <c r="EN26" s="334"/>
      <c r="EO26" s="334"/>
      <c r="EP26" s="334"/>
      <c r="EQ26" s="65" t="str">
        <f t="shared" si="45"/>
        <v/>
      </c>
      <c r="ER26" s="20"/>
      <c r="ES26" s="20"/>
      <c r="ET26" s="20"/>
      <c r="EU26" s="20"/>
      <c r="EV26" s="20"/>
      <c r="EW26" s="20"/>
      <c r="EX26" s="20"/>
    </row>
    <row r="27" spans="1:154" s="3" customFormat="1" ht="17.149999999999999" customHeight="1" x14ac:dyDescent="0.25">
      <c r="A27" s="56">
        <v>20</v>
      </c>
      <c r="B27" s="57"/>
      <c r="C27" s="58" t="str">
        <f t="shared" si="6"/>
        <v/>
      </c>
      <c r="D27" s="167"/>
      <c r="E27" s="59"/>
      <c r="F27" s="58" t="str">
        <f t="shared" si="7"/>
        <v/>
      </c>
      <c r="G27" s="168"/>
      <c r="H27" s="57"/>
      <c r="I27" s="58" t="str">
        <f t="shared" si="0"/>
        <v/>
      </c>
      <c r="J27" s="60"/>
      <c r="K27" s="56">
        <v>20</v>
      </c>
      <c r="L27" s="57"/>
      <c r="M27" s="58" t="str">
        <f t="shared" si="8"/>
        <v/>
      </c>
      <c r="N27" s="59"/>
      <c r="O27" s="58" t="str">
        <f t="shared" si="9"/>
        <v/>
      </c>
      <c r="P27" s="57"/>
      <c r="Q27" s="169" t="str">
        <f t="shared" si="1"/>
        <v/>
      </c>
      <c r="R27" s="57"/>
      <c r="S27" s="57"/>
      <c r="T27" s="57"/>
      <c r="U27" s="57"/>
      <c r="V27" s="58" t="str">
        <f t="shared" si="10"/>
        <v/>
      </c>
      <c r="W27" s="56">
        <v>20</v>
      </c>
      <c r="X27" s="63"/>
      <c r="Y27" s="130" t="str">
        <f t="shared" si="11"/>
        <v/>
      </c>
      <c r="Z27" s="63"/>
      <c r="AA27" s="130" t="str">
        <f t="shared" si="12"/>
        <v/>
      </c>
      <c r="AB27" s="63"/>
      <c r="AC27" s="130" t="str">
        <f t="shared" si="13"/>
        <v/>
      </c>
      <c r="AD27" s="63"/>
      <c r="AE27" s="130" t="str">
        <f t="shared" si="2"/>
        <v/>
      </c>
      <c r="AF27" s="125" t="str">
        <f t="shared" si="14"/>
        <v/>
      </c>
      <c r="AG27" s="56">
        <v>20</v>
      </c>
      <c r="AH27" s="63"/>
      <c r="AI27" s="130" t="str">
        <f t="shared" si="15"/>
        <v/>
      </c>
      <c r="AJ27" s="63"/>
      <c r="AK27" s="130" t="str">
        <f t="shared" si="16"/>
        <v/>
      </c>
      <c r="AL27" s="63"/>
      <c r="AM27" s="130" t="str">
        <f t="shared" si="17"/>
        <v/>
      </c>
      <c r="AN27" s="63"/>
      <c r="AO27" s="130" t="str">
        <f t="shared" si="3"/>
        <v/>
      </c>
      <c r="AP27" s="125" t="str">
        <f t="shared" si="18"/>
        <v/>
      </c>
      <c r="AQ27" s="56">
        <v>20</v>
      </c>
      <c r="AR27" s="63"/>
      <c r="AS27" s="130" t="str">
        <f t="shared" si="19"/>
        <v/>
      </c>
      <c r="AT27" s="63"/>
      <c r="AU27" s="130" t="str">
        <f t="shared" si="20"/>
        <v/>
      </c>
      <c r="AV27" s="63"/>
      <c r="AW27" s="130" t="str">
        <f t="shared" si="21"/>
        <v/>
      </c>
      <c r="AX27" s="63"/>
      <c r="AY27" s="130" t="str">
        <f t="shared" si="4"/>
        <v/>
      </c>
      <c r="AZ27" s="125" t="str">
        <f t="shared" si="22"/>
        <v/>
      </c>
      <c r="BA27" s="56">
        <v>20</v>
      </c>
      <c r="BB27" s="63"/>
      <c r="BC27" s="62"/>
      <c r="BD27" s="61"/>
      <c r="BE27" s="61"/>
      <c r="BF27" s="61"/>
      <c r="BG27" s="61"/>
      <c r="BH27" s="64"/>
      <c r="BI27" s="64"/>
      <c r="BJ27" s="64"/>
      <c r="BK27" s="64"/>
      <c r="BL27" s="64"/>
      <c r="BM27" s="64"/>
      <c r="BN27" s="65" t="str">
        <f t="shared" si="23"/>
        <v/>
      </c>
      <c r="BO27" s="56">
        <v>20</v>
      </c>
      <c r="BP27" s="64"/>
      <c r="BQ27" s="62"/>
      <c r="BR27" s="61"/>
      <c r="BS27" s="61"/>
      <c r="BT27" s="61"/>
      <c r="BU27" s="64"/>
      <c r="BV27" s="63"/>
      <c r="BW27" s="63"/>
      <c r="BX27" s="66"/>
      <c r="BY27" s="172"/>
      <c r="BZ27" s="67" t="str">
        <f t="shared" si="24"/>
        <v/>
      </c>
      <c r="CA27" s="56">
        <v>20</v>
      </c>
      <c r="CB27" s="61"/>
      <c r="CC27" s="61"/>
      <c r="CD27" s="68" t="str">
        <f t="shared" si="25"/>
        <v/>
      </c>
      <c r="CE27" s="69" t="str">
        <f t="shared" si="26"/>
        <v/>
      </c>
      <c r="CF27" s="69" t="str">
        <f t="shared" si="27"/>
        <v/>
      </c>
      <c r="CG27" s="62"/>
      <c r="CH27" s="62"/>
      <c r="CI27" s="65" t="str">
        <f t="shared" si="28"/>
        <v/>
      </c>
      <c r="CJ27" s="56">
        <v>20</v>
      </c>
      <c r="CK27" s="61"/>
      <c r="CL27" s="61"/>
      <c r="CM27" s="68" t="str">
        <f t="shared" si="29"/>
        <v/>
      </c>
      <c r="CN27" s="68" t="str">
        <f t="shared" si="30"/>
        <v/>
      </c>
      <c r="CO27" s="68" t="str">
        <f t="shared" si="31"/>
        <v/>
      </c>
      <c r="CP27" s="62"/>
      <c r="CQ27" s="62"/>
      <c r="CR27" s="65" t="str">
        <f t="shared" si="32"/>
        <v/>
      </c>
      <c r="CS27" s="56">
        <v>20</v>
      </c>
      <c r="CT27" s="61"/>
      <c r="CU27" s="61"/>
      <c r="CV27" s="68" t="str">
        <f t="shared" si="33"/>
        <v/>
      </c>
      <c r="CW27" s="68" t="str">
        <f t="shared" si="34"/>
        <v/>
      </c>
      <c r="CX27" s="69" t="str">
        <f t="shared" si="35"/>
        <v/>
      </c>
      <c r="CY27" s="66"/>
      <c r="CZ27" s="66"/>
      <c r="DA27" s="66"/>
      <c r="DB27" s="65" t="str">
        <f t="shared" si="36"/>
        <v/>
      </c>
      <c r="DC27" s="56">
        <v>20</v>
      </c>
      <c r="DD27" s="61"/>
      <c r="DE27" s="61"/>
      <c r="DF27" s="68" t="str">
        <f t="shared" si="37"/>
        <v/>
      </c>
      <c r="DG27" s="69" t="str">
        <f t="shared" si="38"/>
        <v/>
      </c>
      <c r="DH27" s="68" t="str">
        <f t="shared" si="39"/>
        <v/>
      </c>
      <c r="DI27" s="62"/>
      <c r="DJ27" s="62"/>
      <c r="DK27" s="65" t="str">
        <f t="shared" si="40"/>
        <v/>
      </c>
      <c r="DL27" s="56">
        <v>20</v>
      </c>
      <c r="DM27" s="63"/>
      <c r="DN27" s="64"/>
      <c r="DO27" s="64"/>
      <c r="DP27" s="64"/>
      <c r="DQ27" s="63"/>
      <c r="DR27" s="61"/>
      <c r="DS27" s="64"/>
      <c r="DT27" s="61"/>
      <c r="DU27" s="63"/>
      <c r="DV27" s="64"/>
      <c r="DW27" s="64"/>
      <c r="DX27" s="66"/>
      <c r="DY27" s="65" t="str">
        <f t="shared" si="41"/>
        <v/>
      </c>
      <c r="DZ27" s="128">
        <v>20</v>
      </c>
      <c r="EA27" s="173" t="str">
        <f t="shared" si="42"/>
        <v/>
      </c>
      <c r="EB27" s="173" t="str">
        <f t="shared" si="43"/>
        <v/>
      </c>
      <c r="EC27" s="173" t="str">
        <f t="shared" si="44"/>
        <v/>
      </c>
      <c r="ED27" s="63"/>
      <c r="EE27" s="63"/>
      <c r="EF27" s="63"/>
      <c r="EG27" s="63"/>
      <c r="EH27" s="127" t="str">
        <f t="shared" si="5"/>
        <v/>
      </c>
      <c r="EI27" s="56">
        <v>20</v>
      </c>
      <c r="EJ27" s="334"/>
      <c r="EK27" s="334"/>
      <c r="EL27" s="334"/>
      <c r="EM27" s="334"/>
      <c r="EN27" s="334"/>
      <c r="EO27" s="334"/>
      <c r="EP27" s="334"/>
      <c r="EQ27" s="65" t="str">
        <f t="shared" si="45"/>
        <v/>
      </c>
      <c r="ER27" s="20"/>
      <c r="ES27" s="20"/>
      <c r="ET27" s="20"/>
      <c r="EU27" s="20"/>
      <c r="EV27" s="20"/>
      <c r="EW27" s="20"/>
      <c r="EX27" s="20"/>
    </row>
    <row r="28" spans="1:154" s="3" customFormat="1" ht="17.149999999999999" customHeight="1" x14ac:dyDescent="0.25">
      <c r="A28" s="56">
        <v>21</v>
      </c>
      <c r="B28" s="57"/>
      <c r="C28" s="58" t="str">
        <f t="shared" si="6"/>
        <v/>
      </c>
      <c r="D28" s="167"/>
      <c r="E28" s="59"/>
      <c r="F28" s="58" t="str">
        <f t="shared" si="7"/>
        <v/>
      </c>
      <c r="G28" s="168"/>
      <c r="H28" s="57"/>
      <c r="I28" s="58" t="str">
        <f t="shared" si="0"/>
        <v/>
      </c>
      <c r="J28" s="60"/>
      <c r="K28" s="56">
        <v>21</v>
      </c>
      <c r="L28" s="57"/>
      <c r="M28" s="58" t="str">
        <f t="shared" si="8"/>
        <v/>
      </c>
      <c r="N28" s="59"/>
      <c r="O28" s="58" t="str">
        <f t="shared" si="9"/>
        <v/>
      </c>
      <c r="P28" s="57"/>
      <c r="Q28" s="169" t="str">
        <f t="shared" si="1"/>
        <v/>
      </c>
      <c r="R28" s="57"/>
      <c r="S28" s="57"/>
      <c r="T28" s="57"/>
      <c r="U28" s="57"/>
      <c r="V28" s="58" t="str">
        <f t="shared" si="10"/>
        <v/>
      </c>
      <c r="W28" s="56">
        <v>21</v>
      </c>
      <c r="X28" s="63"/>
      <c r="Y28" s="130" t="str">
        <f t="shared" si="11"/>
        <v/>
      </c>
      <c r="Z28" s="63"/>
      <c r="AA28" s="130" t="str">
        <f t="shared" si="12"/>
        <v/>
      </c>
      <c r="AB28" s="63"/>
      <c r="AC28" s="130" t="str">
        <f t="shared" si="13"/>
        <v/>
      </c>
      <c r="AD28" s="63"/>
      <c r="AE28" s="130" t="str">
        <f t="shared" si="2"/>
        <v/>
      </c>
      <c r="AF28" s="125" t="str">
        <f t="shared" si="14"/>
        <v/>
      </c>
      <c r="AG28" s="56">
        <v>21</v>
      </c>
      <c r="AH28" s="63"/>
      <c r="AI28" s="130" t="str">
        <f t="shared" si="15"/>
        <v/>
      </c>
      <c r="AJ28" s="63"/>
      <c r="AK28" s="130" t="str">
        <f t="shared" si="16"/>
        <v/>
      </c>
      <c r="AL28" s="63"/>
      <c r="AM28" s="130" t="str">
        <f t="shared" si="17"/>
        <v/>
      </c>
      <c r="AN28" s="63"/>
      <c r="AO28" s="130" t="str">
        <f t="shared" si="3"/>
        <v/>
      </c>
      <c r="AP28" s="125" t="str">
        <f t="shared" si="18"/>
        <v/>
      </c>
      <c r="AQ28" s="56">
        <v>21</v>
      </c>
      <c r="AR28" s="63"/>
      <c r="AS28" s="130" t="str">
        <f t="shared" si="19"/>
        <v/>
      </c>
      <c r="AT28" s="63"/>
      <c r="AU28" s="130" t="str">
        <f t="shared" si="20"/>
        <v/>
      </c>
      <c r="AV28" s="63"/>
      <c r="AW28" s="130" t="str">
        <f t="shared" si="21"/>
        <v/>
      </c>
      <c r="AX28" s="63"/>
      <c r="AY28" s="130" t="str">
        <f t="shared" si="4"/>
        <v/>
      </c>
      <c r="AZ28" s="125" t="str">
        <f t="shared" si="22"/>
        <v/>
      </c>
      <c r="BA28" s="56">
        <v>21</v>
      </c>
      <c r="BB28" s="63"/>
      <c r="BC28" s="62"/>
      <c r="BD28" s="61"/>
      <c r="BE28" s="61"/>
      <c r="BF28" s="61"/>
      <c r="BG28" s="61"/>
      <c r="BH28" s="64"/>
      <c r="BI28" s="64"/>
      <c r="BJ28" s="64"/>
      <c r="BK28" s="64"/>
      <c r="BL28" s="64"/>
      <c r="BM28" s="64"/>
      <c r="BN28" s="65" t="str">
        <f t="shared" si="23"/>
        <v/>
      </c>
      <c r="BO28" s="56">
        <v>21</v>
      </c>
      <c r="BP28" s="64"/>
      <c r="BQ28" s="62"/>
      <c r="BR28" s="61"/>
      <c r="BS28" s="61"/>
      <c r="BT28" s="61"/>
      <c r="BU28" s="64"/>
      <c r="BV28" s="63"/>
      <c r="BW28" s="63"/>
      <c r="BX28" s="66"/>
      <c r="BY28" s="172"/>
      <c r="BZ28" s="67" t="str">
        <f t="shared" si="24"/>
        <v/>
      </c>
      <c r="CA28" s="56">
        <v>21</v>
      </c>
      <c r="CB28" s="61"/>
      <c r="CC28" s="61"/>
      <c r="CD28" s="68" t="str">
        <f t="shared" si="25"/>
        <v/>
      </c>
      <c r="CE28" s="69" t="str">
        <f t="shared" si="26"/>
        <v/>
      </c>
      <c r="CF28" s="69" t="str">
        <f t="shared" si="27"/>
        <v/>
      </c>
      <c r="CG28" s="62"/>
      <c r="CH28" s="62"/>
      <c r="CI28" s="65" t="str">
        <f t="shared" si="28"/>
        <v/>
      </c>
      <c r="CJ28" s="56">
        <v>21</v>
      </c>
      <c r="CK28" s="61"/>
      <c r="CL28" s="61"/>
      <c r="CM28" s="68" t="str">
        <f t="shared" si="29"/>
        <v/>
      </c>
      <c r="CN28" s="68" t="str">
        <f t="shared" si="30"/>
        <v/>
      </c>
      <c r="CO28" s="68" t="str">
        <f t="shared" si="31"/>
        <v/>
      </c>
      <c r="CP28" s="62"/>
      <c r="CQ28" s="62"/>
      <c r="CR28" s="65" t="str">
        <f t="shared" si="32"/>
        <v/>
      </c>
      <c r="CS28" s="56">
        <v>21</v>
      </c>
      <c r="CT28" s="61"/>
      <c r="CU28" s="61"/>
      <c r="CV28" s="68" t="str">
        <f t="shared" si="33"/>
        <v/>
      </c>
      <c r="CW28" s="68" t="str">
        <f t="shared" si="34"/>
        <v/>
      </c>
      <c r="CX28" s="69" t="str">
        <f t="shared" si="35"/>
        <v/>
      </c>
      <c r="CY28" s="66"/>
      <c r="CZ28" s="66"/>
      <c r="DA28" s="66"/>
      <c r="DB28" s="65" t="str">
        <f t="shared" si="36"/>
        <v/>
      </c>
      <c r="DC28" s="56">
        <v>21</v>
      </c>
      <c r="DD28" s="61"/>
      <c r="DE28" s="61"/>
      <c r="DF28" s="68" t="str">
        <f t="shared" si="37"/>
        <v/>
      </c>
      <c r="DG28" s="69" t="str">
        <f t="shared" si="38"/>
        <v/>
      </c>
      <c r="DH28" s="68" t="str">
        <f t="shared" si="39"/>
        <v/>
      </c>
      <c r="DI28" s="62"/>
      <c r="DJ28" s="62"/>
      <c r="DK28" s="65" t="str">
        <f t="shared" si="40"/>
        <v/>
      </c>
      <c r="DL28" s="56">
        <v>21</v>
      </c>
      <c r="DM28" s="63"/>
      <c r="DN28" s="64"/>
      <c r="DO28" s="64"/>
      <c r="DP28" s="64"/>
      <c r="DQ28" s="63"/>
      <c r="DR28" s="61"/>
      <c r="DS28" s="64"/>
      <c r="DT28" s="61"/>
      <c r="DU28" s="63"/>
      <c r="DV28" s="64"/>
      <c r="DW28" s="64"/>
      <c r="DX28" s="66"/>
      <c r="DY28" s="65" t="str">
        <f t="shared" si="41"/>
        <v/>
      </c>
      <c r="DZ28" s="128">
        <v>21</v>
      </c>
      <c r="EA28" s="173" t="str">
        <f t="shared" si="42"/>
        <v/>
      </c>
      <c r="EB28" s="173" t="str">
        <f t="shared" si="43"/>
        <v/>
      </c>
      <c r="EC28" s="173" t="str">
        <f t="shared" si="44"/>
        <v/>
      </c>
      <c r="ED28" s="63"/>
      <c r="EE28" s="63"/>
      <c r="EF28" s="63"/>
      <c r="EG28" s="63"/>
      <c r="EH28" s="127" t="str">
        <f t="shared" si="5"/>
        <v/>
      </c>
      <c r="EI28" s="56">
        <v>21</v>
      </c>
      <c r="EJ28" s="334"/>
      <c r="EK28" s="334"/>
      <c r="EL28" s="334"/>
      <c r="EM28" s="334"/>
      <c r="EN28" s="334"/>
      <c r="EO28" s="334"/>
      <c r="EP28" s="334"/>
      <c r="EQ28" s="65" t="str">
        <f t="shared" si="45"/>
        <v/>
      </c>
      <c r="ER28" s="20"/>
      <c r="ES28" s="20"/>
      <c r="ET28" s="20"/>
      <c r="EU28" s="20"/>
      <c r="EV28" s="20"/>
      <c r="EW28" s="20"/>
      <c r="EX28" s="20"/>
    </row>
    <row r="29" spans="1:154" s="3" customFormat="1" ht="17.149999999999999" customHeight="1" x14ac:dyDescent="0.25">
      <c r="A29" s="56">
        <v>22</v>
      </c>
      <c r="B29" s="57"/>
      <c r="C29" s="58" t="str">
        <f t="shared" si="6"/>
        <v/>
      </c>
      <c r="D29" s="167"/>
      <c r="E29" s="59"/>
      <c r="F29" s="58" t="str">
        <f t="shared" si="7"/>
        <v/>
      </c>
      <c r="G29" s="168"/>
      <c r="H29" s="57"/>
      <c r="I29" s="58" t="str">
        <f t="shared" si="0"/>
        <v/>
      </c>
      <c r="J29" s="60"/>
      <c r="K29" s="56">
        <v>22</v>
      </c>
      <c r="L29" s="57"/>
      <c r="M29" s="58" t="str">
        <f t="shared" si="8"/>
        <v/>
      </c>
      <c r="N29" s="59"/>
      <c r="O29" s="58" t="str">
        <f t="shared" si="9"/>
        <v/>
      </c>
      <c r="P29" s="57"/>
      <c r="Q29" s="169" t="str">
        <f t="shared" si="1"/>
        <v/>
      </c>
      <c r="R29" s="57"/>
      <c r="S29" s="57"/>
      <c r="T29" s="57"/>
      <c r="U29" s="57"/>
      <c r="V29" s="58" t="str">
        <f t="shared" si="10"/>
        <v/>
      </c>
      <c r="W29" s="56">
        <v>22</v>
      </c>
      <c r="X29" s="63"/>
      <c r="Y29" s="130" t="str">
        <f t="shared" si="11"/>
        <v/>
      </c>
      <c r="Z29" s="63"/>
      <c r="AA29" s="130" t="str">
        <f t="shared" si="12"/>
        <v/>
      </c>
      <c r="AB29" s="63"/>
      <c r="AC29" s="130" t="str">
        <f t="shared" si="13"/>
        <v/>
      </c>
      <c r="AD29" s="63"/>
      <c r="AE29" s="130" t="str">
        <f t="shared" si="2"/>
        <v/>
      </c>
      <c r="AF29" s="125" t="str">
        <f t="shared" si="14"/>
        <v/>
      </c>
      <c r="AG29" s="56">
        <v>22</v>
      </c>
      <c r="AH29" s="63"/>
      <c r="AI29" s="130" t="str">
        <f t="shared" si="15"/>
        <v/>
      </c>
      <c r="AJ29" s="63"/>
      <c r="AK29" s="130" t="str">
        <f t="shared" si="16"/>
        <v/>
      </c>
      <c r="AL29" s="63"/>
      <c r="AM29" s="130" t="str">
        <f t="shared" si="17"/>
        <v/>
      </c>
      <c r="AN29" s="63"/>
      <c r="AO29" s="130" t="str">
        <f t="shared" si="3"/>
        <v/>
      </c>
      <c r="AP29" s="125" t="str">
        <f t="shared" si="18"/>
        <v/>
      </c>
      <c r="AQ29" s="56">
        <v>22</v>
      </c>
      <c r="AR29" s="63"/>
      <c r="AS29" s="130" t="str">
        <f t="shared" si="19"/>
        <v/>
      </c>
      <c r="AT29" s="63"/>
      <c r="AU29" s="130" t="str">
        <f t="shared" si="20"/>
        <v/>
      </c>
      <c r="AV29" s="63"/>
      <c r="AW29" s="130" t="str">
        <f t="shared" si="21"/>
        <v/>
      </c>
      <c r="AX29" s="63"/>
      <c r="AY29" s="130" t="str">
        <f t="shared" si="4"/>
        <v/>
      </c>
      <c r="AZ29" s="125" t="str">
        <f t="shared" si="22"/>
        <v/>
      </c>
      <c r="BA29" s="56">
        <v>22</v>
      </c>
      <c r="BB29" s="63"/>
      <c r="BC29" s="62"/>
      <c r="BD29" s="61"/>
      <c r="BE29" s="61"/>
      <c r="BF29" s="61"/>
      <c r="BG29" s="61"/>
      <c r="BH29" s="64"/>
      <c r="BI29" s="64"/>
      <c r="BJ29" s="64"/>
      <c r="BK29" s="64"/>
      <c r="BL29" s="64"/>
      <c r="BM29" s="64"/>
      <c r="BN29" s="65" t="str">
        <f t="shared" si="23"/>
        <v/>
      </c>
      <c r="BO29" s="56">
        <v>22</v>
      </c>
      <c r="BP29" s="64"/>
      <c r="BQ29" s="62"/>
      <c r="BR29" s="61"/>
      <c r="BS29" s="61"/>
      <c r="BT29" s="61"/>
      <c r="BU29" s="64"/>
      <c r="BV29" s="63"/>
      <c r="BW29" s="63"/>
      <c r="BX29" s="66"/>
      <c r="BY29" s="172"/>
      <c r="BZ29" s="67" t="str">
        <f t="shared" si="24"/>
        <v/>
      </c>
      <c r="CA29" s="56">
        <v>22</v>
      </c>
      <c r="CB29" s="61"/>
      <c r="CC29" s="61"/>
      <c r="CD29" s="68" t="str">
        <f t="shared" si="25"/>
        <v/>
      </c>
      <c r="CE29" s="69" t="str">
        <f t="shared" si="26"/>
        <v/>
      </c>
      <c r="CF29" s="69" t="str">
        <f t="shared" si="27"/>
        <v/>
      </c>
      <c r="CG29" s="62"/>
      <c r="CH29" s="62"/>
      <c r="CI29" s="65" t="str">
        <f t="shared" si="28"/>
        <v/>
      </c>
      <c r="CJ29" s="56">
        <v>22</v>
      </c>
      <c r="CK29" s="61"/>
      <c r="CL29" s="61"/>
      <c r="CM29" s="68" t="str">
        <f t="shared" si="29"/>
        <v/>
      </c>
      <c r="CN29" s="68" t="str">
        <f t="shared" si="30"/>
        <v/>
      </c>
      <c r="CO29" s="68" t="str">
        <f t="shared" si="31"/>
        <v/>
      </c>
      <c r="CP29" s="62"/>
      <c r="CQ29" s="62"/>
      <c r="CR29" s="65" t="str">
        <f t="shared" si="32"/>
        <v/>
      </c>
      <c r="CS29" s="56">
        <v>22</v>
      </c>
      <c r="CT29" s="61"/>
      <c r="CU29" s="61"/>
      <c r="CV29" s="68" t="str">
        <f t="shared" si="33"/>
        <v/>
      </c>
      <c r="CW29" s="68" t="str">
        <f t="shared" si="34"/>
        <v/>
      </c>
      <c r="CX29" s="69" t="str">
        <f t="shared" si="35"/>
        <v/>
      </c>
      <c r="CY29" s="66"/>
      <c r="CZ29" s="66"/>
      <c r="DA29" s="66"/>
      <c r="DB29" s="65" t="str">
        <f t="shared" si="36"/>
        <v/>
      </c>
      <c r="DC29" s="56">
        <v>22</v>
      </c>
      <c r="DD29" s="61"/>
      <c r="DE29" s="61"/>
      <c r="DF29" s="68" t="str">
        <f t="shared" si="37"/>
        <v/>
      </c>
      <c r="DG29" s="69" t="str">
        <f t="shared" si="38"/>
        <v/>
      </c>
      <c r="DH29" s="68" t="str">
        <f t="shared" si="39"/>
        <v/>
      </c>
      <c r="DI29" s="62"/>
      <c r="DJ29" s="62"/>
      <c r="DK29" s="65" t="str">
        <f t="shared" si="40"/>
        <v/>
      </c>
      <c r="DL29" s="56">
        <v>22</v>
      </c>
      <c r="DM29" s="63"/>
      <c r="DN29" s="64"/>
      <c r="DO29" s="64"/>
      <c r="DP29" s="64"/>
      <c r="DQ29" s="63"/>
      <c r="DR29" s="61"/>
      <c r="DS29" s="64"/>
      <c r="DT29" s="61"/>
      <c r="DU29" s="63"/>
      <c r="DV29" s="64"/>
      <c r="DW29" s="64"/>
      <c r="DX29" s="66"/>
      <c r="DY29" s="65" t="str">
        <f t="shared" si="41"/>
        <v/>
      </c>
      <c r="DZ29" s="128">
        <v>22</v>
      </c>
      <c r="EA29" s="173" t="str">
        <f t="shared" si="42"/>
        <v/>
      </c>
      <c r="EB29" s="173" t="str">
        <f t="shared" si="43"/>
        <v/>
      </c>
      <c r="EC29" s="173" t="str">
        <f t="shared" si="44"/>
        <v/>
      </c>
      <c r="ED29" s="63"/>
      <c r="EE29" s="63"/>
      <c r="EF29" s="63"/>
      <c r="EG29" s="63"/>
      <c r="EH29" s="127" t="str">
        <f t="shared" si="5"/>
        <v/>
      </c>
      <c r="EI29" s="56">
        <v>22</v>
      </c>
      <c r="EJ29" s="334"/>
      <c r="EK29" s="334"/>
      <c r="EL29" s="334"/>
      <c r="EM29" s="334"/>
      <c r="EN29" s="334"/>
      <c r="EO29" s="334"/>
      <c r="EP29" s="334"/>
      <c r="EQ29" s="65" t="str">
        <f t="shared" si="45"/>
        <v/>
      </c>
      <c r="ER29" s="20"/>
      <c r="ES29" s="20"/>
      <c r="ET29" s="20"/>
      <c r="EU29" s="20"/>
      <c r="EV29" s="20"/>
      <c r="EW29" s="20"/>
      <c r="EX29" s="20"/>
    </row>
    <row r="30" spans="1:154" s="3" customFormat="1" ht="17.149999999999999" customHeight="1" x14ac:dyDescent="0.25">
      <c r="A30" s="56">
        <v>23</v>
      </c>
      <c r="B30" s="57"/>
      <c r="C30" s="58" t="str">
        <f t="shared" si="6"/>
        <v/>
      </c>
      <c r="D30" s="167"/>
      <c r="E30" s="59"/>
      <c r="F30" s="58" t="str">
        <f t="shared" si="7"/>
        <v/>
      </c>
      <c r="G30" s="168"/>
      <c r="H30" s="57"/>
      <c r="I30" s="58" t="str">
        <f t="shared" si="0"/>
        <v/>
      </c>
      <c r="J30" s="60"/>
      <c r="K30" s="56">
        <v>23</v>
      </c>
      <c r="L30" s="57"/>
      <c r="M30" s="58" t="str">
        <f t="shared" si="8"/>
        <v/>
      </c>
      <c r="N30" s="59"/>
      <c r="O30" s="58" t="str">
        <f t="shared" si="9"/>
        <v/>
      </c>
      <c r="P30" s="57"/>
      <c r="Q30" s="169" t="str">
        <f t="shared" si="1"/>
        <v/>
      </c>
      <c r="R30" s="57"/>
      <c r="S30" s="57"/>
      <c r="T30" s="57"/>
      <c r="U30" s="57"/>
      <c r="V30" s="58" t="str">
        <f t="shared" si="10"/>
        <v/>
      </c>
      <c r="W30" s="56">
        <v>23</v>
      </c>
      <c r="X30" s="63"/>
      <c r="Y30" s="130" t="str">
        <f t="shared" si="11"/>
        <v/>
      </c>
      <c r="Z30" s="63"/>
      <c r="AA30" s="130" t="str">
        <f t="shared" si="12"/>
        <v/>
      </c>
      <c r="AB30" s="63"/>
      <c r="AC30" s="130" t="str">
        <f t="shared" si="13"/>
        <v/>
      </c>
      <c r="AD30" s="63"/>
      <c r="AE30" s="130" t="str">
        <f t="shared" si="2"/>
        <v/>
      </c>
      <c r="AF30" s="125" t="str">
        <f t="shared" si="14"/>
        <v/>
      </c>
      <c r="AG30" s="56">
        <v>23</v>
      </c>
      <c r="AH30" s="63"/>
      <c r="AI30" s="130" t="str">
        <f t="shared" si="15"/>
        <v/>
      </c>
      <c r="AJ30" s="63"/>
      <c r="AK30" s="130" t="str">
        <f t="shared" si="16"/>
        <v/>
      </c>
      <c r="AL30" s="63"/>
      <c r="AM30" s="130" t="str">
        <f t="shared" si="17"/>
        <v/>
      </c>
      <c r="AN30" s="63"/>
      <c r="AO30" s="130" t="str">
        <f t="shared" si="3"/>
        <v/>
      </c>
      <c r="AP30" s="125" t="str">
        <f t="shared" si="18"/>
        <v/>
      </c>
      <c r="AQ30" s="56">
        <v>23</v>
      </c>
      <c r="AR30" s="63"/>
      <c r="AS30" s="130" t="str">
        <f t="shared" si="19"/>
        <v/>
      </c>
      <c r="AT30" s="63"/>
      <c r="AU30" s="130" t="str">
        <f t="shared" si="20"/>
        <v/>
      </c>
      <c r="AV30" s="63"/>
      <c r="AW30" s="130" t="str">
        <f t="shared" si="21"/>
        <v/>
      </c>
      <c r="AX30" s="63"/>
      <c r="AY30" s="130" t="str">
        <f t="shared" si="4"/>
        <v/>
      </c>
      <c r="AZ30" s="125" t="str">
        <f t="shared" si="22"/>
        <v/>
      </c>
      <c r="BA30" s="56">
        <v>23</v>
      </c>
      <c r="BB30" s="63"/>
      <c r="BC30" s="62"/>
      <c r="BD30" s="61"/>
      <c r="BE30" s="61"/>
      <c r="BF30" s="61"/>
      <c r="BG30" s="61"/>
      <c r="BH30" s="64"/>
      <c r="BI30" s="64"/>
      <c r="BJ30" s="64"/>
      <c r="BK30" s="64"/>
      <c r="BL30" s="64"/>
      <c r="BM30" s="64"/>
      <c r="BN30" s="65" t="str">
        <f t="shared" si="23"/>
        <v/>
      </c>
      <c r="BO30" s="56">
        <v>23</v>
      </c>
      <c r="BP30" s="64"/>
      <c r="BQ30" s="62"/>
      <c r="BR30" s="61"/>
      <c r="BS30" s="61"/>
      <c r="BT30" s="61"/>
      <c r="BU30" s="64"/>
      <c r="BV30" s="63"/>
      <c r="BW30" s="63"/>
      <c r="BX30" s="66"/>
      <c r="BY30" s="172"/>
      <c r="BZ30" s="67" t="str">
        <f t="shared" si="24"/>
        <v/>
      </c>
      <c r="CA30" s="56">
        <v>23</v>
      </c>
      <c r="CB30" s="61"/>
      <c r="CC30" s="61"/>
      <c r="CD30" s="68" t="str">
        <f t="shared" si="25"/>
        <v/>
      </c>
      <c r="CE30" s="69" t="str">
        <f t="shared" si="26"/>
        <v/>
      </c>
      <c r="CF30" s="69" t="str">
        <f t="shared" si="27"/>
        <v/>
      </c>
      <c r="CG30" s="62"/>
      <c r="CH30" s="62"/>
      <c r="CI30" s="65" t="str">
        <f t="shared" si="28"/>
        <v/>
      </c>
      <c r="CJ30" s="56">
        <v>23</v>
      </c>
      <c r="CK30" s="61"/>
      <c r="CL30" s="61"/>
      <c r="CM30" s="68" t="str">
        <f t="shared" si="29"/>
        <v/>
      </c>
      <c r="CN30" s="68" t="str">
        <f t="shared" si="30"/>
        <v/>
      </c>
      <c r="CO30" s="68" t="str">
        <f t="shared" si="31"/>
        <v/>
      </c>
      <c r="CP30" s="62"/>
      <c r="CQ30" s="62"/>
      <c r="CR30" s="65" t="str">
        <f t="shared" si="32"/>
        <v/>
      </c>
      <c r="CS30" s="56">
        <v>23</v>
      </c>
      <c r="CT30" s="61"/>
      <c r="CU30" s="61"/>
      <c r="CV30" s="68" t="str">
        <f t="shared" si="33"/>
        <v/>
      </c>
      <c r="CW30" s="68" t="str">
        <f t="shared" si="34"/>
        <v/>
      </c>
      <c r="CX30" s="69" t="str">
        <f t="shared" si="35"/>
        <v/>
      </c>
      <c r="CY30" s="66"/>
      <c r="CZ30" s="66"/>
      <c r="DA30" s="66"/>
      <c r="DB30" s="65" t="str">
        <f t="shared" si="36"/>
        <v/>
      </c>
      <c r="DC30" s="56">
        <v>23</v>
      </c>
      <c r="DD30" s="61"/>
      <c r="DE30" s="61"/>
      <c r="DF30" s="68" t="str">
        <f t="shared" si="37"/>
        <v/>
      </c>
      <c r="DG30" s="69" t="str">
        <f t="shared" si="38"/>
        <v/>
      </c>
      <c r="DH30" s="68" t="str">
        <f t="shared" si="39"/>
        <v/>
      </c>
      <c r="DI30" s="62"/>
      <c r="DJ30" s="62"/>
      <c r="DK30" s="65" t="str">
        <f t="shared" si="40"/>
        <v/>
      </c>
      <c r="DL30" s="56">
        <v>23</v>
      </c>
      <c r="DM30" s="63"/>
      <c r="DN30" s="64"/>
      <c r="DO30" s="64"/>
      <c r="DP30" s="64"/>
      <c r="DQ30" s="63"/>
      <c r="DR30" s="61"/>
      <c r="DS30" s="64"/>
      <c r="DT30" s="61"/>
      <c r="DU30" s="63"/>
      <c r="DV30" s="64"/>
      <c r="DW30" s="64"/>
      <c r="DX30" s="66"/>
      <c r="DY30" s="65" t="str">
        <f t="shared" si="41"/>
        <v/>
      </c>
      <c r="DZ30" s="128">
        <v>23</v>
      </c>
      <c r="EA30" s="173" t="str">
        <f t="shared" si="42"/>
        <v/>
      </c>
      <c r="EB30" s="173" t="str">
        <f t="shared" si="43"/>
        <v/>
      </c>
      <c r="EC30" s="173" t="str">
        <f t="shared" si="44"/>
        <v/>
      </c>
      <c r="ED30" s="63"/>
      <c r="EE30" s="63"/>
      <c r="EF30" s="63"/>
      <c r="EG30" s="63"/>
      <c r="EH30" s="127" t="str">
        <f t="shared" si="5"/>
        <v/>
      </c>
      <c r="EI30" s="56">
        <v>23</v>
      </c>
      <c r="EJ30" s="334"/>
      <c r="EK30" s="334"/>
      <c r="EL30" s="334"/>
      <c r="EM30" s="334"/>
      <c r="EN30" s="334"/>
      <c r="EO30" s="334"/>
      <c r="EP30" s="334"/>
      <c r="EQ30" s="65" t="str">
        <f t="shared" si="45"/>
        <v/>
      </c>
      <c r="ER30" s="20"/>
      <c r="ES30" s="20"/>
      <c r="ET30" s="20"/>
      <c r="EU30" s="20"/>
      <c r="EV30" s="20"/>
      <c r="EW30" s="20"/>
      <c r="EX30" s="20"/>
    </row>
    <row r="31" spans="1:154" s="3" customFormat="1" ht="17.149999999999999" customHeight="1" x14ac:dyDescent="0.25">
      <c r="A31" s="56">
        <v>24</v>
      </c>
      <c r="B31" s="57"/>
      <c r="C31" s="58" t="str">
        <f t="shared" si="6"/>
        <v/>
      </c>
      <c r="D31" s="167"/>
      <c r="E31" s="59"/>
      <c r="F31" s="58" t="str">
        <f t="shared" si="7"/>
        <v/>
      </c>
      <c r="G31" s="168"/>
      <c r="H31" s="57"/>
      <c r="I31" s="58" t="str">
        <f t="shared" si="0"/>
        <v/>
      </c>
      <c r="J31" s="60"/>
      <c r="K31" s="56">
        <v>24</v>
      </c>
      <c r="L31" s="57"/>
      <c r="M31" s="58" t="str">
        <f t="shared" si="8"/>
        <v/>
      </c>
      <c r="N31" s="59"/>
      <c r="O31" s="58" t="str">
        <f t="shared" si="9"/>
        <v/>
      </c>
      <c r="P31" s="57"/>
      <c r="Q31" s="169" t="str">
        <f t="shared" si="1"/>
        <v/>
      </c>
      <c r="R31" s="57"/>
      <c r="S31" s="57"/>
      <c r="T31" s="57"/>
      <c r="U31" s="57"/>
      <c r="V31" s="58" t="str">
        <f t="shared" si="10"/>
        <v/>
      </c>
      <c r="W31" s="56">
        <v>24</v>
      </c>
      <c r="X31" s="63"/>
      <c r="Y31" s="130" t="str">
        <f t="shared" si="11"/>
        <v/>
      </c>
      <c r="Z31" s="63"/>
      <c r="AA31" s="130" t="str">
        <f t="shared" si="12"/>
        <v/>
      </c>
      <c r="AB31" s="63"/>
      <c r="AC31" s="130" t="str">
        <f t="shared" si="13"/>
        <v/>
      </c>
      <c r="AD31" s="63"/>
      <c r="AE31" s="130" t="str">
        <f t="shared" si="2"/>
        <v/>
      </c>
      <c r="AF31" s="125" t="str">
        <f t="shared" si="14"/>
        <v/>
      </c>
      <c r="AG31" s="56">
        <v>24</v>
      </c>
      <c r="AH31" s="63"/>
      <c r="AI31" s="130" t="str">
        <f t="shared" si="15"/>
        <v/>
      </c>
      <c r="AJ31" s="63"/>
      <c r="AK31" s="130" t="str">
        <f t="shared" si="16"/>
        <v/>
      </c>
      <c r="AL31" s="63"/>
      <c r="AM31" s="130" t="str">
        <f t="shared" si="17"/>
        <v/>
      </c>
      <c r="AN31" s="63"/>
      <c r="AO31" s="130" t="str">
        <f t="shared" si="3"/>
        <v/>
      </c>
      <c r="AP31" s="125" t="str">
        <f t="shared" si="18"/>
        <v/>
      </c>
      <c r="AQ31" s="56">
        <v>24</v>
      </c>
      <c r="AR31" s="63"/>
      <c r="AS31" s="130" t="str">
        <f t="shared" si="19"/>
        <v/>
      </c>
      <c r="AT31" s="63"/>
      <c r="AU31" s="130" t="str">
        <f t="shared" si="20"/>
        <v/>
      </c>
      <c r="AV31" s="63"/>
      <c r="AW31" s="130" t="str">
        <f t="shared" si="21"/>
        <v/>
      </c>
      <c r="AX31" s="63"/>
      <c r="AY31" s="130" t="str">
        <f t="shared" si="4"/>
        <v/>
      </c>
      <c r="AZ31" s="125" t="str">
        <f t="shared" si="22"/>
        <v/>
      </c>
      <c r="BA31" s="56">
        <v>24</v>
      </c>
      <c r="BB31" s="63"/>
      <c r="BC31" s="62"/>
      <c r="BD31" s="61"/>
      <c r="BE31" s="61"/>
      <c r="BF31" s="61"/>
      <c r="BG31" s="61"/>
      <c r="BH31" s="64"/>
      <c r="BI31" s="64"/>
      <c r="BJ31" s="64"/>
      <c r="BK31" s="64"/>
      <c r="BL31" s="64"/>
      <c r="BM31" s="64"/>
      <c r="BN31" s="65" t="str">
        <f t="shared" si="23"/>
        <v/>
      </c>
      <c r="BO31" s="56">
        <v>24</v>
      </c>
      <c r="BP31" s="64"/>
      <c r="BQ31" s="62"/>
      <c r="BR31" s="61"/>
      <c r="BS31" s="61"/>
      <c r="BT31" s="61"/>
      <c r="BU31" s="64"/>
      <c r="BV31" s="63"/>
      <c r="BW31" s="63"/>
      <c r="BX31" s="66"/>
      <c r="BY31" s="172"/>
      <c r="BZ31" s="67" t="str">
        <f t="shared" si="24"/>
        <v/>
      </c>
      <c r="CA31" s="56">
        <v>24</v>
      </c>
      <c r="CB31" s="61"/>
      <c r="CC31" s="61"/>
      <c r="CD31" s="68" t="str">
        <f t="shared" si="25"/>
        <v/>
      </c>
      <c r="CE31" s="69" t="str">
        <f t="shared" si="26"/>
        <v/>
      </c>
      <c r="CF31" s="69" t="str">
        <f t="shared" si="27"/>
        <v/>
      </c>
      <c r="CG31" s="62"/>
      <c r="CH31" s="62"/>
      <c r="CI31" s="65" t="str">
        <f t="shared" si="28"/>
        <v/>
      </c>
      <c r="CJ31" s="56">
        <v>24</v>
      </c>
      <c r="CK31" s="61"/>
      <c r="CL31" s="61"/>
      <c r="CM31" s="68" t="str">
        <f t="shared" si="29"/>
        <v/>
      </c>
      <c r="CN31" s="68" t="str">
        <f t="shared" si="30"/>
        <v/>
      </c>
      <c r="CO31" s="68" t="str">
        <f t="shared" si="31"/>
        <v/>
      </c>
      <c r="CP31" s="62"/>
      <c r="CQ31" s="62"/>
      <c r="CR31" s="65" t="str">
        <f t="shared" si="32"/>
        <v/>
      </c>
      <c r="CS31" s="56">
        <v>24</v>
      </c>
      <c r="CT31" s="61"/>
      <c r="CU31" s="61"/>
      <c r="CV31" s="68" t="str">
        <f t="shared" si="33"/>
        <v/>
      </c>
      <c r="CW31" s="68" t="str">
        <f t="shared" si="34"/>
        <v/>
      </c>
      <c r="CX31" s="69" t="str">
        <f t="shared" si="35"/>
        <v/>
      </c>
      <c r="CY31" s="66"/>
      <c r="CZ31" s="66"/>
      <c r="DA31" s="66"/>
      <c r="DB31" s="65" t="str">
        <f t="shared" si="36"/>
        <v/>
      </c>
      <c r="DC31" s="56">
        <v>24</v>
      </c>
      <c r="DD31" s="61"/>
      <c r="DE31" s="61"/>
      <c r="DF31" s="68" t="str">
        <f t="shared" si="37"/>
        <v/>
      </c>
      <c r="DG31" s="69" t="str">
        <f t="shared" si="38"/>
        <v/>
      </c>
      <c r="DH31" s="68" t="str">
        <f t="shared" si="39"/>
        <v/>
      </c>
      <c r="DI31" s="62"/>
      <c r="DJ31" s="62"/>
      <c r="DK31" s="65" t="str">
        <f t="shared" si="40"/>
        <v/>
      </c>
      <c r="DL31" s="56">
        <v>24</v>
      </c>
      <c r="DM31" s="63"/>
      <c r="DN31" s="64"/>
      <c r="DO31" s="64"/>
      <c r="DP31" s="64"/>
      <c r="DQ31" s="63"/>
      <c r="DR31" s="61"/>
      <c r="DS31" s="64"/>
      <c r="DT31" s="61"/>
      <c r="DU31" s="63"/>
      <c r="DV31" s="64"/>
      <c r="DW31" s="64"/>
      <c r="DX31" s="66"/>
      <c r="DY31" s="65" t="str">
        <f t="shared" si="41"/>
        <v/>
      </c>
      <c r="DZ31" s="128">
        <v>24</v>
      </c>
      <c r="EA31" s="173" t="str">
        <f t="shared" si="42"/>
        <v/>
      </c>
      <c r="EB31" s="173" t="str">
        <f t="shared" si="43"/>
        <v/>
      </c>
      <c r="EC31" s="173" t="str">
        <f t="shared" si="44"/>
        <v/>
      </c>
      <c r="ED31" s="63"/>
      <c r="EE31" s="63"/>
      <c r="EF31" s="63"/>
      <c r="EG31" s="63"/>
      <c r="EH31" s="127" t="str">
        <f t="shared" si="5"/>
        <v/>
      </c>
      <c r="EI31" s="56">
        <v>24</v>
      </c>
      <c r="EJ31" s="334"/>
      <c r="EK31" s="334"/>
      <c r="EL31" s="334"/>
      <c r="EM31" s="334"/>
      <c r="EN31" s="334"/>
      <c r="EO31" s="334"/>
      <c r="EP31" s="334"/>
      <c r="EQ31" s="65" t="str">
        <f t="shared" si="45"/>
        <v/>
      </c>
      <c r="ER31" s="20"/>
      <c r="ES31" s="20"/>
      <c r="ET31" s="20"/>
      <c r="EU31" s="20"/>
      <c r="EV31" s="20"/>
      <c r="EW31" s="20"/>
      <c r="EX31" s="20"/>
    </row>
    <row r="32" spans="1:154" s="3" customFormat="1" ht="17.149999999999999" customHeight="1" x14ac:dyDescent="0.25">
      <c r="A32" s="56">
        <v>25</v>
      </c>
      <c r="B32" s="57"/>
      <c r="C32" s="58" t="str">
        <f t="shared" si="6"/>
        <v/>
      </c>
      <c r="D32" s="167"/>
      <c r="E32" s="59"/>
      <c r="F32" s="58" t="str">
        <f t="shared" si="7"/>
        <v/>
      </c>
      <c r="G32" s="168"/>
      <c r="H32" s="57"/>
      <c r="I32" s="58" t="str">
        <f t="shared" si="0"/>
        <v/>
      </c>
      <c r="J32" s="60"/>
      <c r="K32" s="56">
        <v>25</v>
      </c>
      <c r="L32" s="57"/>
      <c r="M32" s="58" t="str">
        <f t="shared" si="8"/>
        <v/>
      </c>
      <c r="N32" s="59"/>
      <c r="O32" s="58" t="str">
        <f t="shared" si="9"/>
        <v/>
      </c>
      <c r="P32" s="57"/>
      <c r="Q32" s="169" t="str">
        <f t="shared" si="1"/>
        <v/>
      </c>
      <c r="R32" s="57"/>
      <c r="S32" s="57"/>
      <c r="T32" s="57"/>
      <c r="U32" s="57"/>
      <c r="V32" s="58" t="str">
        <f t="shared" si="10"/>
        <v/>
      </c>
      <c r="W32" s="56">
        <v>25</v>
      </c>
      <c r="X32" s="63"/>
      <c r="Y32" s="130" t="str">
        <f t="shared" si="11"/>
        <v/>
      </c>
      <c r="Z32" s="63"/>
      <c r="AA32" s="130" t="str">
        <f t="shared" si="12"/>
        <v/>
      </c>
      <c r="AB32" s="63"/>
      <c r="AC32" s="130" t="str">
        <f t="shared" si="13"/>
        <v/>
      </c>
      <c r="AD32" s="63"/>
      <c r="AE32" s="130" t="str">
        <f t="shared" si="2"/>
        <v/>
      </c>
      <c r="AF32" s="125" t="str">
        <f t="shared" si="14"/>
        <v/>
      </c>
      <c r="AG32" s="56">
        <v>25</v>
      </c>
      <c r="AH32" s="63"/>
      <c r="AI32" s="130" t="str">
        <f t="shared" si="15"/>
        <v/>
      </c>
      <c r="AJ32" s="63"/>
      <c r="AK32" s="130" t="str">
        <f t="shared" si="16"/>
        <v/>
      </c>
      <c r="AL32" s="63"/>
      <c r="AM32" s="130" t="str">
        <f t="shared" si="17"/>
        <v/>
      </c>
      <c r="AN32" s="63"/>
      <c r="AO32" s="130" t="str">
        <f t="shared" si="3"/>
        <v/>
      </c>
      <c r="AP32" s="125" t="str">
        <f t="shared" si="18"/>
        <v/>
      </c>
      <c r="AQ32" s="56">
        <v>25</v>
      </c>
      <c r="AR32" s="63"/>
      <c r="AS32" s="130" t="str">
        <f t="shared" si="19"/>
        <v/>
      </c>
      <c r="AT32" s="63"/>
      <c r="AU32" s="130" t="str">
        <f t="shared" si="20"/>
        <v/>
      </c>
      <c r="AV32" s="63"/>
      <c r="AW32" s="130" t="str">
        <f t="shared" si="21"/>
        <v/>
      </c>
      <c r="AX32" s="63"/>
      <c r="AY32" s="130" t="str">
        <f t="shared" si="4"/>
        <v/>
      </c>
      <c r="AZ32" s="125" t="str">
        <f t="shared" si="22"/>
        <v/>
      </c>
      <c r="BA32" s="56">
        <v>25</v>
      </c>
      <c r="BB32" s="63"/>
      <c r="BC32" s="62"/>
      <c r="BD32" s="61"/>
      <c r="BE32" s="61"/>
      <c r="BF32" s="61"/>
      <c r="BG32" s="61"/>
      <c r="BH32" s="64"/>
      <c r="BI32" s="64"/>
      <c r="BJ32" s="64"/>
      <c r="BK32" s="64"/>
      <c r="BL32" s="64"/>
      <c r="BM32" s="64"/>
      <c r="BN32" s="65" t="str">
        <f t="shared" si="23"/>
        <v/>
      </c>
      <c r="BO32" s="56">
        <v>25</v>
      </c>
      <c r="BP32" s="64"/>
      <c r="BQ32" s="62"/>
      <c r="BR32" s="61"/>
      <c r="BS32" s="61"/>
      <c r="BT32" s="61"/>
      <c r="BU32" s="64"/>
      <c r="BV32" s="63"/>
      <c r="BW32" s="63"/>
      <c r="BX32" s="66"/>
      <c r="BY32" s="172"/>
      <c r="BZ32" s="67" t="str">
        <f t="shared" si="24"/>
        <v/>
      </c>
      <c r="CA32" s="56">
        <v>25</v>
      </c>
      <c r="CB32" s="61"/>
      <c r="CC32" s="61"/>
      <c r="CD32" s="68" t="str">
        <f t="shared" si="25"/>
        <v/>
      </c>
      <c r="CE32" s="69" t="str">
        <f t="shared" si="26"/>
        <v/>
      </c>
      <c r="CF32" s="69" t="str">
        <f t="shared" si="27"/>
        <v/>
      </c>
      <c r="CG32" s="62"/>
      <c r="CH32" s="62"/>
      <c r="CI32" s="65" t="str">
        <f t="shared" si="28"/>
        <v/>
      </c>
      <c r="CJ32" s="56">
        <v>25</v>
      </c>
      <c r="CK32" s="61"/>
      <c r="CL32" s="61"/>
      <c r="CM32" s="68" t="str">
        <f t="shared" si="29"/>
        <v/>
      </c>
      <c r="CN32" s="68" t="str">
        <f t="shared" si="30"/>
        <v/>
      </c>
      <c r="CO32" s="68" t="str">
        <f t="shared" si="31"/>
        <v/>
      </c>
      <c r="CP32" s="62"/>
      <c r="CQ32" s="62"/>
      <c r="CR32" s="65" t="str">
        <f t="shared" si="32"/>
        <v/>
      </c>
      <c r="CS32" s="56">
        <v>25</v>
      </c>
      <c r="CT32" s="61"/>
      <c r="CU32" s="61"/>
      <c r="CV32" s="68" t="str">
        <f t="shared" si="33"/>
        <v/>
      </c>
      <c r="CW32" s="68" t="str">
        <f t="shared" si="34"/>
        <v/>
      </c>
      <c r="CX32" s="69" t="str">
        <f t="shared" si="35"/>
        <v/>
      </c>
      <c r="CY32" s="66"/>
      <c r="CZ32" s="66"/>
      <c r="DA32" s="66"/>
      <c r="DB32" s="65" t="str">
        <f t="shared" si="36"/>
        <v/>
      </c>
      <c r="DC32" s="56">
        <v>25</v>
      </c>
      <c r="DD32" s="61"/>
      <c r="DE32" s="61"/>
      <c r="DF32" s="68" t="str">
        <f t="shared" si="37"/>
        <v/>
      </c>
      <c r="DG32" s="69" t="str">
        <f t="shared" si="38"/>
        <v/>
      </c>
      <c r="DH32" s="68" t="str">
        <f t="shared" si="39"/>
        <v/>
      </c>
      <c r="DI32" s="62"/>
      <c r="DJ32" s="62"/>
      <c r="DK32" s="65" t="str">
        <f t="shared" si="40"/>
        <v/>
      </c>
      <c r="DL32" s="56">
        <v>25</v>
      </c>
      <c r="DM32" s="63"/>
      <c r="DN32" s="64"/>
      <c r="DO32" s="64"/>
      <c r="DP32" s="64"/>
      <c r="DQ32" s="63"/>
      <c r="DR32" s="61"/>
      <c r="DS32" s="64"/>
      <c r="DT32" s="61"/>
      <c r="DU32" s="63"/>
      <c r="DV32" s="64"/>
      <c r="DW32" s="64"/>
      <c r="DX32" s="66"/>
      <c r="DY32" s="65" t="str">
        <f t="shared" si="41"/>
        <v/>
      </c>
      <c r="DZ32" s="128">
        <v>25</v>
      </c>
      <c r="EA32" s="173" t="str">
        <f t="shared" si="42"/>
        <v/>
      </c>
      <c r="EB32" s="173" t="str">
        <f t="shared" si="43"/>
        <v/>
      </c>
      <c r="EC32" s="173" t="str">
        <f t="shared" si="44"/>
        <v/>
      </c>
      <c r="ED32" s="63"/>
      <c r="EE32" s="63"/>
      <c r="EF32" s="63"/>
      <c r="EG32" s="63"/>
      <c r="EH32" s="127" t="str">
        <f t="shared" si="5"/>
        <v/>
      </c>
      <c r="EI32" s="56">
        <v>25</v>
      </c>
      <c r="EJ32" s="334"/>
      <c r="EK32" s="334"/>
      <c r="EL32" s="334"/>
      <c r="EM32" s="334"/>
      <c r="EN32" s="334"/>
      <c r="EO32" s="334"/>
      <c r="EP32" s="334"/>
      <c r="EQ32" s="65" t="str">
        <f t="shared" si="45"/>
        <v/>
      </c>
      <c r="ER32" s="20"/>
      <c r="ES32" s="20"/>
      <c r="ET32" s="20"/>
      <c r="EU32" s="20"/>
      <c r="EV32" s="20"/>
      <c r="EW32" s="20"/>
      <c r="EX32" s="20"/>
    </row>
    <row r="33" spans="1:154" s="3" customFormat="1" ht="17.149999999999999" customHeight="1" x14ac:dyDescent="0.25">
      <c r="A33" s="56">
        <v>26</v>
      </c>
      <c r="B33" s="57"/>
      <c r="C33" s="58" t="str">
        <f t="shared" si="6"/>
        <v/>
      </c>
      <c r="D33" s="167"/>
      <c r="E33" s="59"/>
      <c r="F33" s="58" t="str">
        <f t="shared" si="7"/>
        <v/>
      </c>
      <c r="G33" s="168"/>
      <c r="H33" s="57"/>
      <c r="I33" s="58" t="str">
        <f t="shared" si="0"/>
        <v/>
      </c>
      <c r="J33" s="60"/>
      <c r="K33" s="56">
        <v>26</v>
      </c>
      <c r="L33" s="57"/>
      <c r="M33" s="58" t="str">
        <f t="shared" si="8"/>
        <v/>
      </c>
      <c r="N33" s="59"/>
      <c r="O33" s="58" t="str">
        <f t="shared" si="9"/>
        <v/>
      </c>
      <c r="P33" s="57"/>
      <c r="Q33" s="169" t="str">
        <f t="shared" si="1"/>
        <v/>
      </c>
      <c r="R33" s="57"/>
      <c r="S33" s="57"/>
      <c r="T33" s="57"/>
      <c r="U33" s="57"/>
      <c r="V33" s="58" t="str">
        <f t="shared" si="10"/>
        <v/>
      </c>
      <c r="W33" s="56">
        <v>26</v>
      </c>
      <c r="X33" s="63"/>
      <c r="Y33" s="130" t="str">
        <f t="shared" si="11"/>
        <v/>
      </c>
      <c r="Z33" s="63"/>
      <c r="AA33" s="130" t="str">
        <f t="shared" si="12"/>
        <v/>
      </c>
      <c r="AB33" s="63"/>
      <c r="AC33" s="130" t="str">
        <f t="shared" si="13"/>
        <v/>
      </c>
      <c r="AD33" s="63"/>
      <c r="AE33" s="130" t="str">
        <f t="shared" si="2"/>
        <v/>
      </c>
      <c r="AF33" s="125" t="str">
        <f t="shared" si="14"/>
        <v/>
      </c>
      <c r="AG33" s="56">
        <v>26</v>
      </c>
      <c r="AH33" s="63"/>
      <c r="AI33" s="130" t="str">
        <f t="shared" si="15"/>
        <v/>
      </c>
      <c r="AJ33" s="63"/>
      <c r="AK33" s="130" t="str">
        <f t="shared" si="16"/>
        <v/>
      </c>
      <c r="AL33" s="63"/>
      <c r="AM33" s="130" t="str">
        <f t="shared" si="17"/>
        <v/>
      </c>
      <c r="AN33" s="63"/>
      <c r="AO33" s="130" t="str">
        <f t="shared" si="3"/>
        <v/>
      </c>
      <c r="AP33" s="125" t="str">
        <f t="shared" si="18"/>
        <v/>
      </c>
      <c r="AQ33" s="56">
        <v>26</v>
      </c>
      <c r="AR33" s="63"/>
      <c r="AS33" s="130" t="str">
        <f t="shared" si="19"/>
        <v/>
      </c>
      <c r="AT33" s="63"/>
      <c r="AU33" s="130" t="str">
        <f t="shared" si="20"/>
        <v/>
      </c>
      <c r="AV33" s="63"/>
      <c r="AW33" s="130" t="str">
        <f t="shared" si="21"/>
        <v/>
      </c>
      <c r="AX33" s="63"/>
      <c r="AY33" s="130" t="str">
        <f t="shared" si="4"/>
        <v/>
      </c>
      <c r="AZ33" s="125" t="str">
        <f t="shared" si="22"/>
        <v/>
      </c>
      <c r="BA33" s="56">
        <v>26</v>
      </c>
      <c r="BB33" s="63"/>
      <c r="BC33" s="62"/>
      <c r="BD33" s="61"/>
      <c r="BE33" s="61"/>
      <c r="BF33" s="61"/>
      <c r="BG33" s="61"/>
      <c r="BH33" s="64"/>
      <c r="BI33" s="64"/>
      <c r="BJ33" s="64"/>
      <c r="BK33" s="64"/>
      <c r="BL33" s="64"/>
      <c r="BM33" s="64"/>
      <c r="BN33" s="65" t="str">
        <f t="shared" si="23"/>
        <v/>
      </c>
      <c r="BO33" s="56">
        <v>26</v>
      </c>
      <c r="BP33" s="64"/>
      <c r="BQ33" s="62"/>
      <c r="BR33" s="61"/>
      <c r="BS33" s="61"/>
      <c r="BT33" s="61"/>
      <c r="BU33" s="64"/>
      <c r="BV33" s="63"/>
      <c r="BW33" s="63"/>
      <c r="BX33" s="66"/>
      <c r="BY33" s="172"/>
      <c r="BZ33" s="67" t="str">
        <f t="shared" si="24"/>
        <v/>
      </c>
      <c r="CA33" s="56">
        <v>26</v>
      </c>
      <c r="CB33" s="61"/>
      <c r="CC33" s="61"/>
      <c r="CD33" s="68" t="str">
        <f t="shared" si="25"/>
        <v/>
      </c>
      <c r="CE33" s="69" t="str">
        <f t="shared" si="26"/>
        <v/>
      </c>
      <c r="CF33" s="69" t="str">
        <f t="shared" si="27"/>
        <v/>
      </c>
      <c r="CG33" s="62"/>
      <c r="CH33" s="62"/>
      <c r="CI33" s="65" t="str">
        <f t="shared" si="28"/>
        <v/>
      </c>
      <c r="CJ33" s="56">
        <v>26</v>
      </c>
      <c r="CK33" s="61"/>
      <c r="CL33" s="61"/>
      <c r="CM33" s="68" t="str">
        <f t="shared" si="29"/>
        <v/>
      </c>
      <c r="CN33" s="68" t="str">
        <f t="shared" si="30"/>
        <v/>
      </c>
      <c r="CO33" s="68" t="str">
        <f t="shared" si="31"/>
        <v/>
      </c>
      <c r="CP33" s="62"/>
      <c r="CQ33" s="62"/>
      <c r="CR33" s="65" t="str">
        <f t="shared" si="32"/>
        <v/>
      </c>
      <c r="CS33" s="56">
        <v>26</v>
      </c>
      <c r="CT33" s="61"/>
      <c r="CU33" s="61"/>
      <c r="CV33" s="68" t="str">
        <f t="shared" si="33"/>
        <v/>
      </c>
      <c r="CW33" s="68" t="str">
        <f t="shared" si="34"/>
        <v/>
      </c>
      <c r="CX33" s="69" t="str">
        <f t="shared" si="35"/>
        <v/>
      </c>
      <c r="CY33" s="66"/>
      <c r="CZ33" s="66"/>
      <c r="DA33" s="66"/>
      <c r="DB33" s="65" t="str">
        <f t="shared" si="36"/>
        <v/>
      </c>
      <c r="DC33" s="56">
        <v>26</v>
      </c>
      <c r="DD33" s="61"/>
      <c r="DE33" s="61"/>
      <c r="DF33" s="68" t="str">
        <f t="shared" si="37"/>
        <v/>
      </c>
      <c r="DG33" s="69" t="str">
        <f t="shared" si="38"/>
        <v/>
      </c>
      <c r="DH33" s="68" t="str">
        <f t="shared" si="39"/>
        <v/>
      </c>
      <c r="DI33" s="62"/>
      <c r="DJ33" s="62"/>
      <c r="DK33" s="65" t="str">
        <f t="shared" si="40"/>
        <v/>
      </c>
      <c r="DL33" s="56">
        <v>26</v>
      </c>
      <c r="DM33" s="63"/>
      <c r="DN33" s="64"/>
      <c r="DO33" s="64"/>
      <c r="DP33" s="64"/>
      <c r="DQ33" s="63"/>
      <c r="DR33" s="61"/>
      <c r="DS33" s="64"/>
      <c r="DT33" s="61"/>
      <c r="DU33" s="63"/>
      <c r="DV33" s="64"/>
      <c r="DW33" s="64"/>
      <c r="DX33" s="66"/>
      <c r="DY33" s="65" t="str">
        <f t="shared" si="41"/>
        <v/>
      </c>
      <c r="DZ33" s="128">
        <v>26</v>
      </c>
      <c r="EA33" s="173" t="str">
        <f t="shared" si="42"/>
        <v/>
      </c>
      <c r="EB33" s="173" t="str">
        <f t="shared" si="43"/>
        <v/>
      </c>
      <c r="EC33" s="173" t="str">
        <f t="shared" si="44"/>
        <v/>
      </c>
      <c r="ED33" s="63"/>
      <c r="EE33" s="63"/>
      <c r="EF33" s="63"/>
      <c r="EG33" s="63"/>
      <c r="EH33" s="127" t="str">
        <f t="shared" si="5"/>
        <v/>
      </c>
      <c r="EI33" s="56">
        <v>26</v>
      </c>
      <c r="EJ33" s="334"/>
      <c r="EK33" s="334"/>
      <c r="EL33" s="334"/>
      <c r="EM33" s="334"/>
      <c r="EN33" s="334"/>
      <c r="EO33" s="334"/>
      <c r="EP33" s="334"/>
      <c r="EQ33" s="65" t="str">
        <f t="shared" si="45"/>
        <v/>
      </c>
      <c r="ER33" s="20"/>
      <c r="ES33" s="20"/>
      <c r="ET33" s="20"/>
      <c r="EU33" s="20"/>
      <c r="EV33" s="20"/>
      <c r="EW33" s="20"/>
      <c r="EX33" s="20"/>
    </row>
    <row r="34" spans="1:154" s="3" customFormat="1" ht="17.149999999999999" customHeight="1" x14ac:dyDescent="0.25">
      <c r="A34" s="56">
        <v>27</v>
      </c>
      <c r="B34" s="57"/>
      <c r="C34" s="58" t="str">
        <f t="shared" si="6"/>
        <v/>
      </c>
      <c r="D34" s="167"/>
      <c r="E34" s="59"/>
      <c r="F34" s="58" t="str">
        <f t="shared" si="7"/>
        <v/>
      </c>
      <c r="G34" s="168"/>
      <c r="H34" s="57"/>
      <c r="I34" s="58" t="str">
        <f t="shared" si="0"/>
        <v/>
      </c>
      <c r="J34" s="60"/>
      <c r="K34" s="56">
        <v>27</v>
      </c>
      <c r="L34" s="57"/>
      <c r="M34" s="58" t="str">
        <f t="shared" si="8"/>
        <v/>
      </c>
      <c r="N34" s="59"/>
      <c r="O34" s="58" t="str">
        <f t="shared" si="9"/>
        <v/>
      </c>
      <c r="P34" s="57"/>
      <c r="Q34" s="169" t="str">
        <f t="shared" si="1"/>
        <v/>
      </c>
      <c r="R34" s="57"/>
      <c r="S34" s="57"/>
      <c r="T34" s="57"/>
      <c r="U34" s="57"/>
      <c r="V34" s="58" t="str">
        <f t="shared" si="10"/>
        <v/>
      </c>
      <c r="W34" s="56">
        <v>27</v>
      </c>
      <c r="X34" s="63"/>
      <c r="Y34" s="130" t="str">
        <f t="shared" si="11"/>
        <v/>
      </c>
      <c r="Z34" s="63"/>
      <c r="AA34" s="130" t="str">
        <f t="shared" si="12"/>
        <v/>
      </c>
      <c r="AB34" s="63"/>
      <c r="AC34" s="130" t="str">
        <f t="shared" si="13"/>
        <v/>
      </c>
      <c r="AD34" s="63"/>
      <c r="AE34" s="130" t="str">
        <f t="shared" si="2"/>
        <v/>
      </c>
      <c r="AF34" s="125" t="str">
        <f t="shared" si="14"/>
        <v/>
      </c>
      <c r="AG34" s="56">
        <v>27</v>
      </c>
      <c r="AH34" s="63"/>
      <c r="AI34" s="130" t="str">
        <f t="shared" si="15"/>
        <v/>
      </c>
      <c r="AJ34" s="63"/>
      <c r="AK34" s="130" t="str">
        <f t="shared" si="16"/>
        <v/>
      </c>
      <c r="AL34" s="63"/>
      <c r="AM34" s="130" t="str">
        <f t="shared" si="17"/>
        <v/>
      </c>
      <c r="AN34" s="63"/>
      <c r="AO34" s="130" t="str">
        <f t="shared" si="3"/>
        <v/>
      </c>
      <c r="AP34" s="125" t="str">
        <f t="shared" si="18"/>
        <v/>
      </c>
      <c r="AQ34" s="56">
        <v>27</v>
      </c>
      <c r="AR34" s="63"/>
      <c r="AS34" s="130" t="str">
        <f t="shared" si="19"/>
        <v/>
      </c>
      <c r="AT34" s="63"/>
      <c r="AU34" s="130" t="str">
        <f t="shared" si="20"/>
        <v/>
      </c>
      <c r="AV34" s="63"/>
      <c r="AW34" s="130" t="str">
        <f t="shared" si="21"/>
        <v/>
      </c>
      <c r="AX34" s="63"/>
      <c r="AY34" s="130" t="str">
        <f t="shared" si="4"/>
        <v/>
      </c>
      <c r="AZ34" s="125" t="str">
        <f t="shared" si="22"/>
        <v/>
      </c>
      <c r="BA34" s="56">
        <v>27</v>
      </c>
      <c r="BB34" s="63"/>
      <c r="BC34" s="62"/>
      <c r="BD34" s="61"/>
      <c r="BE34" s="61"/>
      <c r="BF34" s="61"/>
      <c r="BG34" s="61"/>
      <c r="BH34" s="64"/>
      <c r="BI34" s="64"/>
      <c r="BJ34" s="64"/>
      <c r="BK34" s="64"/>
      <c r="BL34" s="64"/>
      <c r="BM34" s="64"/>
      <c r="BN34" s="65" t="str">
        <f t="shared" si="23"/>
        <v/>
      </c>
      <c r="BO34" s="56">
        <v>27</v>
      </c>
      <c r="BP34" s="64"/>
      <c r="BQ34" s="62"/>
      <c r="BR34" s="61"/>
      <c r="BS34" s="61"/>
      <c r="BT34" s="61"/>
      <c r="BU34" s="64"/>
      <c r="BV34" s="63"/>
      <c r="BW34" s="63"/>
      <c r="BX34" s="66"/>
      <c r="BY34" s="172"/>
      <c r="BZ34" s="67" t="str">
        <f t="shared" si="24"/>
        <v/>
      </c>
      <c r="CA34" s="56">
        <v>27</v>
      </c>
      <c r="CB34" s="61"/>
      <c r="CC34" s="61"/>
      <c r="CD34" s="68" t="str">
        <f t="shared" si="25"/>
        <v/>
      </c>
      <c r="CE34" s="69" t="str">
        <f t="shared" si="26"/>
        <v/>
      </c>
      <c r="CF34" s="69" t="str">
        <f t="shared" si="27"/>
        <v/>
      </c>
      <c r="CG34" s="62"/>
      <c r="CH34" s="62"/>
      <c r="CI34" s="65" t="str">
        <f t="shared" si="28"/>
        <v/>
      </c>
      <c r="CJ34" s="56">
        <v>27</v>
      </c>
      <c r="CK34" s="61"/>
      <c r="CL34" s="61"/>
      <c r="CM34" s="68" t="str">
        <f t="shared" si="29"/>
        <v/>
      </c>
      <c r="CN34" s="68" t="str">
        <f t="shared" si="30"/>
        <v/>
      </c>
      <c r="CO34" s="68" t="str">
        <f t="shared" si="31"/>
        <v/>
      </c>
      <c r="CP34" s="62"/>
      <c r="CQ34" s="62"/>
      <c r="CR34" s="65" t="str">
        <f t="shared" si="32"/>
        <v/>
      </c>
      <c r="CS34" s="56">
        <v>27</v>
      </c>
      <c r="CT34" s="61"/>
      <c r="CU34" s="61"/>
      <c r="CV34" s="68" t="str">
        <f t="shared" si="33"/>
        <v/>
      </c>
      <c r="CW34" s="68" t="str">
        <f t="shared" si="34"/>
        <v/>
      </c>
      <c r="CX34" s="69" t="str">
        <f t="shared" si="35"/>
        <v/>
      </c>
      <c r="CY34" s="66"/>
      <c r="CZ34" s="66"/>
      <c r="DA34" s="66"/>
      <c r="DB34" s="65" t="str">
        <f t="shared" si="36"/>
        <v/>
      </c>
      <c r="DC34" s="56">
        <v>27</v>
      </c>
      <c r="DD34" s="61"/>
      <c r="DE34" s="61"/>
      <c r="DF34" s="68" t="str">
        <f t="shared" si="37"/>
        <v/>
      </c>
      <c r="DG34" s="69" t="str">
        <f t="shared" si="38"/>
        <v/>
      </c>
      <c r="DH34" s="68" t="str">
        <f t="shared" si="39"/>
        <v/>
      </c>
      <c r="DI34" s="62"/>
      <c r="DJ34" s="62"/>
      <c r="DK34" s="65" t="str">
        <f t="shared" si="40"/>
        <v/>
      </c>
      <c r="DL34" s="56">
        <v>27</v>
      </c>
      <c r="DM34" s="63"/>
      <c r="DN34" s="64"/>
      <c r="DO34" s="64"/>
      <c r="DP34" s="64"/>
      <c r="DQ34" s="63"/>
      <c r="DR34" s="61"/>
      <c r="DS34" s="64"/>
      <c r="DT34" s="61"/>
      <c r="DU34" s="63"/>
      <c r="DV34" s="64"/>
      <c r="DW34" s="64"/>
      <c r="DX34" s="66"/>
      <c r="DY34" s="65" t="str">
        <f t="shared" si="41"/>
        <v/>
      </c>
      <c r="DZ34" s="128">
        <v>27</v>
      </c>
      <c r="EA34" s="173" t="str">
        <f t="shared" si="42"/>
        <v/>
      </c>
      <c r="EB34" s="173" t="str">
        <f t="shared" si="43"/>
        <v/>
      </c>
      <c r="EC34" s="173" t="str">
        <f t="shared" si="44"/>
        <v/>
      </c>
      <c r="ED34" s="63"/>
      <c r="EE34" s="63"/>
      <c r="EF34" s="63"/>
      <c r="EG34" s="63"/>
      <c r="EH34" s="127" t="str">
        <f t="shared" si="5"/>
        <v/>
      </c>
      <c r="EI34" s="56">
        <v>27</v>
      </c>
      <c r="EJ34" s="334"/>
      <c r="EK34" s="334"/>
      <c r="EL34" s="334"/>
      <c r="EM34" s="334"/>
      <c r="EN34" s="334"/>
      <c r="EO34" s="334"/>
      <c r="EP34" s="334"/>
      <c r="EQ34" s="65" t="str">
        <f t="shared" si="45"/>
        <v/>
      </c>
      <c r="ER34" s="20"/>
      <c r="ES34" s="20"/>
      <c r="ET34" s="20"/>
      <c r="EU34" s="20"/>
      <c r="EV34" s="20"/>
      <c r="EW34" s="20"/>
      <c r="EX34" s="20"/>
    </row>
    <row r="35" spans="1:154" s="3" customFormat="1" ht="17.149999999999999" customHeight="1" x14ac:dyDescent="0.25">
      <c r="A35" s="56">
        <v>28</v>
      </c>
      <c r="B35" s="57"/>
      <c r="C35" s="58" t="str">
        <f t="shared" si="6"/>
        <v/>
      </c>
      <c r="D35" s="167"/>
      <c r="E35" s="59"/>
      <c r="F35" s="58" t="str">
        <f t="shared" si="7"/>
        <v/>
      </c>
      <c r="G35" s="168"/>
      <c r="H35" s="57"/>
      <c r="I35" s="58" t="str">
        <f t="shared" si="0"/>
        <v/>
      </c>
      <c r="J35" s="60"/>
      <c r="K35" s="56">
        <v>28</v>
      </c>
      <c r="L35" s="57"/>
      <c r="M35" s="58" t="str">
        <f t="shared" si="8"/>
        <v/>
      </c>
      <c r="N35" s="59"/>
      <c r="O35" s="58" t="str">
        <f t="shared" si="9"/>
        <v/>
      </c>
      <c r="P35" s="57"/>
      <c r="Q35" s="169" t="str">
        <f t="shared" si="1"/>
        <v/>
      </c>
      <c r="R35" s="57"/>
      <c r="S35" s="57"/>
      <c r="T35" s="57"/>
      <c r="U35" s="57"/>
      <c r="V35" s="58" t="str">
        <f t="shared" si="10"/>
        <v/>
      </c>
      <c r="W35" s="56">
        <v>28</v>
      </c>
      <c r="X35" s="63"/>
      <c r="Y35" s="130" t="str">
        <f t="shared" si="11"/>
        <v/>
      </c>
      <c r="Z35" s="63"/>
      <c r="AA35" s="130" t="str">
        <f t="shared" si="12"/>
        <v/>
      </c>
      <c r="AB35" s="63"/>
      <c r="AC35" s="130" t="str">
        <f t="shared" si="13"/>
        <v/>
      </c>
      <c r="AD35" s="63"/>
      <c r="AE35" s="130" t="str">
        <f t="shared" si="2"/>
        <v/>
      </c>
      <c r="AF35" s="125" t="str">
        <f t="shared" si="14"/>
        <v/>
      </c>
      <c r="AG35" s="56">
        <v>28</v>
      </c>
      <c r="AH35" s="63"/>
      <c r="AI35" s="130" t="str">
        <f t="shared" si="15"/>
        <v/>
      </c>
      <c r="AJ35" s="63"/>
      <c r="AK35" s="130" t="str">
        <f t="shared" si="16"/>
        <v/>
      </c>
      <c r="AL35" s="63"/>
      <c r="AM35" s="130" t="str">
        <f t="shared" si="17"/>
        <v/>
      </c>
      <c r="AN35" s="63"/>
      <c r="AO35" s="130" t="str">
        <f t="shared" si="3"/>
        <v/>
      </c>
      <c r="AP35" s="125" t="str">
        <f t="shared" si="18"/>
        <v/>
      </c>
      <c r="AQ35" s="56">
        <v>28</v>
      </c>
      <c r="AR35" s="63"/>
      <c r="AS35" s="130" t="str">
        <f t="shared" si="19"/>
        <v/>
      </c>
      <c r="AT35" s="63"/>
      <c r="AU35" s="130" t="str">
        <f t="shared" si="20"/>
        <v/>
      </c>
      <c r="AV35" s="63"/>
      <c r="AW35" s="130" t="str">
        <f t="shared" si="21"/>
        <v/>
      </c>
      <c r="AX35" s="63"/>
      <c r="AY35" s="130" t="str">
        <f t="shared" si="4"/>
        <v/>
      </c>
      <c r="AZ35" s="125" t="str">
        <f t="shared" si="22"/>
        <v/>
      </c>
      <c r="BA35" s="56">
        <v>28</v>
      </c>
      <c r="BB35" s="63"/>
      <c r="BC35" s="62"/>
      <c r="BD35" s="61"/>
      <c r="BE35" s="61"/>
      <c r="BF35" s="61"/>
      <c r="BG35" s="61"/>
      <c r="BH35" s="64"/>
      <c r="BI35" s="64"/>
      <c r="BJ35" s="64"/>
      <c r="BK35" s="64"/>
      <c r="BL35" s="64"/>
      <c r="BM35" s="64"/>
      <c r="BN35" s="65" t="str">
        <f t="shared" si="23"/>
        <v/>
      </c>
      <c r="BO35" s="56">
        <v>28</v>
      </c>
      <c r="BP35" s="64"/>
      <c r="BQ35" s="62"/>
      <c r="BR35" s="61"/>
      <c r="BS35" s="61"/>
      <c r="BT35" s="61"/>
      <c r="BU35" s="64"/>
      <c r="BV35" s="63"/>
      <c r="BW35" s="63"/>
      <c r="BX35" s="66"/>
      <c r="BY35" s="172"/>
      <c r="BZ35" s="67" t="str">
        <f t="shared" si="24"/>
        <v/>
      </c>
      <c r="CA35" s="56">
        <v>28</v>
      </c>
      <c r="CB35" s="61"/>
      <c r="CC35" s="61"/>
      <c r="CD35" s="68" t="str">
        <f t="shared" si="25"/>
        <v/>
      </c>
      <c r="CE35" s="69" t="str">
        <f t="shared" si="26"/>
        <v/>
      </c>
      <c r="CF35" s="69" t="str">
        <f t="shared" si="27"/>
        <v/>
      </c>
      <c r="CG35" s="62"/>
      <c r="CH35" s="62"/>
      <c r="CI35" s="65" t="str">
        <f t="shared" si="28"/>
        <v/>
      </c>
      <c r="CJ35" s="56">
        <v>28</v>
      </c>
      <c r="CK35" s="61"/>
      <c r="CL35" s="61"/>
      <c r="CM35" s="68" t="str">
        <f t="shared" si="29"/>
        <v/>
      </c>
      <c r="CN35" s="68" t="str">
        <f t="shared" si="30"/>
        <v/>
      </c>
      <c r="CO35" s="68" t="str">
        <f t="shared" si="31"/>
        <v/>
      </c>
      <c r="CP35" s="62"/>
      <c r="CQ35" s="62"/>
      <c r="CR35" s="65" t="str">
        <f t="shared" si="32"/>
        <v/>
      </c>
      <c r="CS35" s="56">
        <v>28</v>
      </c>
      <c r="CT35" s="61"/>
      <c r="CU35" s="61"/>
      <c r="CV35" s="68" t="str">
        <f t="shared" si="33"/>
        <v/>
      </c>
      <c r="CW35" s="68" t="str">
        <f t="shared" si="34"/>
        <v/>
      </c>
      <c r="CX35" s="69" t="str">
        <f t="shared" si="35"/>
        <v/>
      </c>
      <c r="CY35" s="66"/>
      <c r="CZ35" s="66"/>
      <c r="DA35" s="66"/>
      <c r="DB35" s="65" t="str">
        <f t="shared" si="36"/>
        <v/>
      </c>
      <c r="DC35" s="56">
        <v>28</v>
      </c>
      <c r="DD35" s="61"/>
      <c r="DE35" s="61"/>
      <c r="DF35" s="68" t="str">
        <f t="shared" si="37"/>
        <v/>
      </c>
      <c r="DG35" s="69" t="str">
        <f t="shared" si="38"/>
        <v/>
      </c>
      <c r="DH35" s="68" t="str">
        <f t="shared" si="39"/>
        <v/>
      </c>
      <c r="DI35" s="62"/>
      <c r="DJ35" s="62"/>
      <c r="DK35" s="65" t="str">
        <f t="shared" si="40"/>
        <v/>
      </c>
      <c r="DL35" s="56">
        <v>28</v>
      </c>
      <c r="DM35" s="63"/>
      <c r="DN35" s="64"/>
      <c r="DO35" s="64"/>
      <c r="DP35" s="64"/>
      <c r="DQ35" s="63"/>
      <c r="DR35" s="61"/>
      <c r="DS35" s="64"/>
      <c r="DT35" s="61"/>
      <c r="DU35" s="63"/>
      <c r="DV35" s="64"/>
      <c r="DW35" s="64"/>
      <c r="DX35" s="66"/>
      <c r="DY35" s="65" t="str">
        <f t="shared" si="41"/>
        <v/>
      </c>
      <c r="DZ35" s="128">
        <v>28</v>
      </c>
      <c r="EA35" s="173" t="str">
        <f t="shared" si="42"/>
        <v/>
      </c>
      <c r="EB35" s="173" t="str">
        <f t="shared" si="43"/>
        <v/>
      </c>
      <c r="EC35" s="173" t="str">
        <f t="shared" si="44"/>
        <v/>
      </c>
      <c r="ED35" s="63"/>
      <c r="EE35" s="63"/>
      <c r="EF35" s="63"/>
      <c r="EG35" s="63"/>
      <c r="EH35" s="127" t="str">
        <f t="shared" si="5"/>
        <v/>
      </c>
      <c r="EI35" s="56">
        <v>28</v>
      </c>
      <c r="EJ35" s="334"/>
      <c r="EK35" s="334"/>
      <c r="EL35" s="334"/>
      <c r="EM35" s="334"/>
      <c r="EN35" s="334"/>
      <c r="EO35" s="334"/>
      <c r="EP35" s="334"/>
      <c r="EQ35" s="65" t="str">
        <f t="shared" si="45"/>
        <v/>
      </c>
      <c r="ER35" s="20"/>
      <c r="ES35" s="20"/>
      <c r="ET35" s="20"/>
      <c r="EU35" s="20"/>
      <c r="EV35" s="20"/>
      <c r="EW35" s="20"/>
      <c r="EX35" s="20"/>
    </row>
    <row r="36" spans="1:154" s="3" customFormat="1" ht="17.149999999999999" customHeight="1" x14ac:dyDescent="0.25">
      <c r="A36" s="56">
        <v>29</v>
      </c>
      <c r="B36" s="57"/>
      <c r="C36" s="58" t="str">
        <f t="shared" si="6"/>
        <v/>
      </c>
      <c r="D36" s="167"/>
      <c r="E36" s="59"/>
      <c r="F36" s="58" t="str">
        <f t="shared" si="7"/>
        <v/>
      </c>
      <c r="G36" s="168"/>
      <c r="H36" s="57"/>
      <c r="I36" s="58" t="str">
        <f t="shared" si="0"/>
        <v/>
      </c>
      <c r="J36" s="60"/>
      <c r="K36" s="56">
        <v>29</v>
      </c>
      <c r="L36" s="57"/>
      <c r="M36" s="58" t="str">
        <f t="shared" si="8"/>
        <v/>
      </c>
      <c r="N36" s="59"/>
      <c r="O36" s="58" t="str">
        <f t="shared" si="9"/>
        <v/>
      </c>
      <c r="P36" s="57"/>
      <c r="Q36" s="169" t="str">
        <f t="shared" si="1"/>
        <v/>
      </c>
      <c r="R36" s="57"/>
      <c r="S36" s="57"/>
      <c r="T36" s="57"/>
      <c r="U36" s="57"/>
      <c r="V36" s="58" t="str">
        <f t="shared" si="10"/>
        <v/>
      </c>
      <c r="W36" s="56">
        <v>29</v>
      </c>
      <c r="X36" s="63"/>
      <c r="Y36" s="130" t="str">
        <f t="shared" si="11"/>
        <v/>
      </c>
      <c r="Z36" s="63"/>
      <c r="AA36" s="130" t="str">
        <f t="shared" si="12"/>
        <v/>
      </c>
      <c r="AB36" s="63"/>
      <c r="AC36" s="130" t="str">
        <f t="shared" si="13"/>
        <v/>
      </c>
      <c r="AD36" s="63"/>
      <c r="AE36" s="130" t="str">
        <f t="shared" si="2"/>
        <v/>
      </c>
      <c r="AF36" s="125" t="str">
        <f t="shared" si="14"/>
        <v/>
      </c>
      <c r="AG36" s="56">
        <v>29</v>
      </c>
      <c r="AH36" s="63"/>
      <c r="AI36" s="130" t="str">
        <f t="shared" si="15"/>
        <v/>
      </c>
      <c r="AJ36" s="63"/>
      <c r="AK36" s="130" t="str">
        <f t="shared" si="16"/>
        <v/>
      </c>
      <c r="AL36" s="63"/>
      <c r="AM36" s="130" t="str">
        <f t="shared" si="17"/>
        <v/>
      </c>
      <c r="AN36" s="63"/>
      <c r="AO36" s="130" t="str">
        <f t="shared" si="3"/>
        <v/>
      </c>
      <c r="AP36" s="125" t="str">
        <f t="shared" si="18"/>
        <v/>
      </c>
      <c r="AQ36" s="56">
        <v>29</v>
      </c>
      <c r="AR36" s="63"/>
      <c r="AS36" s="130" t="str">
        <f t="shared" si="19"/>
        <v/>
      </c>
      <c r="AT36" s="63"/>
      <c r="AU36" s="130" t="str">
        <f t="shared" si="20"/>
        <v/>
      </c>
      <c r="AV36" s="63"/>
      <c r="AW36" s="130" t="str">
        <f t="shared" si="21"/>
        <v/>
      </c>
      <c r="AX36" s="63"/>
      <c r="AY36" s="130" t="str">
        <f t="shared" si="4"/>
        <v/>
      </c>
      <c r="AZ36" s="125" t="str">
        <f t="shared" si="22"/>
        <v/>
      </c>
      <c r="BA36" s="56">
        <v>29</v>
      </c>
      <c r="BB36" s="63"/>
      <c r="BC36" s="62"/>
      <c r="BD36" s="61"/>
      <c r="BE36" s="61"/>
      <c r="BF36" s="61"/>
      <c r="BG36" s="61"/>
      <c r="BH36" s="64"/>
      <c r="BI36" s="64"/>
      <c r="BJ36" s="64"/>
      <c r="BK36" s="64"/>
      <c r="BL36" s="64"/>
      <c r="BM36" s="64"/>
      <c r="BN36" s="65" t="str">
        <f t="shared" si="23"/>
        <v/>
      </c>
      <c r="BO36" s="56">
        <v>29</v>
      </c>
      <c r="BP36" s="64"/>
      <c r="BQ36" s="62"/>
      <c r="BR36" s="61"/>
      <c r="BS36" s="61"/>
      <c r="BT36" s="61"/>
      <c r="BU36" s="64"/>
      <c r="BV36" s="63"/>
      <c r="BW36" s="63"/>
      <c r="BX36" s="66"/>
      <c r="BY36" s="172"/>
      <c r="BZ36" s="67" t="str">
        <f t="shared" si="24"/>
        <v/>
      </c>
      <c r="CA36" s="56">
        <v>29</v>
      </c>
      <c r="CB36" s="61"/>
      <c r="CC36" s="61"/>
      <c r="CD36" s="68" t="str">
        <f t="shared" si="25"/>
        <v/>
      </c>
      <c r="CE36" s="69" t="str">
        <f t="shared" si="26"/>
        <v/>
      </c>
      <c r="CF36" s="69" t="str">
        <f t="shared" si="27"/>
        <v/>
      </c>
      <c r="CG36" s="62"/>
      <c r="CH36" s="62"/>
      <c r="CI36" s="65" t="str">
        <f t="shared" si="28"/>
        <v/>
      </c>
      <c r="CJ36" s="56">
        <v>29</v>
      </c>
      <c r="CK36" s="61"/>
      <c r="CL36" s="61"/>
      <c r="CM36" s="68" t="str">
        <f t="shared" si="29"/>
        <v/>
      </c>
      <c r="CN36" s="68" t="str">
        <f t="shared" si="30"/>
        <v/>
      </c>
      <c r="CO36" s="68" t="str">
        <f t="shared" si="31"/>
        <v/>
      </c>
      <c r="CP36" s="62"/>
      <c r="CQ36" s="62"/>
      <c r="CR36" s="65" t="str">
        <f t="shared" si="32"/>
        <v/>
      </c>
      <c r="CS36" s="56">
        <v>29</v>
      </c>
      <c r="CT36" s="61"/>
      <c r="CU36" s="61"/>
      <c r="CV36" s="68" t="str">
        <f t="shared" si="33"/>
        <v/>
      </c>
      <c r="CW36" s="68" t="str">
        <f t="shared" si="34"/>
        <v/>
      </c>
      <c r="CX36" s="69" t="str">
        <f t="shared" si="35"/>
        <v/>
      </c>
      <c r="CY36" s="66"/>
      <c r="CZ36" s="66"/>
      <c r="DA36" s="66"/>
      <c r="DB36" s="65" t="str">
        <f t="shared" si="36"/>
        <v/>
      </c>
      <c r="DC36" s="56">
        <v>29</v>
      </c>
      <c r="DD36" s="61"/>
      <c r="DE36" s="61"/>
      <c r="DF36" s="68" t="str">
        <f t="shared" si="37"/>
        <v/>
      </c>
      <c r="DG36" s="69" t="str">
        <f t="shared" si="38"/>
        <v/>
      </c>
      <c r="DH36" s="68" t="str">
        <f t="shared" si="39"/>
        <v/>
      </c>
      <c r="DI36" s="62"/>
      <c r="DJ36" s="62"/>
      <c r="DK36" s="65" t="str">
        <f t="shared" si="40"/>
        <v/>
      </c>
      <c r="DL36" s="56">
        <v>29</v>
      </c>
      <c r="DM36" s="63"/>
      <c r="DN36" s="64"/>
      <c r="DO36" s="64"/>
      <c r="DP36" s="64"/>
      <c r="DQ36" s="63"/>
      <c r="DR36" s="61"/>
      <c r="DS36" s="64"/>
      <c r="DT36" s="61"/>
      <c r="DU36" s="63"/>
      <c r="DV36" s="64"/>
      <c r="DW36" s="64"/>
      <c r="DX36" s="66"/>
      <c r="DY36" s="65" t="str">
        <f t="shared" si="41"/>
        <v/>
      </c>
      <c r="DZ36" s="128">
        <v>29</v>
      </c>
      <c r="EA36" s="173" t="str">
        <f t="shared" si="42"/>
        <v/>
      </c>
      <c r="EB36" s="173" t="str">
        <f t="shared" si="43"/>
        <v/>
      </c>
      <c r="EC36" s="173" t="str">
        <f t="shared" si="44"/>
        <v/>
      </c>
      <c r="ED36" s="63"/>
      <c r="EE36" s="63"/>
      <c r="EF36" s="63"/>
      <c r="EG36" s="63"/>
      <c r="EH36" s="127" t="str">
        <f t="shared" si="5"/>
        <v/>
      </c>
      <c r="EI36" s="56">
        <v>29</v>
      </c>
      <c r="EJ36" s="334"/>
      <c r="EK36" s="334"/>
      <c r="EL36" s="334"/>
      <c r="EM36" s="334"/>
      <c r="EN36" s="334"/>
      <c r="EO36" s="334"/>
      <c r="EP36" s="334"/>
      <c r="EQ36" s="65" t="str">
        <f t="shared" si="45"/>
        <v/>
      </c>
      <c r="ER36" s="20"/>
      <c r="ES36" s="20"/>
      <c r="ET36" s="20"/>
      <c r="EU36" s="20"/>
      <c r="EV36" s="20"/>
      <c r="EW36" s="20"/>
      <c r="EX36" s="20"/>
    </row>
    <row r="37" spans="1:154" s="3" customFormat="1" ht="17.149999999999999" customHeight="1" x14ac:dyDescent="0.25">
      <c r="A37" s="56">
        <v>30</v>
      </c>
      <c r="B37" s="57"/>
      <c r="C37" s="58" t="str">
        <f t="shared" si="6"/>
        <v/>
      </c>
      <c r="D37" s="167"/>
      <c r="E37" s="59"/>
      <c r="F37" s="58" t="str">
        <f t="shared" si="7"/>
        <v/>
      </c>
      <c r="G37" s="168"/>
      <c r="H37" s="57"/>
      <c r="I37" s="58" t="str">
        <f t="shared" si="0"/>
        <v/>
      </c>
      <c r="J37" s="60"/>
      <c r="K37" s="56">
        <v>30</v>
      </c>
      <c r="L37" s="57"/>
      <c r="M37" s="58" t="str">
        <f t="shared" si="8"/>
        <v/>
      </c>
      <c r="N37" s="59"/>
      <c r="O37" s="58" t="str">
        <f t="shared" si="9"/>
        <v/>
      </c>
      <c r="P37" s="57"/>
      <c r="Q37" s="169" t="str">
        <f t="shared" si="1"/>
        <v/>
      </c>
      <c r="R37" s="57"/>
      <c r="S37" s="57"/>
      <c r="T37" s="57"/>
      <c r="U37" s="57"/>
      <c r="V37" s="58" t="str">
        <f t="shared" si="10"/>
        <v/>
      </c>
      <c r="W37" s="56">
        <v>30</v>
      </c>
      <c r="X37" s="63"/>
      <c r="Y37" s="130" t="str">
        <f t="shared" si="11"/>
        <v/>
      </c>
      <c r="Z37" s="63"/>
      <c r="AA37" s="130" t="str">
        <f t="shared" si="12"/>
        <v/>
      </c>
      <c r="AB37" s="63"/>
      <c r="AC37" s="130" t="str">
        <f t="shared" si="13"/>
        <v/>
      </c>
      <c r="AD37" s="63"/>
      <c r="AE37" s="130" t="str">
        <f t="shared" si="2"/>
        <v/>
      </c>
      <c r="AF37" s="125" t="str">
        <f t="shared" si="14"/>
        <v/>
      </c>
      <c r="AG37" s="56">
        <v>30</v>
      </c>
      <c r="AH37" s="63"/>
      <c r="AI37" s="130" t="str">
        <f t="shared" si="15"/>
        <v/>
      </c>
      <c r="AJ37" s="63"/>
      <c r="AK37" s="130" t="str">
        <f t="shared" si="16"/>
        <v/>
      </c>
      <c r="AL37" s="63"/>
      <c r="AM37" s="130" t="str">
        <f t="shared" si="17"/>
        <v/>
      </c>
      <c r="AN37" s="63"/>
      <c r="AO37" s="130" t="str">
        <f t="shared" si="3"/>
        <v/>
      </c>
      <c r="AP37" s="125" t="str">
        <f t="shared" si="18"/>
        <v/>
      </c>
      <c r="AQ37" s="56">
        <v>30</v>
      </c>
      <c r="AR37" s="63"/>
      <c r="AS37" s="130" t="str">
        <f t="shared" si="19"/>
        <v/>
      </c>
      <c r="AT37" s="63"/>
      <c r="AU37" s="130" t="str">
        <f t="shared" si="20"/>
        <v/>
      </c>
      <c r="AV37" s="63"/>
      <c r="AW37" s="130" t="str">
        <f t="shared" si="21"/>
        <v/>
      </c>
      <c r="AX37" s="63"/>
      <c r="AY37" s="130" t="str">
        <f t="shared" si="4"/>
        <v/>
      </c>
      <c r="AZ37" s="125" t="str">
        <f t="shared" si="22"/>
        <v/>
      </c>
      <c r="BA37" s="56">
        <v>30</v>
      </c>
      <c r="BB37" s="63"/>
      <c r="BC37" s="62"/>
      <c r="BD37" s="61"/>
      <c r="BE37" s="61"/>
      <c r="BF37" s="61"/>
      <c r="BG37" s="61"/>
      <c r="BH37" s="64"/>
      <c r="BI37" s="64"/>
      <c r="BJ37" s="64"/>
      <c r="BK37" s="64"/>
      <c r="BL37" s="64"/>
      <c r="BM37" s="64"/>
      <c r="BN37" s="65" t="str">
        <f t="shared" si="23"/>
        <v/>
      </c>
      <c r="BO37" s="56">
        <v>30</v>
      </c>
      <c r="BP37" s="64"/>
      <c r="BQ37" s="62"/>
      <c r="BR37" s="61"/>
      <c r="BS37" s="61"/>
      <c r="BT37" s="61"/>
      <c r="BU37" s="64"/>
      <c r="BV37" s="63"/>
      <c r="BW37" s="63"/>
      <c r="BX37" s="66"/>
      <c r="BY37" s="172"/>
      <c r="BZ37" s="67" t="str">
        <f t="shared" si="24"/>
        <v/>
      </c>
      <c r="CA37" s="56">
        <v>30</v>
      </c>
      <c r="CB37" s="61"/>
      <c r="CC37" s="61"/>
      <c r="CD37" s="68" t="str">
        <f t="shared" si="25"/>
        <v/>
      </c>
      <c r="CE37" s="69" t="str">
        <f t="shared" si="26"/>
        <v/>
      </c>
      <c r="CF37" s="69" t="str">
        <f t="shared" si="27"/>
        <v/>
      </c>
      <c r="CG37" s="62"/>
      <c r="CH37" s="62"/>
      <c r="CI37" s="65" t="str">
        <f t="shared" si="28"/>
        <v/>
      </c>
      <c r="CJ37" s="56">
        <v>30</v>
      </c>
      <c r="CK37" s="61"/>
      <c r="CL37" s="61"/>
      <c r="CM37" s="68" t="str">
        <f t="shared" si="29"/>
        <v/>
      </c>
      <c r="CN37" s="68" t="str">
        <f t="shared" si="30"/>
        <v/>
      </c>
      <c r="CO37" s="68" t="str">
        <f t="shared" si="31"/>
        <v/>
      </c>
      <c r="CP37" s="62"/>
      <c r="CQ37" s="62"/>
      <c r="CR37" s="65" t="str">
        <f t="shared" si="32"/>
        <v/>
      </c>
      <c r="CS37" s="56">
        <v>30</v>
      </c>
      <c r="CT37" s="61"/>
      <c r="CU37" s="61"/>
      <c r="CV37" s="68" t="str">
        <f t="shared" si="33"/>
        <v/>
      </c>
      <c r="CW37" s="68" t="str">
        <f t="shared" si="34"/>
        <v/>
      </c>
      <c r="CX37" s="69" t="str">
        <f t="shared" si="35"/>
        <v/>
      </c>
      <c r="CY37" s="66"/>
      <c r="CZ37" s="66"/>
      <c r="DA37" s="66"/>
      <c r="DB37" s="65" t="str">
        <f t="shared" si="36"/>
        <v/>
      </c>
      <c r="DC37" s="56">
        <v>30</v>
      </c>
      <c r="DD37" s="61"/>
      <c r="DE37" s="61"/>
      <c r="DF37" s="68" t="str">
        <f t="shared" si="37"/>
        <v/>
      </c>
      <c r="DG37" s="69" t="str">
        <f t="shared" si="38"/>
        <v/>
      </c>
      <c r="DH37" s="68" t="str">
        <f t="shared" si="39"/>
        <v/>
      </c>
      <c r="DI37" s="62"/>
      <c r="DJ37" s="62"/>
      <c r="DK37" s="65" t="str">
        <f t="shared" si="40"/>
        <v/>
      </c>
      <c r="DL37" s="56">
        <v>30</v>
      </c>
      <c r="DM37" s="63"/>
      <c r="DN37" s="64"/>
      <c r="DO37" s="64"/>
      <c r="DP37" s="64"/>
      <c r="DQ37" s="63"/>
      <c r="DR37" s="61"/>
      <c r="DS37" s="64"/>
      <c r="DT37" s="61"/>
      <c r="DU37" s="63"/>
      <c r="DV37" s="64"/>
      <c r="DW37" s="64"/>
      <c r="DX37" s="66"/>
      <c r="DY37" s="65" t="str">
        <f t="shared" si="41"/>
        <v/>
      </c>
      <c r="DZ37" s="128">
        <v>30</v>
      </c>
      <c r="EA37" s="173" t="str">
        <f t="shared" si="42"/>
        <v/>
      </c>
      <c r="EB37" s="173" t="str">
        <f t="shared" si="43"/>
        <v/>
      </c>
      <c r="EC37" s="173" t="str">
        <f t="shared" si="44"/>
        <v/>
      </c>
      <c r="ED37" s="63"/>
      <c r="EE37" s="63"/>
      <c r="EF37" s="63"/>
      <c r="EG37" s="63"/>
      <c r="EH37" s="127" t="str">
        <f t="shared" si="5"/>
        <v/>
      </c>
      <c r="EI37" s="56">
        <v>30</v>
      </c>
      <c r="EJ37" s="334"/>
      <c r="EK37" s="334"/>
      <c r="EL37" s="334"/>
      <c r="EM37" s="334"/>
      <c r="EN37" s="334"/>
      <c r="EO37" s="334"/>
      <c r="EP37" s="334"/>
      <c r="EQ37" s="65" t="str">
        <f t="shared" si="45"/>
        <v/>
      </c>
      <c r="ER37" s="20"/>
      <c r="ES37" s="20"/>
      <c r="ET37" s="20"/>
      <c r="EU37" s="20"/>
      <c r="EV37" s="20"/>
      <c r="EW37" s="20"/>
      <c r="EX37" s="20"/>
    </row>
    <row r="38" spans="1:154" s="3" customFormat="1" ht="17.149999999999999" customHeight="1" thickBot="1" x14ac:dyDescent="0.3">
      <c r="A38" s="56">
        <v>31</v>
      </c>
      <c r="B38" s="57"/>
      <c r="C38" s="58" t="str">
        <f t="shared" si="6"/>
        <v/>
      </c>
      <c r="D38" s="167"/>
      <c r="E38" s="59"/>
      <c r="F38" s="58" t="str">
        <f t="shared" si="7"/>
        <v/>
      </c>
      <c r="G38" s="168"/>
      <c r="H38" s="57"/>
      <c r="I38" s="58" t="str">
        <f t="shared" si="0"/>
        <v/>
      </c>
      <c r="J38" s="60"/>
      <c r="K38" s="56">
        <v>31</v>
      </c>
      <c r="L38" s="57"/>
      <c r="M38" s="58" t="str">
        <f t="shared" si="8"/>
        <v/>
      </c>
      <c r="N38" s="59"/>
      <c r="O38" s="58" t="str">
        <f t="shared" si="9"/>
        <v/>
      </c>
      <c r="P38" s="57"/>
      <c r="Q38" s="169" t="str">
        <f t="shared" si="1"/>
        <v/>
      </c>
      <c r="R38" s="57"/>
      <c r="S38" s="57"/>
      <c r="T38" s="57"/>
      <c r="U38" s="57"/>
      <c r="V38" s="58" t="str">
        <f t="shared" si="10"/>
        <v/>
      </c>
      <c r="W38" s="56">
        <v>31</v>
      </c>
      <c r="X38" s="63"/>
      <c r="Y38" s="130" t="str">
        <f t="shared" si="11"/>
        <v/>
      </c>
      <c r="Z38" s="63"/>
      <c r="AA38" s="130" t="str">
        <f t="shared" si="12"/>
        <v/>
      </c>
      <c r="AB38" s="63"/>
      <c r="AC38" s="130" t="str">
        <f t="shared" si="13"/>
        <v/>
      </c>
      <c r="AD38" s="63"/>
      <c r="AE38" s="130" t="str">
        <f t="shared" si="2"/>
        <v/>
      </c>
      <c r="AF38" s="125" t="str">
        <f t="shared" si="14"/>
        <v/>
      </c>
      <c r="AG38" s="56">
        <v>31</v>
      </c>
      <c r="AH38" s="63"/>
      <c r="AI38" s="130" t="str">
        <f t="shared" si="15"/>
        <v/>
      </c>
      <c r="AJ38" s="63"/>
      <c r="AK38" s="130" t="str">
        <f t="shared" si="16"/>
        <v/>
      </c>
      <c r="AL38" s="63"/>
      <c r="AM38" s="130" t="str">
        <f t="shared" si="17"/>
        <v/>
      </c>
      <c r="AN38" s="63"/>
      <c r="AO38" s="130" t="str">
        <f t="shared" si="3"/>
        <v/>
      </c>
      <c r="AP38" s="125" t="str">
        <f t="shared" si="18"/>
        <v/>
      </c>
      <c r="AQ38" s="56">
        <v>31</v>
      </c>
      <c r="AR38" s="63"/>
      <c r="AS38" s="130" t="str">
        <f t="shared" si="19"/>
        <v/>
      </c>
      <c r="AT38" s="63"/>
      <c r="AU38" s="130" t="str">
        <f t="shared" si="20"/>
        <v/>
      </c>
      <c r="AV38" s="63"/>
      <c r="AW38" s="130" t="str">
        <f t="shared" si="21"/>
        <v/>
      </c>
      <c r="AX38" s="63"/>
      <c r="AY38" s="130" t="str">
        <f t="shared" si="4"/>
        <v/>
      </c>
      <c r="AZ38" s="125" t="str">
        <f t="shared" si="22"/>
        <v/>
      </c>
      <c r="BA38" s="56">
        <v>31</v>
      </c>
      <c r="BB38" s="63"/>
      <c r="BC38" s="62"/>
      <c r="BD38" s="61"/>
      <c r="BE38" s="61"/>
      <c r="BF38" s="61"/>
      <c r="BG38" s="61"/>
      <c r="BH38" s="64"/>
      <c r="BI38" s="64"/>
      <c r="BJ38" s="64"/>
      <c r="BK38" s="64"/>
      <c r="BL38" s="64"/>
      <c r="BM38" s="64"/>
      <c r="BN38" s="65" t="str">
        <f t="shared" si="23"/>
        <v/>
      </c>
      <c r="BO38" s="56">
        <v>31</v>
      </c>
      <c r="BP38" s="64"/>
      <c r="BQ38" s="62"/>
      <c r="BR38" s="61"/>
      <c r="BS38" s="61"/>
      <c r="BT38" s="61"/>
      <c r="BU38" s="64"/>
      <c r="BV38" s="63"/>
      <c r="BW38" s="63"/>
      <c r="BX38" s="66"/>
      <c r="BY38" s="172"/>
      <c r="BZ38" s="67" t="str">
        <f t="shared" si="24"/>
        <v/>
      </c>
      <c r="CA38" s="56">
        <v>31</v>
      </c>
      <c r="CB38" s="61"/>
      <c r="CC38" s="61"/>
      <c r="CD38" s="68" t="str">
        <f t="shared" si="25"/>
        <v/>
      </c>
      <c r="CE38" s="69" t="str">
        <f t="shared" si="26"/>
        <v/>
      </c>
      <c r="CF38" s="69" t="str">
        <f t="shared" si="27"/>
        <v/>
      </c>
      <c r="CG38" s="62"/>
      <c r="CH38" s="62"/>
      <c r="CI38" s="65" t="str">
        <f t="shared" si="28"/>
        <v/>
      </c>
      <c r="CJ38" s="56">
        <v>31</v>
      </c>
      <c r="CK38" s="61"/>
      <c r="CL38" s="61"/>
      <c r="CM38" s="68" t="str">
        <f t="shared" si="29"/>
        <v/>
      </c>
      <c r="CN38" s="68" t="str">
        <f t="shared" si="30"/>
        <v/>
      </c>
      <c r="CO38" s="68" t="str">
        <f t="shared" si="31"/>
        <v/>
      </c>
      <c r="CP38" s="62"/>
      <c r="CQ38" s="62"/>
      <c r="CR38" s="65" t="str">
        <f t="shared" si="32"/>
        <v/>
      </c>
      <c r="CS38" s="56">
        <v>31</v>
      </c>
      <c r="CT38" s="61"/>
      <c r="CU38" s="61"/>
      <c r="CV38" s="68" t="str">
        <f t="shared" si="33"/>
        <v/>
      </c>
      <c r="CW38" s="68" t="str">
        <f t="shared" si="34"/>
        <v/>
      </c>
      <c r="CX38" s="69" t="str">
        <f t="shared" si="35"/>
        <v/>
      </c>
      <c r="CY38" s="66"/>
      <c r="CZ38" s="66"/>
      <c r="DA38" s="66"/>
      <c r="DB38" s="65" t="str">
        <f t="shared" si="36"/>
        <v/>
      </c>
      <c r="DC38" s="56">
        <v>31</v>
      </c>
      <c r="DD38" s="61"/>
      <c r="DE38" s="61"/>
      <c r="DF38" s="68" t="str">
        <f t="shared" si="37"/>
        <v/>
      </c>
      <c r="DG38" s="69" t="str">
        <f t="shared" si="38"/>
        <v/>
      </c>
      <c r="DH38" s="68" t="str">
        <f t="shared" si="39"/>
        <v/>
      </c>
      <c r="DI38" s="62"/>
      <c r="DJ38" s="62"/>
      <c r="DK38" s="65" t="str">
        <f t="shared" si="40"/>
        <v/>
      </c>
      <c r="DL38" s="56">
        <v>31</v>
      </c>
      <c r="DM38" s="63"/>
      <c r="DN38" s="64"/>
      <c r="DO38" s="64"/>
      <c r="DP38" s="64"/>
      <c r="DQ38" s="63"/>
      <c r="DR38" s="61"/>
      <c r="DS38" s="64"/>
      <c r="DT38" s="61"/>
      <c r="DU38" s="63"/>
      <c r="DV38" s="64"/>
      <c r="DW38" s="64"/>
      <c r="DX38" s="66"/>
      <c r="DY38" s="65" t="str">
        <f t="shared" si="41"/>
        <v/>
      </c>
      <c r="DZ38" s="128">
        <v>31</v>
      </c>
      <c r="EA38" s="173" t="str">
        <f t="shared" si="42"/>
        <v/>
      </c>
      <c r="EB38" s="173" t="str">
        <f t="shared" si="43"/>
        <v/>
      </c>
      <c r="EC38" s="173" t="str">
        <f t="shared" si="44"/>
        <v/>
      </c>
      <c r="ED38" s="63"/>
      <c r="EE38" s="63"/>
      <c r="EF38" s="63"/>
      <c r="EG38" s="63"/>
      <c r="EH38" s="127" t="str">
        <f t="shared" si="5"/>
        <v/>
      </c>
      <c r="EI38" s="56">
        <v>31</v>
      </c>
      <c r="EJ38" s="334"/>
      <c r="EK38" s="334"/>
      <c r="EL38" s="334"/>
      <c r="EM38" s="334"/>
      <c r="EN38" s="334"/>
      <c r="EO38" s="334"/>
      <c r="EP38" s="334"/>
      <c r="EQ38" s="65" t="str">
        <f t="shared" si="45"/>
        <v/>
      </c>
      <c r="ER38" s="20"/>
      <c r="ES38" s="20"/>
      <c r="ET38" s="20"/>
      <c r="EU38" s="20"/>
      <c r="EV38" s="20"/>
      <c r="EW38" s="20"/>
      <c r="EX38" s="20"/>
    </row>
    <row r="39" spans="1:154" s="3" customFormat="1" ht="18.649999999999999" customHeight="1" thickBot="1" x14ac:dyDescent="0.3">
      <c r="A39" s="56" t="s">
        <v>106</v>
      </c>
      <c r="B39" s="57"/>
      <c r="C39" s="74"/>
      <c r="D39" s="75"/>
      <c r="E39" s="59"/>
      <c r="F39" s="74"/>
      <c r="G39" s="75"/>
      <c r="H39" s="57"/>
      <c r="I39" s="74"/>
      <c r="J39" s="73"/>
      <c r="K39" s="56" t="s">
        <v>106</v>
      </c>
      <c r="L39" s="57"/>
      <c r="M39" s="74"/>
      <c r="N39" s="59"/>
      <c r="O39" s="74"/>
      <c r="P39" s="57"/>
      <c r="Q39" s="74"/>
      <c r="R39" s="74"/>
      <c r="S39" s="74"/>
      <c r="T39" s="74"/>
      <c r="U39" s="74"/>
      <c r="V39" s="73"/>
      <c r="W39" s="56" t="s">
        <v>106</v>
      </c>
      <c r="X39" s="63"/>
      <c r="Y39" s="75"/>
      <c r="Z39" s="63"/>
      <c r="AA39" s="75"/>
      <c r="AB39" s="63"/>
      <c r="AC39" s="75"/>
      <c r="AD39" s="63"/>
      <c r="AE39" s="75"/>
      <c r="AF39" s="73"/>
      <c r="AG39" s="56" t="s">
        <v>106</v>
      </c>
      <c r="AH39" s="63"/>
      <c r="AI39" s="75"/>
      <c r="AJ39" s="63"/>
      <c r="AK39" s="75"/>
      <c r="AL39" s="63"/>
      <c r="AM39" s="75"/>
      <c r="AN39" s="63"/>
      <c r="AO39" s="75"/>
      <c r="AP39" s="73"/>
      <c r="AQ39" s="56" t="s">
        <v>106</v>
      </c>
      <c r="AR39" s="63"/>
      <c r="AS39" s="75"/>
      <c r="AT39" s="63"/>
      <c r="AU39" s="75"/>
      <c r="AV39" s="63"/>
      <c r="AW39" s="75"/>
      <c r="AX39" s="63"/>
      <c r="AY39" s="75"/>
      <c r="AZ39" s="73"/>
      <c r="BA39" s="73"/>
      <c r="BB39" s="75"/>
      <c r="BC39" s="74"/>
      <c r="BD39" s="73"/>
      <c r="BE39" s="73"/>
      <c r="BF39" s="73"/>
      <c r="BG39" s="73"/>
      <c r="BH39" s="124"/>
      <c r="BI39" s="124"/>
      <c r="BJ39" s="124"/>
      <c r="BK39" s="124"/>
      <c r="BL39" s="124"/>
      <c r="BM39" s="124"/>
      <c r="BN39" s="73"/>
      <c r="BO39" s="73"/>
      <c r="BP39" s="124"/>
      <c r="BQ39" s="74"/>
      <c r="BR39" s="73"/>
      <c r="BS39" s="73"/>
      <c r="BT39" s="73"/>
      <c r="BU39" s="124"/>
      <c r="BV39" s="75"/>
      <c r="BW39" s="75"/>
      <c r="BX39" s="73"/>
      <c r="BY39" s="73"/>
      <c r="BZ39" s="73"/>
      <c r="CA39" s="56" t="s">
        <v>106</v>
      </c>
      <c r="CB39" s="61"/>
      <c r="CC39" s="73"/>
      <c r="CD39" s="73"/>
      <c r="CE39" s="75"/>
      <c r="CF39" s="75"/>
      <c r="CG39" s="74"/>
      <c r="CH39" s="74"/>
      <c r="CI39" s="73"/>
      <c r="CJ39" s="56" t="s">
        <v>106</v>
      </c>
      <c r="CK39" s="61"/>
      <c r="CL39" s="73"/>
      <c r="CM39" s="73"/>
      <c r="CN39" s="73"/>
      <c r="CO39" s="73"/>
      <c r="CP39" s="74"/>
      <c r="CQ39" s="74"/>
      <c r="CR39" s="73"/>
      <c r="CS39" s="56" t="s">
        <v>106</v>
      </c>
      <c r="CT39" s="61"/>
      <c r="CU39" s="73"/>
      <c r="CV39" s="73"/>
      <c r="CW39" s="73"/>
      <c r="CX39" s="75"/>
      <c r="CY39" s="74"/>
      <c r="CZ39" s="74"/>
      <c r="DA39" s="74"/>
      <c r="DB39" s="73"/>
      <c r="DC39" s="56" t="s">
        <v>106</v>
      </c>
      <c r="DD39" s="61"/>
      <c r="DE39" s="73"/>
      <c r="DF39" s="73"/>
      <c r="DG39" s="75"/>
      <c r="DH39" s="73"/>
      <c r="DI39" s="74"/>
      <c r="DJ39" s="74"/>
      <c r="DK39" s="73"/>
      <c r="DL39" s="73"/>
      <c r="DM39" s="75"/>
      <c r="DN39" s="124"/>
      <c r="DO39" s="124"/>
      <c r="DP39" s="124"/>
      <c r="DQ39" s="75"/>
      <c r="DR39" s="73"/>
      <c r="DS39" s="124"/>
      <c r="DT39" s="73"/>
      <c r="DU39" s="75"/>
      <c r="DV39" s="124"/>
      <c r="DW39" s="124"/>
      <c r="DX39" s="124"/>
      <c r="DY39" s="73"/>
      <c r="DZ39" s="195" t="s">
        <v>199</v>
      </c>
      <c r="EA39" s="198" t="e">
        <f>IF(COUNT(EA7:EA37)=0,"",AVERAGE(EA7:EA37))*100</f>
        <v>#VALUE!</v>
      </c>
      <c r="EB39" s="199" t="e">
        <f>IF(COUNT(EB7:EB37)=0,"",AVERAGE(EB7:EB37))*100</f>
        <v>#VALUE!</v>
      </c>
      <c r="EC39" s="200" t="e">
        <f>IF(COUNT(EC7:EC37)=0,"",AVERAGE(EC7:EC37))*100</f>
        <v>#VALUE!</v>
      </c>
      <c r="ED39" s="75"/>
      <c r="EE39" s="75"/>
      <c r="EF39" s="75"/>
      <c r="EG39" s="75"/>
      <c r="EH39" s="73"/>
      <c r="EI39" s="73"/>
      <c r="EJ39" s="351"/>
      <c r="EK39" s="351"/>
      <c r="EL39" s="351"/>
      <c r="EM39" s="351"/>
      <c r="EN39" s="351"/>
      <c r="EO39" s="351"/>
      <c r="EP39" s="351"/>
      <c r="EQ39" s="73"/>
      <c r="ER39" s="20"/>
      <c r="ES39" s="20"/>
      <c r="ET39" s="20"/>
      <c r="EU39" s="20"/>
      <c r="EV39" s="20"/>
      <c r="EW39" s="20"/>
      <c r="EX39" s="20"/>
    </row>
    <row r="40" spans="1:154" s="3" customFormat="1" ht="18.649999999999999" customHeight="1" x14ac:dyDescent="0.25">
      <c r="A40" s="56" t="s">
        <v>2</v>
      </c>
      <c r="B40" s="77"/>
      <c r="C40" s="78" t="str">
        <f>IF(COUNT(C8:C38)=0,"",SUM(C8:C38))</f>
        <v/>
      </c>
      <c r="D40" s="75"/>
      <c r="E40" s="74"/>
      <c r="F40" s="78" t="str">
        <f>IF(COUNT(F8:F38)=0,"",SUM(F8:F38))</f>
        <v/>
      </c>
      <c r="G40" s="81"/>
      <c r="H40" s="74"/>
      <c r="I40" s="78" t="str">
        <f>IF(COUNT(I8:I38)=0,"",SUM(I8:I38))</f>
        <v/>
      </c>
      <c r="J40" s="79"/>
      <c r="K40" s="56" t="s">
        <v>2</v>
      </c>
      <c r="L40" s="77"/>
      <c r="M40" s="78" t="str">
        <f>IF(COUNT(M8:M38)=0,"",SUM(M8:M38))</f>
        <v/>
      </c>
      <c r="N40" s="74"/>
      <c r="O40" s="78" t="str">
        <f>IF(COUNT(O8:O38)=0,"",SUM(O8:O38))</f>
        <v/>
      </c>
      <c r="P40" s="74"/>
      <c r="Q40" s="78" t="str">
        <f>IF(COUNT(Q8:Q38)=0,"",SUM(Q8:Q38))</f>
        <v/>
      </c>
      <c r="R40" s="77"/>
      <c r="S40" s="77"/>
      <c r="T40" s="77"/>
      <c r="U40" s="77"/>
      <c r="V40" s="79"/>
      <c r="W40" s="56" t="s">
        <v>2</v>
      </c>
      <c r="X40" s="81"/>
      <c r="Y40" s="82" t="str">
        <f>IF(COUNT(Y8:Y38)=0,"",SUM(Y8:Y38))</f>
        <v/>
      </c>
      <c r="Z40" s="75"/>
      <c r="AA40" s="82" t="str">
        <f>IF(COUNT(AA8:AA38)=0,"",SUM(AA8:AA38))</f>
        <v/>
      </c>
      <c r="AB40" s="75"/>
      <c r="AC40" s="82" t="str">
        <f>IF(COUNT(AC8:AC38)=0,"",SUM(AC8:AC38))</f>
        <v/>
      </c>
      <c r="AD40" s="75"/>
      <c r="AE40" s="82" t="str">
        <f>IF(COUNT(AE8:AE38)=0,"",SUM(AE8:AE38))</f>
        <v/>
      </c>
      <c r="AF40" s="79"/>
      <c r="AG40" s="56" t="s">
        <v>2</v>
      </c>
      <c r="AH40" s="81"/>
      <c r="AI40" s="82" t="str">
        <f>IF(COUNT(AI8:AI38)=0,"",SUM(AI8:AI38))</f>
        <v/>
      </c>
      <c r="AJ40" s="75"/>
      <c r="AK40" s="82" t="str">
        <f>IF(COUNT(AK8:AK38)=0,"",SUM(AK8:AK38))</f>
        <v/>
      </c>
      <c r="AL40" s="75"/>
      <c r="AM40" s="82" t="str">
        <f>IF(COUNT(AM8:AM38)=0,"",SUM(AM8:AM38))</f>
        <v/>
      </c>
      <c r="AN40" s="75"/>
      <c r="AO40" s="82" t="str">
        <f>IF(COUNT(AO8:AO38)=0,"",SUM(AO8:AO38))</f>
        <v/>
      </c>
      <c r="AP40" s="79"/>
      <c r="AQ40" s="56" t="s">
        <v>2</v>
      </c>
      <c r="AR40" s="81"/>
      <c r="AS40" s="82" t="str">
        <f>IF(COUNT(AS8:AS38)=0,"",SUM(AS8:AS38))</f>
        <v/>
      </c>
      <c r="AT40" s="75"/>
      <c r="AU40" s="82" t="str">
        <f>IF(COUNT(AU8:AU38)=0,"",SUM(AU8:AU38))</f>
        <v/>
      </c>
      <c r="AV40" s="75"/>
      <c r="AW40" s="82" t="str">
        <f>IF(COUNT(AW8:AW38)=0,"",SUM(AW8:AW38))</f>
        <v/>
      </c>
      <c r="AX40" s="75"/>
      <c r="AY40" s="82" t="str">
        <f>IF(COUNT(AY8:AY38)=0,"",SUM(AY8:AY38))</f>
        <v/>
      </c>
      <c r="AZ40" s="79"/>
      <c r="BA40" s="264" t="s">
        <v>2</v>
      </c>
      <c r="BB40" s="265">
        <f>COUNTA(BB8:BB38)</f>
        <v>0</v>
      </c>
      <c r="BC40" s="265">
        <f t="shared" ref="BC40:BM40" si="46">COUNTA(BC8:BC38)</f>
        <v>0</v>
      </c>
      <c r="BD40" s="265">
        <f t="shared" si="46"/>
        <v>0</v>
      </c>
      <c r="BE40" s="265">
        <f t="shared" si="46"/>
        <v>0</v>
      </c>
      <c r="BF40" s="265">
        <f t="shared" si="46"/>
        <v>0</v>
      </c>
      <c r="BG40" s="265">
        <f t="shared" si="46"/>
        <v>0</v>
      </c>
      <c r="BH40" s="265">
        <f t="shared" si="46"/>
        <v>0</v>
      </c>
      <c r="BI40" s="265">
        <f t="shared" si="46"/>
        <v>0</v>
      </c>
      <c r="BJ40" s="265">
        <f t="shared" si="46"/>
        <v>0</v>
      </c>
      <c r="BK40" s="265">
        <f t="shared" si="46"/>
        <v>0</v>
      </c>
      <c r="BL40" s="265">
        <f t="shared" si="46"/>
        <v>0</v>
      </c>
      <c r="BM40" s="265">
        <f t="shared" si="46"/>
        <v>0</v>
      </c>
      <c r="BN40" s="266" t="s">
        <v>208</v>
      </c>
      <c r="BO40" s="264" t="s">
        <v>2</v>
      </c>
      <c r="BP40" s="265">
        <f t="shared" ref="BP40:BW40" si="47">COUNTA(BP8:BP38)</f>
        <v>0</v>
      </c>
      <c r="BQ40" s="265">
        <f t="shared" si="47"/>
        <v>0</v>
      </c>
      <c r="BR40" s="265">
        <f t="shared" si="47"/>
        <v>0</v>
      </c>
      <c r="BS40" s="265">
        <f t="shared" si="47"/>
        <v>0</v>
      </c>
      <c r="BT40" s="265">
        <f t="shared" si="47"/>
        <v>0</v>
      </c>
      <c r="BU40" s="265">
        <f t="shared" si="47"/>
        <v>0</v>
      </c>
      <c r="BV40" s="265">
        <f t="shared" si="47"/>
        <v>0</v>
      </c>
      <c r="BW40" s="265">
        <f t="shared" si="47"/>
        <v>0</v>
      </c>
      <c r="BX40" s="267" t="s">
        <v>208</v>
      </c>
      <c r="BY40" s="83"/>
      <c r="BZ40" s="73"/>
      <c r="CA40" s="56" t="s">
        <v>2</v>
      </c>
      <c r="CB40" s="73"/>
      <c r="CC40" s="73"/>
      <c r="CD40" s="80" t="str">
        <f>IF(COUNT(CD8:CD38)=0,"",SUM(CD8:CD38))</f>
        <v/>
      </c>
      <c r="CE40" s="82" t="str">
        <f>IF(COUNT(CE8:CE38)=0,"",SUM(CE8:CE38))</f>
        <v/>
      </c>
      <c r="CF40" s="75"/>
      <c r="CG40" s="74"/>
      <c r="CH40" s="74"/>
      <c r="CI40" s="73"/>
      <c r="CJ40" s="56" t="s">
        <v>2</v>
      </c>
      <c r="CK40" s="73"/>
      <c r="CL40" s="73"/>
      <c r="CM40" s="80" t="str">
        <f>IF(COUNT(CM8:CM38)=0,"",SUM(CM8:CM38))</f>
        <v/>
      </c>
      <c r="CN40" s="80" t="str">
        <f>IF(COUNT(CN8:CN38)=0,"",SUM(CN8:CN38))</f>
        <v/>
      </c>
      <c r="CO40" s="73"/>
      <c r="CP40" s="74"/>
      <c r="CQ40" s="74"/>
      <c r="CR40" s="73"/>
      <c r="CS40" s="56" t="s">
        <v>2</v>
      </c>
      <c r="CT40" s="73"/>
      <c r="CU40" s="73"/>
      <c r="CV40" s="80" t="str">
        <f>IF(COUNT(CV8:CV38)=0,"",SUM(CV8:CV38))</f>
        <v/>
      </c>
      <c r="CW40" s="80" t="str">
        <f>IF(COUNT(CW8:CW38)=0,"",SUM(CW8:CW38))</f>
        <v/>
      </c>
      <c r="CX40" s="75"/>
      <c r="CY40" s="74"/>
      <c r="CZ40" s="74"/>
      <c r="DA40" s="74"/>
      <c r="DB40" s="73"/>
      <c r="DC40" s="56" t="s">
        <v>2</v>
      </c>
      <c r="DD40" s="73"/>
      <c r="DE40" s="73"/>
      <c r="DF40" s="80" t="str">
        <f>IF(COUNT(DF8:DF38)=0,"",SUM(DF8:DF38))</f>
        <v/>
      </c>
      <c r="DG40" s="82" t="str">
        <f>IF(COUNT(DG8:DG38)=0,"",SUM(DG8:DG38))</f>
        <v/>
      </c>
      <c r="DH40" s="73"/>
      <c r="DI40" s="74"/>
      <c r="DJ40" s="74"/>
      <c r="DK40" s="73"/>
      <c r="DL40" s="56" t="s">
        <v>2</v>
      </c>
      <c r="DM40" s="75"/>
      <c r="DN40" s="124"/>
      <c r="DO40" s="124"/>
      <c r="DP40" s="124"/>
      <c r="DQ40" s="75"/>
      <c r="DR40" s="73"/>
      <c r="DS40" s="124"/>
      <c r="DT40" s="73"/>
      <c r="DU40" s="75"/>
      <c r="DV40" s="124"/>
      <c r="DW40" s="124"/>
      <c r="DX40" s="124"/>
      <c r="DY40" s="73"/>
      <c r="DZ40" s="84" t="s">
        <v>27</v>
      </c>
      <c r="EA40" s="82" t="e">
        <f>IF(COUNT(EA8:EA38)=0,"",MIN(EA8:EA38))*100</f>
        <v>#VALUE!</v>
      </c>
      <c r="EB40" s="82" t="e">
        <f>IF(COUNT(EB8:EB38)=0,"",MIN(EB8:EB38))*100</f>
        <v>#VALUE!</v>
      </c>
      <c r="EC40" s="82" t="e">
        <f>IF(COUNT(EC8:EC38)=0,"",MIN(EC8:EC38))*100</f>
        <v>#VALUE!</v>
      </c>
      <c r="ED40" s="82" t="str">
        <f>IF(COUNT(ED8:ED38)=0,"",MIN(ED8:ED38))</f>
        <v/>
      </c>
      <c r="EE40" s="75"/>
      <c r="EF40" s="75"/>
      <c r="EG40" s="75"/>
      <c r="EH40" s="73"/>
      <c r="EI40" s="73"/>
      <c r="EJ40" s="351"/>
      <c r="EK40" s="351"/>
      <c r="EL40" s="351"/>
      <c r="EM40" s="351"/>
      <c r="EN40" s="351"/>
      <c r="EO40" s="351"/>
      <c r="EP40" s="351"/>
      <c r="EQ40" s="73"/>
      <c r="ER40" s="20"/>
      <c r="ES40" s="20"/>
      <c r="ET40" s="20"/>
      <c r="EU40" s="20"/>
      <c r="EV40" s="20"/>
      <c r="EW40" s="20"/>
      <c r="EX40" s="20"/>
    </row>
    <row r="41" spans="1:154" s="3" customFormat="1" ht="18" customHeight="1" x14ac:dyDescent="0.25">
      <c r="A41" s="56" t="s">
        <v>7</v>
      </c>
      <c r="B41" s="77"/>
      <c r="C41" s="78" t="str">
        <f>IF(COUNT(C8:C38)=0,"",AVERAGE(C8:C38))</f>
        <v/>
      </c>
      <c r="D41" s="75"/>
      <c r="E41" s="74"/>
      <c r="F41" s="78" t="str">
        <f>IF(COUNT(F8:F38)=0,"",AVERAGE(F8:F38))</f>
        <v/>
      </c>
      <c r="G41" s="81"/>
      <c r="H41" s="74"/>
      <c r="I41" s="78" t="str">
        <f>IF(COUNT(I8:I38)=0,"",AVERAGE(I8:I38))</f>
        <v/>
      </c>
      <c r="J41" s="79"/>
      <c r="K41" s="56" t="s">
        <v>7</v>
      </c>
      <c r="L41" s="77"/>
      <c r="M41" s="78" t="str">
        <f>IF(COUNT(M8:M38)=0,"",AVERAGE(M8:M38))</f>
        <v/>
      </c>
      <c r="N41" s="74"/>
      <c r="O41" s="78" t="str">
        <f>IF(COUNT(O8:O38)=0,"",AVERAGE(O8:O38))</f>
        <v/>
      </c>
      <c r="P41" s="74"/>
      <c r="Q41" s="78" t="str">
        <f>IF(COUNT(Q8:Q38)=0,"",AVERAGE(Q8:Q38))</f>
        <v/>
      </c>
      <c r="R41" s="77"/>
      <c r="S41" s="77"/>
      <c r="T41" s="77"/>
      <c r="U41" s="77"/>
      <c r="V41" s="79"/>
      <c r="W41" s="56" t="s">
        <v>7</v>
      </c>
      <c r="X41" s="75"/>
      <c r="Y41" s="75"/>
      <c r="Z41" s="75"/>
      <c r="AA41" s="75"/>
      <c r="AB41" s="75"/>
      <c r="AC41" s="75"/>
      <c r="AD41" s="75"/>
      <c r="AE41" s="75"/>
      <c r="AF41" s="79"/>
      <c r="AG41" s="56" t="s">
        <v>7</v>
      </c>
      <c r="AH41" s="75"/>
      <c r="AI41" s="75"/>
      <c r="AJ41" s="75"/>
      <c r="AK41" s="75"/>
      <c r="AL41" s="75"/>
      <c r="AM41" s="75"/>
      <c r="AN41" s="75"/>
      <c r="AO41" s="75"/>
      <c r="AP41" s="79"/>
      <c r="AQ41" s="56" t="s">
        <v>7</v>
      </c>
      <c r="AR41" s="75"/>
      <c r="AS41" s="75"/>
      <c r="AT41" s="75"/>
      <c r="AU41" s="75"/>
      <c r="AV41" s="75"/>
      <c r="AW41" s="75"/>
      <c r="AX41" s="75"/>
      <c r="AY41" s="75"/>
      <c r="AZ41" s="79"/>
      <c r="BA41" s="56" t="s">
        <v>7</v>
      </c>
      <c r="BB41" s="82" t="str">
        <f>IF(COUNT(BB8:BB38)=0,"",AVERAGE(BB8:BB38))</f>
        <v/>
      </c>
      <c r="BC41" s="78" t="str">
        <f t="shared" ref="BC41:BM41" si="48">IF(COUNT(BC8:BC38)=0,"",AVERAGE(BC8:BC38))</f>
        <v/>
      </c>
      <c r="BD41" s="80" t="str">
        <f t="shared" si="48"/>
        <v/>
      </c>
      <c r="BE41" s="80" t="str">
        <f t="shared" si="48"/>
        <v/>
      </c>
      <c r="BF41" s="80" t="str">
        <f t="shared" si="48"/>
        <v/>
      </c>
      <c r="BG41" s="80" t="str">
        <f t="shared" si="48"/>
        <v/>
      </c>
      <c r="BH41" s="84" t="str">
        <f t="shared" si="48"/>
        <v/>
      </c>
      <c r="BI41" s="84" t="str">
        <f t="shared" si="48"/>
        <v/>
      </c>
      <c r="BJ41" s="84" t="str">
        <f t="shared" si="48"/>
        <v/>
      </c>
      <c r="BK41" s="84" t="str">
        <f t="shared" si="48"/>
        <v/>
      </c>
      <c r="BL41" s="84" t="str">
        <f t="shared" si="48"/>
        <v/>
      </c>
      <c r="BM41" s="84" t="str">
        <f t="shared" si="48"/>
        <v/>
      </c>
      <c r="BN41" s="73"/>
      <c r="BO41" s="56" t="s">
        <v>7</v>
      </c>
      <c r="BP41" s="84" t="str">
        <f>IF(COUNT(BP8:BP38)=0,"",AVERAGE(BP8:BP38))</f>
        <v/>
      </c>
      <c r="BQ41" s="78" t="str">
        <f t="shared" ref="BQ41:BW41" si="49">IF(COUNT(BQ8:BQ38)=0,"",AVERAGE(BQ8:BQ38))</f>
        <v/>
      </c>
      <c r="BR41" s="80" t="str">
        <f t="shared" si="49"/>
        <v/>
      </c>
      <c r="BS41" s="80" t="str">
        <f t="shared" si="49"/>
        <v/>
      </c>
      <c r="BT41" s="80" t="str">
        <f t="shared" si="49"/>
        <v/>
      </c>
      <c r="BU41" s="84" t="str">
        <f t="shared" si="49"/>
        <v/>
      </c>
      <c r="BV41" s="82" t="str">
        <f t="shared" si="49"/>
        <v/>
      </c>
      <c r="BW41" s="82" t="str">
        <f t="shared" si="49"/>
        <v/>
      </c>
      <c r="BX41" s="75"/>
      <c r="BY41" s="83"/>
      <c r="BZ41" s="73"/>
      <c r="CA41" s="56" t="s">
        <v>7</v>
      </c>
      <c r="CB41" s="73"/>
      <c r="CC41" s="73"/>
      <c r="CD41" s="80" t="str">
        <f>IF(COUNT(CD8:CD38)=0,"",AVERAGE(CD8:CD38))</f>
        <v/>
      </c>
      <c r="CE41" s="82" t="str">
        <f>IF(COUNT(CE8:CE38)=0,"",AVERAGE(CE8:CE38))</f>
        <v/>
      </c>
      <c r="CF41" s="82" t="str">
        <f>IF(COUNT(CF8:CF38)=0,"",AVERAGE(CF8:CF38))</f>
        <v/>
      </c>
      <c r="CG41" s="74"/>
      <c r="CH41" s="74"/>
      <c r="CI41" s="73"/>
      <c r="CJ41" s="56" t="s">
        <v>7</v>
      </c>
      <c r="CK41" s="73"/>
      <c r="CL41" s="73"/>
      <c r="CM41" s="80" t="str">
        <f>IF(COUNT(CM8:CM38)=0,"",AVERAGE(CM8:CM38))</f>
        <v/>
      </c>
      <c r="CN41" s="80" t="str">
        <f>IF(COUNT(CN8:CN38)=0,"",AVERAGE(CN8:CN38))</f>
        <v/>
      </c>
      <c r="CO41" s="80" t="str">
        <f>IF(COUNT(CO8:CO38)=0,"",AVERAGE(CO8:CO38))</f>
        <v/>
      </c>
      <c r="CP41" s="74"/>
      <c r="CQ41" s="74"/>
      <c r="CR41" s="73"/>
      <c r="CS41" s="56" t="s">
        <v>7</v>
      </c>
      <c r="CT41" s="73"/>
      <c r="CU41" s="73"/>
      <c r="CV41" s="80" t="str">
        <f>IF(COUNT(CV8:CV38)=0,"",AVERAGE(CV8:CV38))</f>
        <v/>
      </c>
      <c r="CW41" s="80" t="str">
        <f>IF(COUNT(CW8:CW38)=0,"",AVERAGE(CW8:CW38))</f>
        <v/>
      </c>
      <c r="CX41" s="82" t="str">
        <f>IF(COUNT(CX8:CX38)=0,"",AVERAGE(CX8:CX38))</f>
        <v/>
      </c>
      <c r="CY41" s="74"/>
      <c r="CZ41" s="74"/>
      <c r="DA41" s="74"/>
      <c r="DB41" s="73"/>
      <c r="DC41" s="56" t="s">
        <v>7</v>
      </c>
      <c r="DD41" s="73"/>
      <c r="DE41" s="73"/>
      <c r="DF41" s="80" t="str">
        <f>IF(COUNT(DF8:DF38)=0,"",AVERAGE(DF8:DF38))</f>
        <v/>
      </c>
      <c r="DG41" s="82" t="str">
        <f>IF(COUNT(DG8:DG38)=0,"",AVERAGE(DG8:DG38))</f>
        <v/>
      </c>
      <c r="DH41" s="80" t="str">
        <f>IF(COUNT(DH8:DH38)=0,"",AVERAGE(DH8:DH38))</f>
        <v/>
      </c>
      <c r="DI41" s="74"/>
      <c r="DJ41" s="74"/>
      <c r="DK41" s="73"/>
      <c r="DL41" s="56" t="s">
        <v>7</v>
      </c>
      <c r="DM41" s="82" t="str">
        <f t="shared" ref="DM41:DW41" si="50">IF(COUNT(DM8:DM38)=0,"",AVERAGE(DM8:DM38))</f>
        <v/>
      </c>
      <c r="DN41" s="84" t="str">
        <f t="shared" si="50"/>
        <v/>
      </c>
      <c r="DO41" s="84" t="str">
        <f t="shared" si="50"/>
        <v/>
      </c>
      <c r="DP41" s="84" t="str">
        <f t="shared" si="50"/>
        <v/>
      </c>
      <c r="DQ41" s="82" t="str">
        <f t="shared" si="50"/>
        <v/>
      </c>
      <c r="DR41" s="80" t="str">
        <f t="shared" si="50"/>
        <v/>
      </c>
      <c r="DS41" s="84" t="str">
        <f t="shared" si="50"/>
        <v/>
      </c>
      <c r="DT41" s="80" t="str">
        <f t="shared" si="50"/>
        <v/>
      </c>
      <c r="DU41" s="82" t="str">
        <f t="shared" si="50"/>
        <v/>
      </c>
      <c r="DV41" s="84" t="str">
        <f t="shared" si="50"/>
        <v/>
      </c>
      <c r="DW41" s="84" t="str">
        <f t="shared" si="50"/>
        <v/>
      </c>
      <c r="DX41" s="124"/>
      <c r="DY41" s="73"/>
      <c r="DZ41" s="84" t="s">
        <v>28</v>
      </c>
      <c r="EA41" s="82" t="e">
        <f>IF(COUNT(EA8:EA38)=0,"",MAX(EA8:EA38))*100</f>
        <v>#VALUE!</v>
      </c>
      <c r="EB41" s="82" t="e">
        <f>IF(COUNT(EB8:EB38)=0,"",MAX(EB8:EB38))*100</f>
        <v>#VALUE!</v>
      </c>
      <c r="EC41" s="82" t="e">
        <f>IF(COUNT(EC8:EC38)=0,"",MAX(EC8:EC38))*100</f>
        <v>#VALUE!</v>
      </c>
      <c r="ED41" s="75"/>
      <c r="EE41" s="82" t="str">
        <f>IF(COUNT(EE8:EE38)=0,"",MAX(EE8:EE38))</f>
        <v/>
      </c>
      <c r="EF41" s="82" t="str">
        <f>IF(COUNT(EF8:EF38)=0,"",MAX(EF8:EF38))</f>
        <v/>
      </c>
      <c r="EG41" s="82" t="str">
        <f>IF(COUNT(EG8:EG38)=0,"",MAX(EG8:EG38))</f>
        <v/>
      </c>
      <c r="EH41" s="73"/>
      <c r="EI41" s="73"/>
      <c r="EJ41" s="351"/>
      <c r="EK41" s="351"/>
      <c r="EL41" s="351"/>
      <c r="EM41" s="351"/>
      <c r="EN41" s="351"/>
      <c r="EO41" s="351"/>
      <c r="EP41" s="351"/>
      <c r="EQ41" s="73"/>
      <c r="ER41" s="20"/>
      <c r="ES41" s="20"/>
      <c r="ET41" s="20"/>
      <c r="EU41" s="20"/>
      <c r="EV41" s="20"/>
      <c r="EW41" s="20"/>
      <c r="EX41" s="20"/>
    </row>
    <row r="42" spans="1:154" ht="25.5" customHeight="1" x14ac:dyDescent="0.35">
      <c r="A42" s="314" t="s">
        <v>449</v>
      </c>
      <c r="B42" s="314"/>
      <c r="C42" s="314"/>
      <c r="D42" s="314"/>
      <c r="E42" s="314"/>
      <c r="F42" s="315" t="s">
        <v>115</v>
      </c>
      <c r="G42" s="315"/>
      <c r="H42" s="315"/>
      <c r="I42" s="315"/>
      <c r="J42" s="315"/>
      <c r="K42" s="314" t="str">
        <f>IF(A42="","",A42)</f>
        <v>Drinking Water System</v>
      </c>
      <c r="L42" s="314"/>
      <c r="M42" s="314"/>
      <c r="N42" s="314"/>
      <c r="O42" s="315" t="s">
        <v>125</v>
      </c>
      <c r="P42" s="315"/>
      <c r="Q42" s="315"/>
      <c r="R42" s="315"/>
      <c r="S42" s="315"/>
      <c r="T42" s="315"/>
      <c r="U42" s="315"/>
      <c r="V42" s="315"/>
      <c r="W42" s="314" t="str">
        <f>IF(A42="","",A42)</f>
        <v>Drinking Water System</v>
      </c>
      <c r="X42" s="314"/>
      <c r="Y42" s="314"/>
      <c r="Z42" s="314"/>
      <c r="AA42" s="314"/>
      <c r="AB42" s="315" t="s">
        <v>129</v>
      </c>
      <c r="AC42" s="315"/>
      <c r="AD42" s="315"/>
      <c r="AE42" s="315"/>
      <c r="AF42" s="315"/>
      <c r="AG42" s="314" t="str">
        <f>IF(A42="","",A42)</f>
        <v>Drinking Water System</v>
      </c>
      <c r="AH42" s="314"/>
      <c r="AI42" s="314"/>
      <c r="AJ42" s="314"/>
      <c r="AK42" s="314"/>
      <c r="AL42" s="315" t="s">
        <v>93</v>
      </c>
      <c r="AM42" s="315"/>
      <c r="AN42" s="315"/>
      <c r="AO42" s="315"/>
      <c r="AP42" s="315"/>
      <c r="AQ42" s="314" t="str">
        <f>IF(A42="","",A42)</f>
        <v>Drinking Water System</v>
      </c>
      <c r="AR42" s="314"/>
      <c r="AS42" s="314"/>
      <c r="AT42" s="314"/>
      <c r="AU42" s="314"/>
      <c r="AV42" s="315" t="s">
        <v>135</v>
      </c>
      <c r="AW42" s="315"/>
      <c r="AX42" s="315"/>
      <c r="AY42" s="315"/>
      <c r="AZ42" s="315"/>
      <c r="BA42" s="314" t="str">
        <f>IF(A42="","",A42)</f>
        <v>Drinking Water System</v>
      </c>
      <c r="BB42" s="314"/>
      <c r="BC42" s="314"/>
      <c r="BD42" s="314"/>
      <c r="BE42" s="314"/>
      <c r="BF42" s="352" t="s">
        <v>145</v>
      </c>
      <c r="BG42" s="352"/>
      <c r="BH42" s="352"/>
      <c r="BI42" s="352"/>
      <c r="BJ42" s="352"/>
      <c r="BK42" s="352"/>
      <c r="BL42" s="352"/>
      <c r="BM42" s="352"/>
      <c r="BN42" s="352"/>
      <c r="BO42" s="314" t="str">
        <f>IF(A42="","",A42)</f>
        <v>Drinking Water System</v>
      </c>
      <c r="BP42" s="314"/>
      <c r="BQ42" s="314"/>
      <c r="BR42" s="314"/>
      <c r="BS42" s="314"/>
      <c r="BT42" s="315" t="s">
        <v>100</v>
      </c>
      <c r="BU42" s="315"/>
      <c r="BV42" s="315"/>
      <c r="BW42" s="315"/>
      <c r="BX42" s="315"/>
      <c r="BY42" s="315"/>
      <c r="BZ42" s="315"/>
      <c r="CA42" s="314" t="str">
        <f>IF(A42="","",A42)</f>
        <v>Drinking Water System</v>
      </c>
      <c r="CB42" s="314"/>
      <c r="CC42" s="314"/>
      <c r="CD42" s="314"/>
      <c r="CE42" s="315" t="s">
        <v>154</v>
      </c>
      <c r="CF42" s="315"/>
      <c r="CG42" s="315"/>
      <c r="CH42" s="315"/>
      <c r="CI42" s="315"/>
      <c r="CJ42" s="314" t="str">
        <f>IF(A42="","",A42)</f>
        <v>Drinking Water System</v>
      </c>
      <c r="CK42" s="314"/>
      <c r="CL42" s="314"/>
      <c r="CM42" s="314"/>
      <c r="CN42" s="315" t="s">
        <v>155</v>
      </c>
      <c r="CO42" s="315"/>
      <c r="CP42" s="315"/>
      <c r="CQ42" s="315"/>
      <c r="CR42" s="315"/>
      <c r="CS42" s="314" t="str">
        <f>IF(A42="","",A42)</f>
        <v>Drinking Water System</v>
      </c>
      <c r="CT42" s="314"/>
      <c r="CU42" s="314"/>
      <c r="CV42" s="314"/>
      <c r="CW42" s="315" t="s">
        <v>101</v>
      </c>
      <c r="CX42" s="315"/>
      <c r="CY42" s="315"/>
      <c r="CZ42" s="315"/>
      <c r="DA42" s="315"/>
      <c r="DB42" s="315"/>
      <c r="DC42" s="314" t="str">
        <f>IF(A42="","",A42)</f>
        <v>Drinking Water System</v>
      </c>
      <c r="DD42" s="314"/>
      <c r="DE42" s="314"/>
      <c r="DF42" s="314"/>
      <c r="DG42" s="315" t="s">
        <v>159</v>
      </c>
      <c r="DH42" s="315"/>
      <c r="DI42" s="315"/>
      <c r="DJ42" s="315"/>
      <c r="DK42" s="315"/>
      <c r="DL42" s="324" t="str">
        <f>IF(A42="","",A42)</f>
        <v>Drinking Water System</v>
      </c>
      <c r="DM42" s="324"/>
      <c r="DN42" s="324"/>
      <c r="DO42" s="324"/>
      <c r="DP42" s="324"/>
      <c r="DQ42" s="325" t="s">
        <v>168</v>
      </c>
      <c r="DR42" s="325"/>
      <c r="DS42" s="325"/>
      <c r="DT42" s="325"/>
      <c r="DU42" s="325"/>
      <c r="DV42" s="325"/>
      <c r="DW42" s="325"/>
      <c r="DX42" s="325"/>
      <c r="DY42" s="325"/>
      <c r="DZ42" s="324" t="str">
        <f>IF(A42="","",A42)</f>
        <v>Drinking Water System</v>
      </c>
      <c r="EA42" s="324"/>
      <c r="EB42" s="324"/>
      <c r="EC42" s="324"/>
      <c r="ED42" s="324"/>
      <c r="EE42" s="324"/>
      <c r="EF42" s="325" t="s">
        <v>91</v>
      </c>
      <c r="EG42" s="325"/>
      <c r="EH42" s="325"/>
      <c r="EI42" s="314" t="str">
        <f>IF(A42="","",A42)</f>
        <v>Drinking Water System</v>
      </c>
      <c r="EJ42" s="314"/>
      <c r="EK42" s="314"/>
      <c r="EL42" s="314"/>
      <c r="EM42" s="315" t="s">
        <v>33</v>
      </c>
      <c r="EN42" s="315"/>
      <c r="EO42" s="315"/>
      <c r="EP42" s="315"/>
      <c r="EQ42" s="315"/>
    </row>
    <row r="43" spans="1:154" ht="14.15" customHeight="1" x14ac:dyDescent="0.35"/>
    <row r="44" spans="1:154" s="10" customFormat="1" ht="14.15" customHeight="1" x14ac:dyDescent="0.35">
      <c r="A44" s="20"/>
      <c r="B44" s="5"/>
      <c r="C44" s="5"/>
      <c r="D44" s="23"/>
      <c r="E44" s="5"/>
      <c r="F44" s="5"/>
      <c r="G44" s="23"/>
      <c r="H44" s="5"/>
      <c r="I44" s="5"/>
      <c r="J44" s="20"/>
      <c r="K44" s="20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23"/>
      <c r="Y44" s="23"/>
      <c r="Z44" s="23"/>
      <c r="AA44" s="23"/>
      <c r="AB44" s="23"/>
      <c r="AC44" s="23"/>
      <c r="AD44" s="23"/>
      <c r="AE44" s="23"/>
      <c r="AF44" s="22"/>
      <c r="AG44" s="20"/>
      <c r="AH44" s="20"/>
      <c r="AI44" s="5"/>
      <c r="AJ44" s="5"/>
      <c r="AK44" s="5"/>
      <c r="AL44" s="5"/>
      <c r="AM44" s="5"/>
      <c r="AN44" s="5"/>
      <c r="AO44" s="22"/>
      <c r="AP44" s="5"/>
      <c r="AQ44" s="5"/>
      <c r="AR44" s="23"/>
      <c r="AS44" s="23"/>
      <c r="AT44" s="23"/>
      <c r="AU44" s="23"/>
      <c r="AV44" s="23"/>
      <c r="AW44" s="23"/>
      <c r="AX44" s="23"/>
      <c r="AY44" s="23"/>
      <c r="AZ44" s="5"/>
      <c r="BA44" s="38"/>
      <c r="BB44" s="13"/>
      <c r="BC44" s="11"/>
      <c r="BD44" s="12"/>
      <c r="BE44" s="12"/>
      <c r="BF44" s="12"/>
      <c r="BG44" s="12"/>
      <c r="BH44" s="38"/>
      <c r="BI44" s="38"/>
      <c r="BJ44" s="38"/>
      <c r="BK44" s="38"/>
      <c r="BL44" s="38"/>
      <c r="BM44" s="38"/>
      <c r="BN44" s="12"/>
      <c r="BO44" s="13"/>
      <c r="BP44" s="38"/>
      <c r="BQ44" s="11"/>
      <c r="BR44" s="12"/>
      <c r="BS44" s="12"/>
      <c r="BT44" s="12"/>
      <c r="BU44" s="38"/>
      <c r="BV44" s="13"/>
      <c r="BW44" s="13"/>
      <c r="BX44" s="12"/>
      <c r="BY44" s="11"/>
      <c r="BZ44" s="11"/>
      <c r="CB44" s="12"/>
      <c r="CC44" s="12"/>
      <c r="CD44" s="12"/>
      <c r="CE44" s="13"/>
      <c r="CF44" s="13"/>
      <c r="CG44" s="11"/>
      <c r="CH44" s="11"/>
      <c r="CI44" s="12"/>
      <c r="CJ44" s="13"/>
      <c r="CK44" s="12"/>
      <c r="CL44" s="12"/>
      <c r="CM44" s="12"/>
      <c r="CN44" s="12"/>
      <c r="CO44" s="12"/>
      <c r="CU44" s="13"/>
      <c r="CV44" s="11"/>
      <c r="CW44" s="12"/>
      <c r="CX44" s="13"/>
      <c r="CY44" s="12"/>
      <c r="CZ44" s="12"/>
      <c r="DA44" s="38"/>
      <c r="DB44" s="12"/>
      <c r="DC44" s="38"/>
      <c r="DD44" s="12"/>
      <c r="DE44" s="12"/>
      <c r="DF44" s="12"/>
      <c r="DG44" s="13"/>
      <c r="DH44" s="12"/>
      <c r="DI44" s="11"/>
      <c r="DJ44" s="11"/>
      <c r="DK44" s="38"/>
      <c r="DM44" s="13"/>
      <c r="DN44" s="38"/>
      <c r="DO44" s="38"/>
      <c r="DP44" s="38"/>
      <c r="DQ44" s="13"/>
      <c r="DR44" s="12"/>
      <c r="DS44" s="38"/>
      <c r="DT44" s="12"/>
      <c r="DU44" s="13"/>
      <c r="DV44" s="38"/>
      <c r="DW44" s="38"/>
      <c r="EB44" s="55"/>
      <c r="EC44" s="55"/>
      <c r="ED44" s="13"/>
      <c r="EE44" s="13"/>
      <c r="EF44" s="13"/>
      <c r="EG44" s="13"/>
    </row>
    <row r="45" spans="1:154" ht="22.5" customHeight="1" x14ac:dyDescent="0.35"/>
  </sheetData>
  <sheetProtection selectLockedCells="1"/>
  <mergeCells count="282">
    <mergeCell ref="A3:E3"/>
    <mergeCell ref="F3:J3"/>
    <mergeCell ref="K3:N3"/>
    <mergeCell ref="O3:V3"/>
    <mergeCell ref="W3:AA3"/>
    <mergeCell ref="AB3:AF3"/>
    <mergeCell ref="BO1:BZ2"/>
    <mergeCell ref="A1:J2"/>
    <mergeCell ref="K1:V2"/>
    <mergeCell ref="W1:AF2"/>
    <mergeCell ref="AG1:AP2"/>
    <mergeCell ref="AQ1:AZ2"/>
    <mergeCell ref="BA1:BN2"/>
    <mergeCell ref="BT3:BZ3"/>
    <mergeCell ref="AG3:AK3"/>
    <mergeCell ref="AL3:AP3"/>
    <mergeCell ref="EI1:EQ2"/>
    <mergeCell ref="CA1:CI2"/>
    <mergeCell ref="CJ1:CR2"/>
    <mergeCell ref="CS1:DB2"/>
    <mergeCell ref="DC1:DK2"/>
    <mergeCell ref="DL1:DP2"/>
    <mergeCell ref="DZ1:EA2"/>
    <mergeCell ref="EB1:EG2"/>
    <mergeCell ref="EI3:EL3"/>
    <mergeCell ref="EM3:EQ3"/>
    <mergeCell ref="DQ3:DY3"/>
    <mergeCell ref="DZ3:EE3"/>
    <mergeCell ref="EF3:EH3"/>
    <mergeCell ref="CA3:CD3"/>
    <mergeCell ref="CE3:CI3"/>
    <mergeCell ref="CJ3:CM3"/>
    <mergeCell ref="CN3:CR3"/>
    <mergeCell ref="CS3:CV3"/>
    <mergeCell ref="A4:A7"/>
    <mergeCell ref="B4:D4"/>
    <mergeCell ref="E4:G4"/>
    <mergeCell ref="H4:I4"/>
    <mergeCell ref="J4:J7"/>
    <mergeCell ref="CW3:DB3"/>
    <mergeCell ref="AQ3:AU3"/>
    <mergeCell ref="AV3:AZ3"/>
    <mergeCell ref="DL3:DP3"/>
    <mergeCell ref="AZ4:AZ7"/>
    <mergeCell ref="BA4:BA7"/>
    <mergeCell ref="BB4:BF4"/>
    <mergeCell ref="BG4:BG7"/>
    <mergeCell ref="S5:S7"/>
    <mergeCell ref="T5:T7"/>
    <mergeCell ref="U5:U7"/>
    <mergeCell ref="BA3:BE3"/>
    <mergeCell ref="BF3:BN3"/>
    <mergeCell ref="K4:K7"/>
    <mergeCell ref="L4:M4"/>
    <mergeCell ref="N4:O4"/>
    <mergeCell ref="DC3:DF3"/>
    <mergeCell ref="DG3:DK3"/>
    <mergeCell ref="BO3:BS3"/>
    <mergeCell ref="CC4:CC7"/>
    <mergeCell ref="CM4:CM7"/>
    <mergeCell ref="CN4:CN7"/>
    <mergeCell ref="CO4:CO7"/>
    <mergeCell ref="CP4:CP7"/>
    <mergeCell ref="AV6:AV7"/>
    <mergeCell ref="AW6:AW7"/>
    <mergeCell ref="AX6:AX7"/>
    <mergeCell ref="AY6:AY7"/>
    <mergeCell ref="BF5:BF7"/>
    <mergeCell ref="BH4:BI4"/>
    <mergeCell ref="BW4:BY4"/>
    <mergeCell ref="BK5:BK7"/>
    <mergeCell ref="BL5:BL7"/>
    <mergeCell ref="BM5:BM7"/>
    <mergeCell ref="AV5:AW5"/>
    <mergeCell ref="AX5:AY5"/>
    <mergeCell ref="BB5:BB7"/>
    <mergeCell ref="BC5:BC7"/>
    <mergeCell ref="BD5:BD7"/>
    <mergeCell ref="BT5:BT7"/>
    <mergeCell ref="BU5:BU7"/>
    <mergeCell ref="DP5:DP7"/>
    <mergeCell ref="BE5:BE7"/>
    <mergeCell ref="BI5:BI7"/>
    <mergeCell ref="BJ5:BJ7"/>
    <mergeCell ref="BQ5:BQ7"/>
    <mergeCell ref="BP5:BP7"/>
    <mergeCell ref="BR5:BR7"/>
    <mergeCell ref="BS5:BS7"/>
    <mergeCell ref="BW5:BW7"/>
    <mergeCell ref="BX5:BX7"/>
    <mergeCell ref="DJ4:DJ7"/>
    <mergeCell ref="DK4:DK7"/>
    <mergeCell ref="DL4:DL7"/>
    <mergeCell ref="BV5:BV7"/>
    <mergeCell ref="BJ4:BK4"/>
    <mergeCell ref="BL4:BM4"/>
    <mergeCell ref="BN4:BN7"/>
    <mergeCell ref="BO4:BO7"/>
    <mergeCell ref="BP4:BV4"/>
    <mergeCell ref="BH5:BH7"/>
    <mergeCell ref="CI4:CI7"/>
    <mergeCell ref="CJ4:CJ7"/>
    <mergeCell ref="CA4:CA7"/>
    <mergeCell ref="CB4:CB7"/>
    <mergeCell ref="EQ4:EQ7"/>
    <mergeCell ref="B5:B7"/>
    <mergeCell ref="C5:C7"/>
    <mergeCell ref="D5:D7"/>
    <mergeCell ref="E5:E7"/>
    <mergeCell ref="F5:F7"/>
    <mergeCell ref="G5:G7"/>
    <mergeCell ref="H5:H7"/>
    <mergeCell ref="DD4:DD7"/>
    <mergeCell ref="DE4:DE7"/>
    <mergeCell ref="ED4:EE4"/>
    <mergeCell ref="EH4:EH7"/>
    <mergeCell ref="X5:Y5"/>
    <mergeCell ref="Z5:AA5"/>
    <mergeCell ref="AB5:AC5"/>
    <mergeCell ref="AD5:AE5"/>
    <mergeCell ref="DO5:DO7"/>
    <mergeCell ref="DF4:DF7"/>
    <mergeCell ref="DG4:DG7"/>
    <mergeCell ref="DH4:DH7"/>
    <mergeCell ref="I5:I7"/>
    <mergeCell ref="DY4:DY7"/>
    <mergeCell ref="DZ4:DZ7"/>
    <mergeCell ref="EA4:EC4"/>
    <mergeCell ref="DB4:DB7"/>
    <mergeCell ref="DC4:DC7"/>
    <mergeCell ref="AV4:AY4"/>
    <mergeCell ref="DT5:DT7"/>
    <mergeCell ref="DU5:DU7"/>
    <mergeCell ref="CR4:CR7"/>
    <mergeCell ref="DN5:DN7"/>
    <mergeCell ref="DQ5:DQ7"/>
    <mergeCell ref="DR5:DR7"/>
    <mergeCell ref="CS4:CS7"/>
    <mergeCell ref="BY5:BY7"/>
    <mergeCell ref="BZ4:BZ7"/>
    <mergeCell ref="CD4:CD7"/>
    <mergeCell ref="CE4:CE7"/>
    <mergeCell ref="DS5:DS7"/>
    <mergeCell ref="CQ4:CQ7"/>
    <mergeCell ref="CF4:CF7"/>
    <mergeCell ref="CG4:CG7"/>
    <mergeCell ref="CH4:CH7"/>
    <mergeCell ref="CK4:CK7"/>
    <mergeCell ref="DN4:DO4"/>
    <mergeCell ref="DM5:DM7"/>
    <mergeCell ref="DI4:DI7"/>
    <mergeCell ref="DP4:DU4"/>
    <mergeCell ref="L5:L7"/>
    <mergeCell ref="M5:M7"/>
    <mergeCell ref="N5:N7"/>
    <mergeCell ref="O5:O7"/>
    <mergeCell ref="P5:P7"/>
    <mergeCell ref="Q5:Q7"/>
    <mergeCell ref="P4:Q4"/>
    <mergeCell ref="R4:U4"/>
    <mergeCell ref="V4:V7"/>
    <mergeCell ref="W4:W7"/>
    <mergeCell ref="X4:AA4"/>
    <mergeCell ref="AB4:AE4"/>
    <mergeCell ref="R5:R7"/>
    <mergeCell ref="X6:X7"/>
    <mergeCell ref="Y6:Y7"/>
    <mergeCell ref="Z6:Z7"/>
    <mergeCell ref="CZ4:CZ7"/>
    <mergeCell ref="DA4:DA7"/>
    <mergeCell ref="AH4:AO4"/>
    <mergeCell ref="AL5:AM5"/>
    <mergeCell ref="AN5:AO5"/>
    <mergeCell ref="AH5:AI5"/>
    <mergeCell ref="AJ5:AK5"/>
    <mergeCell ref="CL4:CL7"/>
    <mergeCell ref="CT4:CT7"/>
    <mergeCell ref="CU4:CU7"/>
    <mergeCell ref="CV4:CV7"/>
    <mergeCell ref="CW4:CW7"/>
    <mergeCell ref="CX4:CX7"/>
    <mergeCell ref="CY4:CY7"/>
    <mergeCell ref="AA6:AA7"/>
    <mergeCell ref="AB6:AB7"/>
    <mergeCell ref="AC6:AC7"/>
    <mergeCell ref="AD6:AD7"/>
    <mergeCell ref="AE6:AE7"/>
    <mergeCell ref="AH6:AH7"/>
    <mergeCell ref="AO6:AO7"/>
    <mergeCell ref="AR6:AR7"/>
    <mergeCell ref="AS6:AS7"/>
    <mergeCell ref="AQ4:AQ7"/>
    <mergeCell ref="AR4:AU4"/>
    <mergeCell ref="AR5:AS5"/>
    <mergeCell ref="AT5:AU5"/>
    <mergeCell ref="AT6:AT7"/>
    <mergeCell ref="AU6:AU7"/>
    <mergeCell ref="AP4:AP7"/>
    <mergeCell ref="AI6:AI7"/>
    <mergeCell ref="AJ6:AJ7"/>
    <mergeCell ref="AK6:AK7"/>
    <mergeCell ref="AL6:AL7"/>
    <mergeCell ref="AM6:AM7"/>
    <mergeCell ref="AN6:AN7"/>
    <mergeCell ref="AF4:AF7"/>
    <mergeCell ref="AG4:AG7"/>
    <mergeCell ref="EJ9:EP9"/>
    <mergeCell ref="EJ10:EP10"/>
    <mergeCell ref="EJ11:EP11"/>
    <mergeCell ref="EJ12:EP12"/>
    <mergeCell ref="EJ13:EP13"/>
    <mergeCell ref="DV5:DV7"/>
    <mergeCell ref="DW5:DW7"/>
    <mergeCell ref="DX5:DX7"/>
    <mergeCell ref="EA5:EA7"/>
    <mergeCell ref="EJ8:EP8"/>
    <mergeCell ref="EG5:EG7"/>
    <mergeCell ref="EJ4:EP7"/>
    <mergeCell ref="DV4:DX4"/>
    <mergeCell ref="EI4:EI7"/>
    <mergeCell ref="EB5:EB7"/>
    <mergeCell ref="EC5:EC7"/>
    <mergeCell ref="ED5:EE5"/>
    <mergeCell ref="EF5:EF7"/>
    <mergeCell ref="ED6:ED7"/>
    <mergeCell ref="EE6:EE7"/>
    <mergeCell ref="EJ21:EP21"/>
    <mergeCell ref="EJ22:EP22"/>
    <mergeCell ref="EJ23:EP23"/>
    <mergeCell ref="EJ24:EP24"/>
    <mergeCell ref="EJ25:EP25"/>
    <mergeCell ref="EJ14:EP14"/>
    <mergeCell ref="EJ36:EP36"/>
    <mergeCell ref="EJ37:EP37"/>
    <mergeCell ref="EJ38:EP38"/>
    <mergeCell ref="EJ26:EP26"/>
    <mergeCell ref="EJ15:EP15"/>
    <mergeCell ref="EJ16:EP16"/>
    <mergeCell ref="EJ17:EP17"/>
    <mergeCell ref="EJ18:EP18"/>
    <mergeCell ref="EJ19:EP19"/>
    <mergeCell ref="EJ20:EP20"/>
    <mergeCell ref="BF42:BN42"/>
    <mergeCell ref="BO42:BS42"/>
    <mergeCell ref="EJ27:EP27"/>
    <mergeCell ref="EJ28:EP28"/>
    <mergeCell ref="EJ29:EP29"/>
    <mergeCell ref="EJ30:EP30"/>
    <mergeCell ref="EJ31:EP31"/>
    <mergeCell ref="EJ32:EP32"/>
    <mergeCell ref="EJ33:EP33"/>
    <mergeCell ref="EJ34:EP34"/>
    <mergeCell ref="EJ35:EP35"/>
    <mergeCell ref="DC42:DF42"/>
    <mergeCell ref="DG42:DK42"/>
    <mergeCell ref="DL42:DP42"/>
    <mergeCell ref="DQ42:DY42"/>
    <mergeCell ref="DZ42:EE42"/>
    <mergeCell ref="A42:E42"/>
    <mergeCell ref="F42:J42"/>
    <mergeCell ref="K42:N42"/>
    <mergeCell ref="O42:V42"/>
    <mergeCell ref="W42:AA42"/>
    <mergeCell ref="EJ39:EP39"/>
    <mergeCell ref="EJ40:EP40"/>
    <mergeCell ref="EJ41:EP41"/>
    <mergeCell ref="EF42:EH42"/>
    <mergeCell ref="EI42:EL42"/>
    <mergeCell ref="AG42:AK42"/>
    <mergeCell ref="BT42:BZ42"/>
    <mergeCell ref="CA42:CD42"/>
    <mergeCell ref="EM42:EQ42"/>
    <mergeCell ref="CW42:DB42"/>
    <mergeCell ref="AB42:AF42"/>
    <mergeCell ref="CE42:CI42"/>
    <mergeCell ref="CJ42:CM42"/>
    <mergeCell ref="CN42:CR42"/>
    <mergeCell ref="CS42:CV42"/>
    <mergeCell ref="AL42:AP42"/>
    <mergeCell ref="AQ42:AU42"/>
    <mergeCell ref="AV42:AZ42"/>
    <mergeCell ref="BA42:BE42"/>
  </mergeCells>
  <pageMargins left="0.23622047244094491" right="0.23622047244094491" top="0.31496062992125984" bottom="0.74803149606299213" header="0.31496062992125984" footer="0.31496062992125984"/>
  <pageSetup pageOrder="overThenDown" orientation="portrait" r:id="rId1"/>
  <headerFooter>
    <evenHeader>&amp;L&amp;28Red Lake WPCP&amp;R&amp;28New Plant</even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GR81"/>
  <sheetViews>
    <sheetView showGridLines="0" view="pageBreakPreview" zoomScaleNormal="100" zoomScaleSheetLayoutView="100" zoomScalePageLayoutView="75" workbookViewId="0">
      <selection activeCell="AO3" sqref="AO3:AS3"/>
    </sheetView>
  </sheetViews>
  <sheetFormatPr defaultColWidth="9.1796875" defaultRowHeight="14.5" x14ac:dyDescent="0.35"/>
  <cols>
    <col min="1" max="1" width="12.26953125" customWidth="1"/>
    <col min="2" max="4" width="8" style="5" customWidth="1"/>
    <col min="5" max="6" width="8" style="54" customWidth="1"/>
    <col min="7" max="10" width="12" style="180" customWidth="1"/>
    <col min="11" max="11" width="12.26953125" style="20" customWidth="1"/>
    <col min="12" max="12" width="10" style="5" customWidth="1"/>
    <col min="13" max="13" width="15" style="5" customWidth="1"/>
    <col min="14" max="14" width="10" style="5" customWidth="1"/>
    <col min="15" max="15" width="15" style="5" customWidth="1"/>
    <col min="16" max="18" width="11" style="54" customWidth="1"/>
    <col min="19" max="19" width="10.7265625" style="22" customWidth="1"/>
    <col min="20" max="20" width="11.26953125" style="22" customWidth="1"/>
    <col min="21" max="21" width="11.26953125" style="23" customWidth="1"/>
    <col min="22" max="24" width="11.26953125" style="22" customWidth="1"/>
    <col min="25" max="25" width="11.26953125" style="23" customWidth="1"/>
    <col min="26" max="27" width="11.26953125" style="22" customWidth="1"/>
    <col min="28" max="28" width="9.7265625" style="21" customWidth="1"/>
    <col min="29" max="29" width="7.453125" style="23" customWidth="1"/>
    <col min="30" max="30" width="7.453125" style="5" customWidth="1"/>
    <col min="31" max="34" width="7.453125" style="22" customWidth="1"/>
    <col min="35" max="40" width="7.453125" style="21" customWidth="1"/>
    <col min="41" max="41" width="10.54296875" customWidth="1"/>
    <col min="42" max="42" width="10" style="21" customWidth="1"/>
    <col min="43" max="43" width="10" style="5" customWidth="1"/>
    <col min="44" max="46" width="10" style="22" customWidth="1"/>
    <col min="47" max="48" width="10" style="21" customWidth="1"/>
    <col min="49" max="49" width="10" style="23" customWidth="1"/>
    <col min="50" max="50" width="15.54296875" style="23" customWidth="1"/>
    <col min="51" max="54" width="16" customWidth="1"/>
    <col min="55" max="55" width="12.7265625" customWidth="1"/>
    <col min="56" max="56" width="6.1796875" customWidth="1"/>
    <col min="57" max="59" width="10" customWidth="1"/>
    <col min="60" max="60" width="11.453125" customWidth="1"/>
    <col min="61" max="61" width="10" customWidth="1"/>
    <col min="62" max="64" width="11.453125" customWidth="1"/>
    <col min="65" max="65" width="8.7265625" customWidth="1"/>
    <col min="66" max="66" width="5.54296875" customWidth="1"/>
    <col min="67" max="71" width="12" customWidth="1"/>
    <col min="72" max="73" width="12" style="5" customWidth="1"/>
    <col min="74" max="74" width="9.7265625" customWidth="1"/>
    <col min="75" max="75" width="6" customWidth="1"/>
    <col min="76" max="80" width="12.26953125" style="2" customWidth="1"/>
    <col min="81" max="81" width="12.26953125" style="5" customWidth="1"/>
    <col min="82" max="82" width="12.26953125" style="6" customWidth="1"/>
    <col min="83" max="83" width="9.7265625" customWidth="1"/>
    <col min="84" max="84" width="6" customWidth="1"/>
    <col min="85" max="91" width="12.26953125" customWidth="1"/>
    <col min="92" max="92" width="9.7265625" customWidth="1"/>
    <col min="93" max="93" width="6" customWidth="1"/>
    <col min="94" max="98" width="12.26953125" style="2" customWidth="1"/>
    <col min="99" max="99" width="12.26953125" style="5" customWidth="1"/>
    <col min="100" max="100" width="12.26953125" style="6" customWidth="1"/>
    <col min="101" max="101" width="9.7265625" customWidth="1"/>
    <col min="102" max="102" width="6" customWidth="1"/>
    <col min="103" max="105" width="12.26953125" style="2" customWidth="1"/>
    <col min="106" max="107" width="12.26953125" style="4" customWidth="1"/>
    <col min="108" max="108" width="12.26953125" style="5" customWidth="1"/>
    <col min="109" max="109" width="12.26953125" style="6" customWidth="1"/>
    <col min="110" max="110" width="9.7265625" customWidth="1"/>
    <col min="111" max="111" width="6.26953125" customWidth="1"/>
    <col min="112" max="114" width="12" style="2" customWidth="1"/>
    <col min="115" max="115" width="12" style="1" customWidth="1"/>
    <col min="116" max="116" width="12" style="2" customWidth="1"/>
    <col min="117" max="117" width="12.453125" style="6" customWidth="1"/>
    <col min="118" max="118" width="14.7265625" style="2" customWidth="1"/>
    <col min="119" max="119" width="8.81640625" customWidth="1"/>
    <col min="120" max="120" width="6" customWidth="1"/>
    <col min="121" max="127" width="12.26953125" style="14" customWidth="1"/>
    <col min="128" max="128" width="8.7265625" customWidth="1"/>
    <col min="129" max="129" width="6.453125" customWidth="1"/>
    <col min="130" max="132" width="12" style="1" customWidth="1"/>
    <col min="133" max="134" width="12" style="4" customWidth="1"/>
    <col min="135" max="135" width="12" style="5" customWidth="1"/>
    <col min="136" max="136" width="12" style="6" customWidth="1"/>
    <col min="137" max="137" width="8.81640625" customWidth="1"/>
    <col min="138" max="138" width="6.54296875" customWidth="1"/>
    <col min="139" max="140" width="12.54296875" style="2" customWidth="1"/>
    <col min="141" max="142" width="11.453125" style="4" customWidth="1"/>
    <col min="143" max="145" width="12.54296875" style="4" customWidth="1"/>
    <col min="146" max="146" width="9.1796875" customWidth="1"/>
    <col min="147" max="147" width="6.54296875" customWidth="1"/>
    <col min="148" max="149" width="12.54296875" style="6" customWidth="1"/>
    <col min="150" max="151" width="11.453125" style="6" customWidth="1"/>
    <col min="152" max="154" width="12.54296875" style="6" customWidth="1"/>
    <col min="155" max="155" width="9.1796875" customWidth="1"/>
  </cols>
  <sheetData>
    <row r="1" spans="1:200" ht="15" customHeight="1" x14ac:dyDescent="0.35">
      <c r="A1" s="373" t="s">
        <v>221</v>
      </c>
      <c r="B1" s="373"/>
      <c r="C1" s="373"/>
      <c r="D1" s="373"/>
      <c r="E1" s="373"/>
      <c r="F1" s="373"/>
      <c r="G1" s="373"/>
      <c r="H1" s="373"/>
      <c r="I1" s="373"/>
      <c r="J1" s="373"/>
      <c r="K1" s="373" t="s">
        <v>221</v>
      </c>
      <c r="L1" s="373"/>
      <c r="M1" s="373"/>
      <c r="N1" s="373"/>
      <c r="O1" s="373"/>
      <c r="P1" s="373"/>
      <c r="Q1" s="373"/>
      <c r="R1" s="373"/>
      <c r="S1" s="345" t="s">
        <v>221</v>
      </c>
      <c r="T1" s="345"/>
      <c r="U1" s="345"/>
      <c r="V1" s="345"/>
      <c r="W1" s="345"/>
      <c r="X1" s="345"/>
      <c r="Y1" s="345"/>
      <c r="Z1" s="345"/>
      <c r="AA1" s="345"/>
      <c r="AB1" s="345" t="s">
        <v>221</v>
      </c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15"/>
      <c r="AN1" s="15"/>
      <c r="AO1" s="345" t="s">
        <v>221</v>
      </c>
      <c r="AP1" s="345"/>
      <c r="AQ1" s="345"/>
      <c r="AR1" s="345"/>
      <c r="AS1" s="345"/>
      <c r="AT1" s="345"/>
      <c r="AU1" s="345"/>
      <c r="AV1" s="345"/>
      <c r="AW1" s="345"/>
      <c r="AX1" s="18"/>
      <c r="BT1"/>
      <c r="BU1"/>
      <c r="BX1"/>
      <c r="BY1"/>
      <c r="BZ1"/>
      <c r="CA1"/>
      <c r="CB1"/>
      <c r="CC1"/>
      <c r="CD1"/>
      <c r="CP1"/>
      <c r="CQ1"/>
      <c r="CR1"/>
      <c r="CS1"/>
      <c r="CT1"/>
      <c r="CU1"/>
      <c r="CV1"/>
      <c r="CY1"/>
      <c r="CZ1"/>
      <c r="DA1"/>
      <c r="DB1"/>
      <c r="DC1"/>
      <c r="DD1"/>
      <c r="DE1"/>
      <c r="DH1"/>
      <c r="DI1"/>
      <c r="DJ1"/>
      <c r="DK1"/>
      <c r="DL1"/>
      <c r="DM1"/>
      <c r="DN1"/>
      <c r="DQ1"/>
      <c r="DR1"/>
      <c r="DS1"/>
      <c r="DT1"/>
      <c r="DU1"/>
      <c r="DV1"/>
      <c r="DW1"/>
      <c r="DZ1"/>
      <c r="EA1"/>
      <c r="EB1"/>
      <c r="EC1"/>
      <c r="ED1"/>
      <c r="EE1"/>
      <c r="EF1"/>
      <c r="EI1"/>
      <c r="EJ1"/>
      <c r="EK1"/>
      <c r="EL1"/>
      <c r="EM1"/>
      <c r="EN1"/>
      <c r="EO1"/>
      <c r="ER1"/>
      <c r="ES1"/>
      <c r="ET1"/>
      <c r="EU1"/>
      <c r="EV1"/>
      <c r="EW1"/>
      <c r="EX1"/>
    </row>
    <row r="2" spans="1:200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45"/>
      <c r="T2" s="345"/>
      <c r="U2" s="345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15"/>
      <c r="AN2" s="15"/>
      <c r="AO2" s="345"/>
      <c r="AP2" s="345"/>
      <c r="AQ2" s="345"/>
      <c r="AR2" s="345"/>
      <c r="AS2" s="345"/>
      <c r="AT2" s="345"/>
      <c r="AU2" s="345"/>
      <c r="AV2" s="345"/>
      <c r="AW2" s="345"/>
      <c r="AX2" s="18"/>
      <c r="BT2"/>
      <c r="BU2"/>
      <c r="BX2"/>
      <c r="BY2"/>
      <c r="BZ2"/>
      <c r="CA2"/>
      <c r="CB2"/>
      <c r="CC2"/>
      <c r="CD2"/>
      <c r="CP2"/>
      <c r="CQ2"/>
      <c r="CR2"/>
      <c r="CS2"/>
      <c r="CT2"/>
      <c r="CU2"/>
      <c r="CV2"/>
      <c r="CY2"/>
      <c r="CZ2"/>
      <c r="DA2"/>
      <c r="DB2"/>
      <c r="DC2"/>
      <c r="DD2"/>
      <c r="DE2"/>
      <c r="DH2"/>
      <c r="DI2"/>
      <c r="DJ2"/>
      <c r="DK2"/>
      <c r="DL2"/>
      <c r="DM2"/>
      <c r="DN2"/>
      <c r="DQ2"/>
      <c r="DR2"/>
      <c r="DS2"/>
      <c r="DT2"/>
      <c r="DU2"/>
      <c r="DV2"/>
      <c r="DW2"/>
      <c r="DZ2"/>
      <c r="EA2"/>
      <c r="EB2"/>
      <c r="EC2"/>
      <c r="ED2"/>
      <c r="EE2"/>
      <c r="EF2"/>
      <c r="EI2"/>
      <c r="EJ2"/>
      <c r="EK2"/>
      <c r="EL2"/>
      <c r="EM2"/>
      <c r="EN2"/>
      <c r="EO2"/>
      <c r="ER2"/>
      <c r="ES2"/>
      <c r="ET2"/>
      <c r="EU2"/>
      <c r="EV2"/>
      <c r="EW2"/>
      <c r="EX2"/>
    </row>
    <row r="3" spans="1:200" ht="25.5" customHeight="1" x14ac:dyDescent="0.25">
      <c r="A3" s="329" t="s">
        <v>449</v>
      </c>
      <c r="B3" s="329"/>
      <c r="C3" s="329"/>
      <c r="D3" s="329"/>
      <c r="E3" s="399" t="s">
        <v>115</v>
      </c>
      <c r="F3" s="399"/>
      <c r="G3" s="399"/>
      <c r="H3" s="399"/>
      <c r="I3" s="399"/>
      <c r="J3" s="399"/>
      <c r="K3" s="329" t="s">
        <v>449</v>
      </c>
      <c r="L3" s="329"/>
      <c r="M3" s="329"/>
      <c r="N3" s="399" t="s">
        <v>182</v>
      </c>
      <c r="O3" s="399"/>
      <c r="P3" s="399"/>
      <c r="Q3" s="399"/>
      <c r="R3" s="399"/>
      <c r="S3" s="329" t="s">
        <v>449</v>
      </c>
      <c r="T3" s="329"/>
      <c r="U3" s="329"/>
      <c r="V3" s="329"/>
      <c r="W3" s="397" t="s">
        <v>185</v>
      </c>
      <c r="X3" s="397"/>
      <c r="Y3" s="397"/>
      <c r="Z3" s="397"/>
      <c r="AA3" s="397"/>
      <c r="AB3" s="314" t="s">
        <v>449</v>
      </c>
      <c r="AC3" s="314"/>
      <c r="AD3" s="314"/>
      <c r="AE3" s="314"/>
      <c r="AF3" s="314"/>
      <c r="AG3" s="314"/>
      <c r="AH3" s="314"/>
      <c r="AI3" s="314"/>
      <c r="AJ3" s="314"/>
      <c r="AK3" s="386" t="s">
        <v>89</v>
      </c>
      <c r="AL3" s="386"/>
      <c r="AM3" s="386"/>
      <c r="AN3" s="386"/>
      <c r="AO3" s="314" t="s">
        <v>450</v>
      </c>
      <c r="AP3" s="314"/>
      <c r="AQ3" s="314"/>
      <c r="AR3" s="314"/>
      <c r="AS3" s="314"/>
      <c r="AT3" s="315" t="s">
        <v>90</v>
      </c>
      <c r="AU3" s="315"/>
      <c r="AV3" s="315"/>
      <c r="AW3" s="315"/>
      <c r="AX3" s="315"/>
      <c r="BT3"/>
      <c r="BU3"/>
      <c r="BX3"/>
      <c r="BY3"/>
      <c r="BZ3"/>
      <c r="CA3"/>
      <c r="CB3"/>
      <c r="CC3"/>
      <c r="CD3"/>
      <c r="CP3"/>
      <c r="CQ3"/>
      <c r="CR3"/>
      <c r="CS3"/>
      <c r="CT3"/>
      <c r="CU3"/>
      <c r="CV3"/>
      <c r="CY3"/>
      <c r="CZ3"/>
      <c r="DA3"/>
      <c r="DB3"/>
      <c r="DC3"/>
      <c r="DD3"/>
      <c r="DE3"/>
      <c r="DH3"/>
      <c r="DI3"/>
      <c r="DJ3"/>
      <c r="DK3"/>
      <c r="DL3"/>
      <c r="DM3"/>
      <c r="DN3"/>
      <c r="DQ3"/>
      <c r="DR3"/>
      <c r="DS3"/>
      <c r="DT3"/>
      <c r="DU3"/>
      <c r="DV3"/>
      <c r="DW3"/>
      <c r="DZ3"/>
      <c r="EA3"/>
      <c r="EB3"/>
      <c r="EC3"/>
      <c r="ED3"/>
      <c r="EE3"/>
      <c r="EF3"/>
      <c r="EI3"/>
      <c r="EJ3"/>
      <c r="EK3"/>
      <c r="EL3"/>
      <c r="EM3"/>
      <c r="EN3"/>
      <c r="EO3"/>
      <c r="ER3"/>
      <c r="ES3"/>
      <c r="ET3"/>
      <c r="EU3"/>
      <c r="EV3"/>
      <c r="EW3"/>
      <c r="EX3"/>
    </row>
    <row r="4" spans="1:200" ht="22.5" customHeight="1" x14ac:dyDescent="0.35">
      <c r="A4" s="392" t="s">
        <v>8</v>
      </c>
      <c r="B4" s="388" t="s">
        <v>37</v>
      </c>
      <c r="C4" s="388"/>
      <c r="D4" s="388"/>
      <c r="E4" s="388"/>
      <c r="F4" s="388"/>
      <c r="G4" s="131" t="s">
        <v>175</v>
      </c>
      <c r="H4" s="131" t="s">
        <v>117</v>
      </c>
      <c r="I4" s="131" t="s">
        <v>118</v>
      </c>
      <c r="J4" s="131" t="s">
        <v>119</v>
      </c>
      <c r="K4" s="392" t="s">
        <v>8</v>
      </c>
      <c r="L4" s="400" t="s">
        <v>64</v>
      </c>
      <c r="M4" s="401"/>
      <c r="N4" s="401"/>
      <c r="O4" s="401"/>
      <c r="P4" s="401"/>
      <c r="Q4" s="401"/>
      <c r="R4" s="402"/>
      <c r="S4" s="392" t="s">
        <v>8</v>
      </c>
      <c r="T4" s="388" t="s">
        <v>186</v>
      </c>
      <c r="U4" s="388"/>
      <c r="V4" s="383" t="s">
        <v>155</v>
      </c>
      <c r="W4" s="383"/>
      <c r="X4" s="392" t="s">
        <v>101</v>
      </c>
      <c r="Y4" s="392"/>
      <c r="Z4" s="383" t="s">
        <v>159</v>
      </c>
      <c r="AA4" s="383"/>
      <c r="AB4" s="392" t="s">
        <v>8</v>
      </c>
      <c r="AC4" s="392" t="s">
        <v>38</v>
      </c>
      <c r="AD4" s="392"/>
      <c r="AE4" s="392"/>
      <c r="AF4" s="392"/>
      <c r="AG4" s="392"/>
      <c r="AH4" s="389" t="s">
        <v>146</v>
      </c>
      <c r="AI4" s="398" t="s">
        <v>136</v>
      </c>
      <c r="AJ4" s="398"/>
      <c r="AK4" s="398" t="s">
        <v>139</v>
      </c>
      <c r="AL4" s="398"/>
      <c r="AM4" s="398" t="s">
        <v>142</v>
      </c>
      <c r="AN4" s="398"/>
      <c r="AO4" s="392" t="s">
        <v>8</v>
      </c>
      <c r="AP4" s="392" t="s">
        <v>64</v>
      </c>
      <c r="AQ4" s="392"/>
      <c r="AR4" s="392"/>
      <c r="AS4" s="392"/>
      <c r="AT4" s="392"/>
      <c r="AU4" s="392"/>
      <c r="AV4" s="392"/>
      <c r="AW4" s="392"/>
      <c r="AX4" s="166" t="s">
        <v>39</v>
      </c>
      <c r="BT4"/>
      <c r="BU4"/>
      <c r="BX4"/>
      <c r="BY4"/>
      <c r="BZ4"/>
      <c r="CA4"/>
      <c r="CB4"/>
      <c r="CC4"/>
      <c r="CD4"/>
      <c r="CP4"/>
      <c r="CQ4"/>
      <c r="CR4"/>
      <c r="CS4"/>
      <c r="CT4"/>
      <c r="CU4"/>
      <c r="CV4"/>
      <c r="CY4"/>
      <c r="CZ4"/>
      <c r="DA4"/>
      <c r="DB4"/>
      <c r="DC4"/>
      <c r="DD4"/>
      <c r="DE4"/>
      <c r="DH4"/>
      <c r="DI4"/>
      <c r="DJ4"/>
      <c r="DK4"/>
      <c r="DL4"/>
      <c r="DM4"/>
      <c r="DN4"/>
      <c r="DQ4"/>
      <c r="DR4"/>
      <c r="DS4"/>
      <c r="DT4"/>
      <c r="DU4"/>
      <c r="DV4"/>
      <c r="DW4"/>
      <c r="DZ4"/>
      <c r="EA4"/>
      <c r="EB4"/>
      <c r="EC4"/>
      <c r="ED4"/>
      <c r="EE4"/>
      <c r="EF4"/>
      <c r="EI4"/>
      <c r="EJ4"/>
      <c r="EK4"/>
      <c r="EL4"/>
      <c r="EM4"/>
      <c r="EN4"/>
      <c r="EO4"/>
      <c r="ER4"/>
      <c r="ES4"/>
      <c r="ET4"/>
      <c r="EU4"/>
      <c r="EV4"/>
      <c r="EW4"/>
      <c r="EX4"/>
    </row>
    <row r="5" spans="1:200" ht="31.4" customHeight="1" x14ac:dyDescent="0.35">
      <c r="A5" s="392"/>
      <c r="B5" s="381" t="s">
        <v>67</v>
      </c>
      <c r="C5" s="381" t="s">
        <v>68</v>
      </c>
      <c r="D5" s="381" t="s">
        <v>69</v>
      </c>
      <c r="E5" s="382" t="s">
        <v>87</v>
      </c>
      <c r="F5" s="382" t="s">
        <v>88</v>
      </c>
      <c r="G5" s="381" t="s">
        <v>176</v>
      </c>
      <c r="H5" s="381" t="s">
        <v>176</v>
      </c>
      <c r="I5" s="381" t="s">
        <v>176</v>
      </c>
      <c r="J5" s="381" t="s">
        <v>176</v>
      </c>
      <c r="K5" s="392"/>
      <c r="L5" s="381" t="s">
        <v>177</v>
      </c>
      <c r="M5" s="381" t="s">
        <v>178</v>
      </c>
      <c r="N5" s="381" t="s">
        <v>179</v>
      </c>
      <c r="O5" s="381" t="s">
        <v>180</v>
      </c>
      <c r="P5" s="382" t="s">
        <v>181</v>
      </c>
      <c r="Q5" s="382" t="s">
        <v>184</v>
      </c>
      <c r="R5" s="393" t="s">
        <v>183</v>
      </c>
      <c r="S5" s="392"/>
      <c r="T5" s="384" t="s">
        <v>187</v>
      </c>
      <c r="U5" s="387" t="s">
        <v>188</v>
      </c>
      <c r="V5" s="384" t="s">
        <v>189</v>
      </c>
      <c r="W5" s="384" t="s">
        <v>188</v>
      </c>
      <c r="X5" s="384" t="s">
        <v>190</v>
      </c>
      <c r="Y5" s="387" t="s">
        <v>191</v>
      </c>
      <c r="Z5" s="384" t="s">
        <v>192</v>
      </c>
      <c r="AA5" s="384" t="s">
        <v>193</v>
      </c>
      <c r="AB5" s="392"/>
      <c r="AC5" s="387" t="s">
        <v>40</v>
      </c>
      <c r="AD5" s="381" t="s">
        <v>41</v>
      </c>
      <c r="AE5" s="384" t="s">
        <v>4</v>
      </c>
      <c r="AF5" s="384" t="s">
        <v>70</v>
      </c>
      <c r="AG5" s="384" t="s">
        <v>71</v>
      </c>
      <c r="AH5" s="390"/>
      <c r="AI5" s="385" t="s">
        <v>137</v>
      </c>
      <c r="AJ5" s="385" t="s">
        <v>138</v>
      </c>
      <c r="AK5" s="385" t="s">
        <v>140</v>
      </c>
      <c r="AL5" s="385" t="s">
        <v>141</v>
      </c>
      <c r="AM5" s="385" t="s">
        <v>143</v>
      </c>
      <c r="AN5" s="385" t="s">
        <v>144</v>
      </c>
      <c r="AO5" s="392"/>
      <c r="AP5" s="396" t="s">
        <v>40</v>
      </c>
      <c r="AQ5" s="381" t="s">
        <v>41</v>
      </c>
      <c r="AR5" s="384" t="s">
        <v>4</v>
      </c>
      <c r="AS5" s="384" t="s">
        <v>70</v>
      </c>
      <c r="AT5" s="384" t="s">
        <v>71</v>
      </c>
      <c r="AU5" s="396" t="s">
        <v>42</v>
      </c>
      <c r="AV5" s="387" t="s">
        <v>437</v>
      </c>
      <c r="AW5" s="387" t="s">
        <v>108</v>
      </c>
      <c r="AX5" s="387" t="s">
        <v>107</v>
      </c>
      <c r="BT5"/>
      <c r="BU5"/>
      <c r="BX5"/>
      <c r="BY5"/>
      <c r="BZ5"/>
      <c r="CA5"/>
      <c r="CB5"/>
      <c r="CC5"/>
      <c r="CD5"/>
      <c r="CP5"/>
      <c r="CQ5"/>
      <c r="CR5"/>
      <c r="CS5"/>
      <c r="CT5"/>
      <c r="CU5"/>
      <c r="CV5"/>
      <c r="CY5"/>
      <c r="CZ5"/>
      <c r="DA5"/>
      <c r="DB5"/>
      <c r="DC5"/>
      <c r="DD5"/>
      <c r="DE5"/>
      <c r="DH5"/>
      <c r="DI5"/>
      <c r="DJ5"/>
      <c r="DK5"/>
      <c r="DL5"/>
      <c r="DM5"/>
      <c r="DN5"/>
      <c r="DQ5"/>
      <c r="DR5"/>
      <c r="DS5"/>
      <c r="DT5"/>
      <c r="DU5"/>
      <c r="DV5"/>
      <c r="DW5"/>
      <c r="DZ5"/>
      <c r="EA5"/>
      <c r="EB5"/>
      <c r="EC5"/>
      <c r="ED5"/>
      <c r="EE5"/>
      <c r="EF5"/>
      <c r="EI5"/>
      <c r="EJ5"/>
      <c r="EK5"/>
      <c r="EL5"/>
      <c r="EM5"/>
      <c r="EN5"/>
      <c r="EO5"/>
      <c r="ER5"/>
      <c r="ES5"/>
      <c r="ET5"/>
      <c r="EU5"/>
      <c r="EV5"/>
      <c r="EW5"/>
      <c r="EX5"/>
    </row>
    <row r="6" spans="1:200" ht="31.4" customHeight="1" x14ac:dyDescent="0.35">
      <c r="A6" s="392"/>
      <c r="B6" s="381"/>
      <c r="C6" s="381"/>
      <c r="D6" s="381"/>
      <c r="E6" s="382"/>
      <c r="F6" s="382"/>
      <c r="G6" s="381"/>
      <c r="H6" s="381"/>
      <c r="I6" s="381"/>
      <c r="J6" s="381"/>
      <c r="K6" s="392"/>
      <c r="L6" s="381"/>
      <c r="M6" s="381"/>
      <c r="N6" s="381"/>
      <c r="O6" s="381"/>
      <c r="P6" s="382"/>
      <c r="Q6" s="382"/>
      <c r="R6" s="394"/>
      <c r="S6" s="392"/>
      <c r="T6" s="384"/>
      <c r="U6" s="387"/>
      <c r="V6" s="384"/>
      <c r="W6" s="384"/>
      <c r="X6" s="384"/>
      <c r="Y6" s="387"/>
      <c r="Z6" s="384"/>
      <c r="AA6" s="384"/>
      <c r="AB6" s="392"/>
      <c r="AC6" s="387"/>
      <c r="AD6" s="381"/>
      <c r="AE6" s="384"/>
      <c r="AF6" s="384"/>
      <c r="AG6" s="384"/>
      <c r="AH6" s="390"/>
      <c r="AI6" s="385"/>
      <c r="AJ6" s="385"/>
      <c r="AK6" s="385"/>
      <c r="AL6" s="385"/>
      <c r="AM6" s="385"/>
      <c r="AN6" s="385"/>
      <c r="AO6" s="392"/>
      <c r="AP6" s="396"/>
      <c r="AQ6" s="381"/>
      <c r="AR6" s="384"/>
      <c r="AS6" s="384"/>
      <c r="AT6" s="384"/>
      <c r="AU6" s="396"/>
      <c r="AV6" s="387"/>
      <c r="AW6" s="387"/>
      <c r="AX6" s="387"/>
      <c r="BT6"/>
      <c r="BU6"/>
      <c r="BX6"/>
      <c r="BY6"/>
      <c r="BZ6"/>
      <c r="CA6"/>
      <c r="CB6"/>
      <c r="CC6"/>
      <c r="CD6"/>
      <c r="CP6"/>
      <c r="CQ6"/>
      <c r="CR6"/>
      <c r="CS6"/>
      <c r="CT6"/>
      <c r="CU6"/>
      <c r="CV6"/>
      <c r="CY6"/>
      <c r="CZ6"/>
      <c r="DA6"/>
      <c r="DB6"/>
      <c r="DC6"/>
      <c r="DD6"/>
      <c r="DE6"/>
      <c r="DH6"/>
      <c r="DI6"/>
      <c r="DJ6"/>
      <c r="DK6"/>
      <c r="DL6"/>
      <c r="DM6"/>
      <c r="DN6"/>
      <c r="DQ6"/>
      <c r="DR6"/>
      <c r="DS6"/>
      <c r="DT6"/>
      <c r="DU6"/>
      <c r="DV6"/>
      <c r="DW6"/>
      <c r="DZ6"/>
      <c r="EA6"/>
      <c r="EB6"/>
      <c r="EC6"/>
      <c r="ED6"/>
      <c r="EE6"/>
      <c r="EF6"/>
      <c r="EI6"/>
      <c r="EJ6"/>
      <c r="EK6"/>
      <c r="EL6"/>
      <c r="EM6"/>
      <c r="EN6"/>
      <c r="EO6"/>
      <c r="ER6"/>
      <c r="ES6"/>
      <c r="ET6"/>
      <c r="EU6"/>
      <c r="EV6"/>
      <c r="EW6"/>
      <c r="EX6"/>
    </row>
    <row r="7" spans="1:200" s="3" customFormat="1" ht="31.4" customHeight="1" x14ac:dyDescent="0.35">
      <c r="A7" s="392"/>
      <c r="B7" s="381"/>
      <c r="C7" s="381"/>
      <c r="D7" s="381"/>
      <c r="E7" s="382"/>
      <c r="F7" s="382"/>
      <c r="G7" s="381"/>
      <c r="H7" s="381"/>
      <c r="I7" s="381"/>
      <c r="J7" s="381"/>
      <c r="K7" s="392"/>
      <c r="L7" s="381"/>
      <c r="M7" s="381"/>
      <c r="N7" s="381"/>
      <c r="O7" s="381"/>
      <c r="P7" s="382"/>
      <c r="Q7" s="382"/>
      <c r="R7" s="395"/>
      <c r="S7" s="392"/>
      <c r="T7" s="384"/>
      <c r="U7" s="387"/>
      <c r="V7" s="384"/>
      <c r="W7" s="384"/>
      <c r="X7" s="384"/>
      <c r="Y7" s="387"/>
      <c r="Z7" s="384"/>
      <c r="AA7" s="384"/>
      <c r="AB7" s="392"/>
      <c r="AC7" s="387"/>
      <c r="AD7" s="381"/>
      <c r="AE7" s="384"/>
      <c r="AF7" s="384"/>
      <c r="AG7" s="384"/>
      <c r="AH7" s="391"/>
      <c r="AI7" s="385"/>
      <c r="AJ7" s="385"/>
      <c r="AK7" s="385"/>
      <c r="AL7" s="385"/>
      <c r="AM7" s="385"/>
      <c r="AN7" s="385"/>
      <c r="AO7" s="392"/>
      <c r="AP7" s="396"/>
      <c r="AQ7" s="381"/>
      <c r="AR7" s="384"/>
      <c r="AS7" s="384"/>
      <c r="AT7" s="384"/>
      <c r="AU7" s="396"/>
      <c r="AV7" s="387"/>
      <c r="AW7" s="387"/>
      <c r="AX7" s="38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</row>
    <row r="8" spans="1:200" s="3" customFormat="1" ht="17.149999999999999" customHeight="1" x14ac:dyDescent="0.25">
      <c r="A8" s="88" t="s">
        <v>9</v>
      </c>
      <c r="B8" s="86">
        <f>Jan.!C40</f>
        <v>5474</v>
      </c>
      <c r="C8" s="86">
        <f>Jan.!C41</f>
        <v>176.58064516129033</v>
      </c>
      <c r="D8" s="86">
        <f>IF(Jan.!C8="","",MAX(Jan.!C8:'Jan.'!C38))</f>
        <v>326</v>
      </c>
      <c r="E8" s="87">
        <f>IF(C8="","",C8/1496)</f>
        <v>0.11803519061583578</v>
      </c>
      <c r="F8" s="87">
        <f>IF(D8="","",D8/1496)</f>
        <v>0.21791443850267381</v>
      </c>
      <c r="G8" s="86">
        <f>Jan.!I40</f>
        <v>4367</v>
      </c>
      <c r="H8" s="86">
        <f>Jan.!M40</f>
        <v>390</v>
      </c>
      <c r="I8" s="86">
        <f>Jan.!O40</f>
        <v>1295</v>
      </c>
      <c r="J8" s="86" t="str">
        <f>Jan.!Q40</f>
        <v/>
      </c>
      <c r="K8" s="88" t="s">
        <v>9</v>
      </c>
      <c r="L8" s="86">
        <f>Jan.!F40</f>
        <v>5416</v>
      </c>
      <c r="M8" s="86">
        <f>IF(L8="","",IF(J8="",L8,L8+J8))</f>
        <v>5416</v>
      </c>
      <c r="N8" s="86">
        <f>Jan.!F41</f>
        <v>174.70967741935485</v>
      </c>
      <c r="O8" s="86">
        <f>IF(Jan.!F8="","",MAX(Jan.!F8:'Jan.'!F38))</f>
        <v>275</v>
      </c>
      <c r="P8" s="87">
        <f>IF(N8="","",N8/1360)</f>
        <v>0.12846299810246681</v>
      </c>
      <c r="Q8" s="87">
        <f>IF(O8="","",O8/1360)</f>
        <v>0.20220588235294118</v>
      </c>
      <c r="R8" s="87">
        <f>IF(G8="","",IF(B8="","",G8/B8))</f>
        <v>0.79777128242601392</v>
      </c>
      <c r="S8" s="88" t="s">
        <v>9</v>
      </c>
      <c r="T8" s="100">
        <f>Jan.!CE40</f>
        <v>189.89401199999995</v>
      </c>
      <c r="U8" s="100">
        <f>IF(T8="","",(T8*0.12*1000)/G8)</f>
        <v>5.2180630730478574</v>
      </c>
      <c r="V8" s="100">
        <f>Jan.!CN40</f>
        <v>315.09374050000008</v>
      </c>
      <c r="W8" s="104">
        <f>IF(V8="","",(V8*0.33*1.205*1000)/B8)</f>
        <v>22.889482263395152</v>
      </c>
      <c r="X8" s="100">
        <f>Jan.!CW40</f>
        <v>394.66785599999992</v>
      </c>
      <c r="Y8" s="100">
        <f>IF(X8="","",X8/B8)</f>
        <v>7.2098621848739483E-2</v>
      </c>
      <c r="Z8" s="104">
        <f>Jan.!DG40</f>
        <v>20.576998664320005</v>
      </c>
      <c r="AA8" s="104">
        <f>IF(Z8="","",(Z8*1000)/B8)</f>
        <v>3.7590425035294128</v>
      </c>
      <c r="AB8" s="88" t="s">
        <v>9</v>
      </c>
      <c r="AC8" s="100">
        <f>Jan.!BB41</f>
        <v>0.71172727272727265</v>
      </c>
      <c r="AD8" s="86">
        <f>Jan.!BC41</f>
        <v>27.363636363636363</v>
      </c>
      <c r="AE8" s="104">
        <f>Jan.!BD41</f>
        <v>7.2636363636363619</v>
      </c>
      <c r="AF8" s="104">
        <f>Jan.!BE41</f>
        <v>2.7681818181818176</v>
      </c>
      <c r="AG8" s="104">
        <f>Jan.!BF41</f>
        <v>14.69090909090909</v>
      </c>
      <c r="AH8" s="104">
        <f>Jan.!BG41</f>
        <v>7.2636363636363619</v>
      </c>
      <c r="AI8" s="109">
        <f>Jan.!BH41</f>
        <v>0.28109090909090906</v>
      </c>
      <c r="AJ8" s="109">
        <f>Jan.!BI41</f>
        <v>0.27181818181818185</v>
      </c>
      <c r="AK8" s="109">
        <f>Jan.!BJ41</f>
        <v>7.8772727272727272E-2</v>
      </c>
      <c r="AL8" s="109">
        <f>Jan.!BK41</f>
        <v>5.404545454545457E-2</v>
      </c>
      <c r="AM8" s="109">
        <f>Jan.!BL41</f>
        <v>5.3363636363636391E-2</v>
      </c>
      <c r="AN8" s="109">
        <f>Jan.!BM41</f>
        <v>5.4772727272727285E-2</v>
      </c>
      <c r="AO8" s="88" t="s">
        <v>9</v>
      </c>
      <c r="AP8" s="109">
        <f>Jan.!BP41</f>
        <v>7.8354838709677452E-2</v>
      </c>
      <c r="AQ8" s="86">
        <f>Jan.!BQ41</f>
        <v>0</v>
      </c>
      <c r="AR8" s="104">
        <f>Jan.!BR41</f>
        <v>7.2620689655172388</v>
      </c>
      <c r="AS8" s="104">
        <f>Jan.!BS41</f>
        <v>7.186206896551723</v>
      </c>
      <c r="AT8" s="104">
        <f>Jan.!BT41</f>
        <v>17.372413793103444</v>
      </c>
      <c r="AU8" s="109">
        <f>Jan.!BU41</f>
        <v>1.162068965517242E-2</v>
      </c>
      <c r="AV8" s="100">
        <f>Jan.!CF41</f>
        <v>5.3200276770247026</v>
      </c>
      <c r="AW8" s="100">
        <f>Jan.!BV41</f>
        <v>1.2312903225806453</v>
      </c>
      <c r="AX8" s="100">
        <f>Jan.!BW41</f>
        <v>1.0664516129032262</v>
      </c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</row>
    <row r="9" spans="1:200" s="3" customFormat="1" ht="17.149999999999999" customHeight="1" x14ac:dyDescent="0.25">
      <c r="A9" s="88" t="s">
        <v>30</v>
      </c>
      <c r="B9" s="86">
        <f>Feb.!C40</f>
        <v>6694</v>
      </c>
      <c r="C9" s="86">
        <f>Feb.!C41</f>
        <v>230.82758620689654</v>
      </c>
      <c r="D9" s="86">
        <f>IF(Feb.!C8="","",MAX(Feb.!C8:'Feb.'!C38))</f>
        <v>314</v>
      </c>
      <c r="E9" s="87">
        <f t="shared" ref="E9:E19" si="0">IF(C9="","",C9/1496)</f>
        <v>0.15429651484418219</v>
      </c>
      <c r="F9" s="87">
        <f t="shared" ref="F9:F19" si="1">IF(D9="","",D9/1496)</f>
        <v>0.20989304812834225</v>
      </c>
      <c r="G9" s="86">
        <f>Feb.!I40</f>
        <v>5436</v>
      </c>
      <c r="H9" s="86">
        <f>Feb.!M40</f>
        <v>520</v>
      </c>
      <c r="I9" s="86">
        <f>Feb.!O40</f>
        <v>1438</v>
      </c>
      <c r="J9" s="86" t="str">
        <f>Feb.!Q40</f>
        <v/>
      </c>
      <c r="K9" s="88" t="s">
        <v>30</v>
      </c>
      <c r="L9" s="86">
        <f>Feb.!F40</f>
        <v>6500</v>
      </c>
      <c r="M9" s="86">
        <f t="shared" ref="M9:M19" si="2">IF(L9="","",IF(J9="",L9,L9+J9))</f>
        <v>6500</v>
      </c>
      <c r="N9" s="86">
        <f>Feb.!F41</f>
        <v>224.13793103448276</v>
      </c>
      <c r="O9" s="86">
        <f>IF(Feb.!F8="","",MAX(Feb.!F8:'Feb.'!F38))</f>
        <v>275</v>
      </c>
      <c r="P9" s="87">
        <f t="shared" ref="P9:P19" si="3">IF(N9="","",N9/1360)</f>
        <v>0.16480730223123732</v>
      </c>
      <c r="Q9" s="87">
        <f t="shared" ref="Q9:Q19" si="4">IF(O9="","",O9/1360)</f>
        <v>0.20220588235294118</v>
      </c>
      <c r="R9" s="87">
        <f t="shared" ref="R9:R19" si="5">IF(G9="","",IF(B9="","",G9/B9))</f>
        <v>0.81207051090528837</v>
      </c>
      <c r="S9" s="88" t="s">
        <v>30</v>
      </c>
      <c r="T9" s="104">
        <f>Feb.!CE40</f>
        <v>201.52967449999997</v>
      </c>
      <c r="U9" s="100">
        <f t="shared" ref="U9:U19" si="6">IF(T9="","",(T9*0.12*1000)/G9)</f>
        <v>4.4487786865342152</v>
      </c>
      <c r="V9" s="104">
        <f>Feb.!CN40</f>
        <v>382.11515650000001</v>
      </c>
      <c r="W9" s="104">
        <f t="shared" ref="W9:W19" si="7">IF(V9="","",(V9*0.33*1.205*1000)/B9)</f>
        <v>22.699147293430688</v>
      </c>
      <c r="X9" s="104">
        <f>Feb.!CW40</f>
        <v>457.1237119999999</v>
      </c>
      <c r="Y9" s="100">
        <f t="shared" ref="Y9:Y19" si="8">IF(X9="","",X9/B9)</f>
        <v>6.8288573648043013E-2</v>
      </c>
      <c r="Z9" s="104">
        <f>Feb.!DG40</f>
        <v>29.333283098559999</v>
      </c>
      <c r="AA9" s="104">
        <f t="shared" ref="AA9:AA19" si="9">IF(Z9="","",(Z9*1000)/B9)</f>
        <v>4.3820261575380934</v>
      </c>
      <c r="AB9" s="88" t="s">
        <v>30</v>
      </c>
      <c r="AC9" s="100">
        <f>Feb.!BB41</f>
        <v>0.56554545454545468</v>
      </c>
      <c r="AD9" s="86">
        <f>Feb.!BC41</f>
        <v>22.227272727272727</v>
      </c>
      <c r="AE9" s="104">
        <f>Feb.!BD41</f>
        <v>7.1318181818181818</v>
      </c>
      <c r="AF9" s="104">
        <f>Feb.!BE41</f>
        <v>2.7772727272727273</v>
      </c>
      <c r="AG9" s="104">
        <f>Feb.!BF41</f>
        <v>15.959090909090911</v>
      </c>
      <c r="AH9" s="104">
        <f>Feb.!BG41</f>
        <v>7.1318181818181818</v>
      </c>
      <c r="AI9" s="109">
        <f>Feb.!BH41</f>
        <v>0.26650000000000001</v>
      </c>
      <c r="AJ9" s="109">
        <f>Feb.!BI41</f>
        <v>0.27022727272727276</v>
      </c>
      <c r="AK9" s="109">
        <f>Feb.!BJ41</f>
        <v>5.2090909090909118E-2</v>
      </c>
      <c r="AL9" s="109">
        <f>Feb.!BK41</f>
        <v>5.3409090909090934E-2</v>
      </c>
      <c r="AM9" s="109">
        <f>Feb.!BL41</f>
        <v>4.9681818181818202E-2</v>
      </c>
      <c r="AN9" s="109">
        <f>Feb.!BM41</f>
        <v>5.3590909090909113E-2</v>
      </c>
      <c r="AO9" s="88" t="s">
        <v>30</v>
      </c>
      <c r="AP9" s="109">
        <f>Feb.!BP41</f>
        <v>7.1896551724137919E-2</v>
      </c>
      <c r="AQ9" s="86">
        <f>Feb.!BQ41</f>
        <v>0</v>
      </c>
      <c r="AR9" s="104">
        <f>Feb.!BR41</f>
        <v>7.2307692307692299</v>
      </c>
      <c r="AS9" s="104">
        <f>Feb.!BS41</f>
        <v>6.8538461538461535</v>
      </c>
      <c r="AT9" s="104">
        <f>Feb.!BT41</f>
        <v>18.476923076923075</v>
      </c>
      <c r="AU9" s="109">
        <f>Feb.!BU41</f>
        <v>1.1192307692307696E-2</v>
      </c>
      <c r="AV9" s="100">
        <f>Feb.!CF41</f>
        <v>4.479488261936118</v>
      </c>
      <c r="AW9" s="100">
        <f>Feb.!BV41</f>
        <v>1.2486206896551724</v>
      </c>
      <c r="AX9" s="100">
        <f>Feb.!BW41</f>
        <v>1.0972413793103448</v>
      </c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</row>
    <row r="10" spans="1:200" s="3" customFormat="1" ht="17.149999999999999" customHeight="1" x14ac:dyDescent="0.25">
      <c r="A10" s="88" t="s">
        <v>10</v>
      </c>
      <c r="B10" s="86">
        <f>March!C40</f>
        <v>5490</v>
      </c>
      <c r="C10" s="86">
        <f>March!C41</f>
        <v>177.09677419354838</v>
      </c>
      <c r="D10" s="86">
        <f>IF(March!C8="","",MAX(March!C8:'March'!C38))</f>
        <v>296</v>
      </c>
      <c r="E10" s="87">
        <f t="shared" si="0"/>
        <v>0.11838019665344143</v>
      </c>
      <c r="F10" s="87">
        <f t="shared" si="1"/>
        <v>0.19786096256684493</v>
      </c>
      <c r="G10" s="86">
        <f>March!I40</f>
        <v>4345</v>
      </c>
      <c r="H10" s="86">
        <f>March!M40</f>
        <v>427</v>
      </c>
      <c r="I10" s="86">
        <f>March!O40</f>
        <v>1326</v>
      </c>
      <c r="J10" s="86" t="str">
        <f>March!Q40</f>
        <v/>
      </c>
      <c r="K10" s="88" t="s">
        <v>10</v>
      </c>
      <c r="L10" s="86">
        <f>March!F40</f>
        <v>5518</v>
      </c>
      <c r="M10" s="86">
        <f t="shared" si="2"/>
        <v>5518</v>
      </c>
      <c r="N10" s="86">
        <f>March!F41</f>
        <v>178</v>
      </c>
      <c r="O10" s="86">
        <f>IF(March!F8="","",MAX(March!F8:'March'!F38))</f>
        <v>300</v>
      </c>
      <c r="P10" s="87">
        <f t="shared" si="3"/>
        <v>0.13088235294117648</v>
      </c>
      <c r="Q10" s="87">
        <f t="shared" si="4"/>
        <v>0.22058823529411764</v>
      </c>
      <c r="R10" s="87">
        <f t="shared" si="5"/>
        <v>0.79143897996357016</v>
      </c>
      <c r="S10" s="88" t="s">
        <v>10</v>
      </c>
      <c r="T10" s="104">
        <f>March!CE40</f>
        <v>157.31415700000011</v>
      </c>
      <c r="U10" s="100">
        <f t="shared" si="6"/>
        <v>4.3446947848101294</v>
      </c>
      <c r="V10" s="104">
        <f>March!CN40</f>
        <v>323.47141750000009</v>
      </c>
      <c r="W10" s="104">
        <f t="shared" si="7"/>
        <v>23.429582726571049</v>
      </c>
      <c r="X10" s="104">
        <f>March!CW40</f>
        <v>368.75531999999993</v>
      </c>
      <c r="Y10" s="100">
        <f t="shared" si="8"/>
        <v>6.7168546448087424E-2</v>
      </c>
      <c r="Z10" s="104">
        <f>March!DG40</f>
        <v>25.632228802879997</v>
      </c>
      <c r="AA10" s="104">
        <f t="shared" si="9"/>
        <v>4.6688941353151172</v>
      </c>
      <c r="AB10" s="88" t="s">
        <v>10</v>
      </c>
      <c r="AC10" s="100">
        <f>March!BB41</f>
        <v>0.58650000000000002</v>
      </c>
      <c r="AD10" s="86">
        <f>March!BC41</f>
        <v>21.59090909090909</v>
      </c>
      <c r="AE10" s="104">
        <f>March!BD41</f>
        <v>7.136363636363634</v>
      </c>
      <c r="AF10" s="104">
        <f>March!BE41</f>
        <v>2.9727272727272722</v>
      </c>
      <c r="AG10" s="104">
        <f>March!BF41</f>
        <v>14.959090909090907</v>
      </c>
      <c r="AH10" s="104">
        <f>March!BG41</f>
        <v>7.136363636363634</v>
      </c>
      <c r="AI10" s="109">
        <f>March!BH41</f>
        <v>0.24572727272727271</v>
      </c>
      <c r="AJ10" s="109">
        <f>March!BI41</f>
        <v>0.25327272727272726</v>
      </c>
      <c r="AK10" s="109">
        <f>March!BJ41</f>
        <v>5.0818181818181846E-2</v>
      </c>
      <c r="AL10" s="109">
        <f>March!BK41</f>
        <v>5.227272727272729E-2</v>
      </c>
      <c r="AM10" s="109">
        <f>March!BL41</f>
        <v>5.2818181818181834E-2</v>
      </c>
      <c r="AN10" s="109">
        <f>March!BM41</f>
        <v>5.4954545454545471E-2</v>
      </c>
      <c r="AO10" s="88" t="s">
        <v>10</v>
      </c>
      <c r="AP10" s="109">
        <f>March!BP41</f>
        <v>7.2677419354838693E-2</v>
      </c>
      <c r="AQ10" s="86">
        <f>March!BQ41</f>
        <v>0</v>
      </c>
      <c r="AR10" s="104">
        <f>March!BR41</f>
        <v>7.203846153846154</v>
      </c>
      <c r="AS10" s="104">
        <f>March!BS41</f>
        <v>7.734615384615382</v>
      </c>
      <c r="AT10" s="104">
        <f>March!BT41</f>
        <v>17.769230769230766</v>
      </c>
      <c r="AU10" s="109">
        <f>March!BU41</f>
        <v>1.3230769230769239E-2</v>
      </c>
      <c r="AV10" s="100">
        <f>March!CF41</f>
        <v>4.3895918726214891</v>
      </c>
      <c r="AW10" s="100">
        <f>March!BV41</f>
        <v>1.1170967741935485</v>
      </c>
      <c r="AX10" s="100">
        <f>March!BW41</f>
        <v>0.93677419354838731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</row>
    <row r="11" spans="1:200" s="3" customFormat="1" ht="17.149999999999999" customHeight="1" x14ac:dyDescent="0.25">
      <c r="A11" s="88" t="s">
        <v>11</v>
      </c>
      <c r="B11" s="86">
        <f>April!C40</f>
        <v>4727</v>
      </c>
      <c r="C11" s="86">
        <f>April!C41</f>
        <v>157.56666666666666</v>
      </c>
      <c r="D11" s="86">
        <f>IF(April!C8="","",MAX(April!C8:'April'!C38))</f>
        <v>225</v>
      </c>
      <c r="E11" s="87">
        <f t="shared" si="0"/>
        <v>0.10532531194295899</v>
      </c>
      <c r="F11" s="87">
        <f t="shared" si="1"/>
        <v>0.15040106951871657</v>
      </c>
      <c r="G11" s="86">
        <f>April!I40</f>
        <v>3712</v>
      </c>
      <c r="H11" s="86">
        <f>April!M40</f>
        <v>393</v>
      </c>
      <c r="I11" s="86">
        <f>April!O40</f>
        <v>1204</v>
      </c>
      <c r="J11" s="86">
        <f>April!Q40</f>
        <v>36</v>
      </c>
      <c r="K11" s="88" t="s">
        <v>11</v>
      </c>
      <c r="L11" s="86">
        <f>April!F40</f>
        <v>4802</v>
      </c>
      <c r="M11" s="86">
        <f t="shared" si="2"/>
        <v>4838</v>
      </c>
      <c r="N11" s="86">
        <f>April!F41</f>
        <v>160.06666666666666</v>
      </c>
      <c r="O11" s="86">
        <f>IF(April!F8="","",MAX(April!F8:'April'!F38))</f>
        <v>205</v>
      </c>
      <c r="P11" s="87">
        <f t="shared" si="3"/>
        <v>0.11769607843137254</v>
      </c>
      <c r="Q11" s="87">
        <f t="shared" si="4"/>
        <v>0.15073529411764705</v>
      </c>
      <c r="R11" s="87">
        <f t="shared" si="5"/>
        <v>0.78527607361963192</v>
      </c>
      <c r="S11" s="88" t="s">
        <v>11</v>
      </c>
      <c r="T11" s="104">
        <f>April!CE40</f>
        <v>154.52159799999998</v>
      </c>
      <c r="U11" s="100">
        <f t="shared" si="6"/>
        <v>4.9953102801724123</v>
      </c>
      <c r="V11" s="104">
        <f>April!CN40</f>
        <v>280.65217949999993</v>
      </c>
      <c r="W11" s="104">
        <f t="shared" si="7"/>
        <v>23.609337672556585</v>
      </c>
      <c r="X11" s="104">
        <f>April!CW40</f>
        <v>309.62158400000015</v>
      </c>
      <c r="Y11" s="100">
        <f t="shared" si="8"/>
        <v>6.5500652422255168E-2</v>
      </c>
      <c r="Z11" s="104">
        <f>April!DG40</f>
        <v>23.064150312000006</v>
      </c>
      <c r="AA11" s="104">
        <f t="shared" si="9"/>
        <v>4.8792363680981605</v>
      </c>
      <c r="AB11" s="88" t="s">
        <v>11</v>
      </c>
      <c r="AC11" s="100">
        <f>April!BB41</f>
        <v>0.90355000000000008</v>
      </c>
      <c r="AD11" s="86">
        <f>April!BC41</f>
        <v>34.450000000000003</v>
      </c>
      <c r="AE11" s="104">
        <f>April!BD41</f>
        <v>7.0750000000000002</v>
      </c>
      <c r="AF11" s="104">
        <f>April!BE41</f>
        <v>3.4850000000000003</v>
      </c>
      <c r="AG11" s="104">
        <f>April!BF41</f>
        <v>16.475000000000001</v>
      </c>
      <c r="AH11" s="104">
        <f>April!BG41</f>
        <v>7.08</v>
      </c>
      <c r="AI11" s="109">
        <f>April!BH41</f>
        <v>0.25205</v>
      </c>
      <c r="AJ11" s="109">
        <f>April!BI41</f>
        <v>0.26850000000000007</v>
      </c>
      <c r="AK11" s="109">
        <f>April!BJ41</f>
        <v>5.2900000000000023E-2</v>
      </c>
      <c r="AL11" s="109">
        <f>April!BK41</f>
        <v>5.7050000000000024E-2</v>
      </c>
      <c r="AM11" s="109">
        <f>April!BL41</f>
        <v>5.4500000000000028E-2</v>
      </c>
      <c r="AN11" s="109">
        <f>April!BM41</f>
        <v>5.825000000000001E-2</v>
      </c>
      <c r="AO11" s="88" t="s">
        <v>11</v>
      </c>
      <c r="AP11" s="109">
        <f>April!BP41</f>
        <v>0.13500000000000001</v>
      </c>
      <c r="AQ11" s="86">
        <f>April!BQ41</f>
        <v>0.16666666666666666</v>
      </c>
      <c r="AR11" s="104">
        <f>April!BR41</f>
        <v>7.1999999999999984</v>
      </c>
      <c r="AS11" s="104">
        <f>April!BS41</f>
        <v>8.3833333333333311</v>
      </c>
      <c r="AT11" s="104">
        <f>April!BT41</f>
        <v>18.954166666666666</v>
      </c>
      <c r="AU11" s="109">
        <f>April!BU41</f>
        <v>1.2833333333333337E-2</v>
      </c>
      <c r="AV11" s="100">
        <f>April!CF41</f>
        <v>4.9838422617683307</v>
      </c>
      <c r="AW11" s="100">
        <f>April!BV41</f>
        <v>1.1303333333333332</v>
      </c>
      <c r="AX11" s="100">
        <f>April!BW41</f>
        <v>0.94466666666666688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</row>
    <row r="12" spans="1:200" s="3" customFormat="1" ht="17.149999999999999" customHeight="1" x14ac:dyDescent="0.25">
      <c r="A12" s="88" t="s">
        <v>12</v>
      </c>
      <c r="B12" s="86">
        <f>May!C40</f>
        <v>5926</v>
      </c>
      <c r="C12" s="86">
        <f>May!C41</f>
        <v>191.16129032258064</v>
      </c>
      <c r="D12" s="86">
        <f>IF(May!C8="","",MAX(May!C8:'May'!C38))</f>
        <v>386</v>
      </c>
      <c r="E12" s="87">
        <f t="shared" si="0"/>
        <v>0.12778161117819561</v>
      </c>
      <c r="F12" s="87">
        <f t="shared" si="1"/>
        <v>0.25802139037433153</v>
      </c>
      <c r="G12" s="86">
        <f>May!I40</f>
        <v>4515</v>
      </c>
      <c r="H12" s="86">
        <f>May!M40</f>
        <v>457</v>
      </c>
      <c r="I12" s="86">
        <f>May!O40</f>
        <v>1377</v>
      </c>
      <c r="J12" s="86" t="str">
        <f>May!Q40</f>
        <v/>
      </c>
      <c r="K12" s="88" t="s">
        <v>12</v>
      </c>
      <c r="L12" s="86">
        <f>May!F40</f>
        <v>5810</v>
      </c>
      <c r="M12" s="86">
        <f t="shared" si="2"/>
        <v>5810</v>
      </c>
      <c r="N12" s="86">
        <f>May!F41</f>
        <v>187.41935483870967</v>
      </c>
      <c r="O12" s="86">
        <f>IF(May!F8="","",MAX(May!F8:'May'!F38))</f>
        <v>259</v>
      </c>
      <c r="P12" s="87">
        <f t="shared" si="3"/>
        <v>0.13780834914611004</v>
      </c>
      <c r="Q12" s="87">
        <f t="shared" si="4"/>
        <v>0.19044117647058822</v>
      </c>
      <c r="R12" s="87">
        <f t="shared" si="5"/>
        <v>0.76189672629092131</v>
      </c>
      <c r="S12" s="88" t="s">
        <v>12</v>
      </c>
      <c r="T12" s="104">
        <f>May!CE40</f>
        <v>185.23974700000008</v>
      </c>
      <c r="U12" s="100">
        <f t="shared" si="6"/>
        <v>4.9233155348837228</v>
      </c>
      <c r="V12" s="104">
        <f>May!CN40</f>
        <v>354.18956650000007</v>
      </c>
      <c r="W12" s="104">
        <f t="shared" si="7"/>
        <v>23.767040350780466</v>
      </c>
      <c r="X12" s="104">
        <f>May!CW40</f>
        <v>408.62076000000002</v>
      </c>
      <c r="Y12" s="100">
        <f t="shared" si="8"/>
        <v>6.895389132635843E-2</v>
      </c>
      <c r="Z12" s="104">
        <f>May!DG40</f>
        <v>31.982288432640011</v>
      </c>
      <c r="AA12" s="104">
        <f t="shared" si="9"/>
        <v>5.3969437112116116</v>
      </c>
      <c r="AB12" s="88" t="s">
        <v>12</v>
      </c>
      <c r="AC12" s="100">
        <f>May!BB41</f>
        <v>1.137904761904762</v>
      </c>
      <c r="AD12" s="86">
        <f>May!BC41</f>
        <v>32</v>
      </c>
      <c r="AE12" s="104">
        <f>May!BD41</f>
        <v>6.9761904761904763</v>
      </c>
      <c r="AF12" s="104">
        <f>May!BE41</f>
        <v>9.038095238095238</v>
      </c>
      <c r="AG12" s="104">
        <f>May!BF41</f>
        <v>16.333333333333332</v>
      </c>
      <c r="AH12" s="104">
        <f>May!BG41</f>
        <v>6.9761904761904763</v>
      </c>
      <c r="AI12" s="109">
        <f>May!BH41</f>
        <v>0.2059047619047619</v>
      </c>
      <c r="AJ12" s="109">
        <f>May!BI41</f>
        <v>0.20738095238095239</v>
      </c>
      <c r="AK12" s="109">
        <f>May!BJ41</f>
        <v>5.9142857142857143E-2</v>
      </c>
      <c r="AL12" s="109">
        <f>May!BK41</f>
        <v>5.5952380952380955E-2</v>
      </c>
      <c r="AM12" s="109">
        <f>May!BL41</f>
        <v>5.6714285714285717E-2</v>
      </c>
      <c r="AN12" s="109">
        <f>May!BM41</f>
        <v>5.6285714285714286E-2</v>
      </c>
      <c r="AO12" s="88" t="s">
        <v>12</v>
      </c>
      <c r="AP12" s="109">
        <f>May!BP41</f>
        <v>0.11141935483870967</v>
      </c>
      <c r="AQ12" s="86">
        <f>May!BQ41</f>
        <v>0</v>
      </c>
      <c r="AR12" s="104">
        <f>May!BR41</f>
        <v>7.115384615384615</v>
      </c>
      <c r="AS12" s="104">
        <f>May!BS41</f>
        <v>10.41923076923077</v>
      </c>
      <c r="AT12" s="104">
        <f>May!BT41</f>
        <v>18.79615384615385</v>
      </c>
      <c r="AU12" s="109">
        <f>May!BU41</f>
        <v>1.2730769230769238E-2</v>
      </c>
      <c r="AV12" s="100">
        <f>May!CF41</f>
        <v>4.9218141668429682</v>
      </c>
      <c r="AW12" s="100">
        <f>May!BV41</f>
        <v>1.1577419354838707</v>
      </c>
      <c r="AX12" s="100">
        <f>May!BW41</f>
        <v>0.98354838709677439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</row>
    <row r="13" spans="1:200" s="3" customFormat="1" ht="17.149999999999999" customHeight="1" x14ac:dyDescent="0.25">
      <c r="A13" s="88" t="s">
        <v>13</v>
      </c>
      <c r="B13" s="86">
        <f>June!C40</f>
        <v>5575</v>
      </c>
      <c r="C13" s="86">
        <f>June!C41</f>
        <v>185.83333333333334</v>
      </c>
      <c r="D13" s="86">
        <f>IF(June!C8="","",MAX(June!C8:'June'!C38))</f>
        <v>304</v>
      </c>
      <c r="E13" s="87">
        <f t="shared" si="0"/>
        <v>0.12422014260249555</v>
      </c>
      <c r="F13" s="87">
        <f t="shared" si="1"/>
        <v>0.20320855614973263</v>
      </c>
      <c r="G13" s="86">
        <f>June!I40</f>
        <v>4451</v>
      </c>
      <c r="H13" s="86">
        <f>June!M40</f>
        <v>404</v>
      </c>
      <c r="I13" s="86">
        <f>June!O40</f>
        <v>1358</v>
      </c>
      <c r="J13" s="86" t="str">
        <f>June!Q40</f>
        <v/>
      </c>
      <c r="K13" s="88" t="s">
        <v>13</v>
      </c>
      <c r="L13" s="86">
        <f>June!F40</f>
        <v>5802</v>
      </c>
      <c r="M13" s="86">
        <f t="shared" si="2"/>
        <v>5802</v>
      </c>
      <c r="N13" s="86">
        <f>June!F41</f>
        <v>193.4</v>
      </c>
      <c r="O13" s="86">
        <f>IF(June!F8="","",MAX(June!F8:'June'!F38))</f>
        <v>281</v>
      </c>
      <c r="P13" s="87">
        <f t="shared" si="3"/>
        <v>0.14220588235294118</v>
      </c>
      <c r="Q13" s="87">
        <f t="shared" si="4"/>
        <v>0.20661764705882352</v>
      </c>
      <c r="R13" s="87">
        <f t="shared" si="5"/>
        <v>0.79838565022421526</v>
      </c>
      <c r="S13" s="88" t="s">
        <v>13</v>
      </c>
      <c r="T13" s="104">
        <f>June!CE40</f>
        <v>203.39138050000003</v>
      </c>
      <c r="U13" s="100">
        <f t="shared" si="6"/>
        <v>5.4834791417658959</v>
      </c>
      <c r="V13" s="104">
        <f>June!CN40</f>
        <v>336.96878600000002</v>
      </c>
      <c r="W13" s="104">
        <f t="shared" si="7"/>
        <v>24.035091973614353</v>
      </c>
      <c r="X13" s="104">
        <f>June!CW40</f>
        <v>393.33900800000021</v>
      </c>
      <c r="Y13" s="100">
        <f t="shared" si="8"/>
        <v>7.0554082152466405E-2</v>
      </c>
      <c r="Z13" s="104">
        <f>June!DG40</f>
        <v>29.716336823039999</v>
      </c>
      <c r="AA13" s="104">
        <f t="shared" si="9"/>
        <v>5.3302846319354256</v>
      </c>
      <c r="AB13" s="88" t="s">
        <v>13</v>
      </c>
      <c r="AC13" s="100">
        <f>June!BB41</f>
        <v>1.2595238095238095</v>
      </c>
      <c r="AD13" s="86">
        <f>June!BC41</f>
        <v>31.571428571428573</v>
      </c>
      <c r="AE13" s="104">
        <f>June!BD41</f>
        <v>7.0142857142857133</v>
      </c>
      <c r="AF13" s="104">
        <f>June!BE41</f>
        <v>14.795238095238098</v>
      </c>
      <c r="AG13" s="104">
        <f>June!BF41</f>
        <v>15.619047619047617</v>
      </c>
      <c r="AH13" s="104">
        <f>June!BG41</f>
        <v>7.0142857142857133</v>
      </c>
      <c r="AI13" s="109">
        <f>June!BH41</f>
        <v>0.23638095238095236</v>
      </c>
      <c r="AJ13" s="109">
        <f>June!BI41</f>
        <v>0.2189142857142857</v>
      </c>
      <c r="AK13" s="109">
        <f>June!BJ41</f>
        <v>5.9666666666666673E-2</v>
      </c>
      <c r="AL13" s="109">
        <f>June!BK41</f>
        <v>5.6428571428571439E-2</v>
      </c>
      <c r="AM13" s="109">
        <f>June!BL41</f>
        <v>5.7142857142857162E-2</v>
      </c>
      <c r="AN13" s="109">
        <f>June!BM41</f>
        <v>5.8000000000000017E-2</v>
      </c>
      <c r="AO13" s="88" t="s">
        <v>13</v>
      </c>
      <c r="AP13" s="109">
        <f>June!BP41</f>
        <v>9.1233333333333333E-2</v>
      </c>
      <c r="AQ13" s="86">
        <f>June!BQ41</f>
        <v>0</v>
      </c>
      <c r="AR13" s="104">
        <f>June!BR41</f>
        <v>7.1076923076923073</v>
      </c>
      <c r="AS13" s="104">
        <f>June!BS41</f>
        <v>14.969230769230771</v>
      </c>
      <c r="AT13" s="104">
        <f>June!BT41</f>
        <v>17.869230769230764</v>
      </c>
      <c r="AU13" s="109">
        <f>June!BU41</f>
        <v>1.2923076923076928E-2</v>
      </c>
      <c r="AV13" s="100">
        <f>June!CF41</f>
        <v>5.460632534105792</v>
      </c>
      <c r="AW13" s="100">
        <f>June!BV41</f>
        <v>1.153103448275862</v>
      </c>
      <c r="AX13" s="100">
        <f>June!BW41</f>
        <v>0.92200000000000015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</row>
    <row r="14" spans="1:200" s="3" customFormat="1" ht="17.149999999999999" customHeight="1" x14ac:dyDescent="0.25">
      <c r="A14" s="88" t="s">
        <v>14</v>
      </c>
      <c r="B14" s="86">
        <f>July!C40</f>
        <v>6875</v>
      </c>
      <c r="C14" s="86">
        <f>July!C41</f>
        <v>221.7741935483871</v>
      </c>
      <c r="D14" s="86">
        <f>IF(July!C8="","",MAX(July!C8:'July'!C38))</f>
        <v>440</v>
      </c>
      <c r="E14" s="87">
        <f t="shared" si="0"/>
        <v>0.14824478178368122</v>
      </c>
      <c r="F14" s="87">
        <f t="shared" si="1"/>
        <v>0.29411764705882354</v>
      </c>
      <c r="G14" s="86">
        <f>July!I40</f>
        <v>5496</v>
      </c>
      <c r="H14" s="86">
        <f>July!M40</f>
        <v>498</v>
      </c>
      <c r="I14" s="86">
        <f>July!O40</f>
        <v>1435</v>
      </c>
      <c r="J14" s="86" t="str">
        <f>July!Q40</f>
        <v/>
      </c>
      <c r="K14" s="88" t="s">
        <v>14</v>
      </c>
      <c r="L14" s="86">
        <f>July!F40</f>
        <v>6778</v>
      </c>
      <c r="M14" s="86">
        <f t="shared" si="2"/>
        <v>6778</v>
      </c>
      <c r="N14" s="86">
        <f>July!F41</f>
        <v>218.64516129032259</v>
      </c>
      <c r="O14" s="86">
        <f>IF(July!F8="","",MAX(July!F8:'July'!F38))</f>
        <v>317</v>
      </c>
      <c r="P14" s="87">
        <f t="shared" si="3"/>
        <v>0.1607685009487666</v>
      </c>
      <c r="Q14" s="87">
        <f t="shared" si="4"/>
        <v>0.23308823529411765</v>
      </c>
      <c r="R14" s="87">
        <f t="shared" si="5"/>
        <v>0.79941818181818181</v>
      </c>
      <c r="S14" s="88" t="s">
        <v>14</v>
      </c>
      <c r="T14" s="104">
        <f>July!CE40</f>
        <v>263.89682549999992</v>
      </c>
      <c r="U14" s="100">
        <f t="shared" si="6"/>
        <v>5.7619394213973782</v>
      </c>
      <c r="V14" s="104">
        <f>July!CN40</f>
        <v>390.95826000000005</v>
      </c>
      <c r="W14" s="104">
        <f t="shared" si="7"/>
        <v>22.61302575840001</v>
      </c>
      <c r="X14" s="104">
        <f>July!CW40</f>
        <v>479.71412799999979</v>
      </c>
      <c r="Y14" s="100">
        <f t="shared" si="8"/>
        <v>6.9776600436363606E-2</v>
      </c>
      <c r="Z14" s="104">
        <f>July!DG40</f>
        <v>32.127956750400003</v>
      </c>
      <c r="AA14" s="104">
        <f t="shared" si="9"/>
        <v>4.6731573455127275</v>
      </c>
      <c r="AB14" s="88" t="s">
        <v>14</v>
      </c>
      <c r="AC14" s="100">
        <f>July!BB41</f>
        <v>1.4388888888888889</v>
      </c>
      <c r="AD14" s="86">
        <f>July!BC41</f>
        <v>36.722222222222221</v>
      </c>
      <c r="AE14" s="104">
        <f>July!BD41</f>
        <v>7.0277777777777786</v>
      </c>
      <c r="AF14" s="104">
        <f>July!BE41</f>
        <v>19.444444444444443</v>
      </c>
      <c r="AG14" s="104">
        <f>July!BF41</f>
        <v>16.350000000000001</v>
      </c>
      <c r="AH14" s="104">
        <f>July!BG41</f>
        <v>7.0277777777777786</v>
      </c>
      <c r="AI14" s="109">
        <f>July!BH41</f>
        <v>0.1721111111111111</v>
      </c>
      <c r="AJ14" s="109">
        <f>July!BI41</f>
        <v>0.17166666666666663</v>
      </c>
      <c r="AK14" s="109">
        <f>July!BJ41</f>
        <v>6.933333333333333E-2</v>
      </c>
      <c r="AL14" s="109">
        <f>July!BK41</f>
        <v>6.4000000000000001E-2</v>
      </c>
      <c r="AM14" s="109">
        <f>July!BL41</f>
        <v>6.3833333333333353E-2</v>
      </c>
      <c r="AN14" s="109">
        <f>July!BM41</f>
        <v>5.9388888888888887E-2</v>
      </c>
      <c r="AO14" s="88" t="s">
        <v>14</v>
      </c>
      <c r="AP14" s="109">
        <f>July!BP41</f>
        <v>0.12887096774193552</v>
      </c>
      <c r="AQ14" s="86">
        <f>July!BQ41</f>
        <v>0</v>
      </c>
      <c r="AR14" s="104">
        <f>July!BR41</f>
        <v>7.142083333333332</v>
      </c>
      <c r="AS14" s="104">
        <f>July!BS41</f>
        <v>19.129166666666666</v>
      </c>
      <c r="AT14" s="104">
        <f>July!BT41</f>
        <v>18.556521739130432</v>
      </c>
      <c r="AU14" s="109">
        <f>July!BU41</f>
        <v>1.4375000000000006E-2</v>
      </c>
      <c r="AV14" s="100">
        <f>July!CF41</f>
        <v>5.8062774199189384</v>
      </c>
      <c r="AW14" s="100">
        <f>July!BV41</f>
        <v>1.1287096774193546</v>
      </c>
      <c r="AX14" s="100">
        <f>July!BW41</f>
        <v>0.9074193548387095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</row>
    <row r="15" spans="1:200" s="3" customFormat="1" ht="17.149999999999999" customHeight="1" x14ac:dyDescent="0.25">
      <c r="A15" s="88" t="s">
        <v>15</v>
      </c>
      <c r="B15" s="86">
        <f>Aug.!C40</f>
        <v>6234</v>
      </c>
      <c r="C15" s="86">
        <f>Aug.!C41</f>
        <v>201.09677419354838</v>
      </c>
      <c r="D15" s="86">
        <f>IF(Aug.!C8="","",MAX(Aug.!C8:'Aug.'!C38))</f>
        <v>306</v>
      </c>
      <c r="E15" s="87">
        <f t="shared" si="0"/>
        <v>0.13442297740210454</v>
      </c>
      <c r="F15" s="87">
        <f t="shared" si="1"/>
        <v>0.20454545454545456</v>
      </c>
      <c r="G15" s="86">
        <f>Aug.!I40</f>
        <v>5152</v>
      </c>
      <c r="H15" s="86">
        <f>Aug.!M40</f>
        <v>366</v>
      </c>
      <c r="I15" s="86">
        <f>Aug.!O40</f>
        <v>1321</v>
      </c>
      <c r="J15" s="86" t="str">
        <f>Aug.!Q40</f>
        <v/>
      </c>
      <c r="K15" s="88" t="s">
        <v>15</v>
      </c>
      <c r="L15" s="86">
        <f>Aug.!F40</f>
        <v>6511</v>
      </c>
      <c r="M15" s="86">
        <f t="shared" si="2"/>
        <v>6511</v>
      </c>
      <c r="N15" s="86">
        <f>Aug.!F41</f>
        <v>210.03225806451613</v>
      </c>
      <c r="O15" s="86">
        <f>IF(Aug.!F8="","",MAX(Aug.!F8:'Aug.'!F38))</f>
        <v>289</v>
      </c>
      <c r="P15" s="87">
        <f t="shared" si="3"/>
        <v>0.15443548387096775</v>
      </c>
      <c r="Q15" s="87">
        <f t="shared" si="4"/>
        <v>0.21249999999999999</v>
      </c>
      <c r="R15" s="87">
        <f t="shared" si="5"/>
        <v>0.82643567532884188</v>
      </c>
      <c r="S15" s="88" t="s">
        <v>15</v>
      </c>
      <c r="T15" s="104">
        <f>Aug.!CE40</f>
        <v>285.77187100000009</v>
      </c>
      <c r="U15" s="100">
        <f t="shared" si="6"/>
        <v>6.6561771195652195</v>
      </c>
      <c r="V15" s="104">
        <f>Aug.!CN40</f>
        <v>347.67359550000015</v>
      </c>
      <c r="W15" s="104">
        <f t="shared" si="7"/>
        <v>22.177158365507712</v>
      </c>
      <c r="X15" s="104">
        <f>Aug.!CW40</f>
        <v>441.84195999999997</v>
      </c>
      <c r="Y15" s="100">
        <f t="shared" si="8"/>
        <v>7.0876156560795628E-2</v>
      </c>
      <c r="Z15" s="104">
        <f>Aug.!DG40</f>
        <v>35.413586584319994</v>
      </c>
      <c r="AA15" s="104">
        <f t="shared" si="9"/>
        <v>5.6807164876997103</v>
      </c>
      <c r="AB15" s="88" t="s">
        <v>15</v>
      </c>
      <c r="AC15" s="100">
        <f>Aug.!BB41</f>
        <v>1.5845454545454545</v>
      </c>
      <c r="AD15" s="86">
        <f>Aug.!BC41</f>
        <v>46.18181818181818</v>
      </c>
      <c r="AE15" s="104">
        <f>Aug.!BD41</f>
        <v>7.040909090909091</v>
      </c>
      <c r="AF15" s="104">
        <f>Aug.!BE41</f>
        <v>21.159090909090907</v>
      </c>
      <c r="AG15" s="104">
        <f>Aug.!BF41</f>
        <v>15.904545454545456</v>
      </c>
      <c r="AH15" s="104">
        <f>Aug.!BG41</f>
        <v>7.040909090909091</v>
      </c>
      <c r="AI15" s="109">
        <f>Aug.!BH41</f>
        <v>0.25377272727272726</v>
      </c>
      <c r="AJ15" s="109">
        <f>Aug.!BI41</f>
        <v>0.22327272727272732</v>
      </c>
      <c r="AK15" s="109">
        <f>Aug.!BJ41</f>
        <v>7.0318181818181821E-2</v>
      </c>
      <c r="AL15" s="109">
        <f>Aug.!BK41</f>
        <v>6.5318181818181817E-2</v>
      </c>
      <c r="AM15" s="109">
        <f>Aug.!BL41</f>
        <v>6.2181818181818199E-2</v>
      </c>
      <c r="AN15" s="109">
        <f>Aug.!BM41</f>
        <v>6.3772727272727273E-2</v>
      </c>
      <c r="AO15" s="88" t="s">
        <v>15</v>
      </c>
      <c r="AP15" s="109">
        <f>Aug.!BP41</f>
        <v>9.7290322580645197E-2</v>
      </c>
      <c r="AQ15" s="86">
        <f>Aug.!BQ41</f>
        <v>0</v>
      </c>
      <c r="AR15" s="104">
        <f>Aug.!BR41</f>
        <v>7.1307692307692285</v>
      </c>
      <c r="AS15" s="104">
        <f>Aug.!BS41</f>
        <v>21.876923076923074</v>
      </c>
      <c r="AT15" s="104">
        <f>Aug.!BT41</f>
        <v>18.126923076923077</v>
      </c>
      <c r="AU15" s="109">
        <f>Aug.!BU41</f>
        <v>1.8269230769230777E-2</v>
      </c>
      <c r="AV15" s="100">
        <f>Aug.!CF41</f>
        <v>6.6416760266847579</v>
      </c>
      <c r="AW15" s="100">
        <f>Aug.!BV41</f>
        <v>1.1270967741935483</v>
      </c>
      <c r="AX15" s="100">
        <f>Aug.!BW41</f>
        <v>0.95290322580645148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</row>
    <row r="16" spans="1:200" s="3" customFormat="1" ht="17.149999999999999" customHeight="1" x14ac:dyDescent="0.25">
      <c r="A16" s="88" t="s">
        <v>16</v>
      </c>
      <c r="B16" s="86">
        <f>Sept.!C40</f>
        <v>5510</v>
      </c>
      <c r="C16" s="86">
        <f>Sept.!C41</f>
        <v>183.66666666666666</v>
      </c>
      <c r="D16" s="86">
        <f>IF(Sept.!C8="","",MAX(Sept.!C8:'Sept.'!C38))</f>
        <v>392</v>
      </c>
      <c r="E16" s="87">
        <f t="shared" si="0"/>
        <v>0.12277183600713013</v>
      </c>
      <c r="F16" s="87">
        <f t="shared" si="1"/>
        <v>0.26203208556149732</v>
      </c>
      <c r="G16" s="86">
        <f>Sept.!I40</f>
        <v>4438</v>
      </c>
      <c r="H16" s="86">
        <f>Sept.!M40</f>
        <v>355</v>
      </c>
      <c r="I16" s="86">
        <f>Sept.!O40</f>
        <v>1133</v>
      </c>
      <c r="J16" s="86" t="str">
        <f>Sept.!Q40</f>
        <v/>
      </c>
      <c r="K16" s="88" t="s">
        <v>16</v>
      </c>
      <c r="L16" s="86">
        <f>Sept.!F40</f>
        <v>5754</v>
      </c>
      <c r="M16" s="86">
        <f t="shared" si="2"/>
        <v>5754</v>
      </c>
      <c r="N16" s="86">
        <f>Sept.!F41</f>
        <v>191.8</v>
      </c>
      <c r="O16" s="86">
        <f>IF(Sept.!F8="","",MAX(Sept.!F8:'Sept.'!F38))</f>
        <v>256</v>
      </c>
      <c r="P16" s="87">
        <f t="shared" si="3"/>
        <v>0.1410294117647059</v>
      </c>
      <c r="Q16" s="87">
        <f t="shared" si="4"/>
        <v>0.18823529411764706</v>
      </c>
      <c r="R16" s="87">
        <f t="shared" si="5"/>
        <v>0.80544464609800359</v>
      </c>
      <c r="S16" s="88" t="s">
        <v>16</v>
      </c>
      <c r="T16" s="104">
        <f>Sept.!CE40</f>
        <v>215.95789600000012</v>
      </c>
      <c r="U16" s="100">
        <f t="shared" si="6"/>
        <v>5.8393302208201918</v>
      </c>
      <c r="V16" s="104">
        <f>Sept.!CN40</f>
        <v>307.64691650000003</v>
      </c>
      <c r="W16" s="104">
        <f t="shared" si="7"/>
        <v>22.202503874088027</v>
      </c>
      <c r="X16" s="104">
        <f>Sept.!CW40</f>
        <v>374.07071199999984</v>
      </c>
      <c r="Y16" s="100">
        <f t="shared" si="8"/>
        <v>6.7889421415607956E-2</v>
      </c>
      <c r="Z16" s="104">
        <f>Sept.!DG40</f>
        <v>29.716336823039995</v>
      </c>
      <c r="AA16" s="104">
        <f t="shared" si="9"/>
        <v>5.3931645776842094</v>
      </c>
      <c r="AB16" s="88" t="s">
        <v>16</v>
      </c>
      <c r="AC16" s="100">
        <f>Sept.!BB41</f>
        <v>1.5085714285714285</v>
      </c>
      <c r="AD16" s="86">
        <f>Sept.!BC41</f>
        <v>34.666666666666664</v>
      </c>
      <c r="AE16" s="104">
        <f>Sept.!BD41</f>
        <v>7.0761904761904777</v>
      </c>
      <c r="AF16" s="104">
        <f>Sept.!BE41</f>
        <v>17.238095238095241</v>
      </c>
      <c r="AG16" s="104">
        <f>Sept.!BF41</f>
        <v>16.385714285714283</v>
      </c>
      <c r="AH16" s="104">
        <f>Sept.!BG41</f>
        <v>7.0761904761904777</v>
      </c>
      <c r="AI16" s="109">
        <f>Sept.!BH41</f>
        <v>0.21985714285714286</v>
      </c>
      <c r="AJ16" s="109">
        <f>Sept.!BI41</f>
        <v>0.20147619047619048</v>
      </c>
      <c r="AK16" s="109">
        <f>Sept.!BJ41</f>
        <v>6.4095238095238094E-2</v>
      </c>
      <c r="AL16" s="109">
        <f>Sept.!BK41</f>
        <v>6.0999999999999999E-2</v>
      </c>
      <c r="AM16" s="109">
        <f>Sept.!BL41</f>
        <v>6.1142857142857131E-2</v>
      </c>
      <c r="AN16" s="109">
        <f>Sept.!BM41</f>
        <v>5.9857142857142887E-2</v>
      </c>
      <c r="AO16" s="88" t="s">
        <v>16</v>
      </c>
      <c r="AP16" s="109">
        <f>Sept.!BP41</f>
        <v>9.5000000000000043E-2</v>
      </c>
      <c r="AQ16" s="86">
        <f>Sept.!BQ41</f>
        <v>0</v>
      </c>
      <c r="AR16" s="104">
        <f>Sept.!BR41</f>
        <v>7.1679999999999975</v>
      </c>
      <c r="AS16" s="104">
        <f>Sept.!BS41</f>
        <v>19.952000000000002</v>
      </c>
      <c r="AT16" s="104">
        <f>Sept.!BT41</f>
        <v>18.364000000000001</v>
      </c>
      <c r="AU16" s="109">
        <f>Sept.!BU41</f>
        <v>1.7760000000000001E-2</v>
      </c>
      <c r="AV16" s="100">
        <f>Sept.!CF41</f>
        <v>5.7420143824347569</v>
      </c>
      <c r="AW16" s="100">
        <f>Sept.!BV41</f>
        <v>1.1636666666666666</v>
      </c>
      <c r="AX16" s="100">
        <f>Sept.!BW41</f>
        <v>0.92866666666666675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</row>
    <row r="17" spans="1:200" s="3" customFormat="1" ht="17.149999999999999" customHeight="1" x14ac:dyDescent="0.25">
      <c r="A17" s="88" t="s">
        <v>17</v>
      </c>
      <c r="B17" s="86">
        <f>Oct.!C40</f>
        <v>517</v>
      </c>
      <c r="C17" s="86">
        <f>Oct.!C41</f>
        <v>172.33333333333334</v>
      </c>
      <c r="D17" s="86">
        <f>IF(Oct.!C8="","",MAX(Oct.!C8:'Oct.'!C38))</f>
        <v>198</v>
      </c>
      <c r="E17" s="87">
        <f t="shared" si="0"/>
        <v>0.11519607843137256</v>
      </c>
      <c r="F17" s="87">
        <f t="shared" si="1"/>
        <v>0.13235294117647059</v>
      </c>
      <c r="G17" s="86">
        <f>Oct.!I40</f>
        <v>402</v>
      </c>
      <c r="H17" s="86">
        <f>Oct.!M40</f>
        <v>48</v>
      </c>
      <c r="I17" s="86">
        <f>Oct.!O40</f>
        <v>132</v>
      </c>
      <c r="J17" s="86" t="str">
        <f>Oct.!Q40</f>
        <v/>
      </c>
      <c r="K17" s="88" t="s">
        <v>17</v>
      </c>
      <c r="L17" s="86">
        <f>Oct.!F40</f>
        <v>566</v>
      </c>
      <c r="M17" s="86">
        <f t="shared" si="2"/>
        <v>566</v>
      </c>
      <c r="N17" s="86">
        <f>Oct.!F41</f>
        <v>188.66666666666666</v>
      </c>
      <c r="O17" s="86">
        <f>IF(Oct.!F8="","",MAX(Oct.!F8:'Oct.'!F38))</f>
        <v>217</v>
      </c>
      <c r="P17" s="87">
        <f t="shared" si="3"/>
        <v>0.13872549019607844</v>
      </c>
      <c r="Q17" s="87">
        <f t="shared" si="4"/>
        <v>0.15955882352941175</v>
      </c>
      <c r="R17" s="87">
        <f t="shared" si="5"/>
        <v>0.77756286266924568</v>
      </c>
      <c r="S17" s="88" t="s">
        <v>17</v>
      </c>
      <c r="T17" s="104">
        <f>Oct.!CE40</f>
        <v>19.547913000000015</v>
      </c>
      <c r="U17" s="100">
        <f t="shared" si="6"/>
        <v>5.8351979104477651</v>
      </c>
      <c r="V17" s="104">
        <f>Oct.!CN40</f>
        <v>28.391016500000042</v>
      </c>
      <c r="W17" s="104">
        <f t="shared" si="7"/>
        <v>21.83692013776599</v>
      </c>
      <c r="X17" s="104">
        <f>Oct.!CW40</f>
        <v>35.214471999999979</v>
      </c>
      <c r="Y17" s="100">
        <f t="shared" si="8"/>
        <v>6.8113098646034778E-2</v>
      </c>
      <c r="Z17" s="104">
        <f>Oct.!DG40</f>
        <v>2.4493857875200002</v>
      </c>
      <c r="AA17" s="104">
        <f t="shared" si="9"/>
        <v>4.7376901112572538</v>
      </c>
      <c r="AB17" s="88" t="s">
        <v>17</v>
      </c>
      <c r="AC17" s="100">
        <f>Oct.!BB41</f>
        <v>1.5</v>
      </c>
      <c r="AD17" s="86">
        <f>Oct.!BC41</f>
        <v>59</v>
      </c>
      <c r="AE17" s="104">
        <f>Oct.!BD41</f>
        <v>6.8</v>
      </c>
      <c r="AF17" s="104">
        <f>Oct.!BE41</f>
        <v>14.7</v>
      </c>
      <c r="AG17" s="104">
        <f>Oct.!BF41</f>
        <v>15.6</v>
      </c>
      <c r="AH17" s="104">
        <f>Oct.!BG41</f>
        <v>6.8</v>
      </c>
      <c r="AI17" s="109">
        <f>Oct.!BH41</f>
        <v>0.16900000000000001</v>
      </c>
      <c r="AJ17" s="109">
        <f>Oct.!BI41</f>
        <v>0.16300000000000001</v>
      </c>
      <c r="AK17" s="109">
        <f>Oct.!BJ41</f>
        <v>5.0999999999999997E-2</v>
      </c>
      <c r="AL17" s="109">
        <f>Oct.!BK41</f>
        <v>5.8000000000000003E-2</v>
      </c>
      <c r="AM17" s="109">
        <f>Oct.!BL41</f>
        <v>5.6000000000000001E-2</v>
      </c>
      <c r="AN17" s="109">
        <f>Oct.!BM41</f>
        <v>6.3E-2</v>
      </c>
      <c r="AO17" s="88" t="s">
        <v>17</v>
      </c>
      <c r="AP17" s="109">
        <f>Oct.!BP41</f>
        <v>9.35E-2</v>
      </c>
      <c r="AQ17" s="86">
        <f>Oct.!BQ41</f>
        <v>0</v>
      </c>
      <c r="AR17" s="104">
        <f>Oct.!BR41</f>
        <v>7.1999999999999993</v>
      </c>
      <c r="AS17" s="104">
        <f>Oct.!BS41</f>
        <v>18.149999999999999</v>
      </c>
      <c r="AT17" s="104">
        <f>Oct.!BT41</f>
        <v>18.3</v>
      </c>
      <c r="AU17" s="109">
        <f>Oct.!BU41</f>
        <v>2.5500000000000002E-2</v>
      </c>
      <c r="AV17" s="100"/>
      <c r="AW17" s="100">
        <f>Oct.!BV41</f>
        <v>1.1174999999999999</v>
      </c>
      <c r="AX17" s="100">
        <f>Oct.!BW41</f>
        <v>0.86499999999999999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</row>
    <row r="18" spans="1:200" s="3" customFormat="1" ht="17.149999999999999" customHeight="1" x14ac:dyDescent="0.25">
      <c r="A18" s="88" t="s">
        <v>18</v>
      </c>
      <c r="B18" s="86" t="str">
        <f>Nov.!C40</f>
        <v/>
      </c>
      <c r="C18" s="86" t="str">
        <f>Nov.!C41</f>
        <v/>
      </c>
      <c r="D18" s="86" t="str">
        <f>IF(Nov.!C8="","",MAX(Nov.!C8:'Nov.'!C38))</f>
        <v/>
      </c>
      <c r="E18" s="87" t="str">
        <f t="shared" si="0"/>
        <v/>
      </c>
      <c r="F18" s="87" t="str">
        <f t="shared" si="1"/>
        <v/>
      </c>
      <c r="G18" s="86" t="str">
        <f>Nov.!I40</f>
        <v/>
      </c>
      <c r="H18" s="86" t="str">
        <f>Nov.!M40</f>
        <v/>
      </c>
      <c r="I18" s="86" t="str">
        <f>Nov.!O40</f>
        <v/>
      </c>
      <c r="J18" s="86" t="str">
        <f>Nov.!Q40</f>
        <v/>
      </c>
      <c r="K18" s="88" t="s">
        <v>18</v>
      </c>
      <c r="L18" s="86" t="str">
        <f>Nov.!F40</f>
        <v/>
      </c>
      <c r="M18" s="86" t="str">
        <f t="shared" si="2"/>
        <v/>
      </c>
      <c r="N18" s="86" t="str">
        <f>Nov.!F41</f>
        <v/>
      </c>
      <c r="O18" s="86" t="str">
        <f>IF(Nov.!F8="","",MAX(Nov.!F8:'Nov.'!F38))</f>
        <v/>
      </c>
      <c r="P18" s="87" t="str">
        <f t="shared" si="3"/>
        <v/>
      </c>
      <c r="Q18" s="87" t="str">
        <f t="shared" si="4"/>
        <v/>
      </c>
      <c r="R18" s="87" t="str">
        <f t="shared" si="5"/>
        <v/>
      </c>
      <c r="S18" s="88" t="s">
        <v>18</v>
      </c>
      <c r="T18" s="104" t="str">
        <f>Nov.!CE40</f>
        <v/>
      </c>
      <c r="U18" s="100" t="str">
        <f t="shared" si="6"/>
        <v/>
      </c>
      <c r="V18" s="104" t="str">
        <f>Nov.!CN40</f>
        <v/>
      </c>
      <c r="W18" s="104" t="str">
        <f t="shared" si="7"/>
        <v/>
      </c>
      <c r="X18" s="104" t="str">
        <f>Nov.!CW40</f>
        <v/>
      </c>
      <c r="Y18" s="100" t="str">
        <f t="shared" si="8"/>
        <v/>
      </c>
      <c r="Z18" s="104" t="str">
        <f>Nov.!DG40</f>
        <v/>
      </c>
      <c r="AA18" s="104" t="str">
        <f t="shared" si="9"/>
        <v/>
      </c>
      <c r="AB18" s="88" t="s">
        <v>18</v>
      </c>
      <c r="AC18" s="100" t="str">
        <f>Nov.!BB41</f>
        <v/>
      </c>
      <c r="AD18" s="86" t="str">
        <f>Nov.!BC41</f>
        <v/>
      </c>
      <c r="AE18" s="104" t="str">
        <f>Nov.!BD41</f>
        <v/>
      </c>
      <c r="AF18" s="104" t="str">
        <f>Nov.!BE41</f>
        <v/>
      </c>
      <c r="AG18" s="104" t="str">
        <f>Nov.!BF41</f>
        <v/>
      </c>
      <c r="AH18" s="104" t="str">
        <f>Nov.!BG41</f>
        <v/>
      </c>
      <c r="AI18" s="109" t="str">
        <f>Nov.!BH41</f>
        <v/>
      </c>
      <c r="AJ18" s="109" t="str">
        <f>Nov.!BI41</f>
        <v/>
      </c>
      <c r="AK18" s="109" t="str">
        <f>Nov.!BJ41</f>
        <v/>
      </c>
      <c r="AL18" s="109" t="str">
        <f>Nov.!BK41</f>
        <v/>
      </c>
      <c r="AM18" s="109" t="str">
        <f>Nov.!BL41</f>
        <v/>
      </c>
      <c r="AN18" s="109" t="str">
        <f>Nov.!BM41</f>
        <v/>
      </c>
      <c r="AO18" s="88" t="s">
        <v>18</v>
      </c>
      <c r="AP18" s="109" t="str">
        <f>Nov.!BP41</f>
        <v/>
      </c>
      <c r="AQ18" s="86" t="str">
        <f>Nov.!BQ41</f>
        <v/>
      </c>
      <c r="AR18" s="104" t="str">
        <f>Nov.!BR41</f>
        <v/>
      </c>
      <c r="AS18" s="104" t="str">
        <f>Nov.!BS41</f>
        <v/>
      </c>
      <c r="AT18" s="104" t="str">
        <f>Nov.!BT41</f>
        <v/>
      </c>
      <c r="AU18" s="109" t="str">
        <f>Nov.!BU41</f>
        <v/>
      </c>
      <c r="AV18" s="100"/>
      <c r="AW18" s="100" t="str">
        <f>Nov.!BV41</f>
        <v/>
      </c>
      <c r="AX18" s="100" t="str">
        <f>Nov.!BW41</f>
        <v/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</row>
    <row r="19" spans="1:200" s="3" customFormat="1" ht="17.149999999999999" customHeight="1" thickBot="1" x14ac:dyDescent="0.4">
      <c r="A19" s="97" t="s">
        <v>19</v>
      </c>
      <c r="B19" s="98" t="str">
        <f>Dec.!C40</f>
        <v/>
      </c>
      <c r="C19" s="98" t="str">
        <f>Dec.!C41</f>
        <v/>
      </c>
      <c r="D19" s="98" t="str">
        <f>IF(Dec.!C8="","",MAX(Dec.!C8:'Dec.'!C38))</f>
        <v/>
      </c>
      <c r="E19" s="99" t="str">
        <f t="shared" si="0"/>
        <v/>
      </c>
      <c r="F19" s="99" t="str">
        <f t="shared" si="1"/>
        <v/>
      </c>
      <c r="G19" s="98" t="str">
        <f>Dec.!I40</f>
        <v/>
      </c>
      <c r="H19" s="98" t="str">
        <f>Dec.!M40</f>
        <v/>
      </c>
      <c r="I19" s="98" t="str">
        <f>Dec.!O40</f>
        <v/>
      </c>
      <c r="J19" s="98" t="str">
        <f>Dec.!Q40</f>
        <v/>
      </c>
      <c r="K19" s="97" t="s">
        <v>19</v>
      </c>
      <c r="L19" s="98" t="str">
        <f>Dec.!F40</f>
        <v/>
      </c>
      <c r="M19" s="98" t="str">
        <f t="shared" si="2"/>
        <v/>
      </c>
      <c r="N19" s="98" t="str">
        <f>Dec.!F41</f>
        <v/>
      </c>
      <c r="O19" s="98" t="str">
        <f>IF(Dec.!F8="","",MAX(Dec.!F8:'Dec.'!F38))</f>
        <v/>
      </c>
      <c r="P19" s="99" t="str">
        <f t="shared" si="3"/>
        <v/>
      </c>
      <c r="Q19" s="99" t="str">
        <f t="shared" si="4"/>
        <v/>
      </c>
      <c r="R19" s="99" t="str">
        <f t="shared" si="5"/>
        <v/>
      </c>
      <c r="S19" s="97" t="s">
        <v>19</v>
      </c>
      <c r="T19" s="105" t="str">
        <f>Dec.!CE40</f>
        <v/>
      </c>
      <c r="U19" s="101" t="str">
        <f t="shared" si="6"/>
        <v/>
      </c>
      <c r="V19" s="105" t="str">
        <f>Dec.!CN40</f>
        <v/>
      </c>
      <c r="W19" s="105" t="str">
        <f t="shared" si="7"/>
        <v/>
      </c>
      <c r="X19" s="105" t="str">
        <f>Dec.!CW40</f>
        <v/>
      </c>
      <c r="Y19" s="101" t="str">
        <f t="shared" si="8"/>
        <v/>
      </c>
      <c r="Z19" s="105" t="str">
        <f>Dec.!DG40</f>
        <v/>
      </c>
      <c r="AA19" s="104" t="str">
        <f t="shared" si="9"/>
        <v/>
      </c>
      <c r="AB19" s="97" t="s">
        <v>19</v>
      </c>
      <c r="AC19" s="101" t="str">
        <f>Dec.!BB41</f>
        <v/>
      </c>
      <c r="AD19" s="98" t="str">
        <f>Dec.!BC41</f>
        <v/>
      </c>
      <c r="AE19" s="105" t="str">
        <f>Dec.!BD41</f>
        <v/>
      </c>
      <c r="AF19" s="105" t="str">
        <f>Dec.!BE41</f>
        <v/>
      </c>
      <c r="AG19" s="105" t="str">
        <f>Dec.!BF41</f>
        <v/>
      </c>
      <c r="AH19" s="105" t="str">
        <f>Dec.!BG41</f>
        <v/>
      </c>
      <c r="AI19" s="110" t="str">
        <f>Dec.!BH41</f>
        <v/>
      </c>
      <c r="AJ19" s="110" t="str">
        <f>Dec.!BI41</f>
        <v/>
      </c>
      <c r="AK19" s="110" t="str">
        <f>Dec.!BJ41</f>
        <v/>
      </c>
      <c r="AL19" s="110" t="str">
        <f>Dec.!BK41</f>
        <v/>
      </c>
      <c r="AM19" s="110" t="str">
        <f>Dec.!BL41</f>
        <v/>
      </c>
      <c r="AN19" s="110" t="str">
        <f>Dec.!BM41</f>
        <v/>
      </c>
      <c r="AO19" s="97" t="s">
        <v>19</v>
      </c>
      <c r="AP19" s="110" t="str">
        <f>Dec.!BP41</f>
        <v/>
      </c>
      <c r="AQ19" s="98" t="str">
        <f>Dec.!BQ41</f>
        <v/>
      </c>
      <c r="AR19" s="105" t="str">
        <f>Dec.!BR41</f>
        <v/>
      </c>
      <c r="AS19" s="105" t="str">
        <f>Dec.!BS41</f>
        <v/>
      </c>
      <c r="AT19" s="105" t="str">
        <f>Dec.!BT41</f>
        <v/>
      </c>
      <c r="AU19" s="110" t="str">
        <f>Dec.!BU41</f>
        <v/>
      </c>
      <c r="AV19" s="101"/>
      <c r="AW19" s="101" t="str">
        <f>Dec.!BV41</f>
        <v/>
      </c>
      <c r="AX19" s="101" t="str">
        <f>Dec.!BW41</f>
        <v/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</row>
    <row r="20" spans="1:200" s="3" customFormat="1" ht="17.149999999999999" customHeight="1" thickTop="1" x14ac:dyDescent="0.35">
      <c r="A20" s="93" t="s">
        <v>2</v>
      </c>
      <c r="B20" s="94">
        <f>IF(COUNT(B8:B19)=0,"",SUM(B8:B19))</f>
        <v>53022</v>
      </c>
      <c r="C20" s="90"/>
      <c r="D20" s="90"/>
      <c r="E20" s="91"/>
      <c r="F20" s="91"/>
      <c r="G20" s="94">
        <f>IF(COUNT(G8:G19)=0,"",SUM(G8:G19))</f>
        <v>42314</v>
      </c>
      <c r="H20" s="94">
        <f>IF(COUNT(H8:H19)=0,"",SUM(H8:H19))</f>
        <v>3858</v>
      </c>
      <c r="I20" s="94">
        <f>IF(COUNT(I8:I19)=0,"",SUM(I8:I19))</f>
        <v>12019</v>
      </c>
      <c r="J20" s="94">
        <f>IF(COUNT(J8:J19)=0,"",SUM(J8:J19))</f>
        <v>36</v>
      </c>
      <c r="K20" s="93" t="s">
        <v>2</v>
      </c>
      <c r="L20" s="94">
        <f>IF(COUNT(L8:L19)=0,"",SUM(L8:L19))</f>
        <v>53457</v>
      </c>
      <c r="M20" s="94">
        <f>IF(COUNT(M8:M19)=0,"",SUM(M8:M19))</f>
        <v>53493</v>
      </c>
      <c r="N20" s="90"/>
      <c r="O20" s="90"/>
      <c r="P20" s="96"/>
      <c r="Q20" s="96"/>
      <c r="R20" s="96"/>
      <c r="S20" s="93" t="s">
        <v>2</v>
      </c>
      <c r="T20" s="108">
        <f>IF(COUNT(T8:T19)=0,"",SUM(T8:T19))</f>
        <v>1877.0650745000005</v>
      </c>
      <c r="U20" s="102"/>
      <c r="V20" s="108">
        <f>IF(COUNT(V8:V19)=0,"",SUM(V8:V19))</f>
        <v>3067.1606349999997</v>
      </c>
      <c r="W20" s="106"/>
      <c r="X20" s="108">
        <f>IF(COUNT(X8:X19)=0,"",SUM(X8:X19))</f>
        <v>3662.9695120000001</v>
      </c>
      <c r="Y20" s="102"/>
      <c r="Z20" s="108">
        <f>IF(COUNT(Z8:Z19)=0,"",SUM(Z8:Z19))</f>
        <v>260.01255207871998</v>
      </c>
      <c r="AA20" s="106"/>
      <c r="AB20" s="106"/>
      <c r="AC20" s="102"/>
      <c r="AD20" s="95"/>
      <c r="AE20" s="106"/>
      <c r="AF20" s="106"/>
      <c r="AG20" s="106"/>
      <c r="AH20" s="106"/>
      <c r="AI20" s="111"/>
      <c r="AJ20" s="111"/>
      <c r="AK20" s="111"/>
      <c r="AL20" s="111"/>
      <c r="AM20" s="111"/>
      <c r="AN20" s="111"/>
      <c r="AO20" s="106"/>
      <c r="AP20" s="111"/>
      <c r="AQ20" s="95"/>
      <c r="AR20" s="106"/>
      <c r="AS20" s="106"/>
      <c r="AT20" s="106"/>
      <c r="AU20" s="111"/>
      <c r="AV20" s="102"/>
      <c r="AW20" s="102"/>
      <c r="AX20" s="102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</row>
    <row r="21" spans="1:200" s="3" customFormat="1" ht="17.149999999999999" customHeight="1" x14ac:dyDescent="0.35">
      <c r="A21" s="88" t="s">
        <v>3</v>
      </c>
      <c r="B21" s="89">
        <f>IF(COUNT(B8:B19)=0,"",AVERAGE(B8:B19))</f>
        <v>5302.2</v>
      </c>
      <c r="C21" s="89">
        <f>IF(COUNT(C8:C19)=0,"",AVERAGE(C8:C19))</f>
        <v>189.79372636262514</v>
      </c>
      <c r="D21" s="90"/>
      <c r="E21" s="91"/>
      <c r="F21" s="91"/>
      <c r="G21" s="89">
        <f>IF(COUNT(G8:G19)=0,"",AVERAGE(G8:G19))</f>
        <v>4231.3999999999996</v>
      </c>
      <c r="H21" s="89">
        <f>IF(COUNT(H8:H19)=0,"",AVERAGE(H8:H19))</f>
        <v>385.8</v>
      </c>
      <c r="I21" s="89">
        <f>IF(COUNT(I8:I19)=0,"",AVERAGE(I8:I19))</f>
        <v>1201.9000000000001</v>
      </c>
      <c r="J21" s="89">
        <f>IF(COUNT(J8:J19)=0,"",AVERAGE(J8:J19))</f>
        <v>36</v>
      </c>
      <c r="K21" s="88" t="s">
        <v>3</v>
      </c>
      <c r="L21" s="89">
        <f>IF(COUNT(L8:L19)=0,"",AVERAGE(L8:L19))</f>
        <v>5345.7</v>
      </c>
      <c r="M21" s="89">
        <f>IF(COUNT(M8:M19)=0,"",AVERAGE(M8:M19))</f>
        <v>5349.3</v>
      </c>
      <c r="N21" s="89">
        <f>IF(COUNT(N8:N19)=0,"",AVERAGE(N8:N19))</f>
        <v>192.68777159807195</v>
      </c>
      <c r="O21" s="90"/>
      <c r="P21" s="92">
        <f>IF(COUNT(P7:P18)=0,"",AVERAGE(P7:P18))</f>
        <v>0.14168218499858232</v>
      </c>
      <c r="Q21" s="91"/>
      <c r="R21" s="92">
        <f>IF(COUNT(R7:R18)=0,"",AVERAGE(R7:R18))</f>
        <v>0.79557005893439148</v>
      </c>
      <c r="S21" s="88" t="s">
        <v>3</v>
      </c>
      <c r="T21" s="107">
        <f>IF(COUNT(T8:T19)=0,"",AVERAGE(T8:T19))</f>
        <v>187.70650745000006</v>
      </c>
      <c r="U21" s="103">
        <f t="shared" ref="U21:AX21" si="10">IF(COUNT(U8:U19)=0,"",AVERAGE(U8:U19))</f>
        <v>5.3506286173444799</v>
      </c>
      <c r="V21" s="107">
        <f t="shared" si="10"/>
        <v>306.71606349999996</v>
      </c>
      <c r="W21" s="107">
        <f t="shared" si="10"/>
        <v>22.925929041611003</v>
      </c>
      <c r="X21" s="107">
        <f t="shared" si="10"/>
        <v>366.29695120000002</v>
      </c>
      <c r="Y21" s="103">
        <f t="shared" si="10"/>
        <v>6.892196449047519E-2</v>
      </c>
      <c r="Z21" s="107">
        <f t="shared" si="10"/>
        <v>26.001255207871999</v>
      </c>
      <c r="AA21" s="107">
        <f t="shared" si="10"/>
        <v>4.890115602978172</v>
      </c>
      <c r="AB21" s="88" t="s">
        <v>3</v>
      </c>
      <c r="AC21" s="103">
        <f t="shared" si="10"/>
        <v>1.1196757070707073</v>
      </c>
      <c r="AD21" s="89">
        <f t="shared" si="10"/>
        <v>34.57739538239538</v>
      </c>
      <c r="AE21" s="107">
        <f t="shared" si="10"/>
        <v>7.0542171717171716</v>
      </c>
      <c r="AF21" s="107">
        <f t="shared" si="10"/>
        <v>10.837814574314574</v>
      </c>
      <c r="AG21" s="107">
        <f t="shared" si="10"/>
        <v>15.827673160173159</v>
      </c>
      <c r="AH21" s="107">
        <f t="shared" si="10"/>
        <v>7.0547171717171704</v>
      </c>
      <c r="AI21" s="112">
        <f t="shared" si="10"/>
        <v>0.23023948773448771</v>
      </c>
      <c r="AJ21" s="112">
        <f t="shared" si="10"/>
        <v>0.22495290043290042</v>
      </c>
      <c r="AK21" s="112">
        <f t="shared" si="10"/>
        <v>6.0813809523809548E-2</v>
      </c>
      <c r="AL21" s="112">
        <f t="shared" si="10"/>
        <v>5.7747640692640712E-2</v>
      </c>
      <c r="AM21" s="112">
        <f t="shared" si="10"/>
        <v>5.6737878787878802E-2</v>
      </c>
      <c r="AN21" s="112">
        <f t="shared" si="10"/>
        <v>5.8187265512265517E-2</v>
      </c>
      <c r="AO21" s="88" t="s">
        <v>3</v>
      </c>
      <c r="AP21" s="112">
        <f t="shared" si="10"/>
        <v>9.7524278828327787E-2</v>
      </c>
      <c r="AQ21" s="89">
        <f t="shared" si="10"/>
        <v>1.6666666666666666E-2</v>
      </c>
      <c r="AR21" s="107">
        <f t="shared" si="10"/>
        <v>7.1760613837312111</v>
      </c>
      <c r="AS21" s="107">
        <f t="shared" si="10"/>
        <v>13.465455305039788</v>
      </c>
      <c r="AT21" s="107">
        <f t="shared" si="10"/>
        <v>18.258556373736209</v>
      </c>
      <c r="AU21" s="112">
        <f t="shared" si="10"/>
        <v>1.5043517683465965E-2</v>
      </c>
      <c r="AV21" s="103">
        <f t="shared" si="10"/>
        <v>5.305040511481983</v>
      </c>
      <c r="AW21" s="103">
        <f t="shared" si="10"/>
        <v>1.1575159621802</v>
      </c>
      <c r="AX21" s="103">
        <f t="shared" si="10"/>
        <v>0.96046714868372285</v>
      </c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</row>
    <row r="22" spans="1:200" s="3" customFormat="1" ht="17.149999999999999" customHeight="1" x14ac:dyDescent="0.35">
      <c r="A22" s="88" t="s">
        <v>35</v>
      </c>
      <c r="B22" s="89">
        <f>IF(COUNT(B8:B19)=0,"",MIN(B8:B19))</f>
        <v>517</v>
      </c>
      <c r="C22" s="89">
        <f>IF(COUNT(C8:C19)=0,"",MIN(C8:C19))</f>
        <v>157.56666666666666</v>
      </c>
      <c r="D22" s="90"/>
      <c r="E22" s="92">
        <f>IF(COUNT(E8:E19)=0,"",MIN(E8:E19))</f>
        <v>0.10532531194295899</v>
      </c>
      <c r="F22" s="91"/>
      <c r="G22" s="89">
        <f>IF(COUNT(G8:G19)=0,"",MIN(G8:G19))</f>
        <v>402</v>
      </c>
      <c r="H22" s="89">
        <f>IF(COUNT(H8:H19)=0,"",MIN(H8:H19))</f>
        <v>48</v>
      </c>
      <c r="I22" s="89">
        <f>IF(COUNT(I8:I19)=0,"",MIN(I8:I19))</f>
        <v>132</v>
      </c>
      <c r="J22" s="89">
        <f>IF(COUNT(J8:J19)=0,"",MIN(J8:J19))</f>
        <v>36</v>
      </c>
      <c r="K22" s="88" t="s">
        <v>35</v>
      </c>
      <c r="L22" s="89">
        <f t="shared" ref="L22:R22" si="11">IF(COUNT(L8:L19)=0,"",MIN(L8:L19))</f>
        <v>566</v>
      </c>
      <c r="M22" s="89">
        <f t="shared" si="11"/>
        <v>566</v>
      </c>
      <c r="N22" s="89">
        <f t="shared" si="11"/>
        <v>160.06666666666666</v>
      </c>
      <c r="O22" s="90"/>
      <c r="P22" s="92">
        <f t="shared" si="11"/>
        <v>0.11769607843137254</v>
      </c>
      <c r="Q22" s="91"/>
      <c r="R22" s="92">
        <f t="shared" si="11"/>
        <v>0.76189672629092131</v>
      </c>
      <c r="S22" s="88" t="s">
        <v>35</v>
      </c>
      <c r="T22" s="107">
        <f>IF(COUNT(T8:T19)=0,"",MIN(T8:T19))</f>
        <v>19.547913000000015</v>
      </c>
      <c r="U22" s="103">
        <f t="shared" ref="U22:AX22" si="12">IF(COUNT(U8:U19)=0,"",MIN(U8:U19))</f>
        <v>4.3446947848101294</v>
      </c>
      <c r="V22" s="107">
        <f t="shared" si="12"/>
        <v>28.391016500000042</v>
      </c>
      <c r="W22" s="107">
        <f t="shared" si="12"/>
        <v>21.83692013776599</v>
      </c>
      <c r="X22" s="107">
        <f t="shared" si="12"/>
        <v>35.214471999999979</v>
      </c>
      <c r="Y22" s="103">
        <f t="shared" si="12"/>
        <v>6.5500652422255168E-2</v>
      </c>
      <c r="Z22" s="107">
        <f t="shared" si="12"/>
        <v>2.4493857875200002</v>
      </c>
      <c r="AA22" s="107">
        <f t="shared" si="12"/>
        <v>3.7590425035294128</v>
      </c>
      <c r="AB22" s="88" t="s">
        <v>35</v>
      </c>
      <c r="AC22" s="103">
        <f t="shared" si="12"/>
        <v>0.56554545454545468</v>
      </c>
      <c r="AD22" s="89">
        <f t="shared" si="12"/>
        <v>21.59090909090909</v>
      </c>
      <c r="AE22" s="107">
        <f t="shared" si="12"/>
        <v>6.8</v>
      </c>
      <c r="AF22" s="107">
        <f t="shared" si="12"/>
        <v>2.7681818181818176</v>
      </c>
      <c r="AG22" s="107">
        <f t="shared" si="12"/>
        <v>14.69090909090909</v>
      </c>
      <c r="AH22" s="107">
        <f t="shared" si="12"/>
        <v>6.8</v>
      </c>
      <c r="AI22" s="112">
        <f t="shared" si="12"/>
        <v>0.16900000000000001</v>
      </c>
      <c r="AJ22" s="112">
        <f t="shared" si="12"/>
        <v>0.16300000000000001</v>
      </c>
      <c r="AK22" s="112">
        <f t="shared" si="12"/>
        <v>5.0818181818181846E-2</v>
      </c>
      <c r="AL22" s="112">
        <f t="shared" si="12"/>
        <v>5.227272727272729E-2</v>
      </c>
      <c r="AM22" s="112">
        <f t="shared" si="12"/>
        <v>4.9681818181818202E-2</v>
      </c>
      <c r="AN22" s="112">
        <f t="shared" si="12"/>
        <v>5.3590909090909113E-2</v>
      </c>
      <c r="AO22" s="88" t="s">
        <v>35</v>
      </c>
      <c r="AP22" s="112">
        <f t="shared" si="12"/>
        <v>7.1896551724137919E-2</v>
      </c>
      <c r="AQ22" s="89">
        <f t="shared" si="12"/>
        <v>0</v>
      </c>
      <c r="AR22" s="107">
        <f t="shared" si="12"/>
        <v>7.1076923076923073</v>
      </c>
      <c r="AS22" s="107">
        <f t="shared" si="12"/>
        <v>6.8538461538461535</v>
      </c>
      <c r="AT22" s="107">
        <f t="shared" si="12"/>
        <v>17.372413793103444</v>
      </c>
      <c r="AU22" s="112">
        <f t="shared" si="12"/>
        <v>1.1192307692307696E-2</v>
      </c>
      <c r="AV22" s="103">
        <f t="shared" si="12"/>
        <v>4.3895918726214891</v>
      </c>
      <c r="AW22" s="103">
        <f t="shared" si="12"/>
        <v>1.1170967741935485</v>
      </c>
      <c r="AX22" s="103">
        <f t="shared" si="12"/>
        <v>0.86499999999999999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</row>
    <row r="23" spans="1:200" s="3" customFormat="1" ht="17.149999999999999" customHeight="1" x14ac:dyDescent="0.35">
      <c r="A23" s="88" t="s">
        <v>36</v>
      </c>
      <c r="B23" s="89">
        <f t="shared" ref="B23:J23" si="13">IF(COUNT(B8:B19)=0,"",MAX(B8:B19))</f>
        <v>6875</v>
      </c>
      <c r="C23" s="89">
        <f t="shared" si="13"/>
        <v>230.82758620689654</v>
      </c>
      <c r="D23" s="89">
        <f t="shared" si="13"/>
        <v>440</v>
      </c>
      <c r="E23" s="92">
        <f t="shared" si="13"/>
        <v>0.15429651484418219</v>
      </c>
      <c r="F23" s="92">
        <f t="shared" si="13"/>
        <v>0.29411764705882354</v>
      </c>
      <c r="G23" s="89">
        <f t="shared" si="13"/>
        <v>5496</v>
      </c>
      <c r="H23" s="89">
        <f t="shared" si="13"/>
        <v>520</v>
      </c>
      <c r="I23" s="89">
        <f t="shared" si="13"/>
        <v>1438</v>
      </c>
      <c r="J23" s="89">
        <f t="shared" si="13"/>
        <v>36</v>
      </c>
      <c r="K23" s="88" t="s">
        <v>36</v>
      </c>
      <c r="L23" s="89">
        <f t="shared" ref="L23:R23" si="14">IF(COUNT(L8:L19)=0,"",MAX(L8:L19))</f>
        <v>6778</v>
      </c>
      <c r="M23" s="89">
        <f t="shared" si="14"/>
        <v>6778</v>
      </c>
      <c r="N23" s="89">
        <f t="shared" si="14"/>
        <v>224.13793103448276</v>
      </c>
      <c r="O23" s="89">
        <f t="shared" si="14"/>
        <v>317</v>
      </c>
      <c r="P23" s="92">
        <f t="shared" si="14"/>
        <v>0.16480730223123732</v>
      </c>
      <c r="Q23" s="92">
        <f t="shared" si="14"/>
        <v>0.23308823529411765</v>
      </c>
      <c r="R23" s="92">
        <f t="shared" si="14"/>
        <v>0.82643567532884188</v>
      </c>
      <c r="S23" s="88" t="s">
        <v>36</v>
      </c>
      <c r="T23" s="107">
        <f>IF(COUNT(T8:T19)=0,"",MAX(T8:T19))</f>
        <v>285.77187100000009</v>
      </c>
      <c r="U23" s="103">
        <f t="shared" ref="U23:AX23" si="15">IF(COUNT(U8:U19)=0,"",MAX(U8:U19))</f>
        <v>6.6561771195652195</v>
      </c>
      <c r="V23" s="107">
        <f t="shared" si="15"/>
        <v>390.95826000000005</v>
      </c>
      <c r="W23" s="107">
        <f t="shared" si="15"/>
        <v>24.035091973614353</v>
      </c>
      <c r="X23" s="107">
        <f t="shared" si="15"/>
        <v>479.71412799999979</v>
      </c>
      <c r="Y23" s="103">
        <f t="shared" si="15"/>
        <v>7.2098621848739483E-2</v>
      </c>
      <c r="Z23" s="107">
        <f t="shared" si="15"/>
        <v>35.413586584319994</v>
      </c>
      <c r="AA23" s="107">
        <f t="shared" si="15"/>
        <v>5.6807164876997103</v>
      </c>
      <c r="AB23" s="88" t="s">
        <v>36</v>
      </c>
      <c r="AC23" s="103">
        <f t="shared" si="15"/>
        <v>1.5845454545454545</v>
      </c>
      <c r="AD23" s="89">
        <f t="shared" si="15"/>
        <v>59</v>
      </c>
      <c r="AE23" s="107">
        <f t="shared" si="15"/>
        <v>7.2636363636363619</v>
      </c>
      <c r="AF23" s="107">
        <f t="shared" si="15"/>
        <v>21.159090909090907</v>
      </c>
      <c r="AG23" s="107">
        <f t="shared" si="15"/>
        <v>16.475000000000001</v>
      </c>
      <c r="AH23" s="107">
        <f t="shared" si="15"/>
        <v>7.2636363636363619</v>
      </c>
      <c r="AI23" s="112">
        <f t="shared" si="15"/>
        <v>0.28109090909090906</v>
      </c>
      <c r="AJ23" s="112">
        <f t="shared" si="15"/>
        <v>0.27181818181818185</v>
      </c>
      <c r="AK23" s="112">
        <f t="shared" si="15"/>
        <v>7.8772727272727272E-2</v>
      </c>
      <c r="AL23" s="112">
        <f t="shared" si="15"/>
        <v>6.5318181818181817E-2</v>
      </c>
      <c r="AM23" s="112">
        <f t="shared" si="15"/>
        <v>6.3833333333333353E-2</v>
      </c>
      <c r="AN23" s="112">
        <f t="shared" si="15"/>
        <v>6.3772727272727273E-2</v>
      </c>
      <c r="AO23" s="88" t="s">
        <v>36</v>
      </c>
      <c r="AP23" s="112">
        <f t="shared" si="15"/>
        <v>0.13500000000000001</v>
      </c>
      <c r="AQ23" s="89">
        <f t="shared" si="15"/>
        <v>0.16666666666666666</v>
      </c>
      <c r="AR23" s="107">
        <f t="shared" si="15"/>
        <v>7.2620689655172388</v>
      </c>
      <c r="AS23" s="107">
        <f t="shared" si="15"/>
        <v>21.876923076923074</v>
      </c>
      <c r="AT23" s="107">
        <f t="shared" si="15"/>
        <v>18.954166666666666</v>
      </c>
      <c r="AU23" s="112">
        <f t="shared" si="15"/>
        <v>2.5500000000000002E-2</v>
      </c>
      <c r="AV23" s="103">
        <f t="shared" si="15"/>
        <v>6.6416760266847579</v>
      </c>
      <c r="AW23" s="103">
        <f t="shared" si="15"/>
        <v>1.2486206896551724</v>
      </c>
      <c r="AX23" s="103">
        <f t="shared" si="15"/>
        <v>1.0972413793103448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</row>
    <row r="24" spans="1:200" s="3" customFormat="1" ht="17.149999999999999" customHeight="1" x14ac:dyDescent="0.35">
      <c r="A24"/>
      <c r="B24" s="5"/>
      <c r="C24" s="5"/>
      <c r="D24" s="5"/>
      <c r="E24" s="54"/>
      <c r="F24" s="54"/>
      <c r="G24" s="180"/>
      <c r="H24" s="180"/>
      <c r="I24" s="180"/>
      <c r="J24" s="180"/>
      <c r="K24" s="20"/>
      <c r="L24" s="5"/>
      <c r="M24" s="5"/>
      <c r="N24" s="5"/>
      <c r="O24" s="5"/>
      <c r="P24" s="54"/>
      <c r="Q24" s="54"/>
      <c r="R24" s="54"/>
      <c r="S24" s="22"/>
      <c r="T24" s="22"/>
      <c r="U24" s="23"/>
      <c r="V24" s="22"/>
      <c r="W24" s="22"/>
      <c r="X24" s="22"/>
      <c r="Y24" s="23"/>
      <c r="Z24" s="22"/>
      <c r="AA24" s="22"/>
      <c r="AB24" s="21"/>
      <c r="AC24" s="23"/>
      <c r="AD24" s="5"/>
      <c r="AE24" s="22"/>
      <c r="AF24" s="22"/>
      <c r="AG24" s="22"/>
      <c r="AH24" s="22"/>
      <c r="AI24" s="21"/>
      <c r="AJ24" s="21"/>
      <c r="AK24" s="21"/>
      <c r="AL24" s="21"/>
      <c r="AM24" s="21"/>
      <c r="AN24" s="21"/>
      <c r="AO24"/>
      <c r="AP24" s="21"/>
      <c r="AQ24" s="5"/>
      <c r="AR24" s="22"/>
      <c r="AS24" s="22"/>
      <c r="AT24" s="22"/>
      <c r="AU24" s="21"/>
      <c r="AV24" s="21"/>
      <c r="AW24" s="23"/>
      <c r="AX24" s="23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</row>
    <row r="25" spans="1:200" s="3" customFormat="1" ht="17.149999999999999" customHeight="1" x14ac:dyDescent="0.35">
      <c r="A25"/>
      <c r="B25" s="5"/>
      <c r="C25" s="5"/>
      <c r="D25" s="5"/>
      <c r="E25" s="54"/>
      <c r="F25" s="54"/>
      <c r="G25" s="180"/>
      <c r="H25" s="180"/>
      <c r="I25" s="180"/>
      <c r="J25" s="180"/>
      <c r="K25" s="20"/>
      <c r="L25" s="5"/>
      <c r="M25" s="5"/>
      <c r="N25" s="5"/>
      <c r="O25" s="5"/>
      <c r="P25" s="54"/>
      <c r="Q25" s="54"/>
      <c r="R25" s="54"/>
      <c r="S25" s="22"/>
      <c r="T25" s="22"/>
      <c r="U25" s="23"/>
      <c r="V25" s="22"/>
      <c r="W25" s="22"/>
      <c r="X25" s="22"/>
      <c r="Y25" s="23"/>
      <c r="Z25" s="22"/>
      <c r="AA25" s="22"/>
      <c r="AB25" s="21"/>
      <c r="AC25" s="23"/>
      <c r="AD25" s="5"/>
      <c r="AE25" s="22"/>
      <c r="AF25" s="22"/>
      <c r="AG25" s="22"/>
      <c r="AH25" s="22"/>
      <c r="AI25" s="21"/>
      <c r="AJ25" s="21"/>
      <c r="AK25" s="21"/>
      <c r="AL25" s="21"/>
      <c r="AM25" s="21"/>
      <c r="AN25" s="21"/>
      <c r="AO25"/>
      <c r="AP25" s="21"/>
      <c r="AQ25" s="5"/>
      <c r="AR25" s="22"/>
      <c r="AS25" s="22"/>
      <c r="AT25" s="22"/>
      <c r="AU25" s="21"/>
      <c r="AV25" s="21"/>
      <c r="AW25" s="23"/>
      <c r="AX25" s="23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</row>
    <row r="26" spans="1:200" s="3" customFormat="1" ht="17.149999999999999" customHeight="1" x14ac:dyDescent="0.35">
      <c r="A26"/>
      <c r="B26" s="5"/>
      <c r="C26" s="5"/>
      <c r="D26" s="5"/>
      <c r="E26" s="54"/>
      <c r="F26" s="54"/>
      <c r="G26" s="180"/>
      <c r="H26" s="180"/>
      <c r="I26" s="180"/>
      <c r="J26" s="180"/>
      <c r="K26" s="20"/>
      <c r="L26" s="5"/>
      <c r="M26" s="5"/>
      <c r="N26" s="5"/>
      <c r="O26" s="5"/>
      <c r="P26" s="54"/>
      <c r="Q26" s="54"/>
      <c r="R26" s="54"/>
      <c r="S26" s="22"/>
      <c r="T26" s="22"/>
      <c r="U26" s="23"/>
      <c r="V26" s="22"/>
      <c r="W26" s="22"/>
      <c r="X26" s="22"/>
      <c r="Y26" s="23"/>
      <c r="Z26" s="22"/>
      <c r="AA26" s="22"/>
      <c r="AB26" s="21"/>
      <c r="AC26" s="23"/>
      <c r="AD26" s="5"/>
      <c r="AE26" s="22"/>
      <c r="AF26" s="22"/>
      <c r="AG26" s="22"/>
      <c r="AH26" s="22"/>
      <c r="AI26" s="21"/>
      <c r="AJ26" s="21"/>
      <c r="AK26" s="21"/>
      <c r="AL26" s="21"/>
      <c r="AM26" s="21"/>
      <c r="AN26" s="21"/>
      <c r="AO26"/>
      <c r="AP26" s="21"/>
      <c r="AQ26" s="5"/>
      <c r="AR26" s="22"/>
      <c r="AS26" s="22"/>
      <c r="AT26" s="22"/>
      <c r="AU26" s="21"/>
      <c r="AV26" s="21"/>
      <c r="AW26" s="23"/>
      <c r="AX26" s="23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</row>
    <row r="27" spans="1:200" s="3" customFormat="1" ht="17.149999999999999" customHeight="1" x14ac:dyDescent="0.35">
      <c r="A27"/>
      <c r="B27" s="5"/>
      <c r="C27" s="5"/>
      <c r="D27" s="5"/>
      <c r="E27" s="54"/>
      <c r="F27" s="54"/>
      <c r="G27" s="180"/>
      <c r="H27" s="180"/>
      <c r="I27" s="180"/>
      <c r="J27" s="180"/>
      <c r="K27" s="20"/>
      <c r="L27" s="5"/>
      <c r="M27" s="5"/>
      <c r="N27" s="5"/>
      <c r="O27" s="5"/>
      <c r="P27" s="54"/>
      <c r="Q27" s="54"/>
      <c r="R27" s="54"/>
      <c r="S27" s="22"/>
      <c r="T27" s="22"/>
      <c r="U27" s="23"/>
      <c r="V27" s="22"/>
      <c r="W27" s="22"/>
      <c r="X27" s="22"/>
      <c r="Y27" s="23"/>
      <c r="Z27" s="22"/>
      <c r="AA27" s="22"/>
      <c r="AB27" s="21"/>
      <c r="AC27" s="23"/>
      <c r="AD27" s="5"/>
      <c r="AE27" s="22"/>
      <c r="AF27" s="22"/>
      <c r="AG27" s="22"/>
      <c r="AH27" s="22"/>
      <c r="AI27" s="21"/>
      <c r="AJ27" s="21"/>
      <c r="AK27" s="21"/>
      <c r="AL27" s="21"/>
      <c r="AM27" s="21"/>
      <c r="AN27" s="21"/>
      <c r="AO27"/>
      <c r="AP27" s="21"/>
      <c r="AQ27" s="5"/>
      <c r="AR27" s="22"/>
      <c r="AS27" s="22"/>
      <c r="AT27" s="22"/>
      <c r="AU27" s="21"/>
      <c r="AV27" s="21"/>
      <c r="AW27" s="23"/>
      <c r="AX27" s="23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</row>
    <row r="28" spans="1:200" s="3" customFormat="1" ht="17.149999999999999" customHeight="1" x14ac:dyDescent="0.35">
      <c r="A28"/>
      <c r="B28" s="5"/>
      <c r="C28" s="5"/>
      <c r="D28" s="5"/>
      <c r="E28" s="54"/>
      <c r="F28" s="54"/>
      <c r="G28" s="180"/>
      <c r="H28" s="180"/>
      <c r="I28" s="180"/>
      <c r="J28" s="180"/>
      <c r="K28" s="20"/>
      <c r="L28" s="5"/>
      <c r="M28" s="5"/>
      <c r="N28" s="5"/>
      <c r="O28" s="5"/>
      <c r="P28" s="54"/>
      <c r="Q28" s="54"/>
      <c r="R28" s="54"/>
      <c r="S28" s="22"/>
      <c r="T28" s="22"/>
      <c r="U28" s="23"/>
      <c r="V28" s="22"/>
      <c r="W28" s="22"/>
      <c r="X28" s="22"/>
      <c r="Y28" s="23"/>
      <c r="Z28" s="22"/>
      <c r="AA28" s="22"/>
      <c r="AB28" s="21"/>
      <c r="AC28" s="23"/>
      <c r="AD28" s="5"/>
      <c r="AE28" s="22"/>
      <c r="AF28" s="22"/>
      <c r="AG28" s="22"/>
      <c r="AH28" s="22"/>
      <c r="AI28" s="21"/>
      <c r="AJ28" s="21"/>
      <c r="AK28" s="21"/>
      <c r="AL28" s="21"/>
      <c r="AM28" s="21"/>
      <c r="AN28" s="21"/>
      <c r="AO28"/>
      <c r="AP28" s="21"/>
      <c r="AQ28" s="5"/>
      <c r="AR28" s="22"/>
      <c r="AS28" s="22"/>
      <c r="AT28" s="22"/>
      <c r="AU28" s="21"/>
      <c r="AV28" s="21"/>
      <c r="AW28" s="23"/>
      <c r="AX28" s="23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</row>
    <row r="29" spans="1:200" s="3" customFormat="1" ht="17.149999999999999" customHeight="1" x14ac:dyDescent="0.35">
      <c r="A29"/>
      <c r="B29" s="5"/>
      <c r="C29" s="5"/>
      <c r="D29" s="5"/>
      <c r="E29" s="54"/>
      <c r="F29" s="54"/>
      <c r="G29" s="180"/>
      <c r="H29" s="180"/>
      <c r="I29" s="180"/>
      <c r="J29" s="180"/>
      <c r="K29" s="20"/>
      <c r="L29" s="5"/>
      <c r="M29" s="5"/>
      <c r="N29" s="5"/>
      <c r="O29" s="5"/>
      <c r="P29" s="54"/>
      <c r="Q29" s="54"/>
      <c r="R29" s="54"/>
      <c r="S29" s="22"/>
      <c r="T29" s="22"/>
      <c r="U29" s="23"/>
      <c r="V29" s="22"/>
      <c r="W29" s="22"/>
      <c r="X29" s="22"/>
      <c r="Y29" s="23"/>
      <c r="Z29" s="22"/>
      <c r="AA29" s="22"/>
      <c r="AB29" s="21"/>
      <c r="AC29" s="23"/>
      <c r="AD29" s="5"/>
      <c r="AE29" s="22"/>
      <c r="AF29" s="22"/>
      <c r="AG29" s="22"/>
      <c r="AH29" s="22"/>
      <c r="AI29" s="21"/>
      <c r="AJ29" s="21"/>
      <c r="AK29" s="21"/>
      <c r="AL29" s="21"/>
      <c r="AM29" s="21"/>
      <c r="AN29" s="21"/>
      <c r="AO29"/>
      <c r="AP29" s="21"/>
      <c r="AQ29" s="5"/>
      <c r="AR29" s="22"/>
      <c r="AS29" s="22"/>
      <c r="AT29" s="22"/>
      <c r="AU29" s="21"/>
      <c r="AV29" s="21"/>
      <c r="AW29" s="23"/>
      <c r="AX29" s="23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</row>
    <row r="30" spans="1:200" s="3" customFormat="1" ht="17.149999999999999" customHeight="1" x14ac:dyDescent="0.35">
      <c r="A30"/>
      <c r="B30" s="5"/>
      <c r="C30" s="5"/>
      <c r="D30" s="5"/>
      <c r="E30" s="54"/>
      <c r="F30" s="54"/>
      <c r="G30" s="180"/>
      <c r="H30" s="180"/>
      <c r="I30" s="180"/>
      <c r="J30" s="180"/>
      <c r="K30" s="20"/>
      <c r="L30" s="5"/>
      <c r="M30" s="5"/>
      <c r="N30" s="5"/>
      <c r="O30" s="5"/>
      <c r="P30" s="54"/>
      <c r="Q30" s="54"/>
      <c r="R30" s="54"/>
      <c r="S30" s="22"/>
      <c r="T30" s="22"/>
      <c r="U30" s="23"/>
      <c r="V30" s="22"/>
      <c r="W30" s="22"/>
      <c r="X30" s="22"/>
      <c r="Y30" s="23"/>
      <c r="Z30" s="22"/>
      <c r="AA30" s="22"/>
      <c r="AB30" s="21"/>
      <c r="AC30" s="23"/>
      <c r="AD30" s="5"/>
      <c r="AE30" s="22"/>
      <c r="AF30" s="22"/>
      <c r="AG30" s="22"/>
      <c r="AH30" s="22"/>
      <c r="AI30" s="21"/>
      <c r="AJ30" s="21"/>
      <c r="AK30" s="21"/>
      <c r="AL30" s="21"/>
      <c r="AM30" s="21"/>
      <c r="AN30" s="21"/>
      <c r="AO30"/>
      <c r="AP30" s="21"/>
      <c r="AQ30" s="5"/>
      <c r="AR30" s="22"/>
      <c r="AS30" s="22"/>
      <c r="AT30" s="22"/>
      <c r="AU30" s="21"/>
      <c r="AV30" s="21"/>
      <c r="AW30" s="23"/>
      <c r="AX30" s="23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</row>
    <row r="31" spans="1:200" s="3" customFormat="1" ht="17.149999999999999" customHeight="1" x14ac:dyDescent="0.35">
      <c r="A31"/>
      <c r="B31" s="5"/>
      <c r="C31" s="5"/>
      <c r="D31" s="5"/>
      <c r="E31" s="54"/>
      <c r="F31" s="54"/>
      <c r="G31" s="180"/>
      <c r="H31" s="180"/>
      <c r="I31" s="180"/>
      <c r="J31" s="180"/>
      <c r="K31" s="20"/>
      <c r="L31" s="5"/>
      <c r="M31" s="5"/>
      <c r="N31" s="5"/>
      <c r="O31" s="5"/>
      <c r="P31" s="54"/>
      <c r="Q31" s="54"/>
      <c r="R31" s="54"/>
      <c r="S31" s="22"/>
      <c r="T31" s="22"/>
      <c r="U31" s="23"/>
      <c r="V31" s="22"/>
      <c r="W31" s="22"/>
      <c r="X31" s="22"/>
      <c r="Y31" s="23"/>
      <c r="Z31" s="22"/>
      <c r="AA31" s="22"/>
      <c r="AB31" s="21"/>
      <c r="AC31" s="23"/>
      <c r="AD31" s="5"/>
      <c r="AE31" s="22"/>
      <c r="AF31" s="22"/>
      <c r="AG31" s="22"/>
      <c r="AH31" s="22"/>
      <c r="AI31" s="21"/>
      <c r="AJ31" s="21"/>
      <c r="AK31" s="21"/>
      <c r="AL31" s="21"/>
      <c r="AM31" s="21"/>
      <c r="AN31" s="21"/>
      <c r="AO31"/>
      <c r="AP31" s="21"/>
      <c r="AQ31" s="5"/>
      <c r="AR31" s="22"/>
      <c r="AS31" s="22"/>
      <c r="AT31" s="22"/>
      <c r="AU31" s="21"/>
      <c r="AV31" s="21"/>
      <c r="AW31" s="23"/>
      <c r="AX31" s="23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</row>
    <row r="32" spans="1:200" s="3" customFormat="1" ht="17.149999999999999" customHeight="1" x14ac:dyDescent="0.35">
      <c r="A32"/>
      <c r="B32" s="5"/>
      <c r="C32" s="5"/>
      <c r="D32" s="5"/>
      <c r="E32" s="54"/>
      <c r="F32" s="54"/>
      <c r="G32" s="180"/>
      <c r="H32" s="180"/>
      <c r="I32" s="180"/>
      <c r="J32" s="180"/>
      <c r="K32" s="20"/>
      <c r="L32" s="5"/>
      <c r="M32" s="5"/>
      <c r="N32" s="5"/>
      <c r="O32" s="5"/>
      <c r="P32" s="54"/>
      <c r="Q32" s="54"/>
      <c r="R32" s="54"/>
      <c r="S32" s="22"/>
      <c r="T32" s="22"/>
      <c r="U32" s="23"/>
      <c r="V32" s="22"/>
      <c r="W32" s="22"/>
      <c r="X32" s="22"/>
      <c r="Y32" s="23"/>
      <c r="Z32" s="22"/>
      <c r="AA32" s="22"/>
      <c r="AB32" s="21"/>
      <c r="AC32" s="23"/>
      <c r="AD32" s="5"/>
      <c r="AE32" s="22"/>
      <c r="AF32" s="22"/>
      <c r="AG32" s="22"/>
      <c r="AH32" s="22"/>
      <c r="AI32" s="21"/>
      <c r="AJ32" s="21"/>
      <c r="AK32" s="21"/>
      <c r="AL32" s="21"/>
      <c r="AM32" s="21"/>
      <c r="AN32" s="21"/>
      <c r="AO32"/>
      <c r="AP32" s="21"/>
      <c r="AQ32" s="5"/>
      <c r="AR32" s="22"/>
      <c r="AS32" s="22"/>
      <c r="AT32" s="22"/>
      <c r="AU32" s="21"/>
      <c r="AV32" s="21"/>
      <c r="AW32" s="23"/>
      <c r="AX32" s="23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</row>
    <row r="33" spans="1:162" s="3" customFormat="1" ht="17.149999999999999" customHeight="1" x14ac:dyDescent="0.35">
      <c r="A33"/>
      <c r="B33" s="5"/>
      <c r="C33" s="5"/>
      <c r="D33" s="5"/>
      <c r="E33" s="54"/>
      <c r="F33" s="54"/>
      <c r="G33" s="180"/>
      <c r="H33" s="180"/>
      <c r="I33" s="180"/>
      <c r="J33" s="180"/>
      <c r="K33" s="20"/>
      <c r="L33" s="5"/>
      <c r="M33" s="5"/>
      <c r="N33" s="5"/>
      <c r="O33" s="5"/>
      <c r="P33" s="54"/>
      <c r="Q33" s="54"/>
      <c r="R33" s="54"/>
      <c r="S33" s="22"/>
      <c r="T33" s="22"/>
      <c r="U33" s="23"/>
      <c r="V33" s="22"/>
      <c r="W33" s="22"/>
      <c r="X33" s="22"/>
      <c r="Y33" s="23"/>
      <c r="Z33" s="22"/>
      <c r="AA33" s="22"/>
      <c r="AB33" s="21"/>
      <c r="AC33" s="23"/>
      <c r="AD33" s="5"/>
      <c r="AE33" s="22"/>
      <c r="AF33" s="22"/>
      <c r="AG33" s="22"/>
      <c r="AH33" s="22"/>
      <c r="AI33" s="21"/>
      <c r="AJ33" s="21"/>
      <c r="AK33" s="21"/>
      <c r="AL33" s="21"/>
      <c r="AM33" s="21"/>
      <c r="AN33" s="21"/>
      <c r="AO33"/>
      <c r="AP33" s="21"/>
      <c r="AQ33" s="5"/>
      <c r="AR33" s="22"/>
      <c r="AS33" s="22"/>
      <c r="AT33" s="22"/>
      <c r="AU33" s="21"/>
      <c r="AV33" s="21"/>
      <c r="AW33" s="23"/>
      <c r="AX33" s="2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</row>
    <row r="34" spans="1:162" s="3" customFormat="1" ht="17.149999999999999" customHeight="1" x14ac:dyDescent="0.35">
      <c r="A34"/>
      <c r="B34" s="5"/>
      <c r="C34" s="5"/>
      <c r="D34" s="5"/>
      <c r="E34" s="54"/>
      <c r="F34" s="54"/>
      <c r="G34" s="180"/>
      <c r="H34" s="180"/>
      <c r="I34" s="180"/>
      <c r="J34" s="180"/>
      <c r="K34" s="20"/>
      <c r="L34" s="5"/>
      <c r="M34" s="5"/>
      <c r="N34" s="5"/>
      <c r="O34" s="5"/>
      <c r="P34" s="54"/>
      <c r="Q34" s="54"/>
      <c r="R34" s="54"/>
      <c r="S34" s="22"/>
      <c r="T34" s="22"/>
      <c r="U34" s="23"/>
      <c r="V34" s="22"/>
      <c r="W34" s="22"/>
      <c r="X34" s="22"/>
      <c r="Y34" s="23"/>
      <c r="Z34" s="22"/>
      <c r="AA34" s="22"/>
      <c r="AB34" s="21"/>
      <c r="AC34" s="23"/>
      <c r="AD34" s="5"/>
      <c r="AE34" s="22"/>
      <c r="AF34" s="22"/>
      <c r="AG34" s="22"/>
      <c r="AH34" s="22"/>
      <c r="AI34" s="21"/>
      <c r="AJ34" s="21"/>
      <c r="AK34" s="21"/>
      <c r="AL34" s="21"/>
      <c r="AM34" s="21"/>
      <c r="AN34" s="21"/>
      <c r="AO34"/>
      <c r="AP34" s="21"/>
      <c r="AQ34" s="5"/>
      <c r="AR34" s="22"/>
      <c r="AS34" s="22"/>
      <c r="AT34" s="22"/>
      <c r="AU34" s="21"/>
      <c r="AV34" s="21"/>
      <c r="AW34" s="23"/>
      <c r="AX34" s="23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</row>
    <row r="35" spans="1:162" s="3" customFormat="1" ht="17.149999999999999" customHeight="1" x14ac:dyDescent="0.35">
      <c r="A35"/>
      <c r="B35" s="5"/>
      <c r="C35" s="5"/>
      <c r="D35" s="5"/>
      <c r="E35" s="54"/>
      <c r="F35" s="54"/>
      <c r="G35" s="180"/>
      <c r="H35" s="180"/>
      <c r="I35" s="180"/>
      <c r="J35" s="180"/>
      <c r="K35" s="20"/>
      <c r="L35" s="5"/>
      <c r="M35" s="5"/>
      <c r="N35" s="5"/>
      <c r="O35" s="5"/>
      <c r="P35" s="54"/>
      <c r="Q35" s="54"/>
      <c r="R35" s="54"/>
      <c r="S35" s="22"/>
      <c r="T35" s="22"/>
      <c r="U35" s="23"/>
      <c r="V35" s="22"/>
      <c r="W35" s="22"/>
      <c r="X35" s="22"/>
      <c r="Y35" s="23"/>
      <c r="Z35" s="22"/>
      <c r="AA35" s="22"/>
      <c r="AB35" s="21"/>
      <c r="AC35" s="23"/>
      <c r="AD35" s="5"/>
      <c r="AE35" s="22"/>
      <c r="AF35" s="22"/>
      <c r="AG35" s="22"/>
      <c r="AH35" s="22"/>
      <c r="AI35" s="21"/>
      <c r="AJ35" s="21"/>
      <c r="AK35" s="21"/>
      <c r="AL35" s="21"/>
      <c r="AM35" s="21"/>
      <c r="AN35" s="21"/>
      <c r="AO35"/>
      <c r="AP35" s="21"/>
      <c r="AQ35" s="5"/>
      <c r="AR35" s="22"/>
      <c r="AS35" s="22"/>
      <c r="AT35" s="22"/>
      <c r="AU35" s="21"/>
      <c r="AV35" s="21"/>
      <c r="AW35" s="23"/>
      <c r="AX35" s="23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</row>
    <row r="36" spans="1:162" s="3" customFormat="1" ht="17.149999999999999" customHeight="1" x14ac:dyDescent="0.35">
      <c r="A36"/>
      <c r="B36" s="5"/>
      <c r="C36" s="5"/>
      <c r="D36" s="5"/>
      <c r="E36" s="54"/>
      <c r="F36" s="54"/>
      <c r="G36" s="180"/>
      <c r="H36" s="180"/>
      <c r="I36" s="180"/>
      <c r="J36" s="180"/>
      <c r="K36" s="20"/>
      <c r="L36" s="5"/>
      <c r="M36" s="5"/>
      <c r="N36" s="5"/>
      <c r="O36" s="5"/>
      <c r="P36" s="54"/>
      <c r="Q36" s="54"/>
      <c r="R36" s="54"/>
      <c r="S36" s="22"/>
      <c r="T36" s="22"/>
      <c r="U36" s="23"/>
      <c r="V36" s="22"/>
      <c r="W36" s="22"/>
      <c r="X36" s="22"/>
      <c r="Y36" s="23"/>
      <c r="Z36" s="22"/>
      <c r="AA36" s="22"/>
      <c r="AB36" s="21"/>
      <c r="AC36" s="23"/>
      <c r="AD36" s="5"/>
      <c r="AE36" s="22"/>
      <c r="AF36" s="22"/>
      <c r="AG36" s="22"/>
      <c r="AH36" s="22"/>
      <c r="AI36" s="21"/>
      <c r="AJ36" s="21"/>
      <c r="AK36" s="21"/>
      <c r="AL36" s="21"/>
      <c r="AM36" s="21"/>
      <c r="AN36" s="21"/>
      <c r="AO36"/>
      <c r="AP36" s="21"/>
      <c r="AQ36" s="5"/>
      <c r="AR36" s="22"/>
      <c r="AS36" s="22"/>
      <c r="AT36" s="22"/>
      <c r="AU36" s="21"/>
      <c r="AV36" s="21"/>
      <c r="AW36" s="23"/>
      <c r="AX36" s="23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</row>
    <row r="37" spans="1:162" s="3" customFormat="1" ht="17.149999999999999" customHeight="1" x14ac:dyDescent="0.35">
      <c r="A37"/>
      <c r="B37" s="5"/>
      <c r="C37" s="5"/>
      <c r="D37" s="5"/>
      <c r="E37" s="54"/>
      <c r="F37" s="54"/>
      <c r="G37" s="180"/>
      <c r="H37" s="180"/>
      <c r="I37" s="180"/>
      <c r="J37" s="180"/>
      <c r="K37" s="20"/>
      <c r="L37" s="5"/>
      <c r="M37" s="5"/>
      <c r="N37" s="5"/>
      <c r="O37" s="5"/>
      <c r="P37" s="54"/>
      <c r="Q37" s="54"/>
      <c r="R37" s="54"/>
      <c r="S37" s="22"/>
      <c r="T37" s="22"/>
      <c r="U37" s="23"/>
      <c r="V37" s="22"/>
      <c r="W37" s="22"/>
      <c r="X37" s="22"/>
      <c r="Y37" s="23"/>
      <c r="Z37" s="22"/>
      <c r="AA37" s="22"/>
      <c r="AB37" s="21"/>
      <c r="AC37" s="23"/>
      <c r="AD37" s="5"/>
      <c r="AE37" s="22"/>
      <c r="AF37" s="22"/>
      <c r="AG37" s="22"/>
      <c r="AH37" s="22"/>
      <c r="AI37" s="21"/>
      <c r="AJ37" s="21"/>
      <c r="AK37" s="21"/>
      <c r="AL37" s="21"/>
      <c r="AM37" s="21"/>
      <c r="AN37" s="21"/>
      <c r="AO37"/>
      <c r="AP37" s="21"/>
      <c r="AQ37" s="5"/>
      <c r="AR37" s="22"/>
      <c r="AS37" s="22"/>
      <c r="AT37" s="22"/>
      <c r="AU37" s="21"/>
      <c r="AV37" s="21"/>
      <c r="AW37" s="23"/>
      <c r="AX37" s="23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</row>
    <row r="38" spans="1:162" s="3" customFormat="1" ht="18.649999999999999" customHeight="1" x14ac:dyDescent="0.35">
      <c r="A38"/>
      <c r="B38" s="5"/>
      <c r="C38" s="5"/>
      <c r="D38" s="5"/>
      <c r="E38" s="54"/>
      <c r="F38" s="54"/>
      <c r="G38" s="180"/>
      <c r="H38" s="180"/>
      <c r="I38" s="180"/>
      <c r="J38" s="180"/>
      <c r="K38" s="20"/>
      <c r="L38" s="5"/>
      <c r="M38" s="5"/>
      <c r="N38" s="5"/>
      <c r="O38" s="5"/>
      <c r="P38" s="54"/>
      <c r="Q38" s="54"/>
      <c r="R38" s="54"/>
      <c r="S38" s="22"/>
      <c r="T38" s="22"/>
      <c r="U38" s="23"/>
      <c r="V38" s="22"/>
      <c r="W38" s="22"/>
      <c r="X38" s="22"/>
      <c r="Y38" s="23"/>
      <c r="Z38" s="22"/>
      <c r="AA38" s="22"/>
      <c r="AB38" s="21"/>
      <c r="AC38" s="23"/>
      <c r="AD38" s="5"/>
      <c r="AE38" s="22"/>
      <c r="AF38" s="22"/>
      <c r="AG38" s="22"/>
      <c r="AH38" s="22"/>
      <c r="AI38" s="21"/>
      <c r="AJ38" s="21"/>
      <c r="AK38" s="21"/>
      <c r="AL38" s="21"/>
      <c r="AM38" s="21"/>
      <c r="AN38" s="21"/>
      <c r="AO38"/>
      <c r="AP38" s="21"/>
      <c r="AQ38" s="5"/>
      <c r="AR38" s="22"/>
      <c r="AS38" s="22"/>
      <c r="AT38" s="22"/>
      <c r="AU38" s="21"/>
      <c r="AV38" s="21"/>
      <c r="AW38" s="23"/>
      <c r="AX38" s="23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</row>
    <row r="39" spans="1:162" s="3" customFormat="1" ht="18.649999999999999" customHeight="1" x14ac:dyDescent="0.35">
      <c r="A39"/>
      <c r="B39" s="5"/>
      <c r="C39" s="5"/>
      <c r="D39" s="5"/>
      <c r="E39" s="54"/>
      <c r="F39" s="54"/>
      <c r="G39" s="180"/>
      <c r="H39" s="180"/>
      <c r="I39" s="180"/>
      <c r="J39" s="180"/>
      <c r="K39" s="20"/>
      <c r="L39" s="5"/>
      <c r="M39" s="5"/>
      <c r="N39" s="5"/>
      <c r="O39" s="5"/>
      <c r="P39" s="54"/>
      <c r="Q39" s="54"/>
      <c r="R39" s="54"/>
      <c r="S39" s="22"/>
      <c r="T39" s="22"/>
      <c r="U39" s="23"/>
      <c r="V39" s="22"/>
      <c r="W39" s="22"/>
      <c r="X39" s="22"/>
      <c r="Y39" s="23"/>
      <c r="Z39" s="22"/>
      <c r="AA39" s="22"/>
      <c r="AB39" s="21"/>
      <c r="AC39" s="23"/>
      <c r="AD39" s="5"/>
      <c r="AE39" s="22"/>
      <c r="AF39" s="22"/>
      <c r="AG39" s="22"/>
      <c r="AH39" s="22"/>
      <c r="AI39" s="21"/>
      <c r="AJ39" s="21"/>
      <c r="AK39" s="21"/>
      <c r="AL39" s="21"/>
      <c r="AM39" s="21"/>
      <c r="AN39" s="21"/>
      <c r="AO39"/>
      <c r="AP39" s="21"/>
      <c r="AQ39" s="5"/>
      <c r="AR39" s="22"/>
      <c r="AS39" s="22"/>
      <c r="AT39" s="22"/>
      <c r="AU39" s="21"/>
      <c r="AV39" s="21"/>
      <c r="AW39" s="23"/>
      <c r="AX39" s="23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</row>
    <row r="40" spans="1:162" s="3" customFormat="1" ht="18" customHeight="1" x14ac:dyDescent="0.35">
      <c r="A40"/>
      <c r="B40" s="5"/>
      <c r="C40" s="5"/>
      <c r="D40" s="5"/>
      <c r="E40" s="54"/>
      <c r="F40" s="54"/>
      <c r="G40" s="180"/>
      <c r="H40" s="180"/>
      <c r="I40" s="180"/>
      <c r="J40" s="180"/>
      <c r="K40" s="20"/>
      <c r="L40" s="5"/>
      <c r="M40" s="5"/>
      <c r="N40" s="5"/>
      <c r="O40" s="5"/>
      <c r="P40" s="54"/>
      <c r="Q40" s="54"/>
      <c r="R40" s="54"/>
      <c r="S40" s="22"/>
      <c r="T40" s="22"/>
      <c r="U40" s="23"/>
      <c r="V40" s="22"/>
      <c r="W40" s="22"/>
      <c r="X40" s="22"/>
      <c r="Y40" s="23"/>
      <c r="Z40" s="22"/>
      <c r="AA40" s="22"/>
      <c r="AB40" s="21"/>
      <c r="AC40" s="23"/>
      <c r="AD40" s="5"/>
      <c r="AE40" s="22"/>
      <c r="AF40" s="22"/>
      <c r="AG40" s="22"/>
      <c r="AH40" s="22"/>
      <c r="AI40" s="21"/>
      <c r="AJ40" s="21"/>
      <c r="AK40" s="21"/>
      <c r="AL40" s="21"/>
      <c r="AM40" s="21"/>
      <c r="AN40" s="21"/>
      <c r="AO40"/>
      <c r="AP40" s="21"/>
      <c r="AQ40" s="5"/>
      <c r="AR40" s="22"/>
      <c r="AS40" s="22"/>
      <c r="AT40" s="22"/>
      <c r="AU40" s="21"/>
      <c r="AV40" s="21"/>
      <c r="AW40" s="23"/>
      <c r="AX40" s="23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</row>
    <row r="41" spans="1:162" ht="25.5" customHeight="1" x14ac:dyDescent="0.35">
      <c r="BT41"/>
      <c r="BU41"/>
      <c r="BX41"/>
      <c r="BY41"/>
      <c r="BZ41"/>
      <c r="CA41"/>
      <c r="CB41"/>
      <c r="CC41"/>
      <c r="CD41"/>
      <c r="CP41"/>
      <c r="CQ41"/>
      <c r="CR41"/>
      <c r="CS41"/>
      <c r="CT41"/>
      <c r="CU41"/>
      <c r="CV41"/>
      <c r="CY41"/>
      <c r="CZ41"/>
      <c r="DA41"/>
      <c r="DB41"/>
      <c r="DC41"/>
      <c r="DD41"/>
      <c r="DE41"/>
      <c r="DH41"/>
      <c r="DI41"/>
      <c r="DJ41"/>
      <c r="DK41"/>
      <c r="DL41"/>
      <c r="DM41"/>
      <c r="DN41"/>
      <c r="DQ41"/>
      <c r="DR41"/>
      <c r="DS41"/>
      <c r="DT41"/>
      <c r="DU41"/>
      <c r="DV41"/>
      <c r="DW41"/>
      <c r="DZ41"/>
      <c r="EA41"/>
      <c r="EB41"/>
      <c r="EC41"/>
      <c r="ED41"/>
      <c r="EE41"/>
      <c r="EF41"/>
      <c r="EI41"/>
      <c r="EJ41"/>
      <c r="EK41"/>
      <c r="EL41"/>
      <c r="EM41"/>
      <c r="EN41"/>
      <c r="EO41"/>
      <c r="ER41"/>
      <c r="ES41"/>
      <c r="ET41"/>
      <c r="EU41"/>
      <c r="EV41"/>
      <c r="EW41"/>
      <c r="EX41"/>
    </row>
    <row r="42" spans="1:162" ht="14.15" customHeight="1" x14ac:dyDescent="0.35">
      <c r="BT42"/>
      <c r="BU42"/>
      <c r="BX42"/>
      <c r="BY42"/>
      <c r="BZ42"/>
      <c r="CA42"/>
      <c r="CB42"/>
      <c r="CC42"/>
      <c r="CD42"/>
      <c r="CP42"/>
      <c r="CQ42"/>
      <c r="CR42"/>
      <c r="CS42"/>
      <c r="CT42"/>
      <c r="CU42"/>
      <c r="CV42"/>
      <c r="CY42"/>
      <c r="CZ42"/>
      <c r="DA42"/>
      <c r="DB42"/>
      <c r="DC42"/>
      <c r="DD42"/>
      <c r="DE42"/>
      <c r="DH42"/>
      <c r="DI42"/>
      <c r="DJ42"/>
      <c r="DK42"/>
      <c r="DL42"/>
      <c r="DM42"/>
      <c r="DN42"/>
      <c r="DQ42"/>
      <c r="DR42"/>
      <c r="DS42"/>
      <c r="DT42"/>
      <c r="DU42"/>
      <c r="DV42"/>
      <c r="DW42"/>
      <c r="DZ42"/>
      <c r="EA42"/>
      <c r="EB42"/>
      <c r="EC42"/>
      <c r="ED42"/>
      <c r="EE42"/>
      <c r="EF42"/>
      <c r="EI42"/>
      <c r="EJ42"/>
      <c r="EK42"/>
      <c r="EL42"/>
      <c r="EM42"/>
      <c r="EN42"/>
      <c r="EO42"/>
      <c r="ER42"/>
      <c r="ES42"/>
      <c r="ET42"/>
      <c r="EU42"/>
      <c r="EV42"/>
      <c r="EW42"/>
      <c r="EX42"/>
    </row>
    <row r="43" spans="1:162" s="10" customFormat="1" ht="14.15" customHeight="1" x14ac:dyDescent="0.35">
      <c r="A43"/>
      <c r="B43" s="5"/>
      <c r="C43" s="5"/>
      <c r="D43" s="5"/>
      <c r="E43" s="54"/>
      <c r="F43" s="54"/>
      <c r="G43" s="180"/>
      <c r="H43" s="180"/>
      <c r="I43" s="180"/>
      <c r="J43" s="180"/>
      <c r="K43" s="20"/>
      <c r="L43" s="5"/>
      <c r="M43" s="5"/>
      <c r="N43" s="5"/>
      <c r="O43" s="5"/>
      <c r="P43" s="54"/>
      <c r="Q43" s="54"/>
      <c r="R43" s="54"/>
      <c r="S43" s="22"/>
      <c r="T43" s="22"/>
      <c r="U43" s="23"/>
      <c r="V43" s="22"/>
      <c r="W43" s="22"/>
      <c r="X43" s="22"/>
      <c r="Y43" s="23"/>
      <c r="Z43" s="22"/>
      <c r="AA43" s="22"/>
      <c r="AB43" s="21"/>
      <c r="AC43" s="23"/>
      <c r="AD43" s="5"/>
      <c r="AE43" s="22"/>
      <c r="AF43" s="22"/>
      <c r="AG43" s="22"/>
      <c r="AH43" s="22"/>
      <c r="AI43" s="21"/>
      <c r="AJ43" s="21"/>
      <c r="AK43" s="21"/>
      <c r="AL43" s="21"/>
      <c r="AM43" s="21"/>
      <c r="AN43" s="21"/>
      <c r="AO43"/>
      <c r="AP43" s="21"/>
      <c r="AQ43" s="5"/>
      <c r="AR43" s="22"/>
      <c r="AS43" s="22"/>
      <c r="AT43" s="22"/>
      <c r="AU43" s="21"/>
      <c r="AV43" s="21"/>
      <c r="AW43" s="23"/>
      <c r="AX43" s="2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</row>
    <row r="44" spans="1:162" ht="22.5" customHeight="1" x14ac:dyDescent="0.35">
      <c r="BT44"/>
      <c r="BU44"/>
      <c r="BX44"/>
      <c r="BY44"/>
      <c r="BZ44"/>
      <c r="CA44"/>
      <c r="CB44"/>
      <c r="CC44"/>
      <c r="CD44"/>
      <c r="CP44"/>
      <c r="CQ44"/>
      <c r="CR44"/>
      <c r="CS44"/>
      <c r="CT44"/>
      <c r="CU44"/>
      <c r="CV44"/>
      <c r="CY44"/>
      <c r="CZ44"/>
      <c r="DA44"/>
      <c r="DB44"/>
      <c r="DC44"/>
      <c r="DD44"/>
      <c r="DE44"/>
      <c r="DH44"/>
      <c r="DI44"/>
      <c r="DJ44"/>
      <c r="DK44"/>
      <c r="DL44"/>
      <c r="DM44"/>
      <c r="DN44"/>
      <c r="DQ44"/>
      <c r="DR44"/>
      <c r="DS44"/>
      <c r="DT44"/>
      <c r="DU44"/>
      <c r="DV44"/>
      <c r="DW44"/>
      <c r="DZ44"/>
      <c r="EA44"/>
      <c r="EB44"/>
      <c r="EC44"/>
      <c r="ED44"/>
      <c r="EE44"/>
      <c r="EF44"/>
      <c r="EI44"/>
      <c r="EJ44"/>
      <c r="EK44"/>
      <c r="EL44"/>
      <c r="EM44"/>
      <c r="EN44"/>
      <c r="EO44"/>
      <c r="ER44"/>
      <c r="ES44"/>
      <c r="ET44"/>
      <c r="EU44"/>
      <c r="EV44"/>
      <c r="EW44"/>
      <c r="EX44"/>
    </row>
    <row r="45" spans="1:162" x14ac:dyDescent="0.35">
      <c r="BT45"/>
      <c r="BU45"/>
      <c r="BX45"/>
      <c r="BY45"/>
      <c r="BZ45"/>
      <c r="CA45"/>
      <c r="CB45"/>
      <c r="CC45"/>
      <c r="CD45"/>
      <c r="CP45"/>
      <c r="CQ45"/>
      <c r="CR45"/>
      <c r="CS45"/>
      <c r="CT45"/>
      <c r="CU45"/>
      <c r="CV45"/>
      <c r="CY45"/>
      <c r="CZ45"/>
      <c r="DA45"/>
      <c r="DB45"/>
      <c r="DC45"/>
      <c r="DD45"/>
      <c r="DE45"/>
      <c r="DH45"/>
      <c r="DI45"/>
      <c r="DJ45"/>
      <c r="DK45"/>
      <c r="DL45"/>
      <c r="DM45"/>
      <c r="DN45"/>
      <c r="DQ45"/>
      <c r="DR45"/>
      <c r="DS45"/>
      <c r="DT45"/>
      <c r="DU45"/>
      <c r="DV45"/>
      <c r="DW45"/>
      <c r="DZ45"/>
      <c r="EA45"/>
      <c r="EB45"/>
      <c r="EC45"/>
      <c r="ED45"/>
      <c r="EE45"/>
      <c r="EF45"/>
      <c r="EI45"/>
      <c r="EJ45"/>
      <c r="EK45"/>
      <c r="EL45"/>
      <c r="EM45"/>
      <c r="EN45"/>
      <c r="EO45"/>
      <c r="ER45"/>
      <c r="ES45"/>
      <c r="ET45"/>
      <c r="EU45"/>
      <c r="EV45"/>
      <c r="EW45"/>
      <c r="EX45"/>
    </row>
    <row r="46" spans="1:162" x14ac:dyDescent="0.35">
      <c r="BT46"/>
      <c r="BU46"/>
      <c r="BX46"/>
      <c r="BY46"/>
      <c r="BZ46"/>
      <c r="CA46"/>
      <c r="CB46"/>
      <c r="CC46"/>
      <c r="CD46"/>
      <c r="CP46"/>
      <c r="CQ46"/>
      <c r="CR46"/>
      <c r="CS46"/>
      <c r="CT46"/>
      <c r="CU46"/>
      <c r="CV46"/>
      <c r="CY46"/>
      <c r="CZ46"/>
      <c r="DA46"/>
      <c r="DB46"/>
      <c r="DC46"/>
      <c r="DD46"/>
      <c r="DE46"/>
      <c r="DH46"/>
      <c r="DI46"/>
      <c r="DJ46"/>
      <c r="DK46"/>
      <c r="DL46"/>
      <c r="DM46"/>
      <c r="DN46"/>
      <c r="DQ46"/>
      <c r="DR46"/>
      <c r="DS46"/>
      <c r="DT46"/>
      <c r="DU46"/>
      <c r="DV46"/>
      <c r="DW46"/>
      <c r="DZ46"/>
      <c r="EA46"/>
      <c r="EB46"/>
      <c r="EC46"/>
      <c r="ED46"/>
      <c r="EE46"/>
      <c r="EF46"/>
      <c r="EI46"/>
      <c r="EJ46"/>
      <c r="EK46"/>
      <c r="EL46"/>
      <c r="EM46"/>
      <c r="EN46"/>
      <c r="EO46"/>
      <c r="ER46"/>
      <c r="ES46"/>
      <c r="ET46"/>
      <c r="EU46"/>
      <c r="EV46"/>
      <c r="EW46"/>
      <c r="EX46"/>
    </row>
    <row r="47" spans="1:162" x14ac:dyDescent="0.35">
      <c r="BT47"/>
      <c r="BU47"/>
      <c r="BX47"/>
      <c r="BY47"/>
      <c r="BZ47"/>
      <c r="CA47"/>
      <c r="CB47"/>
      <c r="CC47"/>
      <c r="CD47"/>
      <c r="CP47"/>
      <c r="CQ47"/>
      <c r="CR47"/>
      <c r="CS47"/>
      <c r="CT47"/>
      <c r="CU47"/>
      <c r="CV47"/>
      <c r="CY47"/>
      <c r="CZ47"/>
      <c r="DA47"/>
      <c r="DB47"/>
      <c r="DC47"/>
      <c r="DD47"/>
      <c r="DE47"/>
      <c r="DH47"/>
      <c r="DI47"/>
      <c r="DJ47"/>
      <c r="DK47"/>
      <c r="DL47"/>
      <c r="DM47"/>
      <c r="DN47"/>
      <c r="DQ47"/>
      <c r="DR47"/>
      <c r="DS47"/>
      <c r="DT47"/>
      <c r="DU47"/>
      <c r="DV47"/>
      <c r="DW47"/>
      <c r="DZ47"/>
      <c r="EA47"/>
      <c r="EB47"/>
      <c r="EC47"/>
      <c r="ED47"/>
      <c r="EE47"/>
      <c r="EF47"/>
      <c r="EI47"/>
      <c r="EJ47"/>
      <c r="EK47"/>
      <c r="EL47"/>
      <c r="EM47"/>
      <c r="EN47"/>
      <c r="EO47"/>
      <c r="ER47"/>
      <c r="ES47"/>
      <c r="ET47"/>
      <c r="EU47"/>
      <c r="EV47"/>
      <c r="EW47"/>
      <c r="EX47"/>
    </row>
    <row r="48" spans="1:162" x14ac:dyDescent="0.35">
      <c r="BT48"/>
      <c r="BU48"/>
      <c r="BX48"/>
      <c r="BY48"/>
      <c r="BZ48"/>
      <c r="CA48"/>
      <c r="CB48"/>
      <c r="CC48"/>
      <c r="CD48"/>
      <c r="CP48"/>
      <c r="CQ48"/>
      <c r="CR48"/>
      <c r="CS48"/>
      <c r="CT48"/>
      <c r="CU48"/>
      <c r="CV48"/>
      <c r="CY48"/>
      <c r="CZ48"/>
      <c r="DA48"/>
      <c r="DB48"/>
      <c r="DC48"/>
      <c r="DD48"/>
      <c r="DE48"/>
      <c r="DH48"/>
      <c r="DI48"/>
      <c r="DJ48"/>
      <c r="DK48"/>
      <c r="DL48"/>
      <c r="DM48"/>
      <c r="DN48"/>
      <c r="DQ48"/>
      <c r="DR48"/>
      <c r="DS48"/>
      <c r="DT48"/>
      <c r="DU48"/>
      <c r="DV48"/>
      <c r="DW48"/>
      <c r="DZ48"/>
      <c r="EA48"/>
      <c r="EB48"/>
      <c r="EC48"/>
      <c r="ED48"/>
      <c r="EE48"/>
      <c r="EF48"/>
      <c r="EI48"/>
      <c r="EJ48"/>
      <c r="EK48"/>
      <c r="EL48"/>
      <c r="EM48"/>
      <c r="EN48"/>
      <c r="EO48"/>
      <c r="ER48"/>
      <c r="ES48"/>
      <c r="ET48"/>
      <c r="EU48"/>
      <c r="EV48"/>
      <c r="EW48"/>
      <c r="EX48"/>
    </row>
    <row r="49" spans="72:154" x14ac:dyDescent="0.35">
      <c r="BT49"/>
      <c r="BU49"/>
      <c r="BX49"/>
      <c r="BY49"/>
      <c r="BZ49"/>
      <c r="CA49"/>
      <c r="CB49"/>
      <c r="CC49"/>
      <c r="CD49"/>
      <c r="CP49"/>
      <c r="CQ49"/>
      <c r="CR49"/>
      <c r="CS49"/>
      <c r="CT49"/>
      <c r="CU49"/>
      <c r="CV49"/>
      <c r="CY49"/>
      <c r="CZ49"/>
      <c r="DA49"/>
      <c r="DB49"/>
      <c r="DC49"/>
      <c r="DD49"/>
      <c r="DE49"/>
      <c r="DH49"/>
      <c r="DI49"/>
      <c r="DJ49"/>
      <c r="DK49"/>
      <c r="DL49"/>
      <c r="DM49"/>
      <c r="DN49"/>
      <c r="DQ49"/>
      <c r="DR49"/>
      <c r="DS49"/>
      <c r="DT49"/>
      <c r="DU49"/>
      <c r="DV49"/>
      <c r="DW49"/>
      <c r="DZ49"/>
      <c r="EA49"/>
      <c r="EB49"/>
      <c r="EC49"/>
      <c r="ED49"/>
      <c r="EE49"/>
      <c r="EF49"/>
      <c r="EI49"/>
      <c r="EJ49"/>
      <c r="EK49"/>
      <c r="EL49"/>
      <c r="EM49"/>
      <c r="EN49"/>
      <c r="EO49"/>
      <c r="ER49"/>
      <c r="ES49"/>
      <c r="ET49"/>
      <c r="EU49"/>
      <c r="EV49"/>
      <c r="EW49"/>
      <c r="EX49"/>
    </row>
    <row r="50" spans="72:154" x14ac:dyDescent="0.35">
      <c r="BT50"/>
      <c r="BU50"/>
      <c r="BX50"/>
      <c r="BY50"/>
      <c r="BZ50"/>
      <c r="CA50"/>
      <c r="CB50"/>
      <c r="CC50"/>
      <c r="CD50"/>
      <c r="CP50"/>
      <c r="CQ50"/>
      <c r="CR50"/>
      <c r="CS50"/>
      <c r="CT50"/>
      <c r="CU50"/>
      <c r="CV50"/>
      <c r="CY50"/>
      <c r="CZ50"/>
      <c r="DA50"/>
      <c r="DB50"/>
      <c r="DC50"/>
      <c r="DD50"/>
      <c r="DE50"/>
      <c r="DH50"/>
      <c r="DI50"/>
      <c r="DJ50"/>
      <c r="DK50"/>
      <c r="DL50"/>
      <c r="DM50"/>
      <c r="DN50"/>
      <c r="DQ50"/>
      <c r="DR50"/>
      <c r="DS50"/>
      <c r="DT50"/>
      <c r="DU50"/>
      <c r="DV50"/>
      <c r="DW50"/>
      <c r="DZ50"/>
      <c r="EA50"/>
      <c r="EB50"/>
      <c r="EC50"/>
      <c r="ED50"/>
      <c r="EE50"/>
      <c r="EF50"/>
      <c r="EI50"/>
      <c r="EJ50"/>
      <c r="EK50"/>
      <c r="EL50"/>
      <c r="EM50"/>
      <c r="EN50"/>
      <c r="EO50"/>
      <c r="ER50"/>
      <c r="ES50"/>
      <c r="ET50"/>
      <c r="EU50"/>
      <c r="EV50"/>
      <c r="EW50"/>
      <c r="EX50"/>
    </row>
    <row r="51" spans="72:154" x14ac:dyDescent="0.35">
      <c r="BT51"/>
      <c r="BU51"/>
      <c r="BX51"/>
      <c r="BY51"/>
      <c r="BZ51"/>
      <c r="CA51"/>
      <c r="CB51"/>
      <c r="CC51"/>
      <c r="CD51"/>
      <c r="CP51"/>
      <c r="CQ51"/>
      <c r="CR51"/>
      <c r="CS51"/>
      <c r="CT51"/>
      <c r="CU51"/>
      <c r="CV51"/>
      <c r="CY51"/>
      <c r="CZ51"/>
      <c r="DA51"/>
      <c r="DB51"/>
      <c r="DC51"/>
      <c r="DD51"/>
      <c r="DE51"/>
      <c r="DH51"/>
      <c r="DI51"/>
      <c r="DJ51"/>
      <c r="DK51"/>
      <c r="DL51"/>
      <c r="DM51"/>
      <c r="DN51"/>
      <c r="DQ51"/>
      <c r="DR51"/>
      <c r="DS51"/>
      <c r="DT51"/>
      <c r="DU51"/>
      <c r="DV51"/>
      <c r="DW51"/>
      <c r="DZ51"/>
      <c r="EA51"/>
      <c r="EB51"/>
      <c r="EC51"/>
      <c r="ED51"/>
      <c r="EE51"/>
      <c r="EF51"/>
      <c r="EI51"/>
      <c r="EJ51"/>
      <c r="EK51"/>
      <c r="EL51"/>
      <c r="EM51"/>
      <c r="EN51"/>
      <c r="EO51"/>
      <c r="ER51"/>
      <c r="ES51"/>
      <c r="ET51"/>
      <c r="EU51"/>
      <c r="EV51"/>
      <c r="EW51"/>
      <c r="EX51"/>
    </row>
    <row r="52" spans="72:154" x14ac:dyDescent="0.35">
      <c r="BT52"/>
      <c r="BU52"/>
      <c r="BX52"/>
      <c r="BY52"/>
      <c r="BZ52"/>
      <c r="CA52"/>
      <c r="CB52"/>
      <c r="CC52"/>
      <c r="CD52"/>
      <c r="CP52"/>
      <c r="CQ52"/>
      <c r="CR52"/>
      <c r="CS52"/>
      <c r="CT52"/>
      <c r="CU52"/>
      <c r="CV52"/>
      <c r="CY52"/>
      <c r="CZ52"/>
      <c r="DA52"/>
      <c r="DB52"/>
      <c r="DC52"/>
      <c r="DD52"/>
      <c r="DE52"/>
      <c r="DH52"/>
      <c r="DI52"/>
      <c r="DJ52"/>
      <c r="DK52"/>
      <c r="DL52"/>
      <c r="DM52"/>
      <c r="DN52"/>
      <c r="DQ52"/>
      <c r="DR52"/>
      <c r="DS52"/>
      <c r="DT52"/>
      <c r="DU52"/>
      <c r="DV52"/>
      <c r="DW52"/>
      <c r="DZ52"/>
      <c r="EA52"/>
      <c r="EB52"/>
      <c r="EC52"/>
      <c r="ED52"/>
      <c r="EE52"/>
      <c r="EF52"/>
      <c r="EI52"/>
      <c r="EJ52"/>
      <c r="EK52"/>
      <c r="EL52"/>
      <c r="EM52"/>
      <c r="EN52"/>
      <c r="EO52"/>
      <c r="ER52"/>
      <c r="ES52"/>
      <c r="ET52"/>
      <c r="EU52"/>
      <c r="EV52"/>
      <c r="EW52"/>
      <c r="EX52"/>
    </row>
    <row r="53" spans="72:154" x14ac:dyDescent="0.35">
      <c r="BT53"/>
      <c r="BU53"/>
      <c r="BX53"/>
      <c r="BY53"/>
      <c r="BZ53"/>
      <c r="CA53"/>
      <c r="CB53"/>
      <c r="CC53"/>
      <c r="CD53"/>
      <c r="CP53"/>
      <c r="CQ53"/>
      <c r="CR53"/>
      <c r="CS53"/>
      <c r="CT53"/>
      <c r="CU53"/>
      <c r="CV53"/>
      <c r="CY53"/>
      <c r="CZ53"/>
      <c r="DA53"/>
      <c r="DB53"/>
      <c r="DC53"/>
      <c r="DD53"/>
      <c r="DE53"/>
      <c r="DH53"/>
      <c r="DI53"/>
      <c r="DJ53"/>
      <c r="DK53"/>
      <c r="DL53"/>
      <c r="DM53"/>
      <c r="DN53"/>
      <c r="DQ53"/>
      <c r="DR53"/>
      <c r="DS53"/>
      <c r="DT53"/>
      <c r="DU53"/>
      <c r="DV53"/>
      <c r="DW53"/>
      <c r="DZ53"/>
      <c r="EA53"/>
      <c r="EB53"/>
      <c r="EC53"/>
      <c r="ED53"/>
      <c r="EE53"/>
      <c r="EF53"/>
      <c r="EI53"/>
      <c r="EJ53"/>
      <c r="EK53"/>
      <c r="EL53"/>
      <c r="EM53"/>
      <c r="EN53"/>
      <c r="EO53"/>
      <c r="ER53"/>
      <c r="ES53"/>
      <c r="ET53"/>
      <c r="EU53"/>
      <c r="EV53"/>
      <c r="EW53"/>
      <c r="EX53"/>
    </row>
    <row r="54" spans="72:154" x14ac:dyDescent="0.35">
      <c r="BT54"/>
      <c r="BU54"/>
      <c r="BX54"/>
      <c r="BY54"/>
      <c r="BZ54"/>
      <c r="CA54"/>
      <c r="CB54"/>
      <c r="CC54"/>
      <c r="CD54"/>
      <c r="CP54"/>
      <c r="CQ54"/>
      <c r="CR54"/>
      <c r="CS54"/>
      <c r="CT54"/>
      <c r="CU54"/>
      <c r="CV54"/>
      <c r="CY54"/>
      <c r="CZ54"/>
      <c r="DA54"/>
      <c r="DB54"/>
      <c r="DC54"/>
      <c r="DD54"/>
      <c r="DE54"/>
      <c r="DH54"/>
      <c r="DI54"/>
      <c r="DJ54"/>
      <c r="DK54"/>
      <c r="DL54"/>
      <c r="DM54"/>
      <c r="DN54"/>
      <c r="DQ54"/>
      <c r="DR54"/>
      <c r="DS54"/>
      <c r="DT54"/>
      <c r="DU54"/>
      <c r="DV54"/>
      <c r="DW54"/>
      <c r="DZ54"/>
      <c r="EA54"/>
      <c r="EB54"/>
      <c r="EC54"/>
      <c r="ED54"/>
      <c r="EE54"/>
      <c r="EF54"/>
      <c r="EI54"/>
      <c r="EJ54"/>
      <c r="EK54"/>
      <c r="EL54"/>
      <c r="EM54"/>
      <c r="EN54"/>
      <c r="EO54"/>
      <c r="ER54"/>
      <c r="ES54"/>
      <c r="ET54"/>
      <c r="EU54"/>
      <c r="EV54"/>
      <c r="EW54"/>
      <c r="EX54"/>
    </row>
    <row r="55" spans="72:154" x14ac:dyDescent="0.35">
      <c r="BT55"/>
      <c r="BU55"/>
      <c r="BX55"/>
      <c r="BY55"/>
      <c r="BZ55"/>
      <c r="CA55"/>
      <c r="CB55"/>
      <c r="CC55"/>
      <c r="CD55"/>
      <c r="CP55"/>
      <c r="CQ55"/>
      <c r="CR55"/>
      <c r="CS55"/>
      <c r="CT55"/>
      <c r="CU55"/>
      <c r="CV55"/>
      <c r="CY55"/>
      <c r="CZ55"/>
      <c r="DA55"/>
      <c r="DB55"/>
      <c r="DC55"/>
      <c r="DD55"/>
      <c r="DE55"/>
      <c r="DH55"/>
      <c r="DI55"/>
      <c r="DJ55"/>
      <c r="DK55"/>
      <c r="DL55"/>
      <c r="DM55"/>
      <c r="DN55"/>
      <c r="DQ55"/>
      <c r="DR55"/>
      <c r="DS55"/>
      <c r="DT55"/>
      <c r="DU55"/>
      <c r="DV55"/>
      <c r="DW55"/>
      <c r="DZ55"/>
      <c r="EA55"/>
      <c r="EB55"/>
      <c r="EC55"/>
      <c r="ED55"/>
      <c r="EE55"/>
      <c r="EF55"/>
      <c r="EI55"/>
      <c r="EJ55"/>
      <c r="EK55"/>
      <c r="EL55"/>
      <c r="EM55"/>
      <c r="EN55"/>
      <c r="EO55"/>
      <c r="ER55"/>
      <c r="ES55"/>
      <c r="ET55"/>
      <c r="EU55"/>
      <c r="EV55"/>
      <c r="EW55"/>
      <c r="EX55"/>
    </row>
    <row r="56" spans="72:154" x14ac:dyDescent="0.35">
      <c r="BT56"/>
      <c r="BU56"/>
      <c r="BX56"/>
      <c r="BY56"/>
      <c r="BZ56"/>
      <c r="CA56"/>
      <c r="CB56"/>
      <c r="CC56"/>
      <c r="CD56"/>
      <c r="CP56"/>
      <c r="CQ56"/>
      <c r="CR56"/>
      <c r="CS56"/>
      <c r="CT56"/>
      <c r="CU56"/>
      <c r="CV56"/>
      <c r="CY56"/>
      <c r="CZ56"/>
      <c r="DA56"/>
      <c r="DB56"/>
      <c r="DC56"/>
      <c r="DD56"/>
      <c r="DE56"/>
      <c r="DH56"/>
      <c r="DI56"/>
      <c r="DJ56"/>
      <c r="DK56"/>
      <c r="DL56"/>
      <c r="DM56"/>
      <c r="DN56"/>
      <c r="DQ56"/>
      <c r="DR56"/>
      <c r="DS56"/>
      <c r="DT56"/>
      <c r="DU56"/>
      <c r="DV56"/>
      <c r="DW56"/>
      <c r="DZ56"/>
      <c r="EA56"/>
      <c r="EB56"/>
      <c r="EC56"/>
      <c r="ED56"/>
      <c r="EE56"/>
      <c r="EF56"/>
      <c r="EI56"/>
      <c r="EJ56"/>
      <c r="EK56"/>
      <c r="EL56"/>
      <c r="EM56"/>
      <c r="EN56"/>
      <c r="EO56"/>
      <c r="ER56"/>
      <c r="ES56"/>
      <c r="ET56"/>
      <c r="EU56"/>
      <c r="EV56"/>
      <c r="EW56"/>
      <c r="EX56"/>
    </row>
    <row r="57" spans="72:154" x14ac:dyDescent="0.35">
      <c r="BT57"/>
      <c r="BU57"/>
      <c r="BX57"/>
      <c r="BY57"/>
      <c r="BZ57"/>
      <c r="CA57"/>
      <c r="CB57"/>
      <c r="CC57"/>
      <c r="CD57"/>
      <c r="CP57"/>
      <c r="CQ57"/>
      <c r="CR57"/>
      <c r="CS57"/>
      <c r="CT57"/>
      <c r="CU57"/>
      <c r="CV57"/>
      <c r="CY57"/>
      <c r="CZ57"/>
      <c r="DA57"/>
      <c r="DB57"/>
      <c r="DC57"/>
      <c r="DD57"/>
      <c r="DE57"/>
      <c r="DH57"/>
      <c r="DI57"/>
      <c r="DJ57"/>
      <c r="DK57"/>
      <c r="DL57"/>
      <c r="DM57"/>
      <c r="DN57"/>
      <c r="DQ57"/>
      <c r="DR57"/>
      <c r="DS57"/>
      <c r="DT57"/>
      <c r="DU57"/>
      <c r="DV57"/>
      <c r="DW57"/>
      <c r="DZ57"/>
      <c r="EA57"/>
      <c r="EB57"/>
      <c r="EC57"/>
      <c r="ED57"/>
      <c r="EE57"/>
      <c r="EF57"/>
      <c r="EI57"/>
      <c r="EJ57"/>
      <c r="EK57"/>
      <c r="EL57"/>
      <c r="EM57"/>
      <c r="EN57"/>
      <c r="EO57"/>
      <c r="ER57"/>
      <c r="ES57"/>
      <c r="ET57"/>
      <c r="EU57"/>
      <c r="EV57"/>
      <c r="EW57"/>
      <c r="EX57"/>
    </row>
    <row r="58" spans="72:154" x14ac:dyDescent="0.35">
      <c r="BT58"/>
      <c r="BU58"/>
      <c r="BX58"/>
      <c r="BY58"/>
      <c r="BZ58"/>
      <c r="CA58"/>
      <c r="CB58"/>
      <c r="CC58"/>
      <c r="CD58"/>
      <c r="CP58"/>
      <c r="CQ58"/>
      <c r="CR58"/>
      <c r="CS58"/>
      <c r="CT58"/>
      <c r="CU58"/>
      <c r="CV58"/>
      <c r="CY58"/>
      <c r="CZ58"/>
      <c r="DA58"/>
      <c r="DB58"/>
      <c r="DC58"/>
      <c r="DD58"/>
      <c r="DE58"/>
      <c r="DH58"/>
      <c r="DI58"/>
      <c r="DJ58"/>
      <c r="DK58"/>
      <c r="DL58"/>
      <c r="DM58"/>
      <c r="DN58"/>
      <c r="DQ58"/>
      <c r="DR58"/>
      <c r="DS58"/>
      <c r="DT58"/>
      <c r="DU58"/>
      <c r="DV58"/>
      <c r="DW58"/>
      <c r="DZ58"/>
      <c r="EA58"/>
      <c r="EB58"/>
      <c r="EC58"/>
      <c r="ED58"/>
      <c r="EE58"/>
      <c r="EF58"/>
      <c r="EI58"/>
      <c r="EJ58"/>
      <c r="EK58"/>
      <c r="EL58"/>
      <c r="EM58"/>
      <c r="EN58"/>
      <c r="EO58"/>
      <c r="ER58"/>
      <c r="ES58"/>
      <c r="ET58"/>
      <c r="EU58"/>
      <c r="EV58"/>
      <c r="EW58"/>
      <c r="EX58"/>
    </row>
    <row r="59" spans="72:154" x14ac:dyDescent="0.35">
      <c r="BT59"/>
      <c r="BU59"/>
      <c r="BX59"/>
      <c r="BY59"/>
      <c r="BZ59"/>
      <c r="CA59"/>
      <c r="CB59"/>
      <c r="CC59"/>
      <c r="CD59"/>
      <c r="CP59"/>
      <c r="CQ59"/>
      <c r="CR59"/>
      <c r="CS59"/>
      <c r="CT59"/>
      <c r="CU59"/>
      <c r="CV59"/>
      <c r="CY59"/>
      <c r="CZ59"/>
      <c r="DA59"/>
      <c r="DB59"/>
      <c r="DC59"/>
      <c r="DD59"/>
      <c r="DE59"/>
      <c r="DH59"/>
      <c r="DI59"/>
      <c r="DJ59"/>
      <c r="DK59"/>
      <c r="DL59"/>
      <c r="DM59"/>
      <c r="DN59"/>
      <c r="DQ59"/>
      <c r="DR59"/>
      <c r="DS59"/>
      <c r="DT59"/>
      <c r="DU59"/>
      <c r="DV59"/>
      <c r="DW59"/>
      <c r="DZ59"/>
      <c r="EA59"/>
      <c r="EB59"/>
      <c r="EC59"/>
      <c r="ED59"/>
      <c r="EE59"/>
      <c r="EF59"/>
      <c r="EI59"/>
      <c r="EJ59"/>
      <c r="EK59"/>
      <c r="EL59"/>
      <c r="EM59"/>
      <c r="EN59"/>
      <c r="EO59"/>
      <c r="ER59"/>
      <c r="ES59"/>
      <c r="ET59"/>
      <c r="EU59"/>
      <c r="EV59"/>
      <c r="EW59"/>
      <c r="EX59"/>
    </row>
    <row r="60" spans="72:154" x14ac:dyDescent="0.35">
      <c r="BT60"/>
      <c r="BU60"/>
      <c r="BX60"/>
      <c r="BY60"/>
      <c r="BZ60"/>
      <c r="CA60"/>
      <c r="CB60"/>
      <c r="CC60"/>
      <c r="CD60"/>
      <c r="CP60"/>
      <c r="CQ60"/>
      <c r="CR60"/>
      <c r="CS60"/>
      <c r="CT60"/>
      <c r="CU60"/>
      <c r="CV60"/>
      <c r="CY60"/>
      <c r="CZ60"/>
      <c r="DA60"/>
      <c r="DB60"/>
      <c r="DC60"/>
      <c r="DD60"/>
      <c r="DE60"/>
      <c r="DH60"/>
      <c r="DI60"/>
      <c r="DJ60"/>
      <c r="DK60"/>
      <c r="DL60"/>
      <c r="DM60"/>
      <c r="DN60"/>
      <c r="DQ60"/>
      <c r="DR60"/>
      <c r="DS60"/>
      <c r="DT60"/>
      <c r="DU60"/>
      <c r="DV60"/>
      <c r="DW60"/>
      <c r="DZ60"/>
      <c r="EA60"/>
      <c r="EB60"/>
      <c r="EC60"/>
      <c r="ED60"/>
      <c r="EE60"/>
      <c r="EF60"/>
      <c r="EI60"/>
      <c r="EJ60"/>
      <c r="EK60"/>
      <c r="EL60"/>
      <c r="EM60"/>
      <c r="EN60"/>
      <c r="EO60"/>
      <c r="ER60"/>
      <c r="ES60"/>
      <c r="ET60"/>
      <c r="EU60"/>
      <c r="EV60"/>
      <c r="EW60"/>
      <c r="EX60"/>
    </row>
    <row r="61" spans="72:154" x14ac:dyDescent="0.35">
      <c r="BT61"/>
      <c r="BU61"/>
      <c r="BX61"/>
      <c r="BY61"/>
      <c r="BZ61"/>
      <c r="CA61"/>
      <c r="CB61"/>
      <c r="CC61"/>
      <c r="CD61"/>
      <c r="CP61"/>
      <c r="CQ61"/>
      <c r="CR61"/>
      <c r="CS61"/>
      <c r="CT61"/>
      <c r="CU61"/>
      <c r="CV61"/>
      <c r="CY61"/>
      <c r="CZ61"/>
      <c r="DA61"/>
      <c r="DB61"/>
      <c r="DC61"/>
      <c r="DD61"/>
      <c r="DE61"/>
      <c r="DH61"/>
      <c r="DI61"/>
      <c r="DJ61"/>
      <c r="DK61"/>
      <c r="DL61"/>
      <c r="DM61"/>
      <c r="DN61"/>
      <c r="DQ61"/>
      <c r="DR61"/>
      <c r="DS61"/>
      <c r="DT61"/>
      <c r="DU61"/>
      <c r="DV61"/>
      <c r="DW61"/>
      <c r="DZ61"/>
      <c r="EA61"/>
      <c r="EB61"/>
      <c r="EC61"/>
      <c r="ED61"/>
      <c r="EE61"/>
      <c r="EF61"/>
      <c r="EI61"/>
      <c r="EJ61"/>
      <c r="EK61"/>
      <c r="EL61"/>
      <c r="EM61"/>
      <c r="EN61"/>
      <c r="EO61"/>
      <c r="ER61"/>
      <c r="ES61"/>
      <c r="ET61"/>
      <c r="EU61"/>
      <c r="EV61"/>
      <c r="EW61"/>
      <c r="EX61"/>
    </row>
    <row r="62" spans="72:154" x14ac:dyDescent="0.35">
      <c r="BT62"/>
      <c r="BU62"/>
      <c r="BX62"/>
      <c r="BY62"/>
      <c r="BZ62"/>
      <c r="CA62"/>
      <c r="CB62"/>
      <c r="CC62"/>
      <c r="CD62"/>
      <c r="CP62"/>
      <c r="CQ62"/>
      <c r="CR62"/>
      <c r="CS62"/>
      <c r="CT62"/>
      <c r="CU62"/>
      <c r="CV62"/>
      <c r="CY62"/>
      <c r="CZ62"/>
      <c r="DA62"/>
      <c r="DB62"/>
      <c r="DC62"/>
      <c r="DD62"/>
      <c r="DE62"/>
      <c r="DH62"/>
      <c r="DI62"/>
      <c r="DJ62"/>
      <c r="DK62"/>
      <c r="DL62"/>
      <c r="DM62"/>
      <c r="DN62"/>
      <c r="DQ62"/>
      <c r="DR62"/>
      <c r="DS62"/>
      <c r="DT62"/>
      <c r="DU62"/>
      <c r="DV62"/>
      <c r="DW62"/>
      <c r="DZ62"/>
      <c r="EA62"/>
      <c r="EB62"/>
      <c r="EC62"/>
      <c r="ED62"/>
      <c r="EE62"/>
      <c r="EF62"/>
      <c r="EI62"/>
      <c r="EJ62"/>
      <c r="EK62"/>
      <c r="EL62"/>
      <c r="EM62"/>
      <c r="EN62"/>
      <c r="EO62"/>
      <c r="ER62"/>
      <c r="ES62"/>
      <c r="ET62"/>
      <c r="EU62"/>
      <c r="EV62"/>
      <c r="EW62"/>
      <c r="EX62"/>
    </row>
    <row r="63" spans="72:154" x14ac:dyDescent="0.35">
      <c r="BT63"/>
      <c r="BU63"/>
      <c r="BX63"/>
      <c r="BY63"/>
      <c r="BZ63"/>
      <c r="CA63"/>
      <c r="CB63"/>
      <c r="CC63"/>
      <c r="CD63"/>
      <c r="CP63"/>
      <c r="CQ63"/>
      <c r="CR63"/>
      <c r="CS63"/>
      <c r="CT63"/>
      <c r="CU63"/>
      <c r="CV63"/>
      <c r="CY63"/>
      <c r="CZ63"/>
      <c r="DA63"/>
      <c r="DB63"/>
      <c r="DC63"/>
      <c r="DD63"/>
      <c r="DE63"/>
      <c r="DH63"/>
      <c r="DI63"/>
      <c r="DJ63"/>
      <c r="DK63"/>
      <c r="DL63"/>
      <c r="DM63"/>
      <c r="DN63"/>
      <c r="DQ63"/>
      <c r="DR63"/>
      <c r="DS63"/>
      <c r="DT63"/>
      <c r="DU63"/>
      <c r="DV63"/>
      <c r="DW63"/>
      <c r="DZ63"/>
      <c r="EA63"/>
      <c r="EB63"/>
      <c r="EC63"/>
      <c r="ED63"/>
      <c r="EE63"/>
      <c r="EF63"/>
      <c r="EI63"/>
      <c r="EJ63"/>
      <c r="EK63"/>
      <c r="EL63"/>
      <c r="EM63"/>
      <c r="EN63"/>
      <c r="EO63"/>
      <c r="ER63"/>
      <c r="ES63"/>
      <c r="ET63"/>
      <c r="EU63"/>
      <c r="EV63"/>
      <c r="EW63"/>
      <c r="EX63"/>
    </row>
    <row r="64" spans="72:154" x14ac:dyDescent="0.35">
      <c r="BT64"/>
      <c r="BU64"/>
      <c r="BX64"/>
      <c r="BY64"/>
      <c r="BZ64"/>
      <c r="CA64"/>
      <c r="CB64"/>
      <c r="CC64"/>
      <c r="CD64"/>
      <c r="CP64"/>
      <c r="CQ64"/>
      <c r="CR64"/>
      <c r="CS64"/>
      <c r="CT64"/>
      <c r="CU64"/>
      <c r="CV64"/>
      <c r="CY64"/>
      <c r="CZ64"/>
      <c r="DA64"/>
      <c r="DB64"/>
      <c r="DC64"/>
      <c r="DD64"/>
      <c r="DE64"/>
      <c r="DH64"/>
      <c r="DI64"/>
      <c r="DJ64"/>
      <c r="DK64"/>
      <c r="DL64"/>
      <c r="DM64"/>
      <c r="DN64"/>
      <c r="DQ64"/>
      <c r="DR64"/>
      <c r="DS64"/>
      <c r="DT64"/>
      <c r="DU64"/>
      <c r="DV64"/>
      <c r="DW64"/>
      <c r="DZ64"/>
      <c r="EA64"/>
      <c r="EB64"/>
      <c r="EC64"/>
      <c r="ED64"/>
      <c r="EE64"/>
      <c r="EF64"/>
      <c r="EI64"/>
      <c r="EJ64"/>
      <c r="EK64"/>
      <c r="EL64"/>
      <c r="EM64"/>
      <c r="EN64"/>
      <c r="EO64"/>
      <c r="ER64"/>
      <c r="ES64"/>
      <c r="ET64"/>
      <c r="EU64"/>
      <c r="EV64"/>
      <c r="EW64"/>
      <c r="EX64"/>
    </row>
    <row r="65" spans="72:154" x14ac:dyDescent="0.35">
      <c r="BT65"/>
      <c r="BU65"/>
      <c r="BX65"/>
      <c r="BY65"/>
      <c r="BZ65"/>
      <c r="CA65"/>
      <c r="CB65"/>
      <c r="CC65"/>
      <c r="CD65"/>
      <c r="CP65"/>
      <c r="CQ65"/>
      <c r="CR65"/>
      <c r="CS65"/>
      <c r="CT65"/>
      <c r="CU65"/>
      <c r="CV65"/>
      <c r="CY65"/>
      <c r="CZ65"/>
      <c r="DA65"/>
      <c r="DB65"/>
      <c r="DC65"/>
      <c r="DD65"/>
      <c r="DE65"/>
      <c r="DH65"/>
      <c r="DI65"/>
      <c r="DJ65"/>
      <c r="DK65"/>
      <c r="DL65"/>
      <c r="DM65"/>
      <c r="DN65"/>
      <c r="DQ65"/>
      <c r="DR65"/>
      <c r="DS65"/>
      <c r="DT65"/>
      <c r="DU65"/>
      <c r="DV65"/>
      <c r="DW65"/>
      <c r="DZ65"/>
      <c r="EA65"/>
      <c r="EB65"/>
      <c r="EC65"/>
      <c r="ED65"/>
      <c r="EE65"/>
      <c r="EF65"/>
      <c r="EI65"/>
      <c r="EJ65"/>
      <c r="EK65"/>
      <c r="EL65"/>
      <c r="EM65"/>
      <c r="EN65"/>
      <c r="EO65"/>
      <c r="ER65"/>
      <c r="ES65"/>
      <c r="ET65"/>
      <c r="EU65"/>
      <c r="EV65"/>
      <c r="EW65"/>
      <c r="EX65"/>
    </row>
    <row r="66" spans="72:154" x14ac:dyDescent="0.35">
      <c r="BT66"/>
      <c r="BU66"/>
      <c r="BX66"/>
      <c r="BY66"/>
      <c r="BZ66"/>
      <c r="CA66"/>
      <c r="CB66"/>
      <c r="CC66"/>
      <c r="CD66"/>
      <c r="CP66"/>
      <c r="CQ66"/>
      <c r="CR66"/>
      <c r="CS66"/>
      <c r="CT66"/>
      <c r="CU66"/>
      <c r="CV66"/>
      <c r="CY66"/>
      <c r="CZ66"/>
      <c r="DA66"/>
      <c r="DB66"/>
      <c r="DC66"/>
      <c r="DD66"/>
      <c r="DE66"/>
      <c r="DH66"/>
      <c r="DI66"/>
      <c r="DJ66"/>
      <c r="DK66"/>
      <c r="DL66"/>
      <c r="DM66"/>
      <c r="DN66"/>
      <c r="DQ66"/>
      <c r="DR66"/>
      <c r="DS66"/>
      <c r="DT66"/>
      <c r="DU66"/>
      <c r="DV66"/>
      <c r="DW66"/>
      <c r="DZ66"/>
      <c r="EA66"/>
      <c r="EB66"/>
      <c r="EC66"/>
      <c r="ED66"/>
      <c r="EE66"/>
      <c r="EF66"/>
      <c r="EI66"/>
      <c r="EJ66"/>
      <c r="EK66"/>
      <c r="EL66"/>
      <c r="EM66"/>
      <c r="EN66"/>
      <c r="EO66"/>
      <c r="ER66"/>
      <c r="ES66"/>
      <c r="ET66"/>
      <c r="EU66"/>
      <c r="EV66"/>
      <c r="EW66"/>
      <c r="EX66"/>
    </row>
    <row r="67" spans="72:154" x14ac:dyDescent="0.35">
      <c r="BT67"/>
      <c r="BU67"/>
      <c r="BX67"/>
      <c r="BY67"/>
      <c r="BZ67"/>
      <c r="CA67"/>
      <c r="CB67"/>
      <c r="CC67"/>
      <c r="CD67"/>
      <c r="CP67"/>
      <c r="CQ67"/>
      <c r="CR67"/>
      <c r="CS67"/>
      <c r="CT67"/>
      <c r="CU67"/>
      <c r="CV67"/>
      <c r="CY67"/>
      <c r="CZ67"/>
      <c r="DA67"/>
      <c r="DB67"/>
      <c r="DC67"/>
      <c r="DD67"/>
      <c r="DE67"/>
      <c r="DH67"/>
      <c r="DI67"/>
      <c r="DJ67"/>
      <c r="DK67"/>
      <c r="DL67"/>
      <c r="DM67"/>
      <c r="DN67"/>
      <c r="DQ67"/>
      <c r="DR67"/>
      <c r="DS67"/>
      <c r="DT67"/>
      <c r="DU67"/>
      <c r="DV67"/>
      <c r="DW67"/>
      <c r="DZ67"/>
      <c r="EA67"/>
      <c r="EB67"/>
      <c r="EC67"/>
      <c r="ED67"/>
      <c r="EE67"/>
      <c r="EF67"/>
      <c r="EI67"/>
      <c r="EJ67"/>
      <c r="EK67"/>
      <c r="EL67"/>
      <c r="EM67"/>
      <c r="EN67"/>
      <c r="EO67"/>
      <c r="ER67"/>
      <c r="ES67"/>
      <c r="ET67"/>
      <c r="EU67"/>
      <c r="EV67"/>
      <c r="EW67"/>
      <c r="EX67"/>
    </row>
    <row r="68" spans="72:154" x14ac:dyDescent="0.35">
      <c r="BT68"/>
      <c r="BU68"/>
      <c r="BX68"/>
      <c r="BY68"/>
      <c r="BZ68"/>
      <c r="CA68"/>
      <c r="CB68"/>
      <c r="CC68"/>
      <c r="CD68"/>
      <c r="CP68"/>
      <c r="CQ68"/>
      <c r="CR68"/>
      <c r="CS68"/>
      <c r="CT68"/>
      <c r="CU68"/>
      <c r="CV68"/>
      <c r="CY68"/>
      <c r="CZ68"/>
      <c r="DA68"/>
      <c r="DB68"/>
      <c r="DC68"/>
      <c r="DD68"/>
      <c r="DE68"/>
      <c r="DH68"/>
      <c r="DI68"/>
      <c r="DJ68"/>
      <c r="DK68"/>
      <c r="DL68"/>
      <c r="DM68"/>
      <c r="DN68"/>
      <c r="DQ68"/>
      <c r="DR68"/>
      <c r="DS68"/>
      <c r="DT68"/>
      <c r="DU68"/>
      <c r="DV68"/>
      <c r="DW68"/>
      <c r="DZ68"/>
      <c r="EA68"/>
      <c r="EB68"/>
      <c r="EC68"/>
      <c r="ED68"/>
      <c r="EE68"/>
      <c r="EF68"/>
      <c r="EI68"/>
      <c r="EJ68"/>
      <c r="EK68"/>
      <c r="EL68"/>
      <c r="EM68"/>
      <c r="EN68"/>
      <c r="EO68"/>
      <c r="ER68"/>
      <c r="ES68"/>
      <c r="ET68"/>
      <c r="EU68"/>
      <c r="EV68"/>
      <c r="EW68"/>
      <c r="EX68"/>
    </row>
    <row r="69" spans="72:154" x14ac:dyDescent="0.35">
      <c r="BT69"/>
      <c r="BU69"/>
      <c r="BX69"/>
      <c r="BY69"/>
      <c r="BZ69"/>
      <c r="CA69"/>
      <c r="CB69"/>
      <c r="CC69"/>
      <c r="CD69"/>
      <c r="CP69"/>
      <c r="CQ69"/>
      <c r="CR69"/>
      <c r="CS69"/>
      <c r="CT69"/>
      <c r="CU69"/>
      <c r="CV69"/>
      <c r="CY69"/>
      <c r="CZ69"/>
      <c r="DA69"/>
      <c r="DB69"/>
      <c r="DC69"/>
      <c r="DD69"/>
      <c r="DE69"/>
      <c r="DH69"/>
      <c r="DI69"/>
      <c r="DJ69"/>
      <c r="DK69"/>
      <c r="DL69"/>
      <c r="DM69"/>
      <c r="DN69"/>
      <c r="DQ69"/>
      <c r="DR69"/>
      <c r="DS69"/>
      <c r="DT69"/>
      <c r="DU69"/>
      <c r="DV69"/>
      <c r="DW69"/>
      <c r="DZ69"/>
      <c r="EA69"/>
      <c r="EB69"/>
      <c r="EC69"/>
      <c r="ED69"/>
      <c r="EE69"/>
      <c r="EF69"/>
      <c r="EI69"/>
      <c r="EJ69"/>
      <c r="EK69"/>
      <c r="EL69"/>
      <c r="EM69"/>
      <c r="EN69"/>
      <c r="EO69"/>
      <c r="ER69"/>
      <c r="ES69"/>
      <c r="ET69"/>
      <c r="EU69"/>
      <c r="EV69"/>
      <c r="EW69"/>
      <c r="EX69"/>
    </row>
    <row r="70" spans="72:154" x14ac:dyDescent="0.35">
      <c r="BT70"/>
      <c r="BU70"/>
      <c r="BX70"/>
      <c r="BY70"/>
      <c r="BZ70"/>
      <c r="CA70"/>
      <c r="CB70"/>
      <c r="CC70"/>
      <c r="CD70"/>
      <c r="CP70"/>
      <c r="CQ70"/>
      <c r="CR70"/>
      <c r="CS70"/>
      <c r="CT70"/>
      <c r="CU70"/>
      <c r="CV70"/>
      <c r="CY70"/>
      <c r="CZ70"/>
      <c r="DA70"/>
      <c r="DB70"/>
      <c r="DC70"/>
      <c r="DD70"/>
      <c r="DE70"/>
      <c r="DH70"/>
      <c r="DI70"/>
      <c r="DJ70"/>
      <c r="DK70"/>
      <c r="DL70"/>
      <c r="DM70"/>
      <c r="DN70"/>
      <c r="DQ70"/>
      <c r="DR70"/>
      <c r="DS70"/>
      <c r="DT70"/>
      <c r="DU70"/>
      <c r="DV70"/>
      <c r="DW70"/>
      <c r="DZ70"/>
      <c r="EA70"/>
      <c r="EB70"/>
      <c r="EC70"/>
      <c r="ED70"/>
      <c r="EE70"/>
      <c r="EF70"/>
      <c r="EI70"/>
      <c r="EJ70"/>
      <c r="EK70"/>
      <c r="EL70"/>
      <c r="EM70"/>
      <c r="EN70"/>
      <c r="EO70"/>
      <c r="ER70"/>
      <c r="ES70"/>
      <c r="ET70"/>
      <c r="EU70"/>
      <c r="EV70"/>
      <c r="EW70"/>
      <c r="EX70"/>
    </row>
    <row r="71" spans="72:154" x14ac:dyDescent="0.35">
      <c r="BT71"/>
      <c r="BU71"/>
      <c r="BX71"/>
      <c r="BY71"/>
      <c r="BZ71"/>
      <c r="CA71"/>
      <c r="CB71"/>
      <c r="CC71"/>
      <c r="CD71"/>
      <c r="CP71"/>
      <c r="CQ71"/>
      <c r="CR71"/>
      <c r="CS71"/>
      <c r="CT71"/>
      <c r="CU71"/>
      <c r="CV71"/>
      <c r="CY71"/>
      <c r="CZ71"/>
      <c r="DA71"/>
      <c r="DB71"/>
      <c r="DC71"/>
      <c r="DD71"/>
      <c r="DE71"/>
      <c r="DH71"/>
      <c r="DI71"/>
      <c r="DJ71"/>
      <c r="DK71"/>
      <c r="DL71"/>
      <c r="DM71"/>
      <c r="DN71"/>
      <c r="DQ71"/>
      <c r="DR71"/>
      <c r="DS71"/>
      <c r="DT71"/>
      <c r="DU71"/>
      <c r="DV71"/>
      <c r="DW71"/>
      <c r="DZ71"/>
      <c r="EA71"/>
      <c r="EB71"/>
      <c r="EC71"/>
      <c r="ED71"/>
      <c r="EE71"/>
      <c r="EF71"/>
      <c r="EI71"/>
      <c r="EJ71"/>
      <c r="EK71"/>
      <c r="EL71"/>
      <c r="EM71"/>
      <c r="EN71"/>
      <c r="EO71"/>
      <c r="ER71"/>
      <c r="ES71"/>
      <c r="ET71"/>
      <c r="EU71"/>
      <c r="EV71"/>
      <c r="EW71"/>
      <c r="EX71"/>
    </row>
    <row r="72" spans="72:154" x14ac:dyDescent="0.35">
      <c r="BT72"/>
      <c r="BU72"/>
      <c r="BX72"/>
      <c r="BY72"/>
      <c r="BZ72"/>
      <c r="CA72"/>
      <c r="CB72"/>
      <c r="CC72"/>
      <c r="CD72"/>
      <c r="CP72"/>
      <c r="CQ72"/>
      <c r="CR72"/>
      <c r="CS72"/>
      <c r="CT72"/>
      <c r="CU72"/>
      <c r="CV72"/>
      <c r="CY72"/>
      <c r="CZ72"/>
      <c r="DA72"/>
      <c r="DB72"/>
      <c r="DC72"/>
      <c r="DD72"/>
      <c r="DE72"/>
      <c r="DH72"/>
      <c r="DI72"/>
      <c r="DJ72"/>
      <c r="DK72"/>
      <c r="DL72"/>
      <c r="DM72"/>
      <c r="DN72"/>
      <c r="DQ72"/>
      <c r="DR72"/>
      <c r="DS72"/>
      <c r="DT72"/>
      <c r="DU72"/>
      <c r="DV72"/>
      <c r="DW72"/>
      <c r="DZ72"/>
      <c r="EA72"/>
      <c r="EB72"/>
      <c r="EC72"/>
      <c r="ED72"/>
      <c r="EE72"/>
      <c r="EF72"/>
      <c r="EI72"/>
      <c r="EJ72"/>
      <c r="EK72"/>
      <c r="EL72"/>
      <c r="EM72"/>
      <c r="EN72"/>
      <c r="EO72"/>
      <c r="ER72"/>
      <c r="ES72"/>
      <c r="ET72"/>
      <c r="EU72"/>
      <c r="EV72"/>
      <c r="EW72"/>
      <c r="EX72"/>
    </row>
    <row r="73" spans="72:154" x14ac:dyDescent="0.35">
      <c r="BT73"/>
      <c r="BU73"/>
      <c r="BX73"/>
      <c r="BY73"/>
      <c r="BZ73"/>
      <c r="CA73"/>
      <c r="CB73"/>
      <c r="CC73"/>
      <c r="CD73"/>
      <c r="CP73"/>
      <c r="CQ73"/>
      <c r="CR73"/>
      <c r="CS73"/>
      <c r="CT73"/>
      <c r="CU73"/>
      <c r="CV73"/>
      <c r="CY73"/>
      <c r="CZ73"/>
      <c r="DA73"/>
      <c r="DB73"/>
      <c r="DC73"/>
      <c r="DD73"/>
      <c r="DE73"/>
      <c r="DH73"/>
      <c r="DI73"/>
      <c r="DJ73"/>
      <c r="DK73"/>
      <c r="DL73"/>
      <c r="DM73"/>
      <c r="DN73"/>
      <c r="DQ73"/>
      <c r="DR73"/>
      <c r="DS73"/>
      <c r="DT73"/>
      <c r="DU73"/>
      <c r="DV73"/>
      <c r="DW73"/>
      <c r="DZ73"/>
      <c r="EA73"/>
      <c r="EB73"/>
      <c r="EC73"/>
      <c r="ED73"/>
      <c r="EE73"/>
      <c r="EF73"/>
      <c r="EI73"/>
      <c r="EJ73"/>
      <c r="EK73"/>
      <c r="EL73"/>
      <c r="EM73"/>
      <c r="EN73"/>
      <c r="EO73"/>
      <c r="ER73"/>
      <c r="ES73"/>
      <c r="ET73"/>
      <c r="EU73"/>
      <c r="EV73"/>
      <c r="EW73"/>
      <c r="EX73"/>
    </row>
    <row r="74" spans="72:154" x14ac:dyDescent="0.35">
      <c r="BT74"/>
      <c r="BU74"/>
      <c r="BX74"/>
      <c r="BY74"/>
      <c r="BZ74"/>
      <c r="CA74"/>
      <c r="CB74"/>
      <c r="CC74"/>
      <c r="CD74"/>
      <c r="CP74"/>
      <c r="CQ74"/>
      <c r="CR74"/>
      <c r="CS74"/>
      <c r="CT74"/>
      <c r="CU74"/>
      <c r="CV74"/>
      <c r="CY74"/>
      <c r="CZ74"/>
      <c r="DA74"/>
      <c r="DB74"/>
      <c r="DC74"/>
      <c r="DD74"/>
      <c r="DE74"/>
      <c r="DH74"/>
      <c r="DI74"/>
      <c r="DJ74"/>
      <c r="DK74"/>
      <c r="DL74"/>
      <c r="DM74"/>
      <c r="DN74"/>
      <c r="DQ74"/>
      <c r="DR74"/>
      <c r="DS74"/>
      <c r="DT74"/>
      <c r="DU74"/>
      <c r="DV74"/>
      <c r="DW74"/>
      <c r="DZ74"/>
      <c r="EA74"/>
      <c r="EB74"/>
      <c r="EC74"/>
      <c r="ED74"/>
      <c r="EE74"/>
      <c r="EF74"/>
      <c r="EI74"/>
      <c r="EJ74"/>
      <c r="EK74"/>
      <c r="EL74"/>
      <c r="EM74"/>
      <c r="EN74"/>
      <c r="EO74"/>
      <c r="ER74"/>
      <c r="ES74"/>
      <c r="ET74"/>
      <c r="EU74"/>
      <c r="EV74"/>
      <c r="EW74"/>
      <c r="EX74"/>
    </row>
    <row r="75" spans="72:154" x14ac:dyDescent="0.35">
      <c r="BT75"/>
      <c r="BU75"/>
      <c r="BX75"/>
      <c r="BY75"/>
      <c r="BZ75"/>
      <c r="CA75"/>
      <c r="CB75"/>
      <c r="CC75"/>
      <c r="CD75"/>
      <c r="CP75"/>
      <c r="CQ75"/>
      <c r="CR75"/>
      <c r="CS75"/>
      <c r="CT75"/>
      <c r="CU75"/>
      <c r="CV75"/>
      <c r="CY75"/>
      <c r="CZ75"/>
      <c r="DA75"/>
      <c r="DB75"/>
      <c r="DC75"/>
      <c r="DD75"/>
      <c r="DE75"/>
      <c r="DH75"/>
      <c r="DI75"/>
      <c r="DJ75"/>
      <c r="DK75"/>
      <c r="DL75"/>
      <c r="DM75"/>
      <c r="DN75"/>
      <c r="DQ75"/>
      <c r="DR75"/>
      <c r="DS75"/>
      <c r="DT75"/>
      <c r="DU75"/>
      <c r="DV75"/>
      <c r="DW75"/>
      <c r="DZ75"/>
      <c r="EA75"/>
      <c r="EB75"/>
      <c r="EC75"/>
      <c r="ED75"/>
      <c r="EE75"/>
      <c r="EF75"/>
      <c r="EI75"/>
      <c r="EJ75"/>
      <c r="EK75"/>
      <c r="EL75"/>
      <c r="EM75"/>
      <c r="EN75"/>
      <c r="EO75"/>
      <c r="ER75"/>
      <c r="ES75"/>
      <c r="ET75"/>
      <c r="EU75"/>
      <c r="EV75"/>
      <c r="EW75"/>
      <c r="EX75"/>
    </row>
    <row r="76" spans="72:154" x14ac:dyDescent="0.35">
      <c r="BT76"/>
      <c r="BU76"/>
      <c r="BX76"/>
      <c r="BY76"/>
      <c r="BZ76"/>
      <c r="CA76"/>
      <c r="CB76"/>
      <c r="CC76"/>
      <c r="CD76"/>
      <c r="CP76"/>
      <c r="CQ76"/>
      <c r="CR76"/>
      <c r="CS76"/>
      <c r="CT76"/>
      <c r="CU76"/>
      <c r="CV76"/>
      <c r="CY76"/>
      <c r="CZ76"/>
      <c r="DA76"/>
      <c r="DB76"/>
      <c r="DC76"/>
      <c r="DD76"/>
      <c r="DE76"/>
      <c r="DH76"/>
      <c r="DI76"/>
      <c r="DJ76"/>
      <c r="DK76"/>
      <c r="DL76"/>
      <c r="DM76"/>
      <c r="DN76"/>
      <c r="DQ76"/>
      <c r="DR76"/>
      <c r="DS76"/>
      <c r="DT76"/>
      <c r="DU76"/>
      <c r="DV76"/>
      <c r="DW76"/>
      <c r="DZ76"/>
      <c r="EA76"/>
      <c r="EB76"/>
      <c r="EC76"/>
      <c r="ED76"/>
      <c r="EE76"/>
      <c r="EF76"/>
      <c r="EI76"/>
      <c r="EJ76"/>
      <c r="EK76"/>
      <c r="EL76"/>
      <c r="EM76"/>
      <c r="EN76"/>
      <c r="EO76"/>
      <c r="ER76"/>
      <c r="ES76"/>
      <c r="ET76"/>
      <c r="EU76"/>
      <c r="EV76"/>
      <c r="EW76"/>
      <c r="EX76"/>
    </row>
    <row r="77" spans="72:154" x14ac:dyDescent="0.35">
      <c r="BT77"/>
      <c r="BU77"/>
      <c r="BX77"/>
      <c r="BY77"/>
      <c r="BZ77"/>
      <c r="CA77"/>
      <c r="CB77"/>
      <c r="CC77"/>
      <c r="CD77"/>
      <c r="CP77"/>
      <c r="CQ77"/>
      <c r="CR77"/>
      <c r="CS77"/>
      <c r="CT77"/>
      <c r="CU77"/>
      <c r="CV77"/>
      <c r="CY77"/>
      <c r="CZ77"/>
      <c r="DA77"/>
      <c r="DB77"/>
      <c r="DC77"/>
      <c r="DD77"/>
      <c r="DE77"/>
      <c r="DH77"/>
      <c r="DI77"/>
      <c r="DJ77"/>
      <c r="DK77"/>
      <c r="DL77"/>
      <c r="DM77"/>
      <c r="DN77"/>
      <c r="DQ77"/>
      <c r="DR77"/>
      <c r="DS77"/>
      <c r="DT77"/>
      <c r="DU77"/>
      <c r="DV77"/>
      <c r="DW77"/>
      <c r="DZ77"/>
      <c r="EA77"/>
      <c r="EB77"/>
      <c r="EC77"/>
      <c r="ED77"/>
      <c r="EE77"/>
      <c r="EF77"/>
      <c r="EI77"/>
      <c r="EJ77"/>
      <c r="EK77"/>
      <c r="EL77"/>
      <c r="EM77"/>
      <c r="EN77"/>
      <c r="EO77"/>
      <c r="ER77"/>
      <c r="ES77"/>
      <c r="ET77"/>
      <c r="EU77"/>
      <c r="EV77"/>
      <c r="EW77"/>
      <c r="EX77"/>
    </row>
    <row r="78" spans="72:154" x14ac:dyDescent="0.35">
      <c r="BT78"/>
      <c r="BU78"/>
      <c r="BX78"/>
      <c r="BY78"/>
      <c r="BZ78"/>
      <c r="CA78"/>
      <c r="CB78"/>
      <c r="CC78"/>
      <c r="CD78"/>
      <c r="CP78"/>
      <c r="CQ78"/>
      <c r="CR78"/>
      <c r="CS78"/>
      <c r="CT78"/>
      <c r="CU78"/>
      <c r="CV78"/>
      <c r="CY78"/>
      <c r="CZ78"/>
      <c r="DA78"/>
      <c r="DB78"/>
      <c r="DC78"/>
      <c r="DD78"/>
      <c r="DE78"/>
      <c r="DH78"/>
      <c r="DI78"/>
      <c r="DJ78"/>
      <c r="DK78"/>
      <c r="DL78"/>
      <c r="DM78"/>
      <c r="DN78"/>
      <c r="DQ78"/>
      <c r="DR78"/>
      <c r="DS78"/>
      <c r="DT78"/>
      <c r="DU78"/>
      <c r="DV78"/>
      <c r="DW78"/>
      <c r="DZ78"/>
      <c r="EA78"/>
      <c r="EB78"/>
      <c r="EC78"/>
      <c r="ED78"/>
      <c r="EE78"/>
      <c r="EF78"/>
      <c r="EI78"/>
      <c r="EJ78"/>
      <c r="EK78"/>
      <c r="EL78"/>
      <c r="EM78"/>
      <c r="EN78"/>
      <c r="EO78"/>
      <c r="ER78"/>
      <c r="ES78"/>
      <c r="ET78"/>
      <c r="EU78"/>
      <c r="EV78"/>
      <c r="EW78"/>
      <c r="EX78"/>
    </row>
    <row r="79" spans="72:154" x14ac:dyDescent="0.35">
      <c r="BT79"/>
      <c r="BU79"/>
      <c r="BX79"/>
      <c r="BY79"/>
      <c r="BZ79"/>
      <c r="CA79"/>
      <c r="CB79"/>
      <c r="CC79"/>
      <c r="CD79"/>
      <c r="CP79"/>
      <c r="CQ79"/>
      <c r="CR79"/>
      <c r="CS79"/>
      <c r="CT79"/>
      <c r="CU79"/>
      <c r="CV79"/>
      <c r="CY79"/>
      <c r="CZ79"/>
      <c r="DA79"/>
      <c r="DB79"/>
      <c r="DC79"/>
      <c r="DD79"/>
      <c r="DE79"/>
      <c r="DH79"/>
      <c r="DI79"/>
      <c r="DJ79"/>
      <c r="DK79"/>
      <c r="DL79"/>
      <c r="DM79"/>
      <c r="DN79"/>
      <c r="DQ79"/>
      <c r="DR79"/>
      <c r="DS79"/>
      <c r="DT79"/>
      <c r="DU79"/>
      <c r="DV79"/>
      <c r="DW79"/>
      <c r="DZ79"/>
      <c r="EA79"/>
      <c r="EB79"/>
      <c r="EC79"/>
      <c r="ED79"/>
      <c r="EE79"/>
      <c r="EF79"/>
      <c r="EI79"/>
      <c r="EJ79"/>
      <c r="EK79"/>
      <c r="EL79"/>
      <c r="EM79"/>
      <c r="EN79"/>
      <c r="EO79"/>
      <c r="ER79"/>
      <c r="ES79"/>
      <c r="ET79"/>
      <c r="EU79"/>
      <c r="EV79"/>
      <c r="EW79"/>
      <c r="EX79"/>
    </row>
    <row r="80" spans="72:154" x14ac:dyDescent="0.35">
      <c r="BT80"/>
      <c r="BU80"/>
      <c r="BX80"/>
      <c r="BY80"/>
      <c r="BZ80"/>
      <c r="CA80"/>
      <c r="CB80"/>
      <c r="CC80"/>
      <c r="CD80"/>
      <c r="CP80"/>
      <c r="CQ80"/>
      <c r="CR80"/>
      <c r="CS80"/>
      <c r="CT80"/>
      <c r="CU80"/>
      <c r="CV80"/>
      <c r="CY80"/>
      <c r="CZ80"/>
      <c r="DA80"/>
      <c r="DB80"/>
      <c r="DC80"/>
      <c r="DD80"/>
      <c r="DE80"/>
      <c r="DH80"/>
      <c r="DI80"/>
      <c r="DJ80"/>
      <c r="DK80"/>
      <c r="DL80"/>
      <c r="DM80"/>
      <c r="DN80"/>
      <c r="DQ80"/>
      <c r="DR80"/>
      <c r="DS80"/>
      <c r="DT80"/>
      <c r="DU80"/>
      <c r="DV80"/>
      <c r="DW80"/>
      <c r="DZ80"/>
      <c r="EA80"/>
      <c r="EB80"/>
      <c r="EC80"/>
      <c r="ED80"/>
      <c r="EE80"/>
      <c r="EF80"/>
      <c r="EI80"/>
      <c r="EJ80"/>
      <c r="EK80"/>
      <c r="EL80"/>
      <c r="EM80"/>
      <c r="EN80"/>
      <c r="EO80"/>
      <c r="ER80"/>
      <c r="ES80"/>
      <c r="ET80"/>
      <c r="EU80"/>
      <c r="EV80"/>
      <c r="EW80"/>
      <c r="EX80"/>
    </row>
    <row r="81" spans="72:154" x14ac:dyDescent="0.35">
      <c r="BT81"/>
      <c r="BU81"/>
      <c r="BX81"/>
      <c r="BY81"/>
      <c r="BZ81"/>
      <c r="CA81"/>
      <c r="CB81"/>
      <c r="CC81"/>
      <c r="CD81"/>
      <c r="CP81"/>
      <c r="CQ81"/>
      <c r="CR81"/>
      <c r="CS81"/>
      <c r="CT81"/>
      <c r="CU81"/>
      <c r="CV81"/>
      <c r="CY81"/>
      <c r="CZ81"/>
      <c r="DA81"/>
      <c r="DB81"/>
      <c r="DC81"/>
      <c r="DD81"/>
      <c r="DE81"/>
      <c r="DH81"/>
      <c r="DI81"/>
      <c r="DJ81"/>
      <c r="DK81"/>
      <c r="DL81"/>
      <c r="DM81"/>
      <c r="DN81"/>
      <c r="DQ81"/>
      <c r="DR81"/>
      <c r="DS81"/>
      <c r="DT81"/>
      <c r="DU81"/>
      <c r="DV81"/>
      <c r="DW81"/>
      <c r="DZ81"/>
      <c r="EA81"/>
      <c r="EB81"/>
      <c r="EC81"/>
      <c r="ED81"/>
      <c r="EE81"/>
      <c r="EF81"/>
      <c r="EI81"/>
      <c r="EJ81"/>
      <c r="EK81"/>
      <c r="EL81"/>
      <c r="EM81"/>
      <c r="EN81"/>
      <c r="EO81"/>
      <c r="ER81"/>
      <c r="ES81"/>
      <c r="ET81"/>
      <c r="EU81"/>
      <c r="EV81"/>
      <c r="EW81"/>
      <c r="EX81"/>
    </row>
  </sheetData>
  <sheetProtection selectLockedCells="1"/>
  <mergeCells count="76">
    <mergeCell ref="W3:AA3"/>
    <mergeCell ref="AI4:AJ4"/>
    <mergeCell ref="AK4:AL4"/>
    <mergeCell ref="AM4:AN4"/>
    <mergeCell ref="A3:D3"/>
    <mergeCell ref="E3:J3"/>
    <mergeCell ref="N3:R3"/>
    <mergeCell ref="L4:R4"/>
    <mergeCell ref="S3:V3"/>
    <mergeCell ref="B4:F4"/>
    <mergeCell ref="A4:A7"/>
    <mergeCell ref="H5:H7"/>
    <mergeCell ref="I5:I7"/>
    <mergeCell ref="J5:J7"/>
    <mergeCell ref="AF5:AF7"/>
    <mergeCell ref="AB4:AB7"/>
    <mergeCell ref="AO1:AW2"/>
    <mergeCell ref="AO4:AO7"/>
    <mergeCell ref="AP5:AP7"/>
    <mergeCell ref="AQ5:AQ7"/>
    <mergeCell ref="AR5:AR7"/>
    <mergeCell ref="AS5:AS7"/>
    <mergeCell ref="AW5:AW7"/>
    <mergeCell ref="AT5:AT7"/>
    <mergeCell ref="AU5:AU7"/>
    <mergeCell ref="AO3:AS3"/>
    <mergeCell ref="AT3:AX3"/>
    <mergeCell ref="AX5:AX7"/>
    <mergeCell ref="AP4:AW4"/>
    <mergeCell ref="AV5:AV7"/>
    <mergeCell ref="A1:J2"/>
    <mergeCell ref="L5:L7"/>
    <mergeCell ref="O5:O7"/>
    <mergeCell ref="X5:X7"/>
    <mergeCell ref="Y5:Y7"/>
    <mergeCell ref="G5:G7"/>
    <mergeCell ref="V4:W4"/>
    <mergeCell ref="X4:Y4"/>
    <mergeCell ref="B5:B7"/>
    <mergeCell ref="K1:R2"/>
    <mergeCell ref="K4:K7"/>
    <mergeCell ref="Q5:Q7"/>
    <mergeCell ref="M5:M7"/>
    <mergeCell ref="R5:R7"/>
    <mergeCell ref="K3:M3"/>
    <mergeCell ref="P5:P7"/>
    <mergeCell ref="AC5:AC7"/>
    <mergeCell ref="N5:N7"/>
    <mergeCell ref="T4:U4"/>
    <mergeCell ref="AB1:AL2"/>
    <mergeCell ref="AB3:AJ3"/>
    <mergeCell ref="AH4:AH7"/>
    <mergeCell ref="AD5:AD7"/>
    <mergeCell ref="AE5:AE7"/>
    <mergeCell ref="AG5:AG7"/>
    <mergeCell ref="AC4:AG4"/>
    <mergeCell ref="S1:AA2"/>
    <mergeCell ref="S4:S7"/>
    <mergeCell ref="T5:T7"/>
    <mergeCell ref="U5:U7"/>
    <mergeCell ref="V5:V7"/>
    <mergeCell ref="W5:W7"/>
    <mergeCell ref="AM5:AM7"/>
    <mergeCell ref="AL5:AL7"/>
    <mergeCell ref="AK3:AN3"/>
    <mergeCell ref="AI5:AI7"/>
    <mergeCell ref="AN5:AN7"/>
    <mergeCell ref="AJ5:AJ7"/>
    <mergeCell ref="AK5:AK7"/>
    <mergeCell ref="C5:C7"/>
    <mergeCell ref="D5:D7"/>
    <mergeCell ref="E5:E7"/>
    <mergeCell ref="Z4:AA4"/>
    <mergeCell ref="Z5:Z7"/>
    <mergeCell ref="AA5:AA7"/>
    <mergeCell ref="F5:F7"/>
  </mergeCells>
  <pageMargins left="0.23622047244094491" right="0.23622047244094491" top="0.31496062992125984" bottom="0.74803149606299213" header="0.31496062992125984" footer="0.31496062992125984"/>
  <pageSetup scale="96" pageOrder="overThenDown" orientation="portrait" r:id="rId1"/>
  <headerFooter>
    <evenHeader>&amp;L&amp;28Red Lake WPCP&amp;R&amp;28New Plant</evenHeader>
  </headerFooter>
  <colBreaks count="1" manualBreakCount="1">
    <brk id="40" max="22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H124"/>
  <sheetViews>
    <sheetView showGridLines="0" view="pageBreakPreview" zoomScale="75" zoomScaleNormal="100" zoomScaleSheetLayoutView="75" zoomScalePageLayoutView="90" workbookViewId="0">
      <selection activeCell="M20" sqref="M20"/>
    </sheetView>
  </sheetViews>
  <sheetFormatPr defaultColWidth="9.453125" defaultRowHeight="14.5" x14ac:dyDescent="0.35"/>
  <cols>
    <col min="1" max="1" width="11.26953125" style="6" customWidth="1"/>
    <col min="2" max="3" width="6" style="6" customWidth="1"/>
    <col min="4" max="15" width="9.1796875" style="5" customWidth="1"/>
    <col min="16" max="16" width="17.7265625" style="5" customWidth="1"/>
    <col min="17" max="17" width="7.7265625" style="5" customWidth="1"/>
    <col min="18" max="18" width="8.7265625" style="5" customWidth="1"/>
    <col min="19" max="19" width="9.1796875" style="5" customWidth="1"/>
    <col min="20" max="20" width="9.1796875" style="22" customWidth="1"/>
    <col min="21" max="21" width="9.1796875" style="186" customWidth="1"/>
    <col min="22" max="22" width="12.7265625" style="6" customWidth="1"/>
    <col min="23" max="23" width="20.1796875" style="6" customWidth="1"/>
    <col min="24" max="26" width="5.453125" style="6" customWidth="1"/>
    <col min="27" max="27" width="11.453125" style="6" customWidth="1"/>
    <col min="28" max="28" width="12.7265625" style="6" customWidth="1"/>
    <col min="29" max="29" width="20.1796875" style="6" customWidth="1"/>
    <col min="30" max="32" width="5.453125" style="6" customWidth="1"/>
    <col min="33" max="34" width="11.453125" style="6" customWidth="1"/>
    <col min="35" max="35" width="16.453125" customWidth="1"/>
    <col min="36" max="36" width="10" customWidth="1"/>
    <col min="37" max="40" width="11.453125" customWidth="1"/>
    <col min="41" max="41" width="16.453125" customWidth="1"/>
    <col min="42" max="42" width="10" customWidth="1"/>
    <col min="43" max="45" width="11.453125" customWidth="1"/>
    <col min="57" max="57" width="10.26953125" customWidth="1"/>
  </cols>
  <sheetData>
    <row r="1" spans="1:60" s="19" customFormat="1" ht="15" customHeight="1" x14ac:dyDescent="0.35">
      <c r="A1" s="373" t="s">
        <v>222</v>
      </c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  <c r="M1" s="373"/>
      <c r="N1" s="373"/>
      <c r="O1" s="373"/>
      <c r="P1" s="403" t="str">
        <f>IF(A1="","",A1)</f>
        <v>2015</v>
      </c>
      <c r="Q1" s="403"/>
      <c r="R1" s="403"/>
      <c r="S1" s="403"/>
      <c r="T1" s="403"/>
      <c r="U1" s="184"/>
      <c r="V1" s="403" t="str">
        <f>IF(A1="","",A1)</f>
        <v>2015</v>
      </c>
      <c r="W1" s="403"/>
      <c r="X1" s="403"/>
      <c r="Y1" s="403"/>
      <c r="Z1" s="403"/>
      <c r="AA1" s="403"/>
      <c r="AB1" s="403"/>
      <c r="AC1" s="403"/>
      <c r="AD1" s="403"/>
      <c r="AE1" s="403"/>
      <c r="AF1" s="403"/>
      <c r="AG1" s="403"/>
      <c r="AH1" s="403"/>
      <c r="AI1" s="438" t="s">
        <v>223</v>
      </c>
      <c r="AJ1" s="438"/>
      <c r="AK1" s="438"/>
      <c r="AL1" s="438"/>
      <c r="AM1" s="438"/>
      <c r="AN1" s="438"/>
      <c r="AO1" s="438"/>
      <c r="AP1" s="438"/>
      <c r="AQ1" s="438"/>
      <c r="AR1" s="438"/>
      <c r="AS1" s="438"/>
      <c r="AT1" s="438"/>
      <c r="AU1" s="438"/>
      <c r="AV1" s="438"/>
      <c r="AW1" s="307" t="s">
        <v>220</v>
      </c>
      <c r="AX1" s="307"/>
      <c r="AY1" s="307"/>
      <c r="AZ1" s="307"/>
      <c r="BA1" s="307"/>
      <c r="BB1" s="307"/>
      <c r="BC1" s="307"/>
      <c r="BD1" s="307"/>
      <c r="BE1" s="307"/>
      <c r="BF1" s="307"/>
    </row>
    <row r="2" spans="1:60" s="19" customFormat="1" ht="17.149999999999999" customHeight="1" x14ac:dyDescent="0.3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403"/>
      <c r="Q2" s="403"/>
      <c r="R2" s="403"/>
      <c r="S2" s="403"/>
      <c r="T2" s="403"/>
      <c r="U2" s="184"/>
      <c r="V2" s="403"/>
      <c r="W2" s="403"/>
      <c r="X2" s="403"/>
      <c r="Y2" s="403"/>
      <c r="Z2" s="403"/>
      <c r="AA2" s="403"/>
      <c r="AB2" s="403"/>
      <c r="AC2" s="403"/>
      <c r="AD2" s="403"/>
      <c r="AE2" s="403"/>
      <c r="AF2" s="403"/>
      <c r="AG2" s="403"/>
      <c r="AH2" s="403"/>
      <c r="AI2" s="438"/>
      <c r="AJ2" s="438"/>
      <c r="AK2" s="438"/>
      <c r="AL2" s="438"/>
      <c r="AM2" s="438"/>
      <c r="AN2" s="438"/>
      <c r="AO2" s="438"/>
      <c r="AP2" s="438"/>
      <c r="AQ2" s="438"/>
      <c r="AR2" s="438"/>
      <c r="AS2" s="438"/>
      <c r="AT2" s="438"/>
      <c r="AU2" s="438"/>
      <c r="AV2" s="438"/>
      <c r="AW2" s="307"/>
      <c r="AX2" s="307"/>
      <c r="AY2" s="307"/>
      <c r="AZ2" s="307"/>
      <c r="BA2" s="307"/>
      <c r="BB2" s="307"/>
      <c r="BC2" s="307"/>
      <c r="BD2" s="307"/>
      <c r="BE2" s="307"/>
      <c r="BF2" s="307"/>
    </row>
    <row r="3" spans="1:60" ht="25.5" customHeight="1" x14ac:dyDescent="0.25">
      <c r="A3" s="314" t="s">
        <v>449</v>
      </c>
      <c r="B3" s="314"/>
      <c r="C3" s="314"/>
      <c r="D3" s="314"/>
      <c r="E3" s="314"/>
      <c r="F3" s="314"/>
      <c r="G3" s="315" t="s">
        <v>203</v>
      </c>
      <c r="H3" s="315"/>
      <c r="I3" s="315"/>
      <c r="J3" s="315"/>
      <c r="K3" s="315"/>
      <c r="L3" s="315"/>
      <c r="M3" s="315"/>
      <c r="N3" s="315"/>
      <c r="O3" s="315"/>
      <c r="P3" s="314" t="str">
        <f>IF(A3="","",A3)</f>
        <v>Drinking Water System</v>
      </c>
      <c r="Q3" s="314"/>
      <c r="R3" s="314"/>
      <c r="S3" s="314"/>
      <c r="T3" s="314"/>
      <c r="U3" s="182"/>
      <c r="V3" s="427" t="str">
        <f>IF(A3="","",A3)</f>
        <v>Drinking Water System</v>
      </c>
      <c r="W3" s="427"/>
      <c r="X3" s="427"/>
      <c r="Y3" s="427"/>
      <c r="Z3" s="427"/>
      <c r="AA3" s="428" t="s">
        <v>105</v>
      </c>
      <c r="AB3" s="428"/>
      <c r="AC3" s="428"/>
      <c r="AD3" s="428"/>
      <c r="AE3" s="369"/>
      <c r="AF3" s="369"/>
      <c r="AG3" s="428"/>
      <c r="AH3" s="428"/>
      <c r="AI3" s="427" t="str">
        <f>V3</f>
        <v>Drinking Water System</v>
      </c>
      <c r="AJ3" s="427"/>
      <c r="AK3" s="427"/>
      <c r="AL3" s="427"/>
      <c r="AM3" s="427"/>
      <c r="AN3" s="439" t="s">
        <v>145</v>
      </c>
      <c r="AO3" s="439"/>
      <c r="AP3" s="439"/>
      <c r="AQ3" s="439"/>
      <c r="AR3" s="439"/>
      <c r="AS3" s="439"/>
      <c r="AT3" s="439"/>
      <c r="AU3" s="439"/>
      <c r="AV3" s="439"/>
      <c r="AW3" s="314" t="str">
        <f>AI3</f>
        <v>Drinking Water System</v>
      </c>
      <c r="AX3" s="314"/>
      <c r="AY3" s="314"/>
      <c r="AZ3" s="314"/>
      <c r="BA3" s="314"/>
      <c r="BB3" s="440" t="s">
        <v>100</v>
      </c>
      <c r="BC3" s="315"/>
      <c r="BD3" s="315"/>
      <c r="BE3" s="315"/>
      <c r="BF3" s="315"/>
    </row>
    <row r="4" spans="1:60" ht="22.5" customHeight="1" x14ac:dyDescent="0.35">
      <c r="A4" s="405" t="s">
        <v>47</v>
      </c>
      <c r="B4" s="405"/>
      <c r="C4" s="406"/>
      <c r="D4" s="404" t="s">
        <v>38</v>
      </c>
      <c r="E4" s="405"/>
      <c r="F4" s="406"/>
      <c r="G4" s="411" t="s">
        <v>24</v>
      </c>
      <c r="H4" s="412"/>
      <c r="I4" s="412"/>
      <c r="J4" s="413"/>
      <c r="K4" s="416" t="s">
        <v>39</v>
      </c>
      <c r="L4" s="405"/>
      <c r="M4" s="405"/>
      <c r="N4" s="405"/>
      <c r="O4" s="405"/>
      <c r="P4" s="405" t="s">
        <v>47</v>
      </c>
      <c r="Q4" s="405"/>
      <c r="R4" s="405"/>
      <c r="S4" s="405" t="s">
        <v>195</v>
      </c>
      <c r="T4" s="405"/>
      <c r="U4" s="187"/>
      <c r="V4" s="405" t="s">
        <v>53</v>
      </c>
      <c r="W4" s="405"/>
      <c r="X4" s="405"/>
      <c r="Y4" s="405"/>
      <c r="Z4" s="405"/>
      <c r="AA4" s="406"/>
      <c r="AB4" s="420" t="s">
        <v>54</v>
      </c>
      <c r="AC4" s="421"/>
      <c r="AD4" s="421"/>
      <c r="AE4" s="421"/>
      <c r="AF4" s="421"/>
      <c r="AG4" s="421"/>
      <c r="AH4" s="421"/>
      <c r="AI4" s="317" t="s">
        <v>8</v>
      </c>
      <c r="AJ4" s="317" t="s">
        <v>219</v>
      </c>
      <c r="AK4" s="317"/>
      <c r="AL4" s="317"/>
      <c r="AM4" s="317"/>
      <c r="AN4" s="317"/>
      <c r="AO4" s="326" t="s">
        <v>146</v>
      </c>
      <c r="AP4" s="316" t="s">
        <v>136</v>
      </c>
      <c r="AQ4" s="316"/>
      <c r="AR4" s="316" t="s">
        <v>139</v>
      </c>
      <c r="AS4" s="316"/>
      <c r="AT4" s="316" t="s">
        <v>142</v>
      </c>
      <c r="AU4" s="316"/>
      <c r="AV4" s="347" t="s">
        <v>217</v>
      </c>
      <c r="AW4" s="317" t="s">
        <v>1</v>
      </c>
      <c r="AX4" s="344" t="s">
        <v>147</v>
      </c>
      <c r="AY4" s="344"/>
      <c r="AZ4" s="344"/>
      <c r="BA4" s="344"/>
      <c r="BB4" s="344"/>
      <c r="BC4" s="344"/>
      <c r="BD4" s="344"/>
      <c r="BE4" s="263" t="s">
        <v>148</v>
      </c>
      <c r="BF4" s="347" t="s">
        <v>218</v>
      </c>
    </row>
    <row r="5" spans="1:60" ht="31.4" customHeight="1" x14ac:dyDescent="0.35">
      <c r="A5" s="417" t="s">
        <v>48</v>
      </c>
      <c r="B5" s="417" t="s">
        <v>44</v>
      </c>
      <c r="C5" s="407" t="s">
        <v>46</v>
      </c>
      <c r="D5" s="425" t="s">
        <v>45</v>
      </c>
      <c r="E5" s="414" t="s">
        <v>58</v>
      </c>
      <c r="F5" s="409" t="s">
        <v>72</v>
      </c>
      <c r="G5" s="425" t="s">
        <v>45</v>
      </c>
      <c r="H5" s="414" t="s">
        <v>59</v>
      </c>
      <c r="I5" s="414" t="s">
        <v>73</v>
      </c>
      <c r="J5" s="409" t="s">
        <v>61</v>
      </c>
      <c r="K5" s="436" t="s">
        <v>45</v>
      </c>
      <c r="L5" s="414" t="s">
        <v>60</v>
      </c>
      <c r="M5" s="414" t="s">
        <v>74</v>
      </c>
      <c r="N5" s="414" t="s">
        <v>43</v>
      </c>
      <c r="O5" s="414" t="s">
        <v>62</v>
      </c>
      <c r="P5" s="417" t="s">
        <v>48</v>
      </c>
      <c r="Q5" s="417" t="s">
        <v>44</v>
      </c>
      <c r="R5" s="417" t="s">
        <v>46</v>
      </c>
      <c r="S5" s="414" t="s">
        <v>45</v>
      </c>
      <c r="T5" s="422" t="s">
        <v>197</v>
      </c>
      <c r="U5" s="188"/>
      <c r="V5" s="417" t="s">
        <v>48</v>
      </c>
      <c r="W5" s="424" t="s">
        <v>50</v>
      </c>
      <c r="X5" s="417" t="s">
        <v>46</v>
      </c>
      <c r="Y5" s="417" t="s">
        <v>52</v>
      </c>
      <c r="Z5" s="417" t="s">
        <v>51</v>
      </c>
      <c r="AA5" s="407" t="s">
        <v>57</v>
      </c>
      <c r="AB5" s="435" t="s">
        <v>48</v>
      </c>
      <c r="AC5" s="424" t="s">
        <v>50</v>
      </c>
      <c r="AD5" s="424" t="s">
        <v>46</v>
      </c>
      <c r="AE5" s="417" t="s">
        <v>52</v>
      </c>
      <c r="AF5" s="417" t="s">
        <v>51</v>
      </c>
      <c r="AG5" s="417" t="s">
        <v>55</v>
      </c>
      <c r="AH5" s="417" t="s">
        <v>56</v>
      </c>
      <c r="AI5" s="317"/>
      <c r="AJ5" s="353" t="s">
        <v>25</v>
      </c>
      <c r="AK5" s="366" t="s">
        <v>29</v>
      </c>
      <c r="AL5" s="335" t="s">
        <v>4</v>
      </c>
      <c r="AM5" s="335" t="s">
        <v>80</v>
      </c>
      <c r="AN5" s="335" t="s">
        <v>81</v>
      </c>
      <c r="AO5" s="326"/>
      <c r="AP5" s="343" t="s">
        <v>137</v>
      </c>
      <c r="AQ5" s="343" t="s">
        <v>138</v>
      </c>
      <c r="AR5" s="343" t="s">
        <v>140</v>
      </c>
      <c r="AS5" s="343" t="s">
        <v>141</v>
      </c>
      <c r="AT5" s="343" t="s">
        <v>143</v>
      </c>
      <c r="AU5" s="343" t="s">
        <v>144</v>
      </c>
      <c r="AV5" s="347"/>
      <c r="AW5" s="317"/>
      <c r="AX5" s="328" t="s">
        <v>31</v>
      </c>
      <c r="AY5" s="354" t="s">
        <v>22</v>
      </c>
      <c r="AZ5" s="326" t="s">
        <v>4</v>
      </c>
      <c r="BA5" s="326" t="s">
        <v>82</v>
      </c>
      <c r="BB5" s="326" t="s">
        <v>149</v>
      </c>
      <c r="BC5" s="328" t="s">
        <v>23</v>
      </c>
      <c r="BD5" s="327" t="s">
        <v>99</v>
      </c>
      <c r="BE5" s="327" t="s">
        <v>98</v>
      </c>
      <c r="BF5" s="347"/>
    </row>
    <row r="6" spans="1:60" ht="31.4" customHeight="1" x14ac:dyDescent="0.35">
      <c r="A6" s="417"/>
      <c r="B6" s="417"/>
      <c r="C6" s="407"/>
      <c r="D6" s="425"/>
      <c r="E6" s="414"/>
      <c r="F6" s="409"/>
      <c r="G6" s="425"/>
      <c r="H6" s="414"/>
      <c r="I6" s="414"/>
      <c r="J6" s="409"/>
      <c r="K6" s="436"/>
      <c r="L6" s="414"/>
      <c r="M6" s="414"/>
      <c r="N6" s="414"/>
      <c r="O6" s="414"/>
      <c r="P6" s="417"/>
      <c r="Q6" s="417"/>
      <c r="R6" s="417"/>
      <c r="S6" s="414"/>
      <c r="T6" s="422"/>
      <c r="U6" s="188"/>
      <c r="V6" s="417"/>
      <c r="W6" s="418"/>
      <c r="X6" s="417"/>
      <c r="Y6" s="417"/>
      <c r="Z6" s="417"/>
      <c r="AA6" s="407"/>
      <c r="AB6" s="435"/>
      <c r="AC6" s="418"/>
      <c r="AD6" s="418"/>
      <c r="AE6" s="418"/>
      <c r="AF6" s="418"/>
      <c r="AG6" s="417"/>
      <c r="AH6" s="417"/>
      <c r="AI6" s="317"/>
      <c r="AJ6" s="353"/>
      <c r="AK6" s="366"/>
      <c r="AL6" s="335"/>
      <c r="AM6" s="335"/>
      <c r="AN6" s="335"/>
      <c r="AO6" s="326"/>
      <c r="AP6" s="343"/>
      <c r="AQ6" s="343"/>
      <c r="AR6" s="343"/>
      <c r="AS6" s="343"/>
      <c r="AT6" s="343"/>
      <c r="AU6" s="343"/>
      <c r="AV6" s="347"/>
      <c r="AW6" s="317"/>
      <c r="AX6" s="328"/>
      <c r="AY6" s="354"/>
      <c r="AZ6" s="326"/>
      <c r="BA6" s="326"/>
      <c r="BB6" s="326"/>
      <c r="BC6" s="328"/>
      <c r="BD6" s="327"/>
      <c r="BE6" s="327"/>
      <c r="BF6" s="347"/>
    </row>
    <row r="7" spans="1:60" s="3" customFormat="1" ht="31.4" customHeight="1" x14ac:dyDescent="0.35">
      <c r="A7" s="424"/>
      <c r="B7" s="424"/>
      <c r="C7" s="408"/>
      <c r="D7" s="426"/>
      <c r="E7" s="415"/>
      <c r="F7" s="410"/>
      <c r="G7" s="426"/>
      <c r="H7" s="415"/>
      <c r="I7" s="415"/>
      <c r="J7" s="410"/>
      <c r="K7" s="437"/>
      <c r="L7" s="415"/>
      <c r="M7" s="415"/>
      <c r="N7" s="415"/>
      <c r="O7" s="415"/>
      <c r="P7" s="424"/>
      <c r="Q7" s="424"/>
      <c r="R7" s="424"/>
      <c r="S7" s="415"/>
      <c r="T7" s="423"/>
      <c r="U7" s="188"/>
      <c r="V7" s="417"/>
      <c r="W7" s="419"/>
      <c r="X7" s="417"/>
      <c r="Y7" s="417"/>
      <c r="Z7" s="417"/>
      <c r="AA7" s="407"/>
      <c r="AB7" s="435"/>
      <c r="AC7" s="419"/>
      <c r="AD7" s="419"/>
      <c r="AE7" s="419"/>
      <c r="AF7" s="419"/>
      <c r="AG7" s="417"/>
      <c r="AH7" s="417"/>
      <c r="AI7" s="442"/>
      <c r="AJ7" s="446"/>
      <c r="AK7" s="447"/>
      <c r="AL7" s="448"/>
      <c r="AM7" s="448"/>
      <c r="AN7" s="448"/>
      <c r="AO7" s="449"/>
      <c r="AP7" s="444"/>
      <c r="AQ7" s="444"/>
      <c r="AR7" s="444"/>
      <c r="AS7" s="444"/>
      <c r="AT7" s="444"/>
      <c r="AU7" s="444"/>
      <c r="AV7" s="441"/>
      <c r="AW7" s="442"/>
      <c r="AX7" s="445"/>
      <c r="AY7" s="339"/>
      <c r="AZ7" s="449"/>
      <c r="BA7" s="449"/>
      <c r="BB7" s="449"/>
      <c r="BC7" s="445"/>
      <c r="BD7" s="443"/>
      <c r="BE7" s="443"/>
      <c r="BF7" s="441"/>
      <c r="BG7"/>
      <c r="BH7"/>
    </row>
    <row r="8" spans="1:60" s="3" customFormat="1" ht="17.149999999999999" customHeight="1" x14ac:dyDescent="0.25">
      <c r="A8" s="225" t="s">
        <v>252</v>
      </c>
      <c r="B8" s="246" t="s">
        <v>242</v>
      </c>
      <c r="C8" s="246" t="s">
        <v>194</v>
      </c>
      <c r="D8" s="246">
        <v>1</v>
      </c>
      <c r="E8" s="246">
        <v>1</v>
      </c>
      <c r="F8" s="246">
        <v>0</v>
      </c>
      <c r="G8" s="246">
        <v>1</v>
      </c>
      <c r="H8" s="246">
        <v>0</v>
      </c>
      <c r="I8" s="246">
        <v>0</v>
      </c>
      <c r="J8" s="246">
        <v>0</v>
      </c>
      <c r="K8" s="246">
        <v>2</v>
      </c>
      <c r="L8" s="246">
        <v>0</v>
      </c>
      <c r="M8" s="246">
        <v>0</v>
      </c>
      <c r="N8" s="246">
        <v>2</v>
      </c>
      <c r="O8" s="246">
        <v>0</v>
      </c>
      <c r="P8" s="225" t="s">
        <v>252</v>
      </c>
      <c r="Q8" s="224" t="s">
        <v>242</v>
      </c>
      <c r="R8" s="224" t="s">
        <v>194</v>
      </c>
      <c r="S8" s="224">
        <v>1</v>
      </c>
      <c r="T8" s="297">
        <v>2</v>
      </c>
      <c r="U8" s="185"/>
      <c r="V8" s="27" t="s">
        <v>280</v>
      </c>
      <c r="W8" s="27" t="s">
        <v>281</v>
      </c>
      <c r="X8" s="27" t="s">
        <v>282</v>
      </c>
      <c r="Y8" s="27" t="s">
        <v>283</v>
      </c>
      <c r="Z8" s="27" t="s">
        <v>242</v>
      </c>
      <c r="AA8" s="31" t="s">
        <v>284</v>
      </c>
      <c r="AB8" s="37" t="s">
        <v>297</v>
      </c>
      <c r="AC8" s="27" t="s">
        <v>298</v>
      </c>
      <c r="AD8" s="27" t="s">
        <v>194</v>
      </c>
      <c r="AE8" s="36" t="s">
        <v>299</v>
      </c>
      <c r="AF8" s="36" t="s">
        <v>242</v>
      </c>
      <c r="AG8" s="36" t="s">
        <v>300</v>
      </c>
      <c r="AH8" s="269" t="s">
        <v>301</v>
      </c>
      <c r="AI8" s="271" t="s">
        <v>205</v>
      </c>
      <c r="AJ8" s="272">
        <f>Jan.!BB40</f>
        <v>22</v>
      </c>
      <c r="AK8" s="272">
        <f>Jan.!BC40</f>
        <v>22</v>
      </c>
      <c r="AL8" s="272">
        <f>Jan.!BD40</f>
        <v>22</v>
      </c>
      <c r="AM8" s="272">
        <f>Jan.!BE40</f>
        <v>22</v>
      </c>
      <c r="AN8" s="272">
        <f>Jan.!BF40</f>
        <v>22</v>
      </c>
      <c r="AO8" s="272">
        <f>Jan.!BG40</f>
        <v>22</v>
      </c>
      <c r="AP8" s="272">
        <f>Jan.!BH40</f>
        <v>22</v>
      </c>
      <c r="AQ8" s="272">
        <f>Jan.!BI40</f>
        <v>22</v>
      </c>
      <c r="AR8" s="272">
        <f>Jan.!BJ40</f>
        <v>22</v>
      </c>
      <c r="AS8" s="272">
        <f>Jan.!BK40</f>
        <v>22</v>
      </c>
      <c r="AT8" s="272">
        <f>Jan.!BL40</f>
        <v>22</v>
      </c>
      <c r="AU8" s="272">
        <f>Jan.!BM40</f>
        <v>22</v>
      </c>
      <c r="AV8" s="272">
        <f>SUM(AJ8:AU8)</f>
        <v>264</v>
      </c>
      <c r="AW8" s="271" t="s">
        <v>205</v>
      </c>
      <c r="AX8" s="272">
        <f>Jan.!BP40</f>
        <v>31</v>
      </c>
      <c r="AY8" s="272">
        <f>Jan.!BQ40</f>
        <v>29</v>
      </c>
      <c r="AZ8" s="272">
        <f>Jan.!BR40</f>
        <v>29</v>
      </c>
      <c r="BA8" s="272">
        <f>Jan.!BS40</f>
        <v>29</v>
      </c>
      <c r="BB8" s="272">
        <f>Jan.!BT40</f>
        <v>29</v>
      </c>
      <c r="BC8" s="272">
        <f>Jan.!BU40</f>
        <v>29</v>
      </c>
      <c r="BD8" s="272">
        <f>Jan.!BV40</f>
        <v>31</v>
      </c>
      <c r="BE8" s="272">
        <f>Jan.!BW40</f>
        <v>31</v>
      </c>
      <c r="BF8" s="272">
        <f>SUM(AX8:BE8)</f>
        <v>238</v>
      </c>
      <c r="BG8"/>
      <c r="BH8"/>
    </row>
    <row r="9" spans="1:60" s="3" customFormat="1" ht="17.149999999999999" customHeight="1" x14ac:dyDescent="0.25">
      <c r="A9" s="222" t="s">
        <v>258</v>
      </c>
      <c r="B9" s="222" t="s">
        <v>242</v>
      </c>
      <c r="C9" s="234" t="s">
        <v>194</v>
      </c>
      <c r="D9" s="235">
        <v>1</v>
      </c>
      <c r="E9" s="223">
        <v>4</v>
      </c>
      <c r="F9" s="236">
        <v>0</v>
      </c>
      <c r="G9" s="235">
        <v>1</v>
      </c>
      <c r="H9" s="237">
        <v>0</v>
      </c>
      <c r="I9" s="237">
        <v>0</v>
      </c>
      <c r="J9" s="238">
        <v>0</v>
      </c>
      <c r="K9" s="239">
        <v>2</v>
      </c>
      <c r="L9" s="237">
        <v>0</v>
      </c>
      <c r="M9" s="237">
        <v>0</v>
      </c>
      <c r="N9" s="248">
        <v>2</v>
      </c>
      <c r="O9" s="250">
        <v>0</v>
      </c>
      <c r="P9" s="249" t="s">
        <v>276</v>
      </c>
      <c r="Q9" s="222" t="s">
        <v>242</v>
      </c>
      <c r="R9" s="222" t="s">
        <v>194</v>
      </c>
      <c r="S9" s="223">
        <v>1</v>
      </c>
      <c r="T9" s="298" t="s">
        <v>277</v>
      </c>
      <c r="U9" s="185"/>
      <c r="V9" s="27" t="s">
        <v>352</v>
      </c>
      <c r="W9" s="27" t="s">
        <v>281</v>
      </c>
      <c r="X9" s="27" t="s">
        <v>282</v>
      </c>
      <c r="Y9" s="27" t="s">
        <v>283</v>
      </c>
      <c r="Z9" s="27" t="s">
        <v>242</v>
      </c>
      <c r="AA9" s="31" t="s">
        <v>354</v>
      </c>
      <c r="AB9" s="37" t="s">
        <v>352</v>
      </c>
      <c r="AC9" s="27" t="s">
        <v>298</v>
      </c>
      <c r="AD9" s="27" t="s">
        <v>194</v>
      </c>
      <c r="AE9" s="36" t="s">
        <v>299</v>
      </c>
      <c r="AF9" s="36" t="s">
        <v>242</v>
      </c>
      <c r="AG9" s="36" t="s">
        <v>355</v>
      </c>
      <c r="AH9" s="269" t="s">
        <v>301</v>
      </c>
      <c r="AI9" s="271" t="s">
        <v>209</v>
      </c>
      <c r="AJ9" s="273">
        <f>Feb.!BB40</f>
        <v>22</v>
      </c>
      <c r="AK9" s="273">
        <f>Feb.!BC40</f>
        <v>22</v>
      </c>
      <c r="AL9" s="273">
        <f>Feb.!BD40</f>
        <v>22</v>
      </c>
      <c r="AM9" s="273">
        <f>Feb.!BE40</f>
        <v>22</v>
      </c>
      <c r="AN9" s="273">
        <f>Feb.!BF40</f>
        <v>22</v>
      </c>
      <c r="AO9" s="273">
        <f>Feb.!BG40</f>
        <v>22</v>
      </c>
      <c r="AP9" s="273">
        <f>Feb.!BH40</f>
        <v>22</v>
      </c>
      <c r="AQ9" s="273">
        <f>Feb.!BI40</f>
        <v>22</v>
      </c>
      <c r="AR9" s="273">
        <f>Feb.!BJ40</f>
        <v>22</v>
      </c>
      <c r="AS9" s="273">
        <f>Feb.!BK40</f>
        <v>22</v>
      </c>
      <c r="AT9" s="273">
        <f>Feb.!BL40</f>
        <v>22</v>
      </c>
      <c r="AU9" s="273">
        <f>Feb.!BM40</f>
        <v>22</v>
      </c>
      <c r="AV9" s="272">
        <f t="shared" ref="AV9:AV19" si="0">SUM(AJ9:AU9)</f>
        <v>264</v>
      </c>
      <c r="AW9" s="271" t="s">
        <v>209</v>
      </c>
      <c r="AX9" s="273">
        <f>Feb.!BP40</f>
        <v>29</v>
      </c>
      <c r="AY9" s="273">
        <f>Feb.!BQ40</f>
        <v>26</v>
      </c>
      <c r="AZ9" s="273">
        <f>Feb.!BR40</f>
        <v>26</v>
      </c>
      <c r="BA9" s="273">
        <f>Feb.!BS40</f>
        <v>26</v>
      </c>
      <c r="BB9" s="273">
        <f>Feb.!BT40</f>
        <v>26</v>
      </c>
      <c r="BC9" s="273">
        <f>Feb.!BU40</f>
        <v>26</v>
      </c>
      <c r="BD9" s="273">
        <f>Feb.!BV40</f>
        <v>29</v>
      </c>
      <c r="BE9" s="273">
        <f>Feb.!BW40</f>
        <v>29</v>
      </c>
      <c r="BF9" s="272">
        <f t="shared" ref="BF9:BF19" si="1">SUM(AX9:BE9)</f>
        <v>217</v>
      </c>
      <c r="BG9"/>
      <c r="BH9"/>
    </row>
    <row r="10" spans="1:60" s="3" customFormat="1" ht="17.149999999999999" customHeight="1" x14ac:dyDescent="0.25">
      <c r="A10" s="27" t="s">
        <v>264</v>
      </c>
      <c r="B10" s="27" t="s">
        <v>242</v>
      </c>
      <c r="C10" s="31" t="s">
        <v>194</v>
      </c>
      <c r="D10" s="32">
        <v>1</v>
      </c>
      <c r="E10" s="28">
        <v>8</v>
      </c>
      <c r="F10" s="33">
        <v>0</v>
      </c>
      <c r="G10" s="32">
        <v>1</v>
      </c>
      <c r="H10" s="25">
        <v>0</v>
      </c>
      <c r="I10" s="25">
        <v>0</v>
      </c>
      <c r="J10" s="35">
        <v>0</v>
      </c>
      <c r="K10" s="34">
        <v>2</v>
      </c>
      <c r="L10" s="25">
        <v>0</v>
      </c>
      <c r="M10" s="25">
        <v>0</v>
      </c>
      <c r="N10" s="25">
        <v>2</v>
      </c>
      <c r="O10" s="237">
        <v>1</v>
      </c>
      <c r="P10" s="240" t="s">
        <v>313</v>
      </c>
      <c r="Q10" s="240" t="s">
        <v>242</v>
      </c>
      <c r="R10" s="240" t="s">
        <v>194</v>
      </c>
      <c r="S10" s="243">
        <v>1</v>
      </c>
      <c r="T10" s="299">
        <v>3.3</v>
      </c>
      <c r="U10" s="185"/>
      <c r="V10" s="27" t="s">
        <v>414</v>
      </c>
      <c r="W10" s="27" t="s">
        <v>281</v>
      </c>
      <c r="X10" s="27" t="s">
        <v>282</v>
      </c>
      <c r="Y10" s="27" t="s">
        <v>283</v>
      </c>
      <c r="Z10" s="27" t="s">
        <v>242</v>
      </c>
      <c r="AA10" s="31" t="s">
        <v>416</v>
      </c>
      <c r="AB10" s="37" t="s">
        <v>414</v>
      </c>
      <c r="AC10" s="27" t="s">
        <v>298</v>
      </c>
      <c r="AD10" s="27" t="s">
        <v>194</v>
      </c>
      <c r="AE10" s="36" t="s">
        <v>299</v>
      </c>
      <c r="AF10" s="36" t="s">
        <v>242</v>
      </c>
      <c r="AG10" s="36" t="s">
        <v>419</v>
      </c>
      <c r="AH10" s="269" t="s">
        <v>301</v>
      </c>
      <c r="AI10" s="271" t="s">
        <v>210</v>
      </c>
      <c r="AJ10" s="272">
        <f>March!BB40</f>
        <v>22</v>
      </c>
      <c r="AK10" s="272">
        <f>March!BC40</f>
        <v>22</v>
      </c>
      <c r="AL10" s="272">
        <f>March!BD40</f>
        <v>22</v>
      </c>
      <c r="AM10" s="272">
        <f>March!BE40</f>
        <v>22</v>
      </c>
      <c r="AN10" s="272">
        <f>March!BF40</f>
        <v>22</v>
      </c>
      <c r="AO10" s="272">
        <f>March!BG40</f>
        <v>22</v>
      </c>
      <c r="AP10" s="272">
        <f>March!BH40</f>
        <v>22</v>
      </c>
      <c r="AQ10" s="272">
        <f>March!BI40</f>
        <v>22</v>
      </c>
      <c r="AR10" s="272">
        <f>March!BJ40</f>
        <v>22</v>
      </c>
      <c r="AS10" s="272">
        <f>March!BK40</f>
        <v>22</v>
      </c>
      <c r="AT10" s="272">
        <f>March!BL40</f>
        <v>22</v>
      </c>
      <c r="AU10" s="272">
        <f>March!BM40</f>
        <v>22</v>
      </c>
      <c r="AV10" s="272">
        <f t="shared" si="0"/>
        <v>264</v>
      </c>
      <c r="AW10" s="271" t="s">
        <v>210</v>
      </c>
      <c r="AX10" s="272">
        <f>March!BP40</f>
        <v>31</v>
      </c>
      <c r="AY10" s="272">
        <f>March!BQ40</f>
        <v>26</v>
      </c>
      <c r="AZ10" s="272">
        <f>March!BR40</f>
        <v>26</v>
      </c>
      <c r="BA10" s="272">
        <f>March!BS40</f>
        <v>26</v>
      </c>
      <c r="BB10" s="272">
        <f>March!BT40</f>
        <v>26</v>
      </c>
      <c r="BC10" s="272">
        <f>March!BU40</f>
        <v>26</v>
      </c>
      <c r="BD10" s="272">
        <f>March!BV40</f>
        <v>31</v>
      </c>
      <c r="BE10" s="272">
        <f>March!BW40</f>
        <v>31</v>
      </c>
      <c r="BF10" s="272">
        <f t="shared" si="1"/>
        <v>223</v>
      </c>
      <c r="BG10"/>
      <c r="BH10"/>
    </row>
    <row r="11" spans="1:60" s="3" customFormat="1" ht="17.149999999999999" customHeight="1" x14ac:dyDescent="0.25">
      <c r="A11" s="27" t="s">
        <v>270</v>
      </c>
      <c r="B11" s="27" t="s">
        <v>242</v>
      </c>
      <c r="C11" s="31" t="s">
        <v>194</v>
      </c>
      <c r="D11" s="32">
        <v>1</v>
      </c>
      <c r="E11" s="28">
        <v>0</v>
      </c>
      <c r="F11" s="33">
        <v>0</v>
      </c>
      <c r="G11" s="32">
        <v>1</v>
      </c>
      <c r="H11" s="25">
        <v>0</v>
      </c>
      <c r="I11" s="25">
        <v>0</v>
      </c>
      <c r="J11" s="35">
        <v>0</v>
      </c>
      <c r="K11" s="34">
        <v>2</v>
      </c>
      <c r="L11" s="25">
        <v>0</v>
      </c>
      <c r="M11" s="25">
        <v>0</v>
      </c>
      <c r="N11" s="25">
        <v>2</v>
      </c>
      <c r="O11" s="294">
        <v>0</v>
      </c>
      <c r="P11" s="296">
        <v>38078</v>
      </c>
      <c r="Q11" s="295" t="s">
        <v>242</v>
      </c>
      <c r="R11" s="295" t="s">
        <v>371</v>
      </c>
      <c r="S11" s="295">
        <v>1</v>
      </c>
      <c r="T11" s="300" t="s">
        <v>277</v>
      </c>
      <c r="U11" s="185"/>
      <c r="V11" s="27"/>
      <c r="W11" s="27"/>
      <c r="X11" s="27"/>
      <c r="Y11" s="27"/>
      <c r="Z11" s="27"/>
      <c r="AA11" s="31"/>
      <c r="AB11" s="37"/>
      <c r="AC11" s="27"/>
      <c r="AD11" s="27"/>
      <c r="AE11" s="36"/>
      <c r="AF11" s="36"/>
      <c r="AG11" s="36"/>
      <c r="AH11" s="269"/>
      <c r="AI11" s="271" t="s">
        <v>211</v>
      </c>
      <c r="AJ11" s="272">
        <f>April!BB40</f>
        <v>20</v>
      </c>
      <c r="AK11" s="272">
        <f>April!BC40</f>
        <v>20</v>
      </c>
      <c r="AL11" s="272">
        <f>April!BD40</f>
        <v>20</v>
      </c>
      <c r="AM11" s="272">
        <f>April!BE40</f>
        <v>20</v>
      </c>
      <c r="AN11" s="272">
        <f>April!BF40</f>
        <v>20</v>
      </c>
      <c r="AO11" s="272">
        <f>April!BG40</f>
        <v>20</v>
      </c>
      <c r="AP11" s="272">
        <f>April!BH40</f>
        <v>20</v>
      </c>
      <c r="AQ11" s="272">
        <f>April!BI40</f>
        <v>20</v>
      </c>
      <c r="AR11" s="272">
        <f>April!BJ40</f>
        <v>20</v>
      </c>
      <c r="AS11" s="272">
        <f>April!BK40</f>
        <v>20</v>
      </c>
      <c r="AT11" s="272">
        <f>April!BL40</f>
        <v>20</v>
      </c>
      <c r="AU11" s="272">
        <f>April!BM40</f>
        <v>20</v>
      </c>
      <c r="AV11" s="272">
        <f t="shared" si="0"/>
        <v>240</v>
      </c>
      <c r="AW11" s="271" t="s">
        <v>211</v>
      </c>
      <c r="AX11" s="272">
        <f>April!BP40</f>
        <v>30</v>
      </c>
      <c r="AY11" s="272">
        <f>April!BQ40</f>
        <v>24</v>
      </c>
      <c r="AZ11" s="272">
        <f>April!BR40</f>
        <v>24</v>
      </c>
      <c r="BA11" s="272">
        <f>April!BS40</f>
        <v>24</v>
      </c>
      <c r="BB11" s="272">
        <f>April!BT40</f>
        <v>24</v>
      </c>
      <c r="BC11" s="272">
        <f>April!BU40</f>
        <v>24</v>
      </c>
      <c r="BD11" s="272">
        <f>April!BV40</f>
        <v>30</v>
      </c>
      <c r="BE11" s="272">
        <f>April!BW40</f>
        <v>30</v>
      </c>
      <c r="BF11" s="272">
        <f t="shared" si="1"/>
        <v>210</v>
      </c>
      <c r="BG11"/>
      <c r="BH11"/>
    </row>
    <row r="12" spans="1:60" s="3" customFormat="1" ht="17.149999999999999" customHeight="1" x14ac:dyDescent="0.25">
      <c r="A12" s="27" t="s">
        <v>276</v>
      </c>
      <c r="B12" s="27" t="s">
        <v>242</v>
      </c>
      <c r="C12" s="31" t="s">
        <v>194</v>
      </c>
      <c r="D12" s="32">
        <v>1</v>
      </c>
      <c r="E12" s="28">
        <v>2</v>
      </c>
      <c r="F12" s="33">
        <v>0</v>
      </c>
      <c r="G12" s="32">
        <v>1</v>
      </c>
      <c r="H12" s="25">
        <v>0</v>
      </c>
      <c r="I12" s="25">
        <v>0</v>
      </c>
      <c r="J12" s="35">
        <v>0</v>
      </c>
      <c r="K12" s="34">
        <v>2</v>
      </c>
      <c r="L12" s="25">
        <v>0</v>
      </c>
      <c r="M12" s="25">
        <v>0</v>
      </c>
      <c r="N12" s="25">
        <v>2</v>
      </c>
      <c r="O12" s="25">
        <v>0</v>
      </c>
      <c r="P12" s="222" t="s">
        <v>348</v>
      </c>
      <c r="Q12" s="222" t="s">
        <v>242</v>
      </c>
      <c r="R12" s="222" t="s">
        <v>194</v>
      </c>
      <c r="S12" s="223">
        <v>1</v>
      </c>
      <c r="T12" s="298">
        <v>2.5</v>
      </c>
      <c r="U12" s="185"/>
      <c r="V12" s="27"/>
      <c r="W12" s="27" t="s">
        <v>3</v>
      </c>
      <c r="X12" s="27"/>
      <c r="Y12" s="27"/>
      <c r="Z12" s="27"/>
      <c r="AA12" s="261">
        <f>SUM(AA8+AA9+AA10+AA11)/4</f>
        <v>38.724999999999994</v>
      </c>
      <c r="AB12" s="37"/>
      <c r="AC12" s="27"/>
      <c r="AD12" s="27"/>
      <c r="AE12" s="36"/>
      <c r="AF12" s="36"/>
      <c r="AG12" s="36"/>
      <c r="AH12" s="269"/>
      <c r="AI12" s="271" t="s">
        <v>12</v>
      </c>
      <c r="AJ12" s="272">
        <f>May!BB40</f>
        <v>21</v>
      </c>
      <c r="AK12" s="272">
        <f>May!BC40</f>
        <v>21</v>
      </c>
      <c r="AL12" s="272">
        <f>May!BD40</f>
        <v>21</v>
      </c>
      <c r="AM12" s="272">
        <f>May!BE40</f>
        <v>21</v>
      </c>
      <c r="AN12" s="272">
        <f>May!BF40</f>
        <v>21</v>
      </c>
      <c r="AO12" s="272">
        <f>May!BG40</f>
        <v>21</v>
      </c>
      <c r="AP12" s="272">
        <f>May!BH40</f>
        <v>21</v>
      </c>
      <c r="AQ12" s="272">
        <f>May!BI40</f>
        <v>21</v>
      </c>
      <c r="AR12" s="272">
        <f>May!BJ40</f>
        <v>21</v>
      </c>
      <c r="AS12" s="272">
        <f>May!BK40</f>
        <v>21</v>
      </c>
      <c r="AT12" s="272">
        <f>May!BL40</f>
        <v>21</v>
      </c>
      <c r="AU12" s="272">
        <f>May!BM40</f>
        <v>21</v>
      </c>
      <c r="AV12" s="272">
        <f t="shared" si="0"/>
        <v>252</v>
      </c>
      <c r="AW12" s="271" t="s">
        <v>12</v>
      </c>
      <c r="AX12" s="272">
        <f>May!BP40</f>
        <v>31</v>
      </c>
      <c r="AY12" s="272">
        <f>May!BQ40</f>
        <v>26</v>
      </c>
      <c r="AZ12" s="272">
        <f>May!BR40</f>
        <v>26</v>
      </c>
      <c r="BA12" s="272">
        <f>May!BS40</f>
        <v>26</v>
      </c>
      <c r="BB12" s="272">
        <f>May!BT40</f>
        <v>26</v>
      </c>
      <c r="BC12" s="272">
        <f>May!BU40</f>
        <v>26</v>
      </c>
      <c r="BD12" s="272">
        <f>May!BV40</f>
        <v>31</v>
      </c>
      <c r="BE12" s="272">
        <f>May!BW40</f>
        <v>31</v>
      </c>
      <c r="BF12" s="272">
        <f t="shared" si="1"/>
        <v>223</v>
      </c>
      <c r="BG12"/>
      <c r="BH12"/>
    </row>
    <row r="13" spans="1:60" s="3" customFormat="1" ht="17.149999999999999" customHeight="1" x14ac:dyDescent="0.25">
      <c r="A13" s="27" t="s">
        <v>289</v>
      </c>
      <c r="B13" s="27" t="s">
        <v>242</v>
      </c>
      <c r="C13" s="31" t="s">
        <v>194</v>
      </c>
      <c r="D13" s="32">
        <v>1</v>
      </c>
      <c r="E13" s="28">
        <v>0</v>
      </c>
      <c r="F13" s="33">
        <v>0</v>
      </c>
      <c r="G13" s="32">
        <v>1</v>
      </c>
      <c r="H13" s="25">
        <v>0</v>
      </c>
      <c r="I13" s="25">
        <v>0</v>
      </c>
      <c r="J13" s="35">
        <v>0</v>
      </c>
      <c r="K13" s="34">
        <v>2</v>
      </c>
      <c r="L13" s="25">
        <v>0</v>
      </c>
      <c r="M13" s="25">
        <v>0</v>
      </c>
      <c r="N13" s="25">
        <v>2</v>
      </c>
      <c r="O13" s="25">
        <v>0</v>
      </c>
      <c r="P13" s="27" t="s">
        <v>370</v>
      </c>
      <c r="Q13" s="27" t="s">
        <v>242</v>
      </c>
      <c r="R13" s="27" t="s">
        <v>194</v>
      </c>
      <c r="S13" s="28">
        <v>1</v>
      </c>
      <c r="T13" s="301">
        <v>2.7</v>
      </c>
      <c r="U13" s="185"/>
      <c r="V13" s="27"/>
      <c r="W13" s="27"/>
      <c r="X13" s="27"/>
      <c r="Y13" s="27"/>
      <c r="Z13" s="27"/>
      <c r="AA13" s="31"/>
      <c r="AB13" s="37"/>
      <c r="AC13" s="27"/>
      <c r="AD13" s="27"/>
      <c r="AE13" s="36"/>
      <c r="AF13" s="36"/>
      <c r="AG13" s="36"/>
      <c r="AH13" s="269"/>
      <c r="AI13" s="271" t="s">
        <v>13</v>
      </c>
      <c r="AJ13" s="272">
        <f>June!BB40</f>
        <v>21</v>
      </c>
      <c r="AK13" s="272">
        <f>June!BC40</f>
        <v>21</v>
      </c>
      <c r="AL13" s="272">
        <f>June!BD40</f>
        <v>21</v>
      </c>
      <c r="AM13" s="272">
        <f>June!BE40</f>
        <v>21</v>
      </c>
      <c r="AN13" s="272">
        <f>June!BF40</f>
        <v>21</v>
      </c>
      <c r="AO13" s="272">
        <f>June!BG40</f>
        <v>21</v>
      </c>
      <c r="AP13" s="272">
        <f>June!BH40</f>
        <v>21</v>
      </c>
      <c r="AQ13" s="272">
        <f>June!BI40</f>
        <v>21</v>
      </c>
      <c r="AR13" s="272">
        <f>June!BJ40</f>
        <v>21</v>
      </c>
      <c r="AS13" s="272">
        <f>June!BK40</f>
        <v>21</v>
      </c>
      <c r="AT13" s="272">
        <f>June!BL40</f>
        <v>21</v>
      </c>
      <c r="AU13" s="272">
        <f>June!BM40</f>
        <v>21</v>
      </c>
      <c r="AV13" s="272">
        <f t="shared" si="0"/>
        <v>252</v>
      </c>
      <c r="AW13" s="271" t="s">
        <v>13</v>
      </c>
      <c r="AX13" s="272">
        <f>June!BP40</f>
        <v>30</v>
      </c>
      <c r="AY13" s="272">
        <f>June!BQ40</f>
        <v>26</v>
      </c>
      <c r="AZ13" s="272">
        <f>June!BR40</f>
        <v>26</v>
      </c>
      <c r="BA13" s="272">
        <f>June!BS40</f>
        <v>26</v>
      </c>
      <c r="BB13" s="272">
        <f>June!BT40</f>
        <v>26</v>
      </c>
      <c r="BC13" s="272">
        <f>June!BU40</f>
        <v>26</v>
      </c>
      <c r="BD13" s="272">
        <f>June!BV40</f>
        <v>30</v>
      </c>
      <c r="BE13" s="272">
        <f>June!BW40</f>
        <v>30</v>
      </c>
      <c r="BF13" s="272">
        <f t="shared" si="1"/>
        <v>220</v>
      </c>
      <c r="BG13"/>
      <c r="BH13"/>
    </row>
    <row r="14" spans="1:60" s="3" customFormat="1" ht="17.149999999999999" customHeight="1" x14ac:dyDescent="0.25">
      <c r="A14" s="27" t="s">
        <v>295</v>
      </c>
      <c r="B14" s="27" t="s">
        <v>242</v>
      </c>
      <c r="C14" s="31" t="s">
        <v>194</v>
      </c>
      <c r="D14" s="32">
        <v>1</v>
      </c>
      <c r="E14" s="28">
        <v>2</v>
      </c>
      <c r="F14" s="33">
        <v>0</v>
      </c>
      <c r="G14" s="32">
        <v>1</v>
      </c>
      <c r="H14" s="25">
        <v>0</v>
      </c>
      <c r="I14" s="25">
        <v>0</v>
      </c>
      <c r="J14" s="35">
        <v>0</v>
      </c>
      <c r="K14" s="34">
        <v>2</v>
      </c>
      <c r="L14" s="25">
        <v>0</v>
      </c>
      <c r="M14" s="25">
        <v>0</v>
      </c>
      <c r="N14" s="25">
        <v>2</v>
      </c>
      <c r="O14" s="25">
        <v>0</v>
      </c>
      <c r="P14" s="27" t="s">
        <v>389</v>
      </c>
      <c r="Q14" s="27" t="s">
        <v>242</v>
      </c>
      <c r="R14" s="27" t="s">
        <v>194</v>
      </c>
      <c r="S14" s="28">
        <v>1</v>
      </c>
      <c r="T14" s="301">
        <v>4.2</v>
      </c>
      <c r="U14" s="185"/>
      <c r="V14" s="27"/>
      <c r="W14" s="27"/>
      <c r="X14" s="27"/>
      <c r="Y14" s="27"/>
      <c r="Z14" s="27"/>
      <c r="AA14" s="31"/>
      <c r="AB14" s="37"/>
      <c r="AC14" s="27"/>
      <c r="AD14" s="27"/>
      <c r="AE14" s="36"/>
      <c r="AF14" s="36"/>
      <c r="AG14" s="36"/>
      <c r="AH14" s="269"/>
      <c r="AI14" s="271" t="s">
        <v>14</v>
      </c>
      <c r="AJ14" s="272">
        <f>July!BB40</f>
        <v>18</v>
      </c>
      <c r="AK14" s="272">
        <f>July!BC40</f>
        <v>18</v>
      </c>
      <c r="AL14" s="272">
        <f>July!BD40</f>
        <v>18</v>
      </c>
      <c r="AM14" s="272">
        <f>July!BE40</f>
        <v>18</v>
      </c>
      <c r="AN14" s="272">
        <f>July!BF40</f>
        <v>18</v>
      </c>
      <c r="AO14" s="272">
        <f>July!BG40</f>
        <v>18</v>
      </c>
      <c r="AP14" s="272">
        <f>July!BH40</f>
        <v>18</v>
      </c>
      <c r="AQ14" s="272">
        <f>July!BI40</f>
        <v>18</v>
      </c>
      <c r="AR14" s="272">
        <f>July!BJ40</f>
        <v>18</v>
      </c>
      <c r="AS14" s="272">
        <f>July!BK40</f>
        <v>18</v>
      </c>
      <c r="AT14" s="272">
        <f>July!BL40</f>
        <v>18</v>
      </c>
      <c r="AU14" s="272">
        <f>July!BM40</f>
        <v>18</v>
      </c>
      <c r="AV14" s="272">
        <f t="shared" si="0"/>
        <v>216</v>
      </c>
      <c r="AW14" s="271" t="s">
        <v>14</v>
      </c>
      <c r="AX14" s="272">
        <f>July!BP40</f>
        <v>31</v>
      </c>
      <c r="AY14" s="272">
        <f>July!BQ40</f>
        <v>24</v>
      </c>
      <c r="AZ14" s="272">
        <f>July!BR40</f>
        <v>24</v>
      </c>
      <c r="BA14" s="272">
        <f>July!BS40</f>
        <v>24</v>
      </c>
      <c r="BB14" s="272">
        <f>July!BT40</f>
        <v>24</v>
      </c>
      <c r="BC14" s="272">
        <f>July!BU40</f>
        <v>24</v>
      </c>
      <c r="BD14" s="272">
        <f>July!BV40</f>
        <v>31</v>
      </c>
      <c r="BE14" s="272">
        <f>July!BW40</f>
        <v>31</v>
      </c>
      <c r="BF14" s="272">
        <f t="shared" si="1"/>
        <v>213</v>
      </c>
      <c r="BG14"/>
      <c r="BH14"/>
    </row>
    <row r="15" spans="1:60" s="3" customFormat="1" ht="17.149999999999999" customHeight="1" x14ac:dyDescent="0.25">
      <c r="A15" s="27" t="s">
        <v>306</v>
      </c>
      <c r="B15" s="27" t="s">
        <v>242</v>
      </c>
      <c r="C15" s="31" t="s">
        <v>194</v>
      </c>
      <c r="D15" s="32">
        <v>1</v>
      </c>
      <c r="E15" s="28">
        <v>2</v>
      </c>
      <c r="F15" s="33">
        <v>0</v>
      </c>
      <c r="G15" s="32">
        <v>1</v>
      </c>
      <c r="H15" s="25">
        <v>0</v>
      </c>
      <c r="I15" s="25">
        <v>0</v>
      </c>
      <c r="J15" s="35">
        <v>0</v>
      </c>
      <c r="K15" s="34">
        <v>2</v>
      </c>
      <c r="L15" s="25">
        <v>0</v>
      </c>
      <c r="M15" s="25">
        <v>0</v>
      </c>
      <c r="N15" s="25">
        <v>2</v>
      </c>
      <c r="O15" s="25">
        <v>0</v>
      </c>
      <c r="P15" s="27" t="s">
        <v>411</v>
      </c>
      <c r="Q15" s="27" t="s">
        <v>242</v>
      </c>
      <c r="R15" s="27" t="s">
        <v>194</v>
      </c>
      <c r="S15" s="28">
        <v>1</v>
      </c>
      <c r="T15" s="301">
        <v>12.9</v>
      </c>
      <c r="U15" s="185"/>
      <c r="V15" s="27"/>
      <c r="W15" s="27"/>
      <c r="X15" s="27"/>
      <c r="Y15" s="27"/>
      <c r="Z15" s="27"/>
      <c r="AA15" s="31"/>
      <c r="AB15" s="37"/>
      <c r="AC15" s="27"/>
      <c r="AD15" s="27"/>
      <c r="AE15" s="36"/>
      <c r="AF15" s="36"/>
      <c r="AG15" s="36"/>
      <c r="AH15" s="269"/>
      <c r="AI15" s="271" t="s">
        <v>212</v>
      </c>
      <c r="AJ15" s="272">
        <f>Aug.!BB40</f>
        <v>22</v>
      </c>
      <c r="AK15" s="272">
        <f>Aug.!BC40</f>
        <v>22</v>
      </c>
      <c r="AL15" s="272">
        <f>Aug.!BD40</f>
        <v>22</v>
      </c>
      <c r="AM15" s="272">
        <f>Aug.!BE40</f>
        <v>22</v>
      </c>
      <c r="AN15" s="272">
        <f>Aug.!BF40</f>
        <v>22</v>
      </c>
      <c r="AO15" s="272">
        <f>Aug.!BG40</f>
        <v>22</v>
      </c>
      <c r="AP15" s="272">
        <f>Aug.!BH40</f>
        <v>22</v>
      </c>
      <c r="AQ15" s="272">
        <f>Aug.!BI40</f>
        <v>22</v>
      </c>
      <c r="AR15" s="272">
        <f>Aug.!BJ40</f>
        <v>22</v>
      </c>
      <c r="AS15" s="272">
        <f>Aug.!BK40</f>
        <v>22</v>
      </c>
      <c r="AT15" s="272">
        <f>Aug.!BL40</f>
        <v>22</v>
      </c>
      <c r="AU15" s="272">
        <f>Aug.!BM40</f>
        <v>22</v>
      </c>
      <c r="AV15" s="272">
        <f t="shared" si="0"/>
        <v>264</v>
      </c>
      <c r="AW15" s="271" t="s">
        <v>212</v>
      </c>
      <c r="AX15" s="272">
        <f>Aug.!BP40</f>
        <v>31</v>
      </c>
      <c r="AY15" s="272">
        <f>Aug.!BQ40</f>
        <v>26</v>
      </c>
      <c r="AZ15" s="272">
        <f>Aug.!BR40</f>
        <v>26</v>
      </c>
      <c r="BA15" s="272">
        <f>Aug.!BS40</f>
        <v>26</v>
      </c>
      <c r="BB15" s="272">
        <f>Aug.!BT40</f>
        <v>26</v>
      </c>
      <c r="BC15" s="272">
        <f>Aug.!BU40</f>
        <v>26</v>
      </c>
      <c r="BD15" s="272">
        <f>Aug.!BV40</f>
        <v>31</v>
      </c>
      <c r="BE15" s="272">
        <f>Aug.!BW40</f>
        <v>31</v>
      </c>
      <c r="BF15" s="272">
        <f t="shared" si="1"/>
        <v>223</v>
      </c>
      <c r="BG15"/>
      <c r="BH15"/>
    </row>
    <row r="16" spans="1:60" s="3" customFormat="1" ht="17.149999999999999" customHeight="1" x14ac:dyDescent="0.25">
      <c r="A16" s="27" t="s">
        <v>307</v>
      </c>
      <c r="B16" s="27" t="s">
        <v>242</v>
      </c>
      <c r="C16" s="31" t="s">
        <v>194</v>
      </c>
      <c r="D16" s="32">
        <v>1</v>
      </c>
      <c r="E16" s="28">
        <v>2</v>
      </c>
      <c r="F16" s="33">
        <v>0</v>
      </c>
      <c r="G16" s="32">
        <v>1</v>
      </c>
      <c r="H16" s="25">
        <v>0</v>
      </c>
      <c r="I16" s="25">
        <v>0</v>
      </c>
      <c r="J16" s="35">
        <v>0</v>
      </c>
      <c r="K16" s="34">
        <v>2</v>
      </c>
      <c r="L16" s="25">
        <v>0</v>
      </c>
      <c r="M16" s="25">
        <v>0</v>
      </c>
      <c r="N16" s="25">
        <v>2</v>
      </c>
      <c r="O16" s="25">
        <v>0</v>
      </c>
      <c r="P16" s="27" t="s">
        <v>433</v>
      </c>
      <c r="Q16" s="27" t="s">
        <v>242</v>
      </c>
      <c r="R16" s="27" t="s">
        <v>194</v>
      </c>
      <c r="S16" s="28">
        <v>1</v>
      </c>
      <c r="T16" s="301">
        <v>3.9</v>
      </c>
      <c r="U16" s="185"/>
      <c r="V16" s="27"/>
      <c r="W16" s="27"/>
      <c r="X16" s="27"/>
      <c r="Y16" s="27"/>
      <c r="Z16" s="27"/>
      <c r="AA16" s="31"/>
      <c r="AB16" s="37"/>
      <c r="AC16" s="27"/>
      <c r="AD16" s="27"/>
      <c r="AE16" s="27"/>
      <c r="AF16" s="27"/>
      <c r="AG16" s="27"/>
      <c r="AH16" s="270"/>
      <c r="AI16" s="271" t="s">
        <v>213</v>
      </c>
      <c r="AJ16" s="272">
        <f>Sept.!BB40</f>
        <v>21</v>
      </c>
      <c r="AK16" s="272">
        <f>Sept.!BC40</f>
        <v>21</v>
      </c>
      <c r="AL16" s="272">
        <f>Sept.!BD40</f>
        <v>21</v>
      </c>
      <c r="AM16" s="272">
        <f>Sept.!BE40</f>
        <v>21</v>
      </c>
      <c r="AN16" s="272">
        <f>Sept.!BF40</f>
        <v>21</v>
      </c>
      <c r="AO16" s="272">
        <f>Sept.!BG40</f>
        <v>21</v>
      </c>
      <c r="AP16" s="272">
        <f>Sept.!BH40</f>
        <v>21</v>
      </c>
      <c r="AQ16" s="272">
        <f>Sept.!BI40</f>
        <v>21</v>
      </c>
      <c r="AR16" s="272">
        <f>Sept.!BJ40</f>
        <v>21</v>
      </c>
      <c r="AS16" s="272">
        <f>Sept.!BK40</f>
        <v>21</v>
      </c>
      <c r="AT16" s="272">
        <f>Sept.!BL40</f>
        <v>21</v>
      </c>
      <c r="AU16" s="272">
        <f>Sept.!BM40</f>
        <v>21</v>
      </c>
      <c r="AV16" s="272">
        <f t="shared" si="0"/>
        <v>252</v>
      </c>
      <c r="AW16" s="271" t="s">
        <v>213</v>
      </c>
      <c r="AX16" s="272">
        <f>Sept.!BP40</f>
        <v>30</v>
      </c>
      <c r="AY16" s="272">
        <f>Sept.!BQ40</f>
        <v>25</v>
      </c>
      <c r="AZ16" s="272">
        <f>Sept.!BR40</f>
        <v>25</v>
      </c>
      <c r="BA16" s="272">
        <f>Sept.!BS40</f>
        <v>25</v>
      </c>
      <c r="BB16" s="272">
        <f>Sept.!BT40</f>
        <v>25</v>
      </c>
      <c r="BC16" s="272">
        <f>Sept.!BU40</f>
        <v>25</v>
      </c>
      <c r="BD16" s="272">
        <f>Sept.!BV40</f>
        <v>30</v>
      </c>
      <c r="BE16" s="272">
        <f>Sept.!BW40</f>
        <v>30</v>
      </c>
      <c r="BF16" s="272">
        <f t="shared" si="1"/>
        <v>215</v>
      </c>
      <c r="BG16"/>
      <c r="BH16"/>
    </row>
    <row r="17" spans="1:60" s="3" customFormat="1" ht="17.149999999999999" customHeight="1" x14ac:dyDescent="0.25">
      <c r="A17" s="27" t="s">
        <v>313</v>
      </c>
      <c r="B17" s="27" t="s">
        <v>242</v>
      </c>
      <c r="C17" s="31" t="s">
        <v>194</v>
      </c>
      <c r="D17" s="32">
        <v>1</v>
      </c>
      <c r="E17" s="28">
        <v>4</v>
      </c>
      <c r="F17" s="33">
        <v>0</v>
      </c>
      <c r="G17" s="32">
        <v>1</v>
      </c>
      <c r="H17" s="28">
        <v>0</v>
      </c>
      <c r="I17" s="28">
        <v>0</v>
      </c>
      <c r="J17" s="33">
        <v>0</v>
      </c>
      <c r="K17" s="29">
        <v>2</v>
      </c>
      <c r="L17" s="28">
        <v>0</v>
      </c>
      <c r="M17" s="28">
        <v>0</v>
      </c>
      <c r="N17" s="28">
        <v>2</v>
      </c>
      <c r="O17" s="28">
        <v>0</v>
      </c>
      <c r="P17" s="27"/>
      <c r="Q17" s="27"/>
      <c r="R17" s="27"/>
      <c r="S17" s="28"/>
      <c r="T17" s="301"/>
      <c r="U17" s="185"/>
      <c r="V17" s="27"/>
      <c r="W17" s="27"/>
      <c r="X17" s="27"/>
      <c r="Y17" s="27"/>
      <c r="Z17" s="27"/>
      <c r="AA17" s="31"/>
      <c r="AB17" s="37"/>
      <c r="AC17" s="27"/>
      <c r="AD17" s="27"/>
      <c r="AE17" s="27"/>
      <c r="AF17" s="27"/>
      <c r="AG17" s="27"/>
      <c r="AH17" s="270"/>
      <c r="AI17" s="271" t="s">
        <v>214</v>
      </c>
      <c r="AJ17" s="272">
        <f>Oct.!BB40</f>
        <v>1</v>
      </c>
      <c r="AK17" s="272">
        <f>Oct.!BC40</f>
        <v>1</v>
      </c>
      <c r="AL17" s="272">
        <f>Oct.!BD40</f>
        <v>1</v>
      </c>
      <c r="AM17" s="272">
        <f>Oct.!BE40</f>
        <v>1</v>
      </c>
      <c r="AN17" s="272">
        <f>Oct.!BF40</f>
        <v>1</v>
      </c>
      <c r="AO17" s="272">
        <f>Oct.!BG40</f>
        <v>1</v>
      </c>
      <c r="AP17" s="272">
        <f>Oct.!BH40</f>
        <v>1</v>
      </c>
      <c r="AQ17" s="272">
        <f>Oct.!BI40</f>
        <v>1</v>
      </c>
      <c r="AR17" s="272">
        <f>Oct.!BJ40</f>
        <v>1</v>
      </c>
      <c r="AS17" s="272">
        <f>Oct.!BK40</f>
        <v>1</v>
      </c>
      <c r="AT17" s="272">
        <f>Oct.!BL40</f>
        <v>1</v>
      </c>
      <c r="AU17" s="272">
        <f>Oct.!BM40</f>
        <v>1</v>
      </c>
      <c r="AV17" s="272">
        <f t="shared" si="0"/>
        <v>12</v>
      </c>
      <c r="AW17" s="271" t="s">
        <v>214</v>
      </c>
      <c r="AX17" s="272">
        <f>Oct.!BP40</f>
        <v>4</v>
      </c>
      <c r="AY17" s="272">
        <f>Oct.!BQ40</f>
        <v>2</v>
      </c>
      <c r="AZ17" s="272">
        <f>Oct.!BR40</f>
        <v>2</v>
      </c>
      <c r="BA17" s="272">
        <f>Oct.!BS40</f>
        <v>2</v>
      </c>
      <c r="BB17" s="272">
        <f>Oct.!BT40</f>
        <v>2</v>
      </c>
      <c r="BC17" s="272">
        <f>Oct.!BU40</f>
        <v>2</v>
      </c>
      <c r="BD17" s="272">
        <f>Oct.!BV40</f>
        <v>4</v>
      </c>
      <c r="BE17" s="272">
        <f>Oct.!BW40</f>
        <v>4</v>
      </c>
      <c r="BF17" s="272">
        <f t="shared" si="1"/>
        <v>22</v>
      </c>
      <c r="BG17"/>
      <c r="BH17"/>
    </row>
    <row r="18" spans="1:60" s="3" customFormat="1" ht="17.149999999999999" customHeight="1" x14ac:dyDescent="0.25">
      <c r="A18" s="27" t="s">
        <v>316</v>
      </c>
      <c r="B18" s="27" t="s">
        <v>242</v>
      </c>
      <c r="C18" s="31" t="s">
        <v>194</v>
      </c>
      <c r="D18" s="32">
        <v>1</v>
      </c>
      <c r="E18" s="28">
        <v>3</v>
      </c>
      <c r="F18" s="33">
        <v>0</v>
      </c>
      <c r="G18" s="32">
        <v>1</v>
      </c>
      <c r="H18" s="28">
        <v>0</v>
      </c>
      <c r="I18" s="28">
        <v>0</v>
      </c>
      <c r="J18" s="33">
        <v>0</v>
      </c>
      <c r="K18" s="29">
        <v>2</v>
      </c>
      <c r="L18" s="28">
        <v>0</v>
      </c>
      <c r="M18" s="28">
        <v>0</v>
      </c>
      <c r="N18" s="28">
        <v>2</v>
      </c>
      <c r="O18" s="28">
        <v>0</v>
      </c>
      <c r="P18" s="27"/>
      <c r="Q18" s="27"/>
      <c r="R18" s="27"/>
      <c r="S18" s="28"/>
      <c r="T18" s="301"/>
      <c r="U18" s="185"/>
      <c r="V18" s="27"/>
      <c r="W18" s="27"/>
      <c r="X18" s="27"/>
      <c r="Y18" s="27"/>
      <c r="Z18" s="27"/>
      <c r="AA18" s="31"/>
      <c r="AB18" s="37"/>
      <c r="AC18" s="27"/>
      <c r="AD18" s="27"/>
      <c r="AE18" s="27"/>
      <c r="AF18" s="27"/>
      <c r="AG18" s="27"/>
      <c r="AH18" s="270"/>
      <c r="AI18" s="271" t="s">
        <v>215</v>
      </c>
      <c r="AJ18" s="272">
        <f>Nov.!BB40</f>
        <v>0</v>
      </c>
      <c r="AK18" s="272">
        <f>Nov.!BC40</f>
        <v>0</v>
      </c>
      <c r="AL18" s="272">
        <f>Nov.!BD40</f>
        <v>0</v>
      </c>
      <c r="AM18" s="272">
        <f>Nov.!BE40</f>
        <v>0</v>
      </c>
      <c r="AN18" s="272">
        <f>Nov.!BF40</f>
        <v>0</v>
      </c>
      <c r="AO18" s="272">
        <f>Nov.!BG40</f>
        <v>0</v>
      </c>
      <c r="AP18" s="272">
        <f>Nov.!BH40</f>
        <v>0</v>
      </c>
      <c r="AQ18" s="272">
        <f>Nov.!BI40</f>
        <v>0</v>
      </c>
      <c r="AR18" s="272">
        <f>Nov.!BJ40</f>
        <v>0</v>
      </c>
      <c r="AS18" s="272">
        <f>Nov.!BK40</f>
        <v>0</v>
      </c>
      <c r="AT18" s="272">
        <f>Nov.!BL40</f>
        <v>0</v>
      </c>
      <c r="AU18" s="272">
        <f>Nov.!BM40</f>
        <v>0</v>
      </c>
      <c r="AV18" s="272">
        <f t="shared" si="0"/>
        <v>0</v>
      </c>
      <c r="AW18" s="271" t="s">
        <v>215</v>
      </c>
      <c r="AX18" s="272">
        <f>Nov.!BP40</f>
        <v>0</v>
      </c>
      <c r="AY18" s="272">
        <f>Nov.!BQ40</f>
        <v>0</v>
      </c>
      <c r="AZ18" s="272">
        <f>Nov.!BR40</f>
        <v>0</v>
      </c>
      <c r="BA18" s="272">
        <f>Nov.!BS40</f>
        <v>0</v>
      </c>
      <c r="BB18" s="272">
        <f>Nov.!BT40</f>
        <v>0</v>
      </c>
      <c r="BC18" s="272">
        <f>Nov.!BU40</f>
        <v>0</v>
      </c>
      <c r="BD18" s="272">
        <f>Nov.!BV40</f>
        <v>0</v>
      </c>
      <c r="BE18" s="272">
        <f>Nov.!BW40</f>
        <v>0</v>
      </c>
      <c r="BF18" s="272">
        <f t="shared" si="1"/>
        <v>0</v>
      </c>
      <c r="BG18"/>
      <c r="BH18"/>
    </row>
    <row r="19" spans="1:60" s="3" customFormat="1" ht="17.149999999999999" customHeight="1" x14ac:dyDescent="0.25">
      <c r="A19" s="27" t="s">
        <v>321</v>
      </c>
      <c r="B19" s="27" t="s">
        <v>242</v>
      </c>
      <c r="C19" s="31" t="s">
        <v>194</v>
      </c>
      <c r="D19" s="32">
        <v>1</v>
      </c>
      <c r="E19" s="28">
        <v>11</v>
      </c>
      <c r="F19" s="33">
        <v>0</v>
      </c>
      <c r="G19" s="32">
        <v>1</v>
      </c>
      <c r="H19" s="28">
        <v>0</v>
      </c>
      <c r="I19" s="28">
        <v>0</v>
      </c>
      <c r="J19" s="33">
        <v>0</v>
      </c>
      <c r="K19" s="29">
        <v>2</v>
      </c>
      <c r="L19" s="28">
        <v>0</v>
      </c>
      <c r="M19" s="28">
        <v>0</v>
      </c>
      <c r="N19" s="28">
        <v>2</v>
      </c>
      <c r="O19" s="28">
        <v>0</v>
      </c>
      <c r="P19" s="27"/>
      <c r="Q19" s="27"/>
      <c r="R19" s="27"/>
      <c r="S19" s="28"/>
      <c r="T19" s="301"/>
      <c r="U19" s="185"/>
      <c r="V19" s="27"/>
      <c r="W19" s="27"/>
      <c r="X19" s="27"/>
      <c r="Y19" s="27"/>
      <c r="Z19" s="27"/>
      <c r="AA19" s="31"/>
      <c r="AB19" s="37"/>
      <c r="AC19" s="27"/>
      <c r="AD19" s="27"/>
      <c r="AE19" s="27"/>
      <c r="AF19" s="27"/>
      <c r="AG19" s="27"/>
      <c r="AH19" s="270"/>
      <c r="AI19" s="271" t="s">
        <v>216</v>
      </c>
      <c r="AJ19" s="272">
        <f>Dec.!BB40</f>
        <v>0</v>
      </c>
      <c r="AK19" s="272">
        <f>Dec.!BC40</f>
        <v>0</v>
      </c>
      <c r="AL19" s="272">
        <f>Dec.!BD40</f>
        <v>0</v>
      </c>
      <c r="AM19" s="272">
        <f>Dec.!BE40</f>
        <v>0</v>
      </c>
      <c r="AN19" s="272">
        <f>Dec.!BF40</f>
        <v>0</v>
      </c>
      <c r="AO19" s="272">
        <f>Dec.!BG40</f>
        <v>0</v>
      </c>
      <c r="AP19" s="272">
        <f>Dec.!BH40</f>
        <v>0</v>
      </c>
      <c r="AQ19" s="272">
        <f>Dec.!BI40</f>
        <v>0</v>
      </c>
      <c r="AR19" s="272">
        <f>Dec.!BJ40</f>
        <v>0</v>
      </c>
      <c r="AS19" s="272">
        <f>Dec.!BK40</f>
        <v>0</v>
      </c>
      <c r="AT19" s="272">
        <f>Dec.!BL40</f>
        <v>0</v>
      </c>
      <c r="AU19" s="272">
        <f>Dec.!BM40</f>
        <v>0</v>
      </c>
      <c r="AV19" s="272">
        <f t="shared" si="0"/>
        <v>0</v>
      </c>
      <c r="AW19" s="271" t="s">
        <v>216</v>
      </c>
      <c r="AX19" s="272">
        <f>Dec.!BP40</f>
        <v>0</v>
      </c>
      <c r="AY19" s="272">
        <f>Dec.!BQ40</f>
        <v>0</v>
      </c>
      <c r="AZ19" s="272">
        <f>Dec.!BR40</f>
        <v>0</v>
      </c>
      <c r="BA19" s="272">
        <f>Dec.!BS40</f>
        <v>0</v>
      </c>
      <c r="BB19" s="272">
        <f>Dec.!BT40</f>
        <v>0</v>
      </c>
      <c r="BC19" s="272">
        <f>Dec.!BU40</f>
        <v>0</v>
      </c>
      <c r="BD19" s="272">
        <f>Dec.!BV40</f>
        <v>0</v>
      </c>
      <c r="BE19" s="272">
        <f>Dec.!BW40</f>
        <v>0</v>
      </c>
      <c r="BF19" s="272">
        <f t="shared" si="1"/>
        <v>0</v>
      </c>
      <c r="BG19"/>
      <c r="BH19"/>
    </row>
    <row r="20" spans="1:60" s="3" customFormat="1" ht="17.149999999999999" customHeight="1" x14ac:dyDescent="0.25">
      <c r="A20" s="27" t="s">
        <v>326</v>
      </c>
      <c r="B20" s="27" t="s">
        <v>242</v>
      </c>
      <c r="C20" s="31" t="s">
        <v>194</v>
      </c>
      <c r="D20" s="32">
        <v>1</v>
      </c>
      <c r="E20" s="28">
        <v>20</v>
      </c>
      <c r="F20" s="33">
        <v>1</v>
      </c>
      <c r="G20" s="32">
        <v>1</v>
      </c>
      <c r="H20" s="28">
        <v>0</v>
      </c>
      <c r="I20" s="28">
        <v>0</v>
      </c>
      <c r="J20" s="33">
        <v>0</v>
      </c>
      <c r="K20" s="29">
        <v>2</v>
      </c>
      <c r="L20" s="28">
        <v>0</v>
      </c>
      <c r="M20" s="28">
        <v>0</v>
      </c>
      <c r="N20" s="28">
        <v>2</v>
      </c>
      <c r="O20" s="28">
        <v>0</v>
      </c>
      <c r="P20" s="27"/>
      <c r="Q20" s="27"/>
      <c r="R20" s="27"/>
      <c r="S20" s="28"/>
      <c r="T20" s="301"/>
      <c r="U20" s="185"/>
      <c r="V20" s="27"/>
      <c r="W20" s="27"/>
      <c r="X20" s="27"/>
      <c r="Y20" s="27"/>
      <c r="Z20" s="27"/>
      <c r="AA20" s="31"/>
      <c r="AB20" s="37"/>
      <c r="AC20" s="27"/>
      <c r="AD20" s="27"/>
      <c r="AE20" s="27"/>
      <c r="AF20" s="27"/>
      <c r="AG20" s="27"/>
      <c r="AH20" s="270"/>
      <c r="AI20" s="271" t="s">
        <v>207</v>
      </c>
      <c r="AJ20" s="272">
        <f>SUM(AJ8:AJ19)</f>
        <v>190</v>
      </c>
      <c r="AK20" s="272">
        <f t="shared" ref="AK20:AX20" si="2">SUM(AK8:AK19)</f>
        <v>190</v>
      </c>
      <c r="AL20" s="272">
        <f t="shared" si="2"/>
        <v>190</v>
      </c>
      <c r="AM20" s="272">
        <f t="shared" si="2"/>
        <v>190</v>
      </c>
      <c r="AN20" s="272">
        <f t="shared" si="2"/>
        <v>190</v>
      </c>
      <c r="AO20" s="272">
        <f t="shared" si="2"/>
        <v>190</v>
      </c>
      <c r="AP20" s="272">
        <f t="shared" si="2"/>
        <v>190</v>
      </c>
      <c r="AQ20" s="272">
        <f t="shared" si="2"/>
        <v>190</v>
      </c>
      <c r="AR20" s="272">
        <f t="shared" si="2"/>
        <v>190</v>
      </c>
      <c r="AS20" s="272">
        <f t="shared" si="2"/>
        <v>190</v>
      </c>
      <c r="AT20" s="272">
        <f t="shared" si="2"/>
        <v>190</v>
      </c>
      <c r="AU20" s="272">
        <f t="shared" si="2"/>
        <v>190</v>
      </c>
      <c r="AV20" s="272">
        <f t="shared" si="2"/>
        <v>2280</v>
      </c>
      <c r="AW20" s="273" t="s">
        <v>207</v>
      </c>
      <c r="AX20" s="272">
        <f t="shared" si="2"/>
        <v>278</v>
      </c>
      <c r="AY20" s="272">
        <f t="shared" ref="AY20:BF20" si="3">SUM(AY8:AY19)</f>
        <v>234</v>
      </c>
      <c r="AZ20" s="272">
        <f t="shared" si="3"/>
        <v>234</v>
      </c>
      <c r="BA20" s="272">
        <f t="shared" si="3"/>
        <v>234</v>
      </c>
      <c r="BB20" s="272">
        <f t="shared" si="3"/>
        <v>234</v>
      </c>
      <c r="BC20" s="272">
        <f t="shared" si="3"/>
        <v>234</v>
      </c>
      <c r="BD20" s="272">
        <f t="shared" si="3"/>
        <v>278</v>
      </c>
      <c r="BE20" s="272">
        <f t="shared" si="3"/>
        <v>278</v>
      </c>
      <c r="BF20" s="272">
        <f t="shared" si="3"/>
        <v>2004</v>
      </c>
      <c r="BG20"/>
      <c r="BH20"/>
    </row>
    <row r="21" spans="1:60" s="3" customFormat="1" ht="17.149999999999999" customHeight="1" x14ac:dyDescent="0.25">
      <c r="A21" s="240" t="s">
        <v>336</v>
      </c>
      <c r="B21" s="240" t="s">
        <v>242</v>
      </c>
      <c r="C21" s="241" t="s">
        <v>194</v>
      </c>
      <c r="D21" s="242">
        <v>1</v>
      </c>
      <c r="E21" s="243">
        <v>6</v>
      </c>
      <c r="F21" s="244">
        <v>0</v>
      </c>
      <c r="G21" s="242">
        <v>1</v>
      </c>
      <c r="H21" s="243">
        <v>0</v>
      </c>
      <c r="I21" s="243">
        <v>0</v>
      </c>
      <c r="J21" s="244">
        <v>1</v>
      </c>
      <c r="K21" s="245">
        <v>2</v>
      </c>
      <c r="L21" s="243">
        <v>0</v>
      </c>
      <c r="M21" s="243">
        <v>0</v>
      </c>
      <c r="N21" s="243">
        <v>2</v>
      </c>
      <c r="O21" s="243">
        <v>0</v>
      </c>
      <c r="P21" s="27"/>
      <c r="Q21" s="27"/>
      <c r="R21" s="27"/>
      <c r="S21" s="28"/>
      <c r="T21" s="301"/>
      <c r="U21" s="185"/>
      <c r="V21" s="27"/>
      <c r="W21" s="27"/>
      <c r="X21" s="27"/>
      <c r="Y21" s="27"/>
      <c r="Z21" s="27"/>
      <c r="AA21" s="31"/>
      <c r="AB21" s="37"/>
      <c r="AC21" s="27"/>
      <c r="AD21" s="27"/>
      <c r="AE21" s="27"/>
      <c r="AF21" s="27"/>
      <c r="AG21" s="27"/>
      <c r="AH21" s="27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pans="1:60" s="3" customFormat="1" ht="17.149999999999999" customHeight="1" x14ac:dyDescent="0.25">
      <c r="A22" s="225" t="s">
        <v>337</v>
      </c>
      <c r="B22" s="225" t="s">
        <v>242</v>
      </c>
      <c r="C22" s="225" t="s">
        <v>338</v>
      </c>
      <c r="D22" s="247">
        <v>1</v>
      </c>
      <c r="E22" s="247">
        <v>6</v>
      </c>
      <c r="F22" s="247">
        <v>0</v>
      </c>
      <c r="G22" s="247">
        <v>1</v>
      </c>
      <c r="H22" s="247">
        <v>0</v>
      </c>
      <c r="I22" s="247">
        <v>0</v>
      </c>
      <c r="J22" s="247">
        <v>0</v>
      </c>
      <c r="K22" s="247">
        <v>2</v>
      </c>
      <c r="L22" s="247">
        <v>0</v>
      </c>
      <c r="M22" s="247">
        <v>0</v>
      </c>
      <c r="N22" s="247">
        <v>2</v>
      </c>
      <c r="O22" s="247">
        <v>1</v>
      </c>
      <c r="P22" s="37"/>
      <c r="Q22" s="27"/>
      <c r="R22" s="27"/>
      <c r="S22" s="28"/>
      <c r="T22" s="301"/>
      <c r="U22"/>
      <c r="V22" s="27"/>
      <c r="W22" s="27"/>
      <c r="X22" s="27"/>
      <c r="Y22" s="27"/>
      <c r="Z22" s="27"/>
      <c r="AA22" s="31"/>
      <c r="AB22" s="37"/>
      <c r="AC22" s="27"/>
      <c r="AD22" s="27"/>
      <c r="AE22" s="27"/>
      <c r="AF22" s="27"/>
      <c r="AG22" s="27"/>
      <c r="AH22" s="27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</row>
    <row r="23" spans="1:60" s="3" customFormat="1" ht="17.149999999999999" customHeight="1" x14ac:dyDescent="0.25">
      <c r="A23" s="6"/>
      <c r="B23" s="6"/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  <c r="Q23" s="6"/>
      <c r="R23" s="6"/>
      <c r="S23" s="5"/>
      <c r="T23" s="22"/>
      <c r="U23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</row>
    <row r="24" spans="1:60" s="3" customFormat="1" ht="17.149999999999999" customHeight="1" x14ac:dyDescent="0.25">
      <c r="A24" s="429" t="s">
        <v>33</v>
      </c>
      <c r="B24" s="430"/>
      <c r="C24" s="430"/>
      <c r="D24" s="430"/>
      <c r="E24" s="430"/>
      <c r="F24" s="430"/>
      <c r="G24" s="430"/>
      <c r="H24" s="430"/>
      <c r="I24" s="430"/>
      <c r="J24" s="430"/>
      <c r="K24" s="430"/>
      <c r="L24" s="430"/>
      <c r="M24" s="430"/>
      <c r="N24" s="430"/>
      <c r="O24" s="431"/>
      <c r="P24" s="429" t="s">
        <v>33</v>
      </c>
      <c r="Q24" s="430"/>
      <c r="R24" s="430"/>
      <c r="S24" s="430"/>
      <c r="T24" s="431"/>
      <c r="U24"/>
      <c r="V24" s="429" t="s">
        <v>33</v>
      </c>
      <c r="W24" s="430"/>
      <c r="X24" s="430"/>
      <c r="Y24" s="430"/>
      <c r="Z24" s="430"/>
      <c r="AA24" s="430"/>
      <c r="AB24" s="430"/>
      <c r="AC24" s="430"/>
      <c r="AD24" s="430"/>
      <c r="AE24" s="430"/>
      <c r="AF24" s="430"/>
      <c r="AG24" s="430"/>
      <c r="AH24" s="431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</row>
    <row r="25" spans="1:60" s="3" customFormat="1" ht="17.149999999999999" customHeight="1" x14ac:dyDescent="0.35">
      <c r="A25" s="432"/>
      <c r="B25" s="433"/>
      <c r="C25" s="433"/>
      <c r="D25" s="433"/>
      <c r="E25" s="433"/>
      <c r="F25" s="433"/>
      <c r="G25" s="433"/>
      <c r="H25" s="433"/>
      <c r="I25" s="433"/>
      <c r="J25" s="433"/>
      <c r="K25" s="433"/>
      <c r="L25" s="433"/>
      <c r="M25" s="433"/>
      <c r="N25" s="433"/>
      <c r="O25" s="434"/>
      <c r="P25" s="432"/>
      <c r="Q25" s="433"/>
      <c r="R25" s="433"/>
      <c r="S25" s="433"/>
      <c r="T25" s="434"/>
      <c r="U25" s="183"/>
      <c r="V25" s="432" t="s">
        <v>49</v>
      </c>
      <c r="W25" s="433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H25" s="434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</row>
    <row r="26" spans="1:60" s="3" customFormat="1" ht="17.149999999999999" customHeight="1" x14ac:dyDescent="0.35">
      <c r="A26" s="432"/>
      <c r="B26" s="433"/>
      <c r="C26" s="433"/>
      <c r="D26" s="433"/>
      <c r="E26" s="433"/>
      <c r="F26" s="433"/>
      <c r="G26" s="433"/>
      <c r="H26" s="433"/>
      <c r="I26" s="433"/>
      <c r="J26" s="433"/>
      <c r="K26" s="433"/>
      <c r="L26" s="433"/>
      <c r="M26" s="433"/>
      <c r="N26" s="433"/>
      <c r="O26" s="434"/>
      <c r="P26" s="432"/>
      <c r="Q26" s="433"/>
      <c r="R26" s="433"/>
      <c r="S26" s="433"/>
      <c r="T26" s="434"/>
      <c r="U26" s="183"/>
      <c r="V26" s="432"/>
      <c r="W26" s="433"/>
      <c r="X26" s="433"/>
      <c r="Y26" s="433"/>
      <c r="Z26" s="433"/>
      <c r="AA26" s="433"/>
      <c r="AB26" s="433"/>
      <c r="AC26" s="433"/>
      <c r="AD26" s="433"/>
      <c r="AE26" s="433"/>
      <c r="AF26" s="433"/>
      <c r="AG26" s="433"/>
      <c r="AH26" s="434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</row>
    <row r="27" spans="1:60" s="3" customFormat="1" ht="17.149999999999999" customHeight="1" x14ac:dyDescent="0.35">
      <c r="A27" s="432"/>
      <c r="B27" s="433"/>
      <c r="C27" s="433"/>
      <c r="D27" s="433"/>
      <c r="E27" s="433"/>
      <c r="F27" s="433"/>
      <c r="G27" s="433"/>
      <c r="H27" s="433"/>
      <c r="I27" s="433"/>
      <c r="J27" s="433"/>
      <c r="K27" s="433"/>
      <c r="L27" s="433"/>
      <c r="M27" s="433"/>
      <c r="N27" s="433"/>
      <c r="O27" s="434"/>
      <c r="P27" s="432"/>
      <c r="Q27" s="433"/>
      <c r="R27" s="433"/>
      <c r="S27" s="433"/>
      <c r="T27" s="434"/>
      <c r="U27" s="183"/>
      <c r="V27" s="432"/>
      <c r="W27" s="433"/>
      <c r="X27" s="433"/>
      <c r="Y27" s="433"/>
      <c r="Z27" s="433"/>
      <c r="AA27" s="433"/>
      <c r="AB27" s="433"/>
      <c r="AC27" s="433"/>
      <c r="AD27" s="433"/>
      <c r="AE27" s="433"/>
      <c r="AF27" s="433"/>
      <c r="AG27" s="433"/>
      <c r="AH27" s="434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</row>
    <row r="28" spans="1:60" s="3" customFormat="1" ht="17.149999999999999" customHeight="1" x14ac:dyDescent="0.35">
      <c r="A28" s="373" t="s">
        <v>222</v>
      </c>
      <c r="B28" s="373"/>
      <c r="C28" s="373"/>
      <c r="D28" s="373"/>
      <c r="E28" s="373"/>
      <c r="F28" s="373"/>
      <c r="G28" s="373"/>
      <c r="H28" s="373"/>
      <c r="I28" s="373"/>
      <c r="J28" s="373"/>
      <c r="K28" s="373"/>
      <c r="L28" s="373"/>
      <c r="M28" s="373"/>
      <c r="N28" s="373"/>
      <c r="O28" s="373"/>
      <c r="P28" s="5"/>
      <c r="Q28" s="5"/>
      <c r="R28" s="5"/>
      <c r="S28" s="5"/>
      <c r="T28" s="22"/>
      <c r="U28" s="18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</row>
    <row r="29" spans="1:60" s="3" customFormat="1" ht="17.149999999999999" customHeight="1" x14ac:dyDescent="0.35">
      <c r="A29" s="373"/>
      <c r="B29" s="373"/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373"/>
      <c r="O29" s="373"/>
      <c r="P29" s="5"/>
      <c r="Q29" s="5"/>
      <c r="R29" s="5"/>
      <c r="S29" s="5"/>
      <c r="T29" s="22"/>
      <c r="U29" s="18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</row>
    <row r="30" spans="1:60" s="3" customFormat="1" ht="17.149999999999999" customHeight="1" x14ac:dyDescent="0.35">
      <c r="A30" s="314" t="s">
        <v>449</v>
      </c>
      <c r="B30" s="314"/>
      <c r="C30" s="314"/>
      <c r="D30" s="314"/>
      <c r="E30" s="314"/>
      <c r="F30" s="314"/>
      <c r="G30" s="315" t="s">
        <v>202</v>
      </c>
      <c r="H30" s="315"/>
      <c r="I30" s="315"/>
      <c r="J30" s="315"/>
      <c r="K30" s="315"/>
      <c r="L30" s="315"/>
      <c r="M30" s="315"/>
      <c r="N30" s="315"/>
      <c r="O30" s="315"/>
      <c r="P30" s="5"/>
      <c r="Q30" s="5"/>
      <c r="R30" s="5"/>
      <c r="S30" s="5"/>
      <c r="T30" s="22"/>
      <c r="U30" s="18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</row>
    <row r="31" spans="1:60" s="3" customFormat="1" ht="17.149999999999999" customHeight="1" x14ac:dyDescent="0.35">
      <c r="A31" s="405" t="s">
        <v>47</v>
      </c>
      <c r="B31" s="405"/>
      <c r="C31" s="406"/>
      <c r="D31" s="404" t="s">
        <v>38</v>
      </c>
      <c r="E31" s="405"/>
      <c r="F31" s="406"/>
      <c r="G31" s="411" t="s">
        <v>24</v>
      </c>
      <c r="H31" s="412"/>
      <c r="I31" s="412"/>
      <c r="J31" s="413"/>
      <c r="K31" s="416" t="s">
        <v>39</v>
      </c>
      <c r="L31" s="405"/>
      <c r="M31" s="405"/>
      <c r="N31" s="405"/>
      <c r="O31" s="405"/>
      <c r="P31" s="5"/>
      <c r="Q31" s="5"/>
      <c r="R31" s="5"/>
      <c r="S31" s="5"/>
      <c r="T31" s="22"/>
      <c r="U31" s="18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</row>
    <row r="32" spans="1:60" s="3" customFormat="1" ht="17.149999999999999" customHeight="1" x14ac:dyDescent="0.35">
      <c r="A32" s="417" t="s">
        <v>48</v>
      </c>
      <c r="B32" s="417" t="s">
        <v>44</v>
      </c>
      <c r="C32" s="407" t="s">
        <v>46</v>
      </c>
      <c r="D32" s="425" t="s">
        <v>45</v>
      </c>
      <c r="E32" s="414" t="s">
        <v>58</v>
      </c>
      <c r="F32" s="409" t="s">
        <v>72</v>
      </c>
      <c r="G32" s="425" t="s">
        <v>45</v>
      </c>
      <c r="H32" s="414" t="s">
        <v>59</v>
      </c>
      <c r="I32" s="414" t="s">
        <v>73</v>
      </c>
      <c r="J32" s="409" t="s">
        <v>61</v>
      </c>
      <c r="K32" s="436" t="s">
        <v>45</v>
      </c>
      <c r="L32" s="414" t="s">
        <v>60</v>
      </c>
      <c r="M32" s="414" t="s">
        <v>74</v>
      </c>
      <c r="N32" s="414" t="s">
        <v>43</v>
      </c>
      <c r="O32" s="414" t="s">
        <v>62</v>
      </c>
      <c r="P32" s="5"/>
      <c r="Q32" s="5"/>
      <c r="R32" s="5"/>
      <c r="S32" s="5"/>
      <c r="T32" s="22"/>
      <c r="U32" s="18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</row>
    <row r="33" spans="1:58" s="3" customFormat="1" ht="17.149999999999999" customHeight="1" x14ac:dyDescent="0.35">
      <c r="A33" s="417"/>
      <c r="B33" s="417"/>
      <c r="C33" s="407"/>
      <c r="D33" s="425"/>
      <c r="E33" s="414"/>
      <c r="F33" s="409"/>
      <c r="G33" s="425"/>
      <c r="H33" s="414"/>
      <c r="I33" s="414"/>
      <c r="J33" s="409"/>
      <c r="K33" s="436"/>
      <c r="L33" s="414"/>
      <c r="M33" s="414"/>
      <c r="N33" s="414"/>
      <c r="O33" s="414"/>
      <c r="P33" s="5"/>
      <c r="Q33" s="5"/>
      <c r="R33" s="5"/>
      <c r="S33" s="5"/>
      <c r="T33" s="22"/>
      <c r="U33" s="18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</row>
    <row r="34" spans="1:58" s="3" customFormat="1" ht="17.149999999999999" customHeight="1" x14ac:dyDescent="0.35">
      <c r="A34" s="417"/>
      <c r="B34" s="417"/>
      <c r="C34" s="407"/>
      <c r="D34" s="425"/>
      <c r="E34" s="414"/>
      <c r="F34" s="409"/>
      <c r="G34" s="425"/>
      <c r="H34" s="414"/>
      <c r="I34" s="414"/>
      <c r="J34" s="409"/>
      <c r="K34" s="436"/>
      <c r="L34" s="414"/>
      <c r="M34" s="414"/>
      <c r="N34" s="414"/>
      <c r="O34" s="414"/>
      <c r="P34" s="5"/>
      <c r="Q34" s="5"/>
      <c r="R34" s="5"/>
      <c r="S34" s="5"/>
      <c r="T34" s="22"/>
      <c r="U34" s="18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</row>
    <row r="35" spans="1:58" s="3" customFormat="1" ht="17.149999999999999" customHeight="1" x14ac:dyDescent="0.35">
      <c r="A35" s="226"/>
      <c r="B35" s="226"/>
      <c r="C35" s="227"/>
      <c r="D35" s="228"/>
      <c r="E35" s="229"/>
      <c r="F35" s="230"/>
      <c r="G35" s="228"/>
      <c r="H35" s="231"/>
      <c r="I35" s="231"/>
      <c r="J35" s="232"/>
      <c r="K35" s="233"/>
      <c r="L35" s="231"/>
      <c r="M35" s="231"/>
      <c r="N35" s="231"/>
      <c r="O35" s="231"/>
      <c r="P35" s="5"/>
      <c r="Q35" s="5"/>
      <c r="R35" s="5"/>
      <c r="S35" s="5"/>
      <c r="T35" s="22"/>
      <c r="U35" s="18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</row>
    <row r="36" spans="1:58" s="3" customFormat="1" ht="18" customHeight="1" x14ac:dyDescent="0.35">
      <c r="A36" s="27" t="s">
        <v>340</v>
      </c>
      <c r="B36" s="27" t="s">
        <v>242</v>
      </c>
      <c r="C36" s="31" t="s">
        <v>194</v>
      </c>
      <c r="D36" s="32">
        <v>1</v>
      </c>
      <c r="E36" s="28">
        <v>2</v>
      </c>
      <c r="F36" s="33">
        <v>0</v>
      </c>
      <c r="G36" s="32">
        <v>1</v>
      </c>
      <c r="H36" s="28">
        <v>0</v>
      </c>
      <c r="I36" s="28">
        <v>0</v>
      </c>
      <c r="J36" s="33">
        <v>0</v>
      </c>
      <c r="K36" s="29">
        <v>2</v>
      </c>
      <c r="L36" s="28">
        <v>0</v>
      </c>
      <c r="M36" s="28">
        <v>0</v>
      </c>
      <c r="N36" s="28">
        <v>2</v>
      </c>
      <c r="O36" s="28">
        <v>1</v>
      </c>
      <c r="P36" s="5"/>
      <c r="Q36" s="5"/>
      <c r="R36" s="5"/>
      <c r="S36" s="5"/>
      <c r="T36" s="22"/>
      <c r="U36" s="18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</row>
    <row r="37" spans="1:58" s="3" customFormat="1" ht="18" customHeight="1" x14ac:dyDescent="0.35">
      <c r="A37" s="222" t="s">
        <v>346</v>
      </c>
      <c r="B37" s="222" t="s">
        <v>242</v>
      </c>
      <c r="C37" s="234" t="s">
        <v>194</v>
      </c>
      <c r="D37" s="235">
        <v>1</v>
      </c>
      <c r="E37" s="223">
        <v>4</v>
      </c>
      <c r="F37" s="236">
        <v>0</v>
      </c>
      <c r="G37" s="235">
        <v>1</v>
      </c>
      <c r="H37" s="237">
        <v>0</v>
      </c>
      <c r="I37" s="237">
        <v>0</v>
      </c>
      <c r="J37" s="238">
        <v>0</v>
      </c>
      <c r="K37" s="239">
        <v>2</v>
      </c>
      <c r="L37" s="237">
        <v>0</v>
      </c>
      <c r="M37" s="237">
        <v>0</v>
      </c>
      <c r="N37" s="237">
        <v>2</v>
      </c>
      <c r="O37" s="237">
        <v>0</v>
      </c>
      <c r="P37" s="5"/>
      <c r="Q37" s="5"/>
      <c r="R37" s="5"/>
      <c r="S37" s="5"/>
      <c r="T37" s="22"/>
      <c r="U37" s="18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</row>
    <row r="38" spans="1:58" s="3" customFormat="1" ht="18" customHeight="1" x14ac:dyDescent="0.35">
      <c r="A38" s="27" t="s">
        <v>348</v>
      </c>
      <c r="B38" s="27" t="s">
        <v>242</v>
      </c>
      <c r="C38" s="31" t="s">
        <v>194</v>
      </c>
      <c r="D38" s="32">
        <v>1</v>
      </c>
      <c r="E38" s="28">
        <v>1</v>
      </c>
      <c r="F38" s="33">
        <v>0</v>
      </c>
      <c r="G38" s="32">
        <v>1</v>
      </c>
      <c r="H38" s="25">
        <v>0</v>
      </c>
      <c r="I38" s="25">
        <v>0</v>
      </c>
      <c r="J38" s="35">
        <v>0</v>
      </c>
      <c r="K38" s="34">
        <v>2</v>
      </c>
      <c r="L38" s="25">
        <v>0</v>
      </c>
      <c r="M38" s="25">
        <v>0</v>
      </c>
      <c r="N38" s="25">
        <v>2</v>
      </c>
      <c r="O38" s="25">
        <v>0</v>
      </c>
      <c r="P38" s="5"/>
      <c r="Q38" s="5"/>
      <c r="R38" s="5"/>
      <c r="S38" s="5"/>
      <c r="T38" s="22"/>
      <c r="U38" s="18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</row>
    <row r="39" spans="1:58" ht="18" customHeight="1" x14ac:dyDescent="0.35">
      <c r="A39" s="27" t="s">
        <v>352</v>
      </c>
      <c r="B39" s="27" t="s">
        <v>242</v>
      </c>
      <c r="C39" s="31" t="s">
        <v>194</v>
      </c>
      <c r="D39" s="32">
        <v>1</v>
      </c>
      <c r="E39" s="28">
        <v>28</v>
      </c>
      <c r="F39" s="33">
        <v>1</v>
      </c>
      <c r="G39" s="32">
        <v>1</v>
      </c>
      <c r="H39" s="25">
        <v>0</v>
      </c>
      <c r="I39" s="25">
        <v>0</v>
      </c>
      <c r="J39" s="35">
        <v>1</v>
      </c>
      <c r="K39" s="34">
        <v>2</v>
      </c>
      <c r="L39" s="25">
        <v>0</v>
      </c>
      <c r="M39" s="25">
        <v>0</v>
      </c>
      <c r="N39" s="25">
        <v>2</v>
      </c>
      <c r="O39" s="25">
        <v>0</v>
      </c>
    </row>
    <row r="40" spans="1:58" ht="18" customHeight="1" x14ac:dyDescent="0.35">
      <c r="A40" s="27" t="s">
        <v>356</v>
      </c>
      <c r="B40" s="27" t="s">
        <v>242</v>
      </c>
      <c r="C40" s="31" t="s">
        <v>194</v>
      </c>
      <c r="D40" s="32">
        <v>1</v>
      </c>
      <c r="E40" s="28">
        <v>15</v>
      </c>
      <c r="F40" s="33">
        <v>3</v>
      </c>
      <c r="G40" s="32">
        <v>1</v>
      </c>
      <c r="H40" s="25">
        <v>0</v>
      </c>
      <c r="I40" s="25">
        <v>0</v>
      </c>
      <c r="J40" s="35">
        <v>0</v>
      </c>
      <c r="K40" s="34">
        <v>2</v>
      </c>
      <c r="L40" s="25">
        <v>0</v>
      </c>
      <c r="M40" s="25">
        <v>0</v>
      </c>
      <c r="N40" s="25">
        <v>2</v>
      </c>
      <c r="O40" s="25">
        <v>0</v>
      </c>
    </row>
    <row r="41" spans="1:58" s="10" customFormat="1" ht="18" customHeight="1" x14ac:dyDescent="0.35">
      <c r="A41" s="27" t="s">
        <v>358</v>
      </c>
      <c r="B41" s="27" t="s">
        <v>242</v>
      </c>
      <c r="C41" s="31" t="s">
        <v>194</v>
      </c>
      <c r="D41" s="32">
        <v>1</v>
      </c>
      <c r="E41" s="28">
        <v>2</v>
      </c>
      <c r="F41" s="33">
        <v>0</v>
      </c>
      <c r="G41" s="32">
        <v>1</v>
      </c>
      <c r="H41" s="25">
        <v>0</v>
      </c>
      <c r="I41" s="25">
        <v>0</v>
      </c>
      <c r="J41" s="35">
        <v>0</v>
      </c>
      <c r="K41" s="34">
        <v>2</v>
      </c>
      <c r="L41" s="25">
        <v>0</v>
      </c>
      <c r="M41" s="25">
        <v>0</v>
      </c>
      <c r="N41" s="25">
        <v>2</v>
      </c>
      <c r="O41" s="25">
        <v>1</v>
      </c>
      <c r="P41" s="5"/>
      <c r="Q41" s="5"/>
      <c r="R41" s="5"/>
      <c r="S41" s="5"/>
      <c r="T41" s="22"/>
      <c r="U41" s="18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</row>
    <row r="42" spans="1:58" ht="18" customHeight="1" x14ac:dyDescent="0.35">
      <c r="A42" s="27" t="s">
        <v>362</v>
      </c>
      <c r="B42" s="27" t="s">
        <v>242</v>
      </c>
      <c r="C42" s="31" t="s">
        <v>194</v>
      </c>
      <c r="D42" s="32">
        <v>1</v>
      </c>
      <c r="E42" s="28">
        <v>5</v>
      </c>
      <c r="F42" s="28">
        <v>0</v>
      </c>
      <c r="G42" s="32">
        <v>1</v>
      </c>
      <c r="H42" s="25">
        <v>0</v>
      </c>
      <c r="I42" s="25">
        <v>0</v>
      </c>
      <c r="J42" s="35">
        <v>0</v>
      </c>
      <c r="K42" s="34">
        <v>2</v>
      </c>
      <c r="L42" s="25">
        <v>0</v>
      </c>
      <c r="M42" s="25">
        <v>0</v>
      </c>
      <c r="N42" s="25">
        <v>2</v>
      </c>
      <c r="O42" s="25">
        <v>1</v>
      </c>
    </row>
    <row r="43" spans="1:58" ht="18" customHeight="1" x14ac:dyDescent="0.35">
      <c r="A43" s="27" t="s">
        <v>370</v>
      </c>
      <c r="B43" s="27" t="s">
        <v>242</v>
      </c>
      <c r="C43" s="31" t="s">
        <v>194</v>
      </c>
      <c r="D43" s="32">
        <v>1</v>
      </c>
      <c r="E43" s="28">
        <v>1</v>
      </c>
      <c r="F43" s="33">
        <v>0</v>
      </c>
      <c r="G43" s="32">
        <v>1</v>
      </c>
      <c r="H43" s="25">
        <v>0</v>
      </c>
      <c r="I43" s="25">
        <v>0</v>
      </c>
      <c r="J43" s="35">
        <v>0</v>
      </c>
      <c r="K43" s="34">
        <v>2</v>
      </c>
      <c r="L43" s="25">
        <v>0</v>
      </c>
      <c r="M43" s="25">
        <v>0</v>
      </c>
      <c r="N43" s="25">
        <v>2</v>
      </c>
      <c r="O43" s="25">
        <v>0</v>
      </c>
    </row>
    <row r="44" spans="1:58" ht="18" customHeight="1" x14ac:dyDescent="0.35">
      <c r="A44" s="27" t="s">
        <v>372</v>
      </c>
      <c r="B44" s="27" t="s">
        <v>242</v>
      </c>
      <c r="C44" s="31" t="s">
        <v>194</v>
      </c>
      <c r="D44" s="32">
        <v>1</v>
      </c>
      <c r="E44" s="28">
        <v>9</v>
      </c>
      <c r="F44" s="33">
        <v>0</v>
      </c>
      <c r="G44" s="32">
        <v>1</v>
      </c>
      <c r="H44" s="25">
        <v>0</v>
      </c>
      <c r="I44" s="25">
        <v>0</v>
      </c>
      <c r="J44" s="35">
        <v>0</v>
      </c>
      <c r="K44" s="34">
        <v>2</v>
      </c>
      <c r="L44" s="25">
        <v>0</v>
      </c>
      <c r="M44" s="25">
        <v>0</v>
      </c>
      <c r="N44" s="25">
        <v>2</v>
      </c>
      <c r="O44" s="25">
        <v>0</v>
      </c>
    </row>
    <row r="45" spans="1:58" ht="18" customHeight="1" x14ac:dyDescent="0.35">
      <c r="A45" s="27" t="s">
        <v>378</v>
      </c>
      <c r="B45" s="27" t="s">
        <v>242</v>
      </c>
      <c r="C45" s="31" t="s">
        <v>194</v>
      </c>
      <c r="D45" s="32">
        <v>1</v>
      </c>
      <c r="E45" s="28">
        <v>19</v>
      </c>
      <c r="F45" s="33">
        <v>0</v>
      </c>
      <c r="G45" s="32">
        <v>1</v>
      </c>
      <c r="H45" s="25">
        <v>0</v>
      </c>
      <c r="I45" s="25">
        <v>0</v>
      </c>
      <c r="J45" s="35">
        <v>1</v>
      </c>
      <c r="K45" s="34">
        <v>2</v>
      </c>
      <c r="L45" s="25">
        <v>0</v>
      </c>
      <c r="M45" s="25">
        <v>0</v>
      </c>
      <c r="N45" s="25">
        <v>2</v>
      </c>
      <c r="O45" s="25">
        <v>0</v>
      </c>
    </row>
    <row r="46" spans="1:58" ht="18" customHeight="1" x14ac:dyDescent="0.35">
      <c r="A46" s="27" t="s">
        <v>381</v>
      </c>
      <c r="B46" s="27" t="s">
        <v>242</v>
      </c>
      <c r="C46" s="31" t="s">
        <v>194</v>
      </c>
      <c r="D46" s="32">
        <v>1</v>
      </c>
      <c r="E46" s="28">
        <v>115</v>
      </c>
      <c r="F46" s="33">
        <v>1</v>
      </c>
      <c r="G46" s="32">
        <v>1</v>
      </c>
      <c r="H46" s="28">
        <v>0</v>
      </c>
      <c r="I46" s="28">
        <v>0</v>
      </c>
      <c r="J46" s="33">
        <v>0</v>
      </c>
      <c r="K46" s="29">
        <v>2</v>
      </c>
      <c r="L46" s="28">
        <v>0</v>
      </c>
      <c r="M46" s="28">
        <v>0</v>
      </c>
      <c r="N46" s="28">
        <v>2</v>
      </c>
      <c r="O46" s="28">
        <v>0</v>
      </c>
    </row>
    <row r="47" spans="1:58" ht="18" customHeight="1" x14ac:dyDescent="0.35">
      <c r="A47" s="27" t="s">
        <v>389</v>
      </c>
      <c r="B47" s="27" t="s">
        <v>242</v>
      </c>
      <c r="C47" s="31" t="s">
        <v>194</v>
      </c>
      <c r="D47" s="32">
        <v>1</v>
      </c>
      <c r="E47" s="28">
        <v>86</v>
      </c>
      <c r="F47" s="33">
        <v>0</v>
      </c>
      <c r="G47" s="32">
        <v>1</v>
      </c>
      <c r="H47" s="28">
        <v>0</v>
      </c>
      <c r="I47" s="28">
        <v>0</v>
      </c>
      <c r="J47" s="33">
        <v>0</v>
      </c>
      <c r="K47" s="29">
        <v>2</v>
      </c>
      <c r="L47" s="28">
        <v>0</v>
      </c>
      <c r="M47" s="28">
        <v>0</v>
      </c>
      <c r="N47" s="28">
        <v>2</v>
      </c>
      <c r="O47" s="28">
        <v>0</v>
      </c>
    </row>
    <row r="48" spans="1:58" ht="18" customHeight="1" x14ac:dyDescent="0.35">
      <c r="A48" s="27" t="s">
        <v>394</v>
      </c>
      <c r="B48" s="27" t="s">
        <v>242</v>
      </c>
      <c r="C48" s="31" t="s">
        <v>194</v>
      </c>
      <c r="D48" s="32">
        <v>1</v>
      </c>
      <c r="E48" s="28">
        <v>72</v>
      </c>
      <c r="F48" s="33">
        <v>0</v>
      </c>
      <c r="G48" s="32">
        <v>1</v>
      </c>
      <c r="H48" s="28">
        <v>0</v>
      </c>
      <c r="I48" s="28">
        <v>0</v>
      </c>
      <c r="J48" s="33">
        <v>0</v>
      </c>
      <c r="K48" s="29">
        <v>2</v>
      </c>
      <c r="L48" s="28">
        <v>0</v>
      </c>
      <c r="M48" s="28">
        <v>0</v>
      </c>
      <c r="N48" s="28">
        <v>2</v>
      </c>
      <c r="O48" s="28">
        <v>0</v>
      </c>
    </row>
    <row r="49" spans="1:15" ht="18" customHeight="1" x14ac:dyDescent="0.35">
      <c r="A49" s="27" t="s">
        <v>395</v>
      </c>
      <c r="B49" s="27" t="s">
        <v>242</v>
      </c>
      <c r="C49" s="31" t="s">
        <v>194</v>
      </c>
      <c r="D49" s="32">
        <v>1</v>
      </c>
      <c r="E49" s="28">
        <v>1</v>
      </c>
      <c r="F49" s="33">
        <v>0</v>
      </c>
      <c r="G49" s="32">
        <v>1</v>
      </c>
      <c r="H49" s="28">
        <v>0</v>
      </c>
      <c r="I49" s="28">
        <v>0</v>
      </c>
      <c r="J49" s="33">
        <v>0</v>
      </c>
      <c r="K49" s="29">
        <v>2</v>
      </c>
      <c r="L49" s="28">
        <v>0</v>
      </c>
      <c r="M49" s="28">
        <v>0</v>
      </c>
      <c r="N49" s="28">
        <v>2</v>
      </c>
      <c r="O49" s="28">
        <v>0</v>
      </c>
    </row>
    <row r="50" spans="1:15" ht="18" customHeight="1" x14ac:dyDescent="0.35">
      <c r="A50" s="27" t="s">
        <v>402</v>
      </c>
      <c r="B50" s="27" t="s">
        <v>242</v>
      </c>
      <c r="C50" s="31" t="s">
        <v>194</v>
      </c>
      <c r="D50" s="32">
        <v>1</v>
      </c>
      <c r="E50" s="28">
        <v>75</v>
      </c>
      <c r="F50" s="33">
        <v>0</v>
      </c>
      <c r="G50" s="32">
        <v>1</v>
      </c>
      <c r="H50" s="28">
        <v>0</v>
      </c>
      <c r="I50" s="28">
        <v>0</v>
      </c>
      <c r="J50" s="33">
        <v>0</v>
      </c>
      <c r="K50" s="29">
        <v>2</v>
      </c>
      <c r="L50" s="28">
        <v>0</v>
      </c>
      <c r="M50" s="28">
        <v>0</v>
      </c>
      <c r="N50" s="28">
        <v>2</v>
      </c>
      <c r="O50" s="28">
        <v>1</v>
      </c>
    </row>
    <row r="51" spans="1:15" ht="18" customHeight="1" x14ac:dyDescent="0.35">
      <c r="A51" s="27" t="s">
        <v>411</v>
      </c>
      <c r="B51" s="27" t="s">
        <v>242</v>
      </c>
      <c r="C51" s="31" t="s">
        <v>194</v>
      </c>
      <c r="D51" s="32">
        <v>1</v>
      </c>
      <c r="E51" s="28">
        <v>159</v>
      </c>
      <c r="F51" s="33">
        <v>0</v>
      </c>
      <c r="G51" s="32">
        <v>1</v>
      </c>
      <c r="H51" s="28">
        <v>0</v>
      </c>
      <c r="I51" s="28">
        <v>0</v>
      </c>
      <c r="J51" s="33">
        <v>0</v>
      </c>
      <c r="K51" s="29">
        <v>2</v>
      </c>
      <c r="L51" s="28">
        <v>0</v>
      </c>
      <c r="M51" s="28">
        <v>0</v>
      </c>
      <c r="N51" s="28">
        <v>2</v>
      </c>
      <c r="O51" s="28">
        <v>0</v>
      </c>
    </row>
    <row r="53" spans="1:15" x14ac:dyDescent="0.35">
      <c r="A53" s="429" t="s">
        <v>33</v>
      </c>
      <c r="B53" s="430"/>
      <c r="C53" s="430"/>
      <c r="D53" s="430"/>
      <c r="E53" s="430"/>
      <c r="F53" s="430"/>
      <c r="G53" s="430"/>
      <c r="H53" s="430"/>
      <c r="I53" s="430"/>
      <c r="J53" s="430"/>
      <c r="K53" s="430"/>
      <c r="L53" s="430"/>
      <c r="M53" s="430"/>
      <c r="N53" s="430"/>
      <c r="O53" s="431"/>
    </row>
    <row r="54" spans="1:15" x14ac:dyDescent="0.35">
      <c r="A54" s="432" t="s">
        <v>200</v>
      </c>
      <c r="B54" s="433"/>
      <c r="C54" s="433"/>
      <c r="D54" s="433"/>
      <c r="E54" s="433"/>
      <c r="F54" s="433"/>
      <c r="G54" s="433"/>
      <c r="H54" s="433"/>
      <c r="I54" s="433"/>
      <c r="J54" s="433"/>
      <c r="K54" s="433"/>
      <c r="L54" s="433"/>
      <c r="M54" s="433"/>
      <c r="N54" s="433"/>
      <c r="O54" s="434"/>
    </row>
    <row r="55" spans="1:15" x14ac:dyDescent="0.35">
      <c r="A55" s="432"/>
      <c r="B55" s="433"/>
      <c r="C55" s="433"/>
      <c r="D55" s="433"/>
      <c r="E55" s="433"/>
      <c r="F55" s="433"/>
      <c r="G55" s="433"/>
      <c r="H55" s="433"/>
      <c r="I55" s="433"/>
      <c r="J55" s="433"/>
      <c r="K55" s="433"/>
      <c r="L55" s="433"/>
      <c r="M55" s="433"/>
      <c r="N55" s="433"/>
      <c r="O55" s="434"/>
    </row>
    <row r="56" spans="1:15" x14ac:dyDescent="0.35">
      <c r="A56" s="432"/>
      <c r="B56" s="433"/>
      <c r="C56" s="433"/>
      <c r="D56" s="433"/>
      <c r="E56" s="433"/>
      <c r="F56" s="433"/>
      <c r="G56" s="433"/>
      <c r="H56" s="433"/>
      <c r="I56" s="433"/>
      <c r="J56" s="433"/>
      <c r="K56" s="433"/>
      <c r="L56" s="433"/>
      <c r="M56" s="433"/>
      <c r="N56" s="433"/>
      <c r="O56" s="434"/>
    </row>
    <row r="60" spans="1:15" x14ac:dyDescent="0.35">
      <c r="A60" s="373" t="s">
        <v>222</v>
      </c>
      <c r="B60" s="373"/>
      <c r="C60" s="373"/>
      <c r="D60" s="373"/>
      <c r="E60" s="373"/>
      <c r="F60" s="373"/>
      <c r="G60" s="373"/>
      <c r="H60" s="373"/>
      <c r="I60" s="373"/>
      <c r="J60" s="373"/>
      <c r="K60" s="373"/>
      <c r="L60" s="373"/>
      <c r="M60" s="373"/>
      <c r="N60" s="373"/>
      <c r="O60" s="373"/>
    </row>
    <row r="61" spans="1:15" x14ac:dyDescent="0.35">
      <c r="A61" s="373"/>
      <c r="B61" s="373"/>
      <c r="C61" s="373"/>
      <c r="D61" s="37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3"/>
    </row>
    <row r="62" spans="1:15" ht="25" x14ac:dyDescent="0.35">
      <c r="A62" s="314" t="s">
        <v>113</v>
      </c>
      <c r="B62" s="314"/>
      <c r="C62" s="314"/>
      <c r="D62" s="314"/>
      <c r="E62" s="314"/>
      <c r="F62" s="314"/>
      <c r="G62" s="315" t="s">
        <v>201</v>
      </c>
      <c r="H62" s="315"/>
      <c r="I62" s="315"/>
      <c r="J62" s="315"/>
      <c r="K62" s="315"/>
      <c r="L62" s="315"/>
      <c r="M62" s="315"/>
      <c r="N62" s="315"/>
      <c r="O62" s="315"/>
    </row>
    <row r="63" spans="1:15" x14ac:dyDescent="0.35">
      <c r="A63" s="405" t="s">
        <v>47</v>
      </c>
      <c r="B63" s="405"/>
      <c r="C63" s="406"/>
      <c r="D63" s="404" t="s">
        <v>38</v>
      </c>
      <c r="E63" s="405"/>
      <c r="F63" s="406"/>
      <c r="G63" s="411" t="s">
        <v>24</v>
      </c>
      <c r="H63" s="412"/>
      <c r="I63" s="412"/>
      <c r="J63" s="413"/>
      <c r="K63" s="416" t="s">
        <v>39</v>
      </c>
      <c r="L63" s="405"/>
      <c r="M63" s="405"/>
      <c r="N63" s="405"/>
      <c r="O63" s="405"/>
    </row>
    <row r="64" spans="1:15" x14ac:dyDescent="0.35">
      <c r="A64" s="417" t="s">
        <v>48</v>
      </c>
      <c r="B64" s="417" t="s">
        <v>44</v>
      </c>
      <c r="C64" s="407" t="s">
        <v>46</v>
      </c>
      <c r="D64" s="425" t="s">
        <v>45</v>
      </c>
      <c r="E64" s="414" t="s">
        <v>58</v>
      </c>
      <c r="F64" s="409" t="s">
        <v>72</v>
      </c>
      <c r="G64" s="425" t="s">
        <v>45</v>
      </c>
      <c r="H64" s="414" t="s">
        <v>59</v>
      </c>
      <c r="I64" s="414" t="s">
        <v>73</v>
      </c>
      <c r="J64" s="409" t="s">
        <v>61</v>
      </c>
      <c r="K64" s="436" t="s">
        <v>45</v>
      </c>
      <c r="L64" s="414" t="s">
        <v>60</v>
      </c>
      <c r="M64" s="414" t="s">
        <v>74</v>
      </c>
      <c r="N64" s="414" t="s">
        <v>43</v>
      </c>
      <c r="O64" s="414" t="s">
        <v>62</v>
      </c>
    </row>
    <row r="65" spans="1:15" x14ac:dyDescent="0.35">
      <c r="A65" s="417"/>
      <c r="B65" s="417"/>
      <c r="C65" s="407"/>
      <c r="D65" s="425"/>
      <c r="E65" s="414"/>
      <c r="F65" s="409"/>
      <c r="G65" s="425"/>
      <c r="H65" s="414"/>
      <c r="I65" s="414"/>
      <c r="J65" s="409"/>
      <c r="K65" s="436"/>
      <c r="L65" s="414"/>
      <c r="M65" s="414"/>
      <c r="N65" s="414"/>
      <c r="O65" s="414"/>
    </row>
    <row r="66" spans="1:15" x14ac:dyDescent="0.35">
      <c r="A66" s="417"/>
      <c r="B66" s="417"/>
      <c r="C66" s="407"/>
      <c r="D66" s="425"/>
      <c r="E66" s="414"/>
      <c r="F66" s="409"/>
      <c r="G66" s="425"/>
      <c r="H66" s="414"/>
      <c r="I66" s="414"/>
      <c r="J66" s="409"/>
      <c r="K66" s="436"/>
      <c r="L66" s="414"/>
      <c r="M66" s="414"/>
      <c r="N66" s="414"/>
      <c r="O66" s="414"/>
    </row>
    <row r="67" spans="1:15" x14ac:dyDescent="0.35">
      <c r="A67" s="252" t="s">
        <v>414</v>
      </c>
      <c r="B67" s="252" t="s">
        <v>242</v>
      </c>
      <c r="C67" s="253" t="s">
        <v>194</v>
      </c>
      <c r="D67" s="254">
        <v>1</v>
      </c>
      <c r="E67" s="255">
        <v>172</v>
      </c>
      <c r="F67" s="256">
        <v>0</v>
      </c>
      <c r="G67" s="254">
        <v>1</v>
      </c>
      <c r="H67" s="25">
        <v>0</v>
      </c>
      <c r="I67" s="25">
        <v>0</v>
      </c>
      <c r="J67" s="35">
        <v>0</v>
      </c>
      <c r="K67" s="34">
        <v>2</v>
      </c>
      <c r="L67" s="25">
        <v>0</v>
      </c>
      <c r="M67" s="25">
        <v>0</v>
      </c>
      <c r="N67" s="25">
        <v>2</v>
      </c>
      <c r="O67" s="25">
        <v>0</v>
      </c>
    </row>
    <row r="68" spans="1:15" x14ac:dyDescent="0.35">
      <c r="A68" s="27" t="s">
        <v>423</v>
      </c>
      <c r="B68" s="27" t="s">
        <v>242</v>
      </c>
      <c r="C68" s="31" t="s">
        <v>194</v>
      </c>
      <c r="D68" s="32">
        <v>1</v>
      </c>
      <c r="E68" s="28">
        <v>1</v>
      </c>
      <c r="F68" s="33">
        <v>0</v>
      </c>
      <c r="G68" s="32">
        <v>1</v>
      </c>
      <c r="H68" s="25">
        <v>0</v>
      </c>
      <c r="I68" s="25">
        <v>0</v>
      </c>
      <c r="J68" s="35">
        <v>1</v>
      </c>
      <c r="K68" s="34">
        <v>2</v>
      </c>
      <c r="L68" s="25">
        <v>0</v>
      </c>
      <c r="M68" s="25">
        <v>0</v>
      </c>
      <c r="N68" s="25">
        <v>2</v>
      </c>
      <c r="O68" s="25">
        <v>4</v>
      </c>
    </row>
    <row r="69" spans="1:15" x14ac:dyDescent="0.35">
      <c r="A69" s="27" t="s">
        <v>424</v>
      </c>
      <c r="B69" s="27" t="s">
        <v>242</v>
      </c>
      <c r="C69" s="31" t="s">
        <v>194</v>
      </c>
      <c r="D69" s="32">
        <v>1</v>
      </c>
      <c r="E69" s="28">
        <v>345</v>
      </c>
      <c r="F69" s="33">
        <v>0</v>
      </c>
      <c r="G69" s="32">
        <v>1</v>
      </c>
      <c r="H69" s="25">
        <v>0</v>
      </c>
      <c r="I69" s="25">
        <v>0</v>
      </c>
      <c r="J69" s="35">
        <v>0</v>
      </c>
      <c r="K69" s="34">
        <v>2</v>
      </c>
      <c r="L69" s="25">
        <v>0</v>
      </c>
      <c r="M69" s="25">
        <v>0</v>
      </c>
      <c r="N69" s="25">
        <v>2</v>
      </c>
      <c r="O69" s="25">
        <v>0</v>
      </c>
    </row>
    <row r="70" spans="1:15" x14ac:dyDescent="0.35">
      <c r="A70" s="27" t="s">
        <v>428</v>
      </c>
      <c r="B70" s="27" t="s">
        <v>242</v>
      </c>
      <c r="C70" s="31" t="s">
        <v>194</v>
      </c>
      <c r="D70" s="32">
        <v>1</v>
      </c>
      <c r="E70" s="28">
        <v>190</v>
      </c>
      <c r="F70" s="33">
        <v>0</v>
      </c>
      <c r="G70" s="32">
        <v>1</v>
      </c>
      <c r="H70" s="25">
        <v>0</v>
      </c>
      <c r="I70" s="25">
        <v>0</v>
      </c>
      <c r="J70" s="35">
        <v>1</v>
      </c>
      <c r="K70" s="34">
        <v>2</v>
      </c>
      <c r="L70" s="25">
        <v>0</v>
      </c>
      <c r="M70" s="25">
        <v>0</v>
      </c>
      <c r="N70" s="25">
        <v>2</v>
      </c>
      <c r="O70" s="25">
        <v>0</v>
      </c>
    </row>
    <row r="71" spans="1:15" x14ac:dyDescent="0.35">
      <c r="A71" s="27" t="s">
        <v>433</v>
      </c>
      <c r="B71" s="27" t="s">
        <v>242</v>
      </c>
      <c r="C71" s="31" t="s">
        <v>194</v>
      </c>
      <c r="D71" s="32">
        <v>1</v>
      </c>
      <c r="E71" s="28">
        <v>2420</v>
      </c>
      <c r="F71" s="33">
        <v>0</v>
      </c>
      <c r="G71" s="32">
        <v>1</v>
      </c>
      <c r="H71" s="25">
        <v>0</v>
      </c>
      <c r="I71" s="25">
        <v>0</v>
      </c>
      <c r="J71" s="35">
        <v>0</v>
      </c>
      <c r="K71" s="34">
        <v>2</v>
      </c>
      <c r="L71" s="25">
        <v>0</v>
      </c>
      <c r="M71" s="25">
        <v>0</v>
      </c>
      <c r="N71" s="25">
        <v>2</v>
      </c>
      <c r="O71" s="25">
        <v>0</v>
      </c>
    </row>
    <row r="72" spans="1:15" x14ac:dyDescent="0.35">
      <c r="A72" s="27" t="s">
        <v>439</v>
      </c>
      <c r="B72" s="27" t="s">
        <v>242</v>
      </c>
      <c r="C72" s="31" t="s">
        <v>194</v>
      </c>
      <c r="D72" s="32">
        <v>1</v>
      </c>
      <c r="E72" s="28">
        <v>2420</v>
      </c>
      <c r="F72" s="33">
        <v>0</v>
      </c>
      <c r="G72" s="32">
        <v>1</v>
      </c>
      <c r="H72" s="25">
        <v>0</v>
      </c>
      <c r="I72" s="25">
        <v>0</v>
      </c>
      <c r="J72" s="35">
        <v>0</v>
      </c>
      <c r="K72" s="34">
        <v>2</v>
      </c>
      <c r="L72" s="25">
        <v>0</v>
      </c>
      <c r="M72" s="25">
        <v>0</v>
      </c>
      <c r="N72" s="25">
        <v>2</v>
      </c>
      <c r="O72" s="25">
        <v>0</v>
      </c>
    </row>
    <row r="73" spans="1:15" x14ac:dyDescent="0.35">
      <c r="A73" s="27" t="s">
        <v>442</v>
      </c>
      <c r="B73" s="27" t="s">
        <v>242</v>
      </c>
      <c r="C73" s="31" t="s">
        <v>338</v>
      </c>
      <c r="D73" s="32">
        <v>1</v>
      </c>
      <c r="E73" s="28">
        <v>248</v>
      </c>
      <c r="F73" s="33">
        <v>1</v>
      </c>
      <c r="G73" s="32">
        <v>1</v>
      </c>
      <c r="H73" s="25">
        <v>0</v>
      </c>
      <c r="I73" s="25">
        <v>0</v>
      </c>
      <c r="J73" s="35">
        <v>0</v>
      </c>
      <c r="K73" s="34">
        <v>2</v>
      </c>
      <c r="L73" s="25">
        <v>0</v>
      </c>
      <c r="M73" s="25">
        <v>0</v>
      </c>
      <c r="N73" s="25">
        <v>2</v>
      </c>
      <c r="O73" s="25">
        <v>0</v>
      </c>
    </row>
    <row r="74" spans="1:15" x14ac:dyDescent="0.35">
      <c r="A74" s="27" t="s">
        <v>445</v>
      </c>
      <c r="B74" s="27" t="s">
        <v>242</v>
      </c>
      <c r="C74" s="31" t="s">
        <v>338</v>
      </c>
      <c r="D74" s="32">
        <v>1</v>
      </c>
      <c r="E74" s="28">
        <v>185</v>
      </c>
      <c r="F74" s="33">
        <v>1</v>
      </c>
      <c r="G74" s="32">
        <v>1</v>
      </c>
      <c r="H74" s="25">
        <v>0</v>
      </c>
      <c r="I74" s="25">
        <v>0</v>
      </c>
      <c r="J74" s="35">
        <v>0</v>
      </c>
      <c r="K74" s="34">
        <v>2</v>
      </c>
      <c r="L74" s="25">
        <v>0</v>
      </c>
      <c r="M74" s="25">
        <v>0</v>
      </c>
      <c r="N74" s="25">
        <v>2</v>
      </c>
      <c r="O74" s="25">
        <v>0</v>
      </c>
    </row>
    <row r="75" spans="1:15" x14ac:dyDescent="0.35">
      <c r="A75" s="27"/>
      <c r="B75" s="27"/>
      <c r="C75" s="31"/>
      <c r="D75" s="32"/>
      <c r="E75" s="28"/>
      <c r="F75" s="33"/>
      <c r="G75" s="32"/>
      <c r="H75" s="25"/>
      <c r="I75" s="25"/>
      <c r="J75" s="35"/>
      <c r="K75" s="34"/>
      <c r="L75" s="25"/>
      <c r="M75" s="25"/>
      <c r="N75" s="25"/>
      <c r="O75" s="25"/>
    </row>
    <row r="76" spans="1:15" x14ac:dyDescent="0.35">
      <c r="A76" s="27"/>
      <c r="B76" s="27"/>
      <c r="C76" s="31"/>
      <c r="D76" s="32"/>
      <c r="E76" s="28"/>
      <c r="F76" s="33"/>
      <c r="G76" s="32"/>
      <c r="H76" s="25"/>
      <c r="I76" s="25"/>
      <c r="J76" s="35"/>
      <c r="K76" s="34"/>
      <c r="L76" s="25"/>
      <c r="M76" s="25"/>
      <c r="N76" s="25"/>
      <c r="O76" s="25"/>
    </row>
    <row r="77" spans="1:15" x14ac:dyDescent="0.35">
      <c r="A77" s="27"/>
      <c r="B77" s="27"/>
      <c r="C77" s="31"/>
      <c r="D77" s="32"/>
      <c r="E77" s="28"/>
      <c r="F77" s="33"/>
      <c r="G77" s="32"/>
      <c r="H77" s="28"/>
      <c r="I77" s="28"/>
      <c r="J77" s="33"/>
      <c r="K77" s="29"/>
      <c r="L77" s="28"/>
      <c r="M77" s="28"/>
      <c r="N77" s="28"/>
      <c r="O77" s="28"/>
    </row>
    <row r="78" spans="1:15" x14ac:dyDescent="0.35">
      <c r="A78" s="27"/>
      <c r="B78" s="27"/>
      <c r="C78" s="31"/>
      <c r="D78" s="32"/>
      <c r="E78" s="28"/>
      <c r="F78" s="33"/>
      <c r="G78" s="32"/>
      <c r="H78" s="28"/>
      <c r="I78" s="28"/>
      <c r="J78" s="33"/>
      <c r="K78" s="29"/>
      <c r="L78" s="28"/>
      <c r="M78" s="28"/>
      <c r="N78" s="28"/>
      <c r="O78" s="28"/>
    </row>
    <row r="79" spans="1:15" x14ac:dyDescent="0.35">
      <c r="A79" s="27"/>
      <c r="B79" s="27"/>
      <c r="C79" s="31"/>
      <c r="D79" s="32"/>
      <c r="E79" s="28"/>
      <c r="F79" s="33"/>
      <c r="G79" s="32"/>
      <c r="H79" s="28"/>
      <c r="I79" s="28"/>
      <c r="J79" s="33"/>
      <c r="K79" s="29"/>
      <c r="L79" s="28"/>
      <c r="M79" s="28"/>
      <c r="N79" s="28"/>
      <c r="O79" s="28"/>
    </row>
    <row r="80" spans="1:15" x14ac:dyDescent="0.35">
      <c r="A80" s="27"/>
      <c r="B80" s="27"/>
      <c r="C80" s="31"/>
      <c r="D80" s="32"/>
      <c r="E80" s="28"/>
      <c r="F80" s="33"/>
      <c r="G80" s="32"/>
      <c r="H80" s="28"/>
      <c r="I80" s="28"/>
      <c r="J80" s="33"/>
      <c r="K80" s="29"/>
      <c r="L80" s="28"/>
      <c r="M80" s="28"/>
      <c r="N80" s="28"/>
      <c r="O80" s="28"/>
    </row>
    <row r="81" spans="1:15" x14ac:dyDescent="0.35">
      <c r="A81" s="27"/>
      <c r="B81" s="27"/>
      <c r="C81" s="31"/>
      <c r="D81" s="32"/>
      <c r="E81" s="28"/>
      <c r="F81" s="33"/>
      <c r="G81" s="32"/>
      <c r="H81" s="28"/>
      <c r="I81" s="28"/>
      <c r="J81" s="33"/>
      <c r="K81" s="29"/>
      <c r="L81" s="28"/>
      <c r="M81" s="28"/>
      <c r="N81" s="28"/>
      <c r="O81" s="28"/>
    </row>
    <row r="82" spans="1:15" x14ac:dyDescent="0.35">
      <c r="A82" s="27"/>
      <c r="B82" s="27"/>
      <c r="C82" s="31"/>
      <c r="D82" s="32"/>
      <c r="E82" s="28"/>
      <c r="F82" s="33"/>
      <c r="G82" s="32"/>
      <c r="H82" s="28"/>
      <c r="I82" s="28"/>
      <c r="J82" s="33"/>
      <c r="K82" s="29"/>
      <c r="L82" s="28"/>
      <c r="M82" s="28"/>
      <c r="N82" s="28"/>
      <c r="O82" s="28"/>
    </row>
    <row r="83" spans="1:15" x14ac:dyDescent="0.35">
      <c r="A83" s="27"/>
      <c r="B83" s="27"/>
      <c r="C83" s="31"/>
      <c r="D83" s="32"/>
      <c r="E83" s="28"/>
      <c r="F83" s="33"/>
      <c r="G83" s="32"/>
      <c r="H83" s="28"/>
      <c r="I83" s="28"/>
      <c r="J83" s="33"/>
      <c r="K83" s="29"/>
      <c r="L83" s="28"/>
      <c r="M83" s="28"/>
      <c r="N83" s="28"/>
      <c r="O83" s="28"/>
    </row>
    <row r="85" spans="1:15" x14ac:dyDescent="0.35">
      <c r="A85" s="429" t="s">
        <v>33</v>
      </c>
      <c r="B85" s="430"/>
      <c r="C85" s="430"/>
      <c r="D85" s="430"/>
      <c r="E85" s="430"/>
      <c r="F85" s="430"/>
      <c r="G85" s="430"/>
      <c r="H85" s="430"/>
      <c r="I85" s="430"/>
      <c r="J85" s="430"/>
      <c r="K85" s="430"/>
      <c r="L85" s="430"/>
      <c r="M85" s="430"/>
      <c r="N85" s="430"/>
      <c r="O85" s="431"/>
    </row>
    <row r="86" spans="1:15" x14ac:dyDescent="0.35">
      <c r="A86" s="432" t="s">
        <v>200</v>
      </c>
      <c r="B86" s="433"/>
      <c r="C86" s="433"/>
      <c r="D86" s="433"/>
      <c r="E86" s="433"/>
      <c r="F86" s="433"/>
      <c r="G86" s="433"/>
      <c r="H86" s="433"/>
      <c r="I86" s="433"/>
      <c r="J86" s="433"/>
      <c r="K86" s="433"/>
      <c r="L86" s="433"/>
      <c r="M86" s="433"/>
      <c r="N86" s="433"/>
      <c r="O86" s="434"/>
    </row>
    <row r="87" spans="1:15" x14ac:dyDescent="0.35">
      <c r="A87" s="432"/>
      <c r="B87" s="433"/>
      <c r="C87" s="433"/>
      <c r="D87" s="433"/>
      <c r="E87" s="433"/>
      <c r="F87" s="433"/>
      <c r="G87" s="433"/>
      <c r="H87" s="433"/>
      <c r="I87" s="433"/>
      <c r="J87" s="433"/>
      <c r="K87" s="433"/>
      <c r="L87" s="433"/>
      <c r="M87" s="433"/>
      <c r="N87" s="433"/>
      <c r="O87" s="434"/>
    </row>
    <row r="88" spans="1:15" x14ac:dyDescent="0.35">
      <c r="A88" s="432"/>
      <c r="B88" s="433"/>
      <c r="C88" s="433"/>
      <c r="D88" s="433"/>
      <c r="E88" s="433"/>
      <c r="F88" s="433"/>
      <c r="G88" s="433"/>
      <c r="H88" s="433"/>
      <c r="I88" s="433"/>
      <c r="J88" s="433"/>
      <c r="K88" s="433"/>
      <c r="L88" s="433"/>
      <c r="M88" s="433"/>
      <c r="N88" s="433"/>
      <c r="O88" s="434"/>
    </row>
    <row r="96" spans="1:15" x14ac:dyDescent="0.35">
      <c r="A96" s="373" t="s">
        <v>222</v>
      </c>
      <c r="B96" s="373"/>
      <c r="C96" s="373"/>
      <c r="D96" s="373"/>
      <c r="E96" s="373"/>
      <c r="F96" s="373"/>
      <c r="G96" s="373"/>
      <c r="H96" s="373"/>
      <c r="I96" s="373"/>
      <c r="J96" s="373"/>
      <c r="K96" s="373"/>
      <c r="L96" s="373"/>
      <c r="M96" s="373"/>
      <c r="N96" s="373"/>
      <c r="O96" s="373"/>
    </row>
    <row r="97" spans="1:15" x14ac:dyDescent="0.35">
      <c r="A97" s="373"/>
      <c r="B97" s="373"/>
      <c r="C97" s="373"/>
      <c r="D97" s="373"/>
      <c r="E97" s="373"/>
      <c r="F97" s="373"/>
      <c r="G97" s="373"/>
      <c r="H97" s="373"/>
      <c r="I97" s="373"/>
      <c r="J97" s="373"/>
      <c r="K97" s="373"/>
      <c r="L97" s="373"/>
      <c r="M97" s="373"/>
      <c r="N97" s="373"/>
      <c r="O97" s="373"/>
    </row>
    <row r="98" spans="1:15" ht="25" x14ac:dyDescent="0.35">
      <c r="A98" s="314" t="s">
        <v>113</v>
      </c>
      <c r="B98" s="314"/>
      <c r="C98" s="314"/>
      <c r="D98" s="314"/>
      <c r="E98" s="314"/>
      <c r="F98" s="314"/>
      <c r="G98" s="315" t="s">
        <v>204</v>
      </c>
      <c r="H98" s="315"/>
      <c r="I98" s="315"/>
      <c r="J98" s="315"/>
      <c r="K98" s="315"/>
      <c r="L98" s="315"/>
      <c r="M98" s="315"/>
      <c r="N98" s="315"/>
      <c r="O98" s="315"/>
    </row>
    <row r="99" spans="1:15" x14ac:dyDescent="0.35">
      <c r="A99" s="405" t="s">
        <v>47</v>
      </c>
      <c r="B99" s="405"/>
      <c r="C99" s="406"/>
      <c r="D99" s="404" t="s">
        <v>38</v>
      </c>
      <c r="E99" s="405"/>
      <c r="F99" s="406"/>
      <c r="G99" s="411" t="s">
        <v>24</v>
      </c>
      <c r="H99" s="412"/>
      <c r="I99" s="412"/>
      <c r="J99" s="413"/>
      <c r="K99" s="416" t="s">
        <v>39</v>
      </c>
      <c r="L99" s="405"/>
      <c r="M99" s="405"/>
      <c r="N99" s="405"/>
      <c r="O99" s="405"/>
    </row>
    <row r="100" spans="1:15" x14ac:dyDescent="0.35">
      <c r="A100" s="417" t="s">
        <v>48</v>
      </c>
      <c r="B100" s="417" t="s">
        <v>44</v>
      </c>
      <c r="C100" s="407" t="s">
        <v>46</v>
      </c>
      <c r="D100" s="425" t="s">
        <v>45</v>
      </c>
      <c r="E100" s="414" t="s">
        <v>58</v>
      </c>
      <c r="F100" s="409" t="s">
        <v>72</v>
      </c>
      <c r="G100" s="425" t="s">
        <v>45</v>
      </c>
      <c r="H100" s="414" t="s">
        <v>59</v>
      </c>
      <c r="I100" s="414" t="s">
        <v>73</v>
      </c>
      <c r="J100" s="409" t="s">
        <v>61</v>
      </c>
      <c r="K100" s="436" t="s">
        <v>45</v>
      </c>
      <c r="L100" s="414" t="s">
        <v>60</v>
      </c>
      <c r="M100" s="414" t="s">
        <v>74</v>
      </c>
      <c r="N100" s="414" t="s">
        <v>43</v>
      </c>
      <c r="O100" s="414" t="s">
        <v>62</v>
      </c>
    </row>
    <row r="101" spans="1:15" x14ac:dyDescent="0.35">
      <c r="A101" s="417"/>
      <c r="B101" s="417"/>
      <c r="C101" s="407"/>
      <c r="D101" s="425"/>
      <c r="E101" s="414"/>
      <c r="F101" s="409"/>
      <c r="G101" s="425"/>
      <c r="H101" s="414"/>
      <c r="I101" s="414"/>
      <c r="J101" s="409"/>
      <c r="K101" s="436"/>
      <c r="L101" s="414"/>
      <c r="M101" s="414"/>
      <c r="N101" s="414"/>
      <c r="O101" s="414"/>
    </row>
    <row r="102" spans="1:15" x14ac:dyDescent="0.35">
      <c r="A102" s="417"/>
      <c r="B102" s="417"/>
      <c r="C102" s="407"/>
      <c r="D102" s="425"/>
      <c r="E102" s="414"/>
      <c r="F102" s="409"/>
      <c r="G102" s="425"/>
      <c r="H102" s="414"/>
      <c r="I102" s="414"/>
      <c r="J102" s="409"/>
      <c r="K102" s="436"/>
      <c r="L102" s="414"/>
      <c r="M102" s="414"/>
      <c r="N102" s="414"/>
      <c r="O102" s="414"/>
    </row>
    <row r="103" spans="1:15" x14ac:dyDescent="0.35">
      <c r="A103" s="26"/>
      <c r="B103" s="26"/>
      <c r="C103" s="30"/>
      <c r="D103" s="174"/>
      <c r="E103" s="175"/>
      <c r="F103" s="176"/>
      <c r="G103" s="174"/>
      <c r="H103" s="177"/>
      <c r="I103" s="177"/>
      <c r="J103" s="178"/>
      <c r="K103" s="179"/>
      <c r="L103" s="177"/>
      <c r="M103" s="177"/>
      <c r="N103" s="177"/>
      <c r="O103" s="177"/>
    </row>
    <row r="104" spans="1:15" x14ac:dyDescent="0.35">
      <c r="A104" s="27"/>
      <c r="B104" s="27"/>
      <c r="C104" s="31"/>
      <c r="D104" s="32"/>
      <c r="E104" s="28"/>
      <c r="F104" s="33"/>
      <c r="G104" s="32"/>
      <c r="H104" s="25"/>
      <c r="I104" s="25"/>
      <c r="J104" s="35"/>
      <c r="K104" s="34"/>
      <c r="L104" s="25"/>
      <c r="M104" s="25"/>
      <c r="N104" s="25"/>
      <c r="O104" s="25"/>
    </row>
    <row r="105" spans="1:15" x14ac:dyDescent="0.35">
      <c r="A105" s="27"/>
      <c r="B105" s="27"/>
      <c r="C105" s="31"/>
      <c r="D105" s="32"/>
      <c r="E105" s="28"/>
      <c r="F105" s="33"/>
      <c r="G105" s="32"/>
      <c r="H105" s="25"/>
      <c r="I105" s="25"/>
      <c r="J105" s="35"/>
      <c r="K105" s="34"/>
      <c r="L105" s="25"/>
      <c r="M105" s="25"/>
      <c r="N105" s="25"/>
      <c r="O105" s="25"/>
    </row>
    <row r="106" spans="1:15" x14ac:dyDescent="0.35">
      <c r="A106" s="27"/>
      <c r="B106" s="27"/>
      <c r="C106" s="31"/>
      <c r="D106" s="32"/>
      <c r="E106" s="28"/>
      <c r="F106" s="33"/>
      <c r="G106" s="32"/>
      <c r="H106" s="25"/>
      <c r="I106" s="25"/>
      <c r="J106" s="35"/>
      <c r="K106" s="34"/>
      <c r="L106" s="25"/>
      <c r="M106" s="25"/>
      <c r="N106" s="25"/>
      <c r="O106" s="25"/>
    </row>
    <row r="107" spans="1:15" x14ac:dyDescent="0.35">
      <c r="A107" s="27"/>
      <c r="B107" s="27"/>
      <c r="C107" s="31"/>
      <c r="D107" s="32"/>
      <c r="E107" s="28"/>
      <c r="F107" s="33"/>
      <c r="G107" s="32"/>
      <c r="H107" s="25"/>
      <c r="I107" s="25"/>
      <c r="J107" s="35"/>
      <c r="K107" s="34"/>
      <c r="L107" s="25"/>
      <c r="M107" s="25"/>
      <c r="N107" s="25"/>
      <c r="O107" s="25"/>
    </row>
    <row r="108" spans="1:15" x14ac:dyDescent="0.35">
      <c r="A108" s="27"/>
      <c r="B108" s="27"/>
      <c r="C108" s="31"/>
      <c r="D108" s="32"/>
      <c r="E108" s="28"/>
      <c r="F108" s="33"/>
      <c r="G108" s="32"/>
      <c r="H108" s="25"/>
      <c r="I108" s="25"/>
      <c r="J108" s="35"/>
      <c r="K108" s="34"/>
      <c r="L108" s="25"/>
      <c r="M108" s="25"/>
      <c r="N108" s="25"/>
      <c r="O108" s="25"/>
    </row>
    <row r="109" spans="1:15" x14ac:dyDescent="0.35">
      <c r="A109" s="27"/>
      <c r="B109" s="27"/>
      <c r="C109" s="31"/>
      <c r="D109" s="32"/>
      <c r="E109" s="28"/>
      <c r="F109" s="33"/>
      <c r="G109" s="32"/>
      <c r="H109" s="25"/>
      <c r="I109" s="25"/>
      <c r="J109" s="35"/>
      <c r="K109" s="34"/>
      <c r="L109" s="25"/>
      <c r="M109" s="25"/>
      <c r="N109" s="25"/>
      <c r="O109" s="25"/>
    </row>
    <row r="110" spans="1:15" x14ac:dyDescent="0.35">
      <c r="A110" s="27"/>
      <c r="B110" s="27"/>
      <c r="C110" s="31"/>
      <c r="D110" s="32"/>
      <c r="E110" s="28"/>
      <c r="F110" s="33"/>
      <c r="G110" s="32"/>
      <c r="H110" s="25"/>
      <c r="I110" s="25"/>
      <c r="J110" s="35"/>
      <c r="K110" s="32"/>
      <c r="L110" s="25"/>
      <c r="M110" s="25"/>
      <c r="N110" s="32"/>
      <c r="O110" s="25"/>
    </row>
    <row r="111" spans="1:15" x14ac:dyDescent="0.35">
      <c r="A111" s="27"/>
      <c r="B111" s="27"/>
      <c r="C111" s="31"/>
      <c r="D111" s="32"/>
      <c r="E111" s="28"/>
      <c r="F111" s="33"/>
      <c r="G111" s="32"/>
      <c r="H111" s="25"/>
      <c r="I111" s="25"/>
      <c r="J111" s="35"/>
      <c r="K111" s="32"/>
      <c r="L111" s="25"/>
      <c r="M111" s="25"/>
      <c r="N111" s="32"/>
      <c r="O111" s="25"/>
    </row>
    <row r="112" spans="1:15" x14ac:dyDescent="0.35">
      <c r="A112" s="27"/>
      <c r="B112" s="27"/>
      <c r="C112" s="31"/>
      <c r="D112" s="32"/>
      <c r="E112" s="28"/>
      <c r="F112" s="33"/>
      <c r="G112" s="32"/>
      <c r="H112" s="25"/>
      <c r="I112" s="25"/>
      <c r="J112" s="35"/>
      <c r="K112" s="32"/>
      <c r="L112" s="25"/>
      <c r="M112" s="25"/>
      <c r="N112" s="32"/>
      <c r="O112" s="25"/>
    </row>
    <row r="113" spans="1:15" x14ac:dyDescent="0.35">
      <c r="A113" s="27"/>
      <c r="B113" s="27"/>
      <c r="C113" s="31"/>
      <c r="D113" s="32"/>
      <c r="E113" s="28"/>
      <c r="F113" s="33"/>
      <c r="G113" s="32"/>
      <c r="H113" s="28"/>
      <c r="I113" s="28"/>
      <c r="J113" s="33"/>
      <c r="K113" s="32"/>
      <c r="L113" s="28"/>
      <c r="M113" s="28"/>
      <c r="N113" s="32"/>
      <c r="O113" s="28"/>
    </row>
    <row r="114" spans="1:15" x14ac:dyDescent="0.35">
      <c r="A114" s="27"/>
      <c r="B114" s="27"/>
      <c r="C114" s="31"/>
      <c r="D114" s="32"/>
      <c r="E114" s="28"/>
      <c r="F114" s="33"/>
      <c r="G114" s="32"/>
      <c r="H114" s="28"/>
      <c r="I114" s="28"/>
      <c r="J114" s="33"/>
      <c r="K114" s="32"/>
      <c r="L114" s="28"/>
      <c r="M114" s="28"/>
      <c r="N114" s="32"/>
      <c r="O114" s="28"/>
    </row>
    <row r="115" spans="1:15" x14ac:dyDescent="0.35">
      <c r="A115" s="27"/>
      <c r="B115" s="27"/>
      <c r="C115" s="31"/>
      <c r="D115" s="32"/>
      <c r="E115" s="28"/>
      <c r="F115" s="33"/>
      <c r="G115" s="32"/>
      <c r="H115" s="28"/>
      <c r="I115" s="28"/>
      <c r="J115" s="33"/>
      <c r="K115" s="32"/>
      <c r="L115" s="28"/>
      <c r="M115" s="28"/>
      <c r="N115" s="32"/>
      <c r="O115" s="28"/>
    </row>
    <row r="116" spans="1:15" x14ac:dyDescent="0.35">
      <c r="A116" s="27"/>
      <c r="B116" s="27"/>
      <c r="C116" s="31"/>
      <c r="D116" s="32"/>
      <c r="E116" s="28"/>
      <c r="F116" s="33"/>
      <c r="G116" s="32"/>
      <c r="H116" s="28"/>
      <c r="I116" s="28"/>
      <c r="J116" s="33"/>
      <c r="K116" s="29"/>
      <c r="L116" s="28"/>
      <c r="M116" s="28"/>
      <c r="N116" s="28"/>
      <c r="O116" s="28"/>
    </row>
    <row r="117" spans="1:15" x14ac:dyDescent="0.35">
      <c r="A117" s="27"/>
      <c r="B117" s="27"/>
      <c r="C117" s="31"/>
      <c r="D117" s="32"/>
      <c r="E117" s="28"/>
      <c r="F117" s="33"/>
      <c r="G117" s="32"/>
      <c r="H117" s="28"/>
      <c r="I117" s="28"/>
      <c r="J117" s="33"/>
      <c r="K117" s="29"/>
      <c r="L117" s="28"/>
      <c r="M117" s="28"/>
      <c r="N117" s="28"/>
      <c r="O117" s="28"/>
    </row>
    <row r="118" spans="1:15" x14ac:dyDescent="0.35">
      <c r="A118" s="27"/>
      <c r="B118" s="27"/>
      <c r="C118" s="31"/>
      <c r="D118" s="32"/>
      <c r="E118" s="28"/>
      <c r="F118" s="33"/>
      <c r="G118" s="32"/>
      <c r="H118" s="28"/>
      <c r="I118" s="28"/>
      <c r="J118" s="33"/>
      <c r="K118" s="29"/>
      <c r="L118" s="28"/>
      <c r="M118" s="28"/>
      <c r="N118" s="28"/>
      <c r="O118" s="28"/>
    </row>
    <row r="119" spans="1:15" x14ac:dyDescent="0.35">
      <c r="A119" s="27"/>
      <c r="B119" s="27"/>
      <c r="C119" s="31"/>
      <c r="D119" s="32"/>
      <c r="E119" s="28"/>
      <c r="F119" s="33"/>
      <c r="G119" s="32"/>
      <c r="H119" s="28"/>
      <c r="I119" s="28"/>
      <c r="J119" s="33"/>
      <c r="K119" s="29"/>
      <c r="L119" s="28"/>
      <c r="M119" s="28"/>
      <c r="N119" s="28"/>
      <c r="O119" s="28"/>
    </row>
    <row r="121" spans="1:15" x14ac:dyDescent="0.35">
      <c r="A121" s="429" t="s">
        <v>33</v>
      </c>
      <c r="B121" s="430"/>
      <c r="C121" s="430"/>
      <c r="D121" s="430"/>
      <c r="E121" s="430"/>
      <c r="F121" s="430"/>
      <c r="G121" s="430"/>
      <c r="H121" s="430"/>
      <c r="I121" s="430"/>
      <c r="J121" s="430"/>
      <c r="K121" s="430"/>
      <c r="L121" s="430"/>
      <c r="M121" s="430"/>
      <c r="N121" s="430"/>
      <c r="O121" s="431"/>
    </row>
    <row r="122" spans="1:15" x14ac:dyDescent="0.35">
      <c r="A122" s="432" t="s">
        <v>200</v>
      </c>
      <c r="B122" s="433"/>
      <c r="C122" s="433"/>
      <c r="D122" s="433"/>
      <c r="E122" s="433"/>
      <c r="F122" s="433"/>
      <c r="G122" s="433"/>
      <c r="H122" s="433"/>
      <c r="I122" s="433"/>
      <c r="J122" s="433"/>
      <c r="K122" s="433"/>
      <c r="L122" s="433"/>
      <c r="M122" s="433"/>
      <c r="N122" s="433"/>
      <c r="O122" s="434"/>
    </row>
    <row r="123" spans="1:15" x14ac:dyDescent="0.35">
      <c r="A123" s="432"/>
      <c r="B123" s="433"/>
      <c r="C123" s="433"/>
      <c r="D123" s="433"/>
      <c r="E123" s="433"/>
      <c r="F123" s="433"/>
      <c r="G123" s="433"/>
      <c r="H123" s="433"/>
      <c r="I123" s="433"/>
      <c r="J123" s="433"/>
      <c r="K123" s="433"/>
      <c r="L123" s="433"/>
      <c r="M123" s="433"/>
      <c r="N123" s="433"/>
      <c r="O123" s="434"/>
    </row>
    <row r="124" spans="1:15" x14ac:dyDescent="0.35">
      <c r="A124" s="432"/>
      <c r="B124" s="433"/>
      <c r="C124" s="433"/>
      <c r="D124" s="433"/>
      <c r="E124" s="433"/>
      <c r="F124" s="433"/>
      <c r="G124" s="433"/>
      <c r="H124" s="433"/>
      <c r="I124" s="433"/>
      <c r="J124" s="433"/>
      <c r="K124" s="433"/>
      <c r="L124" s="433"/>
      <c r="M124" s="433"/>
      <c r="N124" s="433"/>
      <c r="O124" s="434"/>
    </row>
  </sheetData>
  <sheetProtection selectLockedCells="1"/>
  <mergeCells count="162">
    <mergeCell ref="AI4:AI7"/>
    <mergeCell ref="AJ4:AN4"/>
    <mergeCell ref="AO4:AO7"/>
    <mergeCell ref="BE5:BE7"/>
    <mergeCell ref="AN5:AN7"/>
    <mergeCell ref="AP5:AP7"/>
    <mergeCell ref="AQ5:AQ7"/>
    <mergeCell ref="AR5:AR7"/>
    <mergeCell ref="AS5:AS7"/>
    <mergeCell ref="AT5:AT7"/>
    <mergeCell ref="AP4:AQ4"/>
    <mergeCell ref="AI1:AV2"/>
    <mergeCell ref="AW1:BF2"/>
    <mergeCell ref="AI3:AM3"/>
    <mergeCell ref="AN3:AV3"/>
    <mergeCell ref="AW3:BA3"/>
    <mergeCell ref="BB3:BF3"/>
    <mergeCell ref="AR4:AS4"/>
    <mergeCell ref="AT4:AU4"/>
    <mergeCell ref="AV4:AV7"/>
    <mergeCell ref="AW4:AW7"/>
    <mergeCell ref="AX4:BD4"/>
    <mergeCell ref="BD5:BD7"/>
    <mergeCell ref="AU5:AU7"/>
    <mergeCell ref="AX5:AX7"/>
    <mergeCell ref="AY5:AY7"/>
    <mergeCell ref="BF4:BF7"/>
    <mergeCell ref="AJ5:AJ7"/>
    <mergeCell ref="AK5:AK7"/>
    <mergeCell ref="AL5:AL7"/>
    <mergeCell ref="AM5:AM7"/>
    <mergeCell ref="AZ5:AZ7"/>
    <mergeCell ref="BA5:BA7"/>
    <mergeCell ref="BB5:BB7"/>
    <mergeCell ref="BC5:BC7"/>
    <mergeCell ref="M100:M102"/>
    <mergeCell ref="N100:N102"/>
    <mergeCell ref="O100:O102"/>
    <mergeCell ref="A121:O121"/>
    <mergeCell ref="A122:O124"/>
    <mergeCell ref="A99:C99"/>
    <mergeCell ref="D99:F99"/>
    <mergeCell ref="G99:J99"/>
    <mergeCell ref="K99:O99"/>
    <mergeCell ref="A100:A102"/>
    <mergeCell ref="B100:B102"/>
    <mergeCell ref="C100:C102"/>
    <mergeCell ref="D100:D102"/>
    <mergeCell ref="E100:E102"/>
    <mergeCell ref="F100:F102"/>
    <mergeCell ref="G100:G102"/>
    <mergeCell ref="H100:H102"/>
    <mergeCell ref="I100:I102"/>
    <mergeCell ref="J100:J102"/>
    <mergeCell ref="K100:K102"/>
    <mergeCell ref="L100:L102"/>
    <mergeCell ref="A85:O85"/>
    <mergeCell ref="A86:O88"/>
    <mergeCell ref="A96:O97"/>
    <mergeCell ref="A98:F98"/>
    <mergeCell ref="G98:O98"/>
    <mergeCell ref="K64:K66"/>
    <mergeCell ref="L64:L66"/>
    <mergeCell ref="M64:M66"/>
    <mergeCell ref="N64:N66"/>
    <mergeCell ref="O64:O66"/>
    <mergeCell ref="F64:F66"/>
    <mergeCell ref="G64:G66"/>
    <mergeCell ref="H64:H66"/>
    <mergeCell ref="I64:I66"/>
    <mergeCell ref="J64:J66"/>
    <mergeCell ref="A64:A66"/>
    <mergeCell ref="B64:B66"/>
    <mergeCell ref="C64:C66"/>
    <mergeCell ref="D64:D66"/>
    <mergeCell ref="E64:E66"/>
    <mergeCell ref="A60:O61"/>
    <mergeCell ref="A62:F62"/>
    <mergeCell ref="G62:O62"/>
    <mergeCell ref="A63:C63"/>
    <mergeCell ref="D63:F63"/>
    <mergeCell ref="G63:J63"/>
    <mergeCell ref="K63:O63"/>
    <mergeCell ref="M32:M34"/>
    <mergeCell ref="N32:N34"/>
    <mergeCell ref="O32:O34"/>
    <mergeCell ref="A53:O53"/>
    <mergeCell ref="A54:O56"/>
    <mergeCell ref="G32:G34"/>
    <mergeCell ref="H32:H34"/>
    <mergeCell ref="I32:I34"/>
    <mergeCell ref="A31:C31"/>
    <mergeCell ref="D31:F31"/>
    <mergeCell ref="G31:J31"/>
    <mergeCell ref="K31:O31"/>
    <mergeCell ref="A32:A34"/>
    <mergeCell ref="B32:B34"/>
    <mergeCell ref="C32:C34"/>
    <mergeCell ref="D32:D34"/>
    <mergeCell ref="E32:E34"/>
    <mergeCell ref="F32:F34"/>
    <mergeCell ref="J32:J34"/>
    <mergeCell ref="K32:K34"/>
    <mergeCell ref="L32:L34"/>
    <mergeCell ref="V3:Z3"/>
    <mergeCell ref="AA3:AH3"/>
    <mergeCell ref="AH5:AH7"/>
    <mergeCell ref="AA5:AA7"/>
    <mergeCell ref="AD5:AD7"/>
    <mergeCell ref="AE5:AE7"/>
    <mergeCell ref="AG5:AG7"/>
    <mergeCell ref="A28:O29"/>
    <mergeCell ref="A30:F30"/>
    <mergeCell ref="G30:O30"/>
    <mergeCell ref="V24:AH24"/>
    <mergeCell ref="V25:AH27"/>
    <mergeCell ref="W5:W7"/>
    <mergeCell ref="X5:X7"/>
    <mergeCell ref="Y5:Y7"/>
    <mergeCell ref="AB5:AB7"/>
    <mergeCell ref="AC5:AC7"/>
    <mergeCell ref="P24:T24"/>
    <mergeCell ref="P25:T27"/>
    <mergeCell ref="A25:O27"/>
    <mergeCell ref="A24:O24"/>
    <mergeCell ref="I5:I7"/>
    <mergeCell ref="K5:K7"/>
    <mergeCell ref="M5:M7"/>
    <mergeCell ref="P1:T2"/>
    <mergeCell ref="P3:T3"/>
    <mergeCell ref="P4:R4"/>
    <mergeCell ref="S4:T4"/>
    <mergeCell ref="P5:P7"/>
    <mergeCell ref="Q5:Q7"/>
    <mergeCell ref="R5:R7"/>
    <mergeCell ref="A1:O2"/>
    <mergeCell ref="A3:F3"/>
    <mergeCell ref="G3:O3"/>
    <mergeCell ref="V1:AH2"/>
    <mergeCell ref="D4:F4"/>
    <mergeCell ref="C5:C7"/>
    <mergeCell ref="J5:J7"/>
    <mergeCell ref="G4:J4"/>
    <mergeCell ref="A4:C4"/>
    <mergeCell ref="L5:L7"/>
    <mergeCell ref="K4:O4"/>
    <mergeCell ref="N5:N7"/>
    <mergeCell ref="V4:AA4"/>
    <mergeCell ref="AF5:AF7"/>
    <mergeCell ref="AB4:AH4"/>
    <mergeCell ref="S5:S7"/>
    <mergeCell ref="T5:T7"/>
    <mergeCell ref="H5:H7"/>
    <mergeCell ref="B5:B7"/>
    <mergeCell ref="Z5:Z7"/>
    <mergeCell ref="V5:V7"/>
    <mergeCell ref="O5:O7"/>
    <mergeCell ref="F5:F7"/>
    <mergeCell ref="G5:G7"/>
    <mergeCell ref="A5:A7"/>
    <mergeCell ref="D5:D7"/>
    <mergeCell ref="E5:E7"/>
  </mergeCells>
  <pageMargins left="0.23622047244094491" right="0.23622047244094491" top="0.31496062992125984" bottom="0.74803149606299213" header="0.31496062992125984" footer="0.31496062992125984"/>
  <pageSetup scale="70" pageOrder="overThenDown" orientation="landscape" r:id="rId1"/>
  <headerFooter>
    <evenHeader>&amp;L&amp;28Red Lake WPCP&amp;R&amp;28New Plant</evenHeader>
  </headerFooter>
  <rowBreaks count="3" manualBreakCount="3">
    <brk id="27" max="16383" man="1"/>
    <brk id="56" max="16383" man="1"/>
    <brk id="92" max="16383" man="1"/>
  </rowBreaks>
  <colBreaks count="3" manualBreakCount="3">
    <brk id="20" max="1048575" man="1"/>
    <brk id="34" max="1048575" man="1"/>
    <brk id="48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100"/>
  </sheetPr>
  <dimension ref="A1:BM284"/>
  <sheetViews>
    <sheetView showGridLines="0" view="pageLayout" zoomScale="75" zoomScalePageLayoutView="75" workbookViewId="0">
      <selection activeCell="N36" sqref="N36"/>
    </sheetView>
  </sheetViews>
  <sheetFormatPr defaultRowHeight="14.5" x14ac:dyDescent="0.35"/>
  <cols>
    <col min="12" max="12" width="11" customWidth="1"/>
    <col min="13" max="13" width="11" style="5" customWidth="1"/>
    <col min="14" max="14" width="11.7265625" style="5" customWidth="1"/>
    <col min="15" max="16" width="13" style="5" customWidth="1"/>
    <col min="17" max="18" width="12" style="22" customWidth="1"/>
    <col min="20" max="20" width="9.1796875" style="45"/>
    <col min="21" max="21" width="10.54296875" style="46" customWidth="1"/>
    <col min="22" max="22" width="8.1796875" style="47" customWidth="1"/>
    <col min="23" max="23" width="0.54296875" style="45" customWidth="1"/>
    <col min="24" max="24" width="10.54296875" style="51" customWidth="1"/>
    <col min="25" max="25" width="8.1796875" style="47" customWidth="1"/>
    <col min="26" max="27" width="15" style="46" customWidth="1"/>
    <col min="28" max="28" width="9.26953125" customWidth="1"/>
    <col min="29" max="29" width="9.26953125" style="20" customWidth="1"/>
    <col min="30" max="30" width="9.453125" style="45" customWidth="1"/>
    <col min="31" max="31" width="7.453125" style="52" customWidth="1"/>
    <col min="32" max="32" width="7.453125" style="47" customWidth="1"/>
    <col min="33" max="34" width="7.453125" style="46" customWidth="1"/>
    <col min="35" max="35" width="7.453125" style="52" customWidth="1"/>
    <col min="36" max="36" width="7.453125" style="46" customWidth="1"/>
    <col min="37" max="37" width="7.453125" style="52" customWidth="1"/>
    <col min="38" max="38" width="7.453125" style="47" customWidth="1"/>
    <col min="39" max="39" width="21.26953125" customWidth="1"/>
    <col min="41" max="41" width="18.26953125" customWidth="1"/>
    <col min="42" max="42" width="0.7265625" customWidth="1"/>
    <col min="43" max="44" width="9.453125" customWidth="1"/>
    <col min="45" max="45" width="0.7265625" customWidth="1"/>
    <col min="46" max="47" width="9.453125" customWidth="1"/>
    <col min="48" max="48" width="0.7265625" customWidth="1"/>
    <col min="49" max="51" width="9.453125" customWidth="1"/>
    <col min="52" max="52" width="9" style="5" customWidth="1"/>
    <col min="53" max="53" width="10" style="22" customWidth="1"/>
    <col min="54" max="54" width="14.453125" style="23" customWidth="1"/>
    <col min="55" max="55" width="14.81640625" style="22" customWidth="1"/>
    <col min="56" max="58" width="10" style="23" customWidth="1"/>
  </cols>
  <sheetData>
    <row r="1" spans="1:11" ht="15" customHeight="1" x14ac:dyDescent="0.35">
      <c r="A1" s="495" t="s">
        <v>451</v>
      </c>
      <c r="B1" s="496"/>
      <c r="C1" s="496"/>
      <c r="D1" s="496"/>
      <c r="E1" s="496"/>
      <c r="F1" s="496"/>
      <c r="G1" s="496"/>
      <c r="H1" s="496"/>
      <c r="I1" s="496"/>
      <c r="J1" s="496"/>
      <c r="K1" s="497"/>
    </row>
    <row r="2" spans="1:11" ht="15" customHeight="1" x14ac:dyDescent="0.35">
      <c r="A2" s="498"/>
      <c r="B2" s="499"/>
      <c r="C2" s="499"/>
      <c r="D2" s="499"/>
      <c r="E2" s="499"/>
      <c r="F2" s="499"/>
      <c r="G2" s="499"/>
      <c r="H2" s="499"/>
      <c r="I2" s="499"/>
      <c r="J2" s="499"/>
      <c r="K2" s="500"/>
    </row>
    <row r="3" spans="1:11" ht="15" customHeight="1" x14ac:dyDescent="0.35">
      <c r="A3" s="501"/>
      <c r="B3" s="502"/>
      <c r="C3" s="502"/>
      <c r="D3" s="502"/>
      <c r="E3" s="502"/>
      <c r="F3" s="502"/>
      <c r="G3" s="502"/>
      <c r="H3" s="502"/>
      <c r="I3" s="502"/>
      <c r="J3" s="502"/>
      <c r="K3" s="503"/>
    </row>
    <row r="4" spans="1:11" ht="15" customHeight="1" x14ac:dyDescent="0.35">
      <c r="A4" s="513"/>
      <c r="B4" s="514"/>
      <c r="C4" s="514"/>
      <c r="D4" s="514"/>
      <c r="E4" s="514"/>
      <c r="F4" s="514"/>
      <c r="G4" s="514"/>
      <c r="H4" s="514"/>
      <c r="I4" s="514"/>
      <c r="J4" s="514"/>
      <c r="K4" s="514"/>
    </row>
    <row r="5" spans="1:11" ht="15" customHeight="1" x14ac:dyDescent="0.35">
      <c r="A5" s="515"/>
      <c r="B5" s="515"/>
      <c r="C5" s="515"/>
      <c r="D5" s="515"/>
      <c r="E5" s="515"/>
      <c r="F5" s="515"/>
      <c r="G5" s="515"/>
      <c r="H5" s="515"/>
      <c r="I5" s="515"/>
      <c r="J5" s="515"/>
      <c r="K5" s="515"/>
    </row>
    <row r="6" spans="1:11" ht="15" customHeight="1" x14ac:dyDescent="0.35">
      <c r="A6" s="466"/>
      <c r="B6" s="467"/>
      <c r="C6" s="467"/>
      <c r="D6" s="467"/>
      <c r="E6" s="468"/>
      <c r="F6" s="7"/>
      <c r="G6" s="181"/>
      <c r="H6" s="181"/>
      <c r="I6" s="181"/>
      <c r="J6" s="181"/>
      <c r="K6" s="181"/>
    </row>
    <row r="7" spans="1:11" ht="15" customHeight="1" x14ac:dyDescent="0.35">
      <c r="A7" s="466"/>
      <c r="B7" s="467"/>
      <c r="C7" s="467"/>
      <c r="D7" s="467"/>
      <c r="E7" s="468"/>
      <c r="F7" s="7"/>
      <c r="G7" s="181"/>
      <c r="H7" s="181"/>
      <c r="I7" s="181"/>
      <c r="J7" s="181"/>
      <c r="K7" s="181"/>
    </row>
    <row r="8" spans="1:11" ht="15" customHeight="1" x14ac:dyDescent="0.35">
      <c r="A8" s="466"/>
      <c r="B8" s="467"/>
      <c r="C8" s="467"/>
      <c r="D8" s="467"/>
      <c r="E8" s="468"/>
      <c r="F8" s="7"/>
      <c r="G8" s="181"/>
      <c r="H8" s="181"/>
      <c r="I8" s="181"/>
      <c r="J8" s="181"/>
      <c r="K8" s="181"/>
    </row>
    <row r="9" spans="1:11" ht="15" customHeight="1" x14ac:dyDescent="0.35">
      <c r="A9" s="466"/>
      <c r="B9" s="467"/>
      <c r="C9" s="467"/>
      <c r="D9" s="467"/>
      <c r="E9" s="468"/>
      <c r="F9" s="7"/>
      <c r="G9" s="181"/>
      <c r="H9" s="181"/>
      <c r="I9" s="181"/>
      <c r="J9" s="181"/>
      <c r="K9" s="181"/>
    </row>
    <row r="10" spans="1:11" ht="15" customHeight="1" x14ac:dyDescent="0.35">
      <c r="A10" s="469"/>
      <c r="B10" s="470"/>
      <c r="C10" s="470"/>
      <c r="D10" s="470"/>
      <c r="E10" s="471"/>
      <c r="F10" s="7"/>
      <c r="G10" s="7"/>
      <c r="H10" s="7"/>
      <c r="I10" s="8"/>
      <c r="J10" s="8"/>
      <c r="K10" s="8"/>
    </row>
    <row r="11" spans="1:11" ht="15" thickBot="1" x14ac:dyDescent="0.4">
      <c r="A11" s="469"/>
      <c r="B11" s="470"/>
      <c r="C11" s="470"/>
      <c r="D11" s="470"/>
      <c r="E11" s="471"/>
      <c r="F11" s="7"/>
      <c r="G11" s="7"/>
      <c r="H11" s="7"/>
      <c r="I11" s="9"/>
      <c r="J11" s="9"/>
      <c r="K11" s="9"/>
    </row>
    <row r="12" spans="1:11" ht="15" customHeight="1" x14ac:dyDescent="0.35">
      <c r="A12" s="469"/>
      <c r="B12" s="470"/>
      <c r="C12" s="470"/>
      <c r="D12" s="470"/>
      <c r="E12" s="471"/>
      <c r="F12" s="480"/>
      <c r="G12" s="480"/>
      <c r="H12" s="481"/>
      <c r="I12" s="504"/>
      <c r="J12" s="505"/>
      <c r="K12" s="506"/>
    </row>
    <row r="13" spans="1:11" ht="15" customHeight="1" x14ac:dyDescent="0.35">
      <c r="A13" s="469"/>
      <c r="B13" s="470"/>
      <c r="C13" s="470"/>
      <c r="D13" s="470"/>
      <c r="E13" s="471"/>
      <c r="F13" s="480"/>
      <c r="G13" s="480"/>
      <c r="H13" s="481"/>
      <c r="I13" s="507"/>
      <c r="J13" s="508"/>
      <c r="K13" s="509"/>
    </row>
    <row r="14" spans="1:11" ht="15.75" customHeight="1" x14ac:dyDescent="0.35">
      <c r="A14" s="469"/>
      <c r="B14" s="470"/>
      <c r="C14" s="470"/>
      <c r="D14" s="470"/>
      <c r="E14" s="471"/>
      <c r="F14" s="480"/>
      <c r="G14" s="480"/>
      <c r="H14" s="481"/>
      <c r="I14" s="507"/>
      <c r="J14" s="508"/>
      <c r="K14" s="509"/>
    </row>
    <row r="15" spans="1:11" ht="15" customHeight="1" thickBot="1" x14ac:dyDescent="0.4">
      <c r="A15" s="469"/>
      <c r="B15" s="470"/>
      <c r="C15" s="470"/>
      <c r="D15" s="470"/>
      <c r="E15" s="471"/>
      <c r="F15" s="483"/>
      <c r="G15" s="483"/>
      <c r="H15" s="484"/>
      <c r="I15" s="510"/>
      <c r="J15" s="511"/>
      <c r="K15" s="512"/>
    </row>
    <row r="16" spans="1:11" ht="15" customHeight="1" thickBot="1" x14ac:dyDescent="0.4">
      <c r="A16" s="466"/>
      <c r="B16" s="467"/>
      <c r="C16" s="467"/>
      <c r="D16" s="467"/>
      <c r="E16" s="468"/>
      <c r="F16" s="16"/>
      <c r="G16" s="16"/>
      <c r="H16" s="16"/>
      <c r="I16" s="7"/>
      <c r="J16" s="7"/>
      <c r="K16" s="7"/>
    </row>
    <row r="17" spans="1:11" ht="15" customHeight="1" x14ac:dyDescent="0.35">
      <c r="A17" s="466"/>
      <c r="B17" s="467"/>
      <c r="C17" s="467"/>
      <c r="D17" s="467"/>
      <c r="E17" s="468"/>
      <c r="F17" s="479"/>
      <c r="G17" s="480"/>
      <c r="H17" s="481"/>
      <c r="I17" s="485"/>
      <c r="J17" s="486"/>
      <c r="K17" s="487"/>
    </row>
    <row r="18" spans="1:11" x14ac:dyDescent="0.35">
      <c r="A18" s="466"/>
      <c r="B18" s="467"/>
      <c r="C18" s="467"/>
      <c r="D18" s="467"/>
      <c r="E18" s="468"/>
      <c r="F18" s="479"/>
      <c r="G18" s="480"/>
      <c r="H18" s="481"/>
      <c r="I18" s="488"/>
      <c r="J18" s="489"/>
      <c r="K18" s="490"/>
    </row>
    <row r="19" spans="1:11" ht="15" thickBot="1" x14ac:dyDescent="0.4">
      <c r="A19" s="476"/>
      <c r="B19" s="477"/>
      <c r="C19" s="477"/>
      <c r="D19" s="477"/>
      <c r="E19" s="478"/>
      <c r="F19" s="482"/>
      <c r="G19" s="483"/>
      <c r="H19" s="484"/>
      <c r="I19" s="491"/>
      <c r="J19" s="492"/>
      <c r="K19" s="493"/>
    </row>
    <row r="20" spans="1:11" ht="12.75" customHeight="1" x14ac:dyDescent="0.35">
      <c r="A20" s="469"/>
      <c r="B20" s="470"/>
      <c r="C20" s="470"/>
      <c r="D20" s="470"/>
      <c r="E20" s="470"/>
      <c r="F20" s="494"/>
      <c r="G20" s="494"/>
      <c r="H20" s="494"/>
      <c r="I20" s="470"/>
      <c r="J20" s="470"/>
      <c r="K20" s="471"/>
    </row>
    <row r="21" spans="1:11" ht="12.75" customHeight="1" x14ac:dyDescent="0.35">
      <c r="A21" s="469"/>
      <c r="B21" s="470"/>
      <c r="C21" s="470"/>
      <c r="D21" s="470"/>
      <c r="E21" s="470"/>
      <c r="F21" s="470"/>
      <c r="G21" s="470"/>
      <c r="H21" s="470"/>
      <c r="I21" s="470"/>
      <c r="J21" s="470"/>
      <c r="K21" s="471"/>
    </row>
    <row r="22" spans="1:11" ht="12.75" customHeight="1" x14ac:dyDescent="0.35">
      <c r="A22" s="469"/>
      <c r="B22" s="470"/>
      <c r="C22" s="470"/>
      <c r="D22" s="470"/>
      <c r="E22" s="470"/>
      <c r="F22" s="470"/>
      <c r="G22" s="470"/>
      <c r="H22" s="470"/>
      <c r="I22" s="470"/>
      <c r="J22" s="470"/>
      <c r="K22" s="471"/>
    </row>
    <row r="23" spans="1:11" ht="12.75" customHeight="1" x14ac:dyDescent="0.35">
      <c r="A23" s="469"/>
      <c r="B23" s="470"/>
      <c r="C23" s="470"/>
      <c r="D23" s="470"/>
      <c r="E23" s="470"/>
      <c r="F23" s="470"/>
      <c r="G23" s="470"/>
      <c r="H23" s="470"/>
      <c r="I23" s="470"/>
      <c r="J23" s="470"/>
      <c r="K23" s="471"/>
    </row>
    <row r="24" spans="1:11" ht="15" customHeight="1" x14ac:dyDescent="0.35">
      <c r="A24" s="466"/>
      <c r="B24" s="467"/>
      <c r="C24" s="467"/>
      <c r="D24" s="467"/>
      <c r="E24" s="467"/>
      <c r="F24" s="467"/>
      <c r="G24" s="467"/>
      <c r="H24" s="467"/>
      <c r="I24" s="467"/>
      <c r="J24" s="467"/>
      <c r="K24" s="468"/>
    </row>
    <row r="25" spans="1:11" ht="15" customHeight="1" x14ac:dyDescent="0.35">
      <c r="A25" s="466"/>
      <c r="B25" s="467"/>
      <c r="C25" s="467"/>
      <c r="D25" s="467"/>
      <c r="E25" s="467"/>
      <c r="F25" s="467"/>
      <c r="G25" s="467"/>
      <c r="H25" s="467"/>
      <c r="I25" s="467"/>
      <c r="J25" s="467"/>
      <c r="K25" s="468"/>
    </row>
    <row r="26" spans="1:11" x14ac:dyDescent="0.35">
      <c r="A26" s="466"/>
      <c r="B26" s="467"/>
      <c r="C26" s="467"/>
      <c r="D26" s="467"/>
      <c r="E26" s="467"/>
      <c r="F26" s="467"/>
      <c r="G26" s="467"/>
      <c r="H26" s="467"/>
      <c r="I26" s="467"/>
      <c r="J26" s="467"/>
      <c r="K26" s="468"/>
    </row>
    <row r="27" spans="1:11" x14ac:dyDescent="0.35">
      <c r="A27" s="466"/>
      <c r="B27" s="467"/>
      <c r="C27" s="467"/>
      <c r="D27" s="467"/>
      <c r="E27" s="467"/>
      <c r="F27" s="467"/>
      <c r="G27" s="467"/>
      <c r="H27" s="467"/>
      <c r="I27" s="467"/>
      <c r="J27" s="467"/>
      <c r="K27" s="468"/>
    </row>
    <row r="28" spans="1:11" ht="15" customHeight="1" x14ac:dyDescent="0.35">
      <c r="A28" s="462"/>
      <c r="B28" s="463"/>
      <c r="C28" s="463"/>
      <c r="D28" s="463"/>
      <c r="E28" s="463"/>
      <c r="F28" s="463"/>
      <c r="G28" s="463"/>
      <c r="H28" s="463"/>
      <c r="I28" s="463"/>
      <c r="J28" s="463"/>
      <c r="K28" s="464"/>
    </row>
    <row r="29" spans="1:11" x14ac:dyDescent="0.35">
      <c r="A29" s="462"/>
      <c r="B29" s="463"/>
      <c r="C29" s="463"/>
      <c r="D29" s="463"/>
      <c r="E29" s="463"/>
      <c r="F29" s="463"/>
      <c r="G29" s="463"/>
      <c r="H29" s="463"/>
      <c r="I29" s="463"/>
      <c r="J29" s="463"/>
      <c r="K29" s="464"/>
    </row>
    <row r="30" spans="1:11" ht="15" customHeight="1" x14ac:dyDescent="0.35">
      <c r="A30" s="462"/>
      <c r="B30" s="463"/>
      <c r="C30" s="463"/>
      <c r="D30" s="463"/>
      <c r="E30" s="463"/>
      <c r="F30" s="463"/>
      <c r="G30" s="463"/>
      <c r="H30" s="463"/>
      <c r="I30" s="463"/>
      <c r="J30" s="463"/>
      <c r="K30" s="464"/>
    </row>
    <row r="31" spans="1:11" x14ac:dyDescent="0.35">
      <c r="A31" s="462"/>
      <c r="B31" s="463"/>
      <c r="C31" s="463"/>
      <c r="D31" s="463"/>
      <c r="E31" s="463"/>
      <c r="F31" s="463"/>
      <c r="G31" s="463"/>
      <c r="H31" s="463"/>
      <c r="I31" s="463"/>
      <c r="J31" s="463"/>
      <c r="K31" s="464"/>
    </row>
    <row r="32" spans="1:11" x14ac:dyDescent="0.35">
      <c r="A32" s="462"/>
      <c r="B32" s="463"/>
      <c r="C32" s="463"/>
      <c r="D32" s="463"/>
      <c r="E32" s="463"/>
      <c r="F32" s="463"/>
      <c r="G32" s="463"/>
      <c r="H32" s="463"/>
      <c r="I32" s="463"/>
      <c r="J32" s="463"/>
      <c r="K32" s="464"/>
    </row>
    <row r="33" spans="1:65" x14ac:dyDescent="0.35">
      <c r="A33" s="462"/>
      <c r="B33" s="463"/>
      <c r="C33" s="463"/>
      <c r="D33" s="463"/>
      <c r="E33" s="463"/>
      <c r="F33" s="463"/>
      <c r="G33" s="463"/>
      <c r="H33" s="463"/>
      <c r="I33" s="463"/>
      <c r="J33" s="463"/>
      <c r="K33" s="464"/>
    </row>
    <row r="34" spans="1:65" ht="15" customHeight="1" x14ac:dyDescent="0.35">
      <c r="A34" s="466"/>
      <c r="B34" s="467"/>
      <c r="C34" s="467"/>
      <c r="D34" s="467"/>
      <c r="E34" s="467"/>
      <c r="F34" s="467"/>
      <c r="G34" s="467"/>
      <c r="H34" s="467"/>
      <c r="I34" s="467"/>
      <c r="J34" s="467"/>
      <c r="K34" s="468"/>
    </row>
    <row r="35" spans="1:65" x14ac:dyDescent="0.35">
      <c r="A35" s="466"/>
      <c r="B35" s="467"/>
      <c r="C35" s="467"/>
      <c r="D35" s="467"/>
      <c r="E35" s="467"/>
      <c r="F35" s="467"/>
      <c r="G35" s="467"/>
      <c r="H35" s="467"/>
      <c r="I35" s="467"/>
      <c r="J35" s="467"/>
      <c r="K35" s="468"/>
    </row>
    <row r="36" spans="1:65" x14ac:dyDescent="0.35">
      <c r="A36" s="466"/>
      <c r="B36" s="467"/>
      <c r="C36" s="467"/>
      <c r="D36" s="467"/>
      <c r="E36" s="467"/>
      <c r="F36" s="467"/>
      <c r="G36" s="467"/>
      <c r="H36" s="467"/>
      <c r="I36" s="467"/>
      <c r="J36" s="467"/>
      <c r="K36" s="468"/>
    </row>
    <row r="37" spans="1:65" s="20" customFormat="1" ht="15" customHeight="1" x14ac:dyDescent="0.35">
      <c r="A37" s="469"/>
      <c r="B37" s="470"/>
      <c r="C37" s="470"/>
      <c r="D37" s="470"/>
      <c r="E37" s="470"/>
      <c r="F37" s="470"/>
      <c r="G37" s="470"/>
      <c r="H37" s="470"/>
      <c r="I37" s="470"/>
      <c r="J37" s="470"/>
      <c r="K37" s="471"/>
      <c r="M37" s="5"/>
      <c r="N37" s="5"/>
      <c r="O37" s="5"/>
      <c r="P37" s="5"/>
      <c r="Q37" s="22"/>
      <c r="R37" s="22"/>
      <c r="T37" s="45"/>
      <c r="U37" s="46"/>
      <c r="V37" s="47"/>
      <c r="W37" s="45"/>
      <c r="X37" s="51"/>
      <c r="Y37" s="47"/>
      <c r="Z37" s="46"/>
      <c r="AA37" s="46"/>
      <c r="AD37" s="45"/>
      <c r="AE37" s="52"/>
      <c r="AF37" s="47"/>
      <c r="AG37" s="46"/>
      <c r="AH37" s="46"/>
      <c r="AI37" s="52"/>
      <c r="AJ37" s="46"/>
      <c r="AK37" s="52"/>
      <c r="AL37" s="47"/>
      <c r="AZ37" s="5"/>
      <c r="BA37" s="22"/>
      <c r="BB37" s="23"/>
      <c r="BC37" s="22"/>
      <c r="BD37" s="23"/>
      <c r="BE37" s="23"/>
      <c r="BF37" s="23"/>
      <c r="BG37"/>
      <c r="BH37"/>
      <c r="BI37"/>
      <c r="BJ37"/>
      <c r="BK37"/>
      <c r="BL37"/>
      <c r="BM37"/>
    </row>
    <row r="38" spans="1:65" s="20" customFormat="1" x14ac:dyDescent="0.35">
      <c r="A38" s="469"/>
      <c r="B38" s="470"/>
      <c r="C38" s="470"/>
      <c r="D38" s="470"/>
      <c r="E38" s="470"/>
      <c r="F38" s="470"/>
      <c r="G38" s="470"/>
      <c r="H38" s="470"/>
      <c r="I38" s="470"/>
      <c r="J38" s="470"/>
      <c r="K38" s="471"/>
      <c r="M38" s="5"/>
      <c r="N38" s="5"/>
      <c r="O38" s="5"/>
      <c r="P38" s="5"/>
      <c r="Q38" s="22"/>
      <c r="R38" s="22"/>
      <c r="T38" s="45"/>
      <c r="U38" s="46"/>
      <c r="V38" s="47"/>
      <c r="W38" s="45"/>
      <c r="X38" s="51"/>
      <c r="Y38" s="47"/>
      <c r="Z38" s="46"/>
      <c r="AA38" s="46"/>
      <c r="AD38" s="45"/>
      <c r="AE38" s="52"/>
      <c r="AF38" s="47"/>
      <c r="AG38" s="46"/>
      <c r="AH38" s="46"/>
      <c r="AI38" s="52"/>
      <c r="AJ38" s="46"/>
      <c r="AK38" s="52"/>
      <c r="AL38" s="47"/>
      <c r="AZ38" s="5"/>
      <c r="BA38" s="22"/>
      <c r="BB38" s="23"/>
      <c r="BC38" s="22"/>
      <c r="BD38" s="23"/>
      <c r="BE38" s="23"/>
      <c r="BF38" s="23"/>
      <c r="BG38"/>
      <c r="BH38"/>
      <c r="BI38"/>
      <c r="BJ38"/>
      <c r="BK38"/>
      <c r="BL38"/>
      <c r="BM38"/>
    </row>
    <row r="39" spans="1:65" s="20" customFormat="1" x14ac:dyDescent="0.35">
      <c r="A39" s="469"/>
      <c r="B39" s="470"/>
      <c r="C39" s="470"/>
      <c r="D39" s="470"/>
      <c r="E39" s="470"/>
      <c r="F39" s="470"/>
      <c r="G39" s="470"/>
      <c r="H39" s="470"/>
      <c r="I39" s="470"/>
      <c r="J39" s="470"/>
      <c r="K39" s="471"/>
      <c r="M39" s="5"/>
      <c r="N39" s="5"/>
      <c r="O39" s="5"/>
      <c r="P39" s="5"/>
      <c r="Q39" s="22"/>
      <c r="R39" s="22"/>
      <c r="T39" s="45"/>
      <c r="U39" s="46"/>
      <c r="V39" s="47"/>
      <c r="W39" s="45"/>
      <c r="X39" s="51"/>
      <c r="Y39" s="47"/>
      <c r="Z39" s="46"/>
      <c r="AA39" s="46"/>
      <c r="AD39" s="45"/>
      <c r="AE39" s="52"/>
      <c r="AF39" s="47"/>
      <c r="AG39" s="46"/>
      <c r="AH39" s="46"/>
      <c r="AI39" s="52"/>
      <c r="AJ39" s="46"/>
      <c r="AK39" s="52"/>
      <c r="AL39" s="47"/>
      <c r="AZ39" s="5"/>
      <c r="BA39" s="22"/>
      <c r="BB39" s="23"/>
      <c r="BC39" s="22"/>
      <c r="BD39" s="23"/>
      <c r="BE39" s="23"/>
      <c r="BF39" s="23"/>
      <c r="BG39"/>
      <c r="BH39"/>
      <c r="BI39"/>
      <c r="BJ39"/>
      <c r="BK39"/>
      <c r="BL39"/>
      <c r="BM39"/>
    </row>
    <row r="40" spans="1:65" s="20" customFormat="1" x14ac:dyDescent="0.35">
      <c r="A40" s="469"/>
      <c r="B40" s="470"/>
      <c r="C40" s="470"/>
      <c r="D40" s="470"/>
      <c r="E40" s="470"/>
      <c r="F40" s="470"/>
      <c r="G40" s="470"/>
      <c r="H40" s="470"/>
      <c r="I40" s="470"/>
      <c r="J40" s="470"/>
      <c r="K40" s="471"/>
      <c r="M40" s="5"/>
      <c r="N40" s="5"/>
      <c r="O40" s="5"/>
      <c r="P40" s="5"/>
      <c r="Q40" s="22"/>
      <c r="R40" s="22"/>
      <c r="T40" s="45"/>
      <c r="U40" s="46"/>
      <c r="V40" s="47"/>
      <c r="W40" s="45"/>
      <c r="X40" s="51"/>
      <c r="Y40" s="47"/>
      <c r="Z40" s="46"/>
      <c r="AA40" s="46"/>
      <c r="AD40" s="45"/>
      <c r="AE40" s="52"/>
      <c r="AF40" s="47"/>
      <c r="AG40" s="46"/>
      <c r="AH40" s="46"/>
      <c r="AI40" s="52"/>
      <c r="AJ40" s="46"/>
      <c r="AK40" s="52"/>
      <c r="AL40" s="47"/>
      <c r="AZ40" s="5"/>
      <c r="BA40" s="22"/>
      <c r="BB40" s="23"/>
      <c r="BC40" s="22"/>
      <c r="BD40" s="23"/>
      <c r="BE40" s="23"/>
      <c r="BF40" s="23"/>
      <c r="BG40"/>
      <c r="BH40"/>
      <c r="BI40"/>
      <c r="BJ40"/>
      <c r="BK40"/>
      <c r="BL40"/>
      <c r="BM40"/>
    </row>
    <row r="41" spans="1:65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65" x14ac:dyDescent="0.35">
      <c r="A42" s="465"/>
      <c r="B42" s="465"/>
      <c r="C42" s="465"/>
      <c r="D42" s="465"/>
      <c r="E42" s="465"/>
      <c r="F42" s="465"/>
      <c r="G42" s="465"/>
      <c r="H42" s="465"/>
      <c r="I42" s="465"/>
      <c r="J42" s="465"/>
      <c r="K42" s="465"/>
    </row>
    <row r="43" spans="1:65" x14ac:dyDescent="0.35">
      <c r="A43" s="465"/>
      <c r="B43" s="465"/>
      <c r="C43" s="465"/>
      <c r="D43" s="465"/>
      <c r="E43" s="465"/>
      <c r="F43" s="465"/>
      <c r="G43" s="465"/>
      <c r="H43" s="465"/>
      <c r="I43" s="465"/>
      <c r="J43" s="465"/>
      <c r="K43" s="465"/>
    </row>
    <row r="44" spans="1:65" x14ac:dyDescent="0.35">
      <c r="A44" s="465"/>
      <c r="B44" s="465"/>
      <c r="C44" s="465"/>
      <c r="D44" s="465"/>
      <c r="E44" s="465"/>
      <c r="F44" s="465"/>
      <c r="G44" s="465"/>
      <c r="H44" s="465"/>
      <c r="I44" s="465"/>
      <c r="J44" s="465"/>
      <c r="K44" s="465"/>
    </row>
    <row r="45" spans="1:65" ht="42" customHeight="1" x14ac:dyDescent="0.35"/>
    <row r="47" spans="1:65" ht="15" customHeight="1" x14ac:dyDescent="0.35">
      <c r="L47" s="472"/>
      <c r="M47" s="472"/>
      <c r="N47" s="472"/>
      <c r="O47" s="472"/>
      <c r="P47" s="472"/>
      <c r="Q47" s="472"/>
      <c r="R47" s="472"/>
      <c r="S47" s="20"/>
    </row>
    <row r="48" spans="1:65" ht="15.75" customHeight="1" x14ac:dyDescent="0.35">
      <c r="L48" s="133"/>
      <c r="M48" s="461"/>
      <c r="N48" s="461"/>
      <c r="O48" s="473"/>
      <c r="P48" s="473"/>
      <c r="Q48" s="456"/>
      <c r="R48" s="456"/>
      <c r="S48" s="20"/>
    </row>
    <row r="49" spans="12:21" ht="23.25" customHeight="1" x14ac:dyDescent="0.35">
      <c r="L49" s="134"/>
      <c r="M49" s="135"/>
      <c r="N49" s="135"/>
      <c r="O49" s="474"/>
      <c r="P49" s="474"/>
      <c r="Q49" s="457"/>
      <c r="R49" s="457"/>
      <c r="S49" s="24"/>
    </row>
    <row r="50" spans="12:21" ht="12.25" customHeight="1" x14ac:dyDescent="0.35">
      <c r="L50" s="136"/>
      <c r="M50" s="137"/>
      <c r="N50" s="137"/>
      <c r="O50" s="137"/>
      <c r="P50" s="137"/>
      <c r="Q50" s="138"/>
      <c r="R50" s="138"/>
      <c r="S50" s="48"/>
      <c r="T50" s="48"/>
      <c r="U50" s="193"/>
    </row>
    <row r="51" spans="12:21" ht="12.25" customHeight="1" x14ac:dyDescent="0.35">
      <c r="L51" s="136"/>
      <c r="M51" s="137"/>
      <c r="N51" s="137"/>
      <c r="O51" s="137"/>
      <c r="P51" s="137"/>
      <c r="Q51" s="138"/>
      <c r="R51" s="138"/>
      <c r="S51" s="48"/>
      <c r="T51" s="48"/>
      <c r="U51" s="193"/>
    </row>
    <row r="52" spans="12:21" ht="12.25" customHeight="1" x14ac:dyDescent="0.35">
      <c r="L52" s="136"/>
      <c r="M52" s="137"/>
      <c r="N52" s="137"/>
      <c r="O52" s="137"/>
      <c r="P52" s="137"/>
      <c r="Q52" s="138"/>
      <c r="R52" s="138"/>
      <c r="S52" s="48"/>
      <c r="T52" s="48"/>
      <c r="U52" s="193"/>
    </row>
    <row r="53" spans="12:21" ht="12.25" customHeight="1" x14ac:dyDescent="0.35">
      <c r="L53" s="136"/>
      <c r="M53" s="137"/>
      <c r="N53" s="137"/>
      <c r="O53" s="137"/>
      <c r="P53" s="137"/>
      <c r="Q53" s="138"/>
      <c r="R53" s="138"/>
      <c r="S53" s="48"/>
      <c r="T53" s="48"/>
      <c r="U53" s="193"/>
    </row>
    <row r="54" spans="12:21" ht="12.25" customHeight="1" x14ac:dyDescent="0.35">
      <c r="L54" s="136"/>
      <c r="M54" s="137"/>
      <c r="N54" s="137"/>
      <c r="O54" s="137"/>
      <c r="P54" s="137"/>
      <c r="Q54" s="138"/>
      <c r="R54" s="138"/>
      <c r="S54" s="48"/>
      <c r="T54" s="48"/>
      <c r="U54" s="193"/>
    </row>
    <row r="55" spans="12:21" ht="12.25" customHeight="1" x14ac:dyDescent="0.35">
      <c r="L55" s="136"/>
      <c r="M55" s="137"/>
      <c r="N55" s="137"/>
      <c r="O55" s="137"/>
      <c r="P55" s="137"/>
      <c r="Q55" s="138"/>
      <c r="R55" s="138"/>
      <c r="S55" s="48"/>
      <c r="T55" s="48"/>
      <c r="U55" s="193"/>
    </row>
    <row r="56" spans="12:21" ht="12.25" customHeight="1" x14ac:dyDescent="0.35">
      <c r="L56" s="136"/>
      <c r="M56" s="137"/>
      <c r="N56" s="137"/>
      <c r="O56" s="137"/>
      <c r="P56" s="137"/>
      <c r="Q56" s="138"/>
      <c r="R56" s="138"/>
      <c r="S56" s="48"/>
      <c r="T56" s="48"/>
      <c r="U56" s="193"/>
    </row>
    <row r="57" spans="12:21" ht="12.25" customHeight="1" x14ac:dyDescent="0.35">
      <c r="L57" s="136"/>
      <c r="M57" s="137"/>
      <c r="N57" s="137"/>
      <c r="O57" s="137"/>
      <c r="P57" s="137"/>
      <c r="Q57" s="138"/>
      <c r="R57" s="138"/>
      <c r="S57" s="48"/>
      <c r="T57" s="48"/>
      <c r="U57" s="193"/>
    </row>
    <row r="58" spans="12:21" ht="12.25" customHeight="1" x14ac:dyDescent="0.35">
      <c r="L58" s="136"/>
      <c r="M58" s="137"/>
      <c r="N58" s="137"/>
      <c r="O58" s="137"/>
      <c r="P58" s="137"/>
      <c r="Q58" s="138"/>
      <c r="R58" s="138"/>
      <c r="S58" s="48"/>
      <c r="T58" s="48"/>
      <c r="U58" s="193"/>
    </row>
    <row r="59" spans="12:21" ht="12.25" customHeight="1" x14ac:dyDescent="0.35">
      <c r="L59" s="136"/>
      <c r="M59" s="137"/>
      <c r="N59" s="137"/>
      <c r="O59" s="137"/>
      <c r="P59" s="137"/>
      <c r="Q59" s="138"/>
      <c r="R59" s="138"/>
      <c r="S59" s="48"/>
      <c r="T59" s="48"/>
      <c r="U59" s="193"/>
    </row>
    <row r="60" spans="12:21" ht="12.25" customHeight="1" x14ac:dyDescent="0.35">
      <c r="L60" s="136"/>
      <c r="M60" s="137"/>
      <c r="N60" s="137"/>
      <c r="O60" s="137"/>
      <c r="P60" s="137"/>
      <c r="Q60" s="138"/>
      <c r="R60" s="138"/>
      <c r="S60" s="48"/>
      <c r="T60" s="48"/>
      <c r="U60" s="193"/>
    </row>
    <row r="61" spans="12:21" ht="12.25" customHeight="1" x14ac:dyDescent="0.35">
      <c r="L61" s="136"/>
      <c r="M61" s="137"/>
      <c r="N61" s="137"/>
      <c r="O61" s="137"/>
      <c r="P61" s="137"/>
      <c r="Q61" s="138"/>
      <c r="R61" s="138"/>
      <c r="S61" s="48"/>
      <c r="T61" s="48"/>
      <c r="U61" s="193"/>
    </row>
    <row r="62" spans="12:21" ht="12.25" customHeight="1" x14ac:dyDescent="0.35">
      <c r="L62" s="139"/>
      <c r="M62" s="140"/>
      <c r="N62" s="140"/>
      <c r="O62" s="140"/>
      <c r="P62" s="140"/>
      <c r="Q62" s="141"/>
      <c r="R62" s="141"/>
      <c r="S62" s="20"/>
    </row>
    <row r="63" spans="12:21" ht="12.25" customHeight="1" x14ac:dyDescent="0.35">
      <c r="L63" s="142"/>
      <c r="M63" s="143"/>
      <c r="N63" s="143"/>
      <c r="O63" s="143"/>
      <c r="P63" s="143"/>
      <c r="Q63" s="144"/>
      <c r="R63" s="144"/>
      <c r="S63" s="20"/>
    </row>
    <row r="88" spans="20:29" ht="79.5" customHeight="1" x14ac:dyDescent="0.35"/>
    <row r="89" spans="20:29" ht="34.5" customHeight="1" x14ac:dyDescent="0.35"/>
    <row r="90" spans="20:29" ht="15.75" customHeight="1" x14ac:dyDescent="0.35">
      <c r="T90" s="460"/>
      <c r="U90" s="460"/>
      <c r="V90" s="460"/>
      <c r="W90" s="460"/>
      <c r="X90" s="460"/>
      <c r="Y90" s="460"/>
      <c r="Z90" s="460"/>
      <c r="AA90" s="460"/>
    </row>
    <row r="91" spans="20:29" x14ac:dyDescent="0.35">
      <c r="T91" s="133"/>
      <c r="U91" s="455"/>
      <c r="V91" s="475"/>
      <c r="W91" s="145"/>
      <c r="X91" s="455"/>
      <c r="Y91" s="455"/>
      <c r="Z91" s="455"/>
      <c r="AA91" s="455"/>
    </row>
    <row r="92" spans="20:29" ht="39.65" customHeight="1" x14ac:dyDescent="0.35">
      <c r="T92" s="146"/>
      <c r="U92" s="148"/>
      <c r="V92" s="164"/>
      <c r="W92" s="149"/>
      <c r="X92" s="147"/>
      <c r="Y92" s="164"/>
      <c r="Z92" s="148"/>
      <c r="AA92" s="148"/>
    </row>
    <row r="93" spans="20:29" ht="12.25" customHeight="1" x14ac:dyDescent="0.35">
      <c r="T93" s="136"/>
      <c r="U93" s="151"/>
      <c r="V93" s="165"/>
      <c r="W93" s="150"/>
      <c r="X93" s="150"/>
      <c r="Y93" s="165"/>
      <c r="Z93" s="151"/>
      <c r="AA93" s="151"/>
      <c r="AB93" s="119"/>
      <c r="AC93" s="119"/>
    </row>
    <row r="94" spans="20:29" ht="12.25" customHeight="1" x14ac:dyDescent="0.35">
      <c r="T94" s="136"/>
      <c r="U94" s="151"/>
      <c r="V94" s="165"/>
      <c r="W94" s="150"/>
      <c r="X94" s="150"/>
      <c r="Y94" s="165"/>
      <c r="Z94" s="151"/>
      <c r="AA94" s="151"/>
      <c r="AB94" s="119"/>
      <c r="AC94" s="119"/>
    </row>
    <row r="95" spans="20:29" ht="12.25" customHeight="1" x14ac:dyDescent="0.35">
      <c r="T95" s="136"/>
      <c r="U95" s="151"/>
      <c r="V95" s="165"/>
      <c r="W95" s="150"/>
      <c r="X95" s="150"/>
      <c r="Y95" s="165"/>
      <c r="Z95" s="151"/>
      <c r="AA95" s="151"/>
      <c r="AB95" s="119"/>
      <c r="AC95" s="119"/>
    </row>
    <row r="96" spans="20:29" ht="12.25" customHeight="1" x14ac:dyDescent="0.35">
      <c r="T96" s="136"/>
      <c r="U96" s="151"/>
      <c r="V96" s="165"/>
      <c r="W96" s="150"/>
      <c r="X96" s="150"/>
      <c r="Y96" s="165"/>
      <c r="Z96" s="151"/>
      <c r="AA96" s="151"/>
      <c r="AB96" s="119"/>
      <c r="AC96" s="119"/>
    </row>
    <row r="97" spans="20:29" ht="12.25" customHeight="1" x14ac:dyDescent="0.35">
      <c r="T97" s="136"/>
      <c r="U97" s="151"/>
      <c r="V97" s="165"/>
      <c r="W97" s="150"/>
      <c r="X97" s="150"/>
      <c r="Y97" s="165"/>
      <c r="Z97" s="151"/>
      <c r="AA97" s="151"/>
      <c r="AB97" s="119"/>
      <c r="AC97" s="119"/>
    </row>
    <row r="98" spans="20:29" ht="12.25" customHeight="1" x14ac:dyDescent="0.35">
      <c r="T98" s="136"/>
      <c r="U98" s="151"/>
      <c r="V98" s="165"/>
      <c r="W98" s="150"/>
      <c r="X98" s="150"/>
      <c r="Y98" s="165"/>
      <c r="Z98" s="151"/>
      <c r="AA98" s="151"/>
      <c r="AB98" s="119"/>
      <c r="AC98" s="119"/>
    </row>
    <row r="99" spans="20:29" ht="12.25" customHeight="1" x14ac:dyDescent="0.35">
      <c r="T99" s="136"/>
      <c r="U99" s="151"/>
      <c r="V99" s="165"/>
      <c r="W99" s="150"/>
      <c r="X99" s="150"/>
      <c r="Y99" s="165"/>
      <c r="Z99" s="151"/>
      <c r="AA99" s="151"/>
      <c r="AB99" s="119"/>
      <c r="AC99" s="119"/>
    </row>
    <row r="100" spans="20:29" ht="12.25" customHeight="1" x14ac:dyDescent="0.35">
      <c r="T100" s="136"/>
      <c r="U100" s="151"/>
      <c r="V100" s="165"/>
      <c r="W100" s="150"/>
      <c r="X100" s="150"/>
      <c r="Y100" s="165"/>
      <c r="Z100" s="151"/>
      <c r="AA100" s="151"/>
      <c r="AB100" s="119"/>
      <c r="AC100" s="119"/>
    </row>
    <row r="101" spans="20:29" ht="12.25" customHeight="1" x14ac:dyDescent="0.35">
      <c r="T101" s="136"/>
      <c r="U101" s="151"/>
      <c r="V101" s="165"/>
      <c r="W101" s="150"/>
      <c r="X101" s="150"/>
      <c r="Y101" s="165"/>
      <c r="Z101" s="151"/>
      <c r="AA101" s="151"/>
      <c r="AB101" s="119"/>
      <c r="AC101" s="119"/>
    </row>
    <row r="102" spans="20:29" ht="12.25" customHeight="1" x14ac:dyDescent="0.35">
      <c r="T102" s="136"/>
      <c r="U102" s="151"/>
      <c r="V102" s="165"/>
      <c r="W102" s="150"/>
      <c r="X102" s="150"/>
      <c r="Y102" s="165"/>
      <c r="Z102" s="151"/>
      <c r="AA102" s="151"/>
      <c r="AB102" s="119"/>
      <c r="AC102" s="119"/>
    </row>
    <row r="103" spans="20:29" ht="12.25" customHeight="1" x14ac:dyDescent="0.35">
      <c r="T103" s="136"/>
      <c r="U103" s="151"/>
      <c r="V103" s="165"/>
      <c r="W103" s="150"/>
      <c r="X103" s="150"/>
      <c r="Y103" s="165"/>
      <c r="Z103" s="151"/>
      <c r="AA103" s="151"/>
      <c r="AB103" s="119"/>
      <c r="AC103" s="119"/>
    </row>
    <row r="104" spans="20:29" ht="12.25" customHeight="1" x14ac:dyDescent="0.35">
      <c r="T104" s="152"/>
      <c r="U104" s="154"/>
      <c r="V104" s="191"/>
      <c r="W104" s="153"/>
      <c r="X104" s="153"/>
      <c r="Y104" s="191"/>
      <c r="Z104" s="154"/>
      <c r="AA104" s="154"/>
      <c r="AB104" s="119"/>
      <c r="AC104" s="119"/>
    </row>
    <row r="105" spans="20:29" ht="12.25" customHeight="1" x14ac:dyDescent="0.35">
      <c r="T105" s="155"/>
      <c r="U105" s="157"/>
      <c r="V105" s="192"/>
      <c r="W105" s="158"/>
      <c r="X105" s="156"/>
      <c r="Y105" s="192"/>
      <c r="Z105" s="157"/>
      <c r="AA105" s="157"/>
    </row>
    <row r="129" spans="30:41" ht="78.75" customHeight="1" x14ac:dyDescent="0.35"/>
    <row r="131" spans="30:41" ht="36.75" customHeight="1" x14ac:dyDescent="0.35"/>
    <row r="133" spans="30:41" x14ac:dyDescent="0.35">
      <c r="AD133" s="472"/>
      <c r="AE133" s="472"/>
      <c r="AF133" s="472"/>
      <c r="AG133" s="472"/>
      <c r="AH133" s="472"/>
      <c r="AI133" s="472"/>
      <c r="AJ133" s="472"/>
      <c r="AK133" s="472"/>
      <c r="AL133" s="472"/>
    </row>
    <row r="134" spans="30:41" ht="24.75" customHeight="1" x14ac:dyDescent="0.35">
      <c r="AD134" s="133"/>
      <c r="AE134" s="461"/>
      <c r="AF134" s="461"/>
      <c r="AG134" s="461"/>
      <c r="AH134" s="461"/>
      <c r="AI134" s="455"/>
      <c r="AJ134" s="455"/>
      <c r="AK134" s="455"/>
      <c r="AL134" s="455"/>
    </row>
    <row r="135" spans="30:41" x14ac:dyDescent="0.35">
      <c r="AD135" s="146"/>
      <c r="AE135" s="149"/>
      <c r="AF135" s="164"/>
      <c r="AG135" s="148"/>
      <c r="AH135" s="148"/>
      <c r="AI135" s="149"/>
      <c r="AJ135" s="148"/>
      <c r="AK135" s="149"/>
      <c r="AL135" s="164"/>
    </row>
    <row r="136" spans="30:41" ht="11.25" customHeight="1" x14ac:dyDescent="0.35">
      <c r="AD136" s="136"/>
      <c r="AE136" s="137"/>
      <c r="AF136" s="165"/>
      <c r="AG136" s="151"/>
      <c r="AH136" s="151"/>
      <c r="AI136" s="137"/>
      <c r="AJ136" s="151"/>
      <c r="AK136" s="137"/>
      <c r="AL136" s="165"/>
    </row>
    <row r="137" spans="30:41" ht="11.25" customHeight="1" x14ac:dyDescent="0.35">
      <c r="AD137" s="136"/>
      <c r="AE137" s="137"/>
      <c r="AF137" s="165"/>
      <c r="AG137" s="151"/>
      <c r="AH137" s="151"/>
      <c r="AI137" s="137"/>
      <c r="AJ137" s="151"/>
      <c r="AK137" s="137"/>
      <c r="AL137" s="165"/>
    </row>
    <row r="138" spans="30:41" ht="11.25" customHeight="1" x14ac:dyDescent="0.35">
      <c r="AD138" s="136"/>
      <c r="AE138" s="137"/>
      <c r="AF138" s="165"/>
      <c r="AG138" s="151"/>
      <c r="AH138" s="151"/>
      <c r="AI138" s="137"/>
      <c r="AJ138" s="151"/>
      <c r="AK138" s="137"/>
      <c r="AL138" s="165"/>
    </row>
    <row r="139" spans="30:41" ht="11.25" customHeight="1" x14ac:dyDescent="0.35">
      <c r="AD139" s="136"/>
      <c r="AE139" s="137"/>
      <c r="AF139" s="165"/>
      <c r="AG139" s="151"/>
      <c r="AH139" s="151"/>
      <c r="AI139" s="137"/>
      <c r="AJ139" s="151"/>
      <c r="AK139" s="137"/>
      <c r="AL139" s="165"/>
      <c r="AO139" s="20"/>
    </row>
    <row r="140" spans="30:41" ht="11.25" customHeight="1" x14ac:dyDescent="0.35">
      <c r="AD140" s="136"/>
      <c r="AE140" s="137"/>
      <c r="AF140" s="165"/>
      <c r="AG140" s="151"/>
      <c r="AH140" s="151"/>
      <c r="AI140" s="137"/>
      <c r="AJ140" s="151"/>
      <c r="AK140" s="137"/>
      <c r="AL140" s="165"/>
    </row>
    <row r="141" spans="30:41" ht="11.25" customHeight="1" x14ac:dyDescent="0.35">
      <c r="AD141" s="136"/>
      <c r="AE141" s="137"/>
      <c r="AF141" s="165"/>
      <c r="AG141" s="151"/>
      <c r="AH141" s="151"/>
      <c r="AI141" s="137"/>
      <c r="AJ141" s="151"/>
      <c r="AK141" s="137"/>
      <c r="AL141" s="165"/>
    </row>
    <row r="142" spans="30:41" ht="11.25" customHeight="1" x14ac:dyDescent="0.35">
      <c r="AD142" s="136"/>
      <c r="AE142" s="137"/>
      <c r="AF142" s="165"/>
      <c r="AG142" s="151"/>
      <c r="AH142" s="151"/>
      <c r="AI142" s="137"/>
      <c r="AJ142" s="151"/>
      <c r="AK142" s="137"/>
      <c r="AL142" s="165"/>
    </row>
    <row r="143" spans="30:41" ht="11.25" customHeight="1" x14ac:dyDescent="0.35">
      <c r="AD143" s="136"/>
      <c r="AE143" s="137"/>
      <c r="AF143" s="165"/>
      <c r="AG143" s="151"/>
      <c r="AH143" s="151"/>
      <c r="AI143" s="137"/>
      <c r="AJ143" s="151"/>
      <c r="AK143" s="137"/>
      <c r="AL143" s="165"/>
    </row>
    <row r="144" spans="30:41" ht="11.25" customHeight="1" x14ac:dyDescent="0.35">
      <c r="AD144" s="136"/>
      <c r="AE144" s="137"/>
      <c r="AF144" s="165"/>
      <c r="AG144" s="151"/>
      <c r="AH144" s="151"/>
      <c r="AI144" s="137"/>
      <c r="AJ144" s="151"/>
      <c r="AK144" s="137"/>
      <c r="AL144" s="165"/>
    </row>
    <row r="145" spans="30:38" ht="11.25" customHeight="1" x14ac:dyDescent="0.35">
      <c r="AD145" s="136"/>
      <c r="AE145" s="137"/>
      <c r="AF145" s="165"/>
      <c r="AG145" s="151"/>
      <c r="AH145" s="151"/>
      <c r="AI145" s="137"/>
      <c r="AJ145" s="151"/>
      <c r="AK145" s="137"/>
      <c r="AL145" s="165"/>
    </row>
    <row r="146" spans="30:38" ht="11.25" customHeight="1" x14ac:dyDescent="0.35">
      <c r="AD146" s="136"/>
      <c r="AE146" s="137"/>
      <c r="AF146" s="165"/>
      <c r="AG146" s="151"/>
      <c r="AH146" s="151"/>
      <c r="AI146" s="137"/>
      <c r="AJ146" s="151"/>
      <c r="AK146" s="137"/>
      <c r="AL146" s="165"/>
    </row>
    <row r="147" spans="30:38" ht="11.25" customHeight="1" x14ac:dyDescent="0.35">
      <c r="AD147" s="152"/>
      <c r="AE147" s="137"/>
      <c r="AF147" s="165"/>
      <c r="AG147" s="151"/>
      <c r="AH147" s="151"/>
      <c r="AI147" s="137"/>
      <c r="AJ147" s="151"/>
      <c r="AK147" s="137"/>
      <c r="AL147" s="165"/>
    </row>
    <row r="148" spans="30:38" ht="11.25" customHeight="1" x14ac:dyDescent="0.35">
      <c r="AD148" s="139"/>
      <c r="AE148" s="140"/>
      <c r="AF148" s="160"/>
      <c r="AG148" s="161"/>
      <c r="AH148" s="161"/>
      <c r="AI148" s="140"/>
      <c r="AJ148" s="161"/>
      <c r="AK148" s="140"/>
      <c r="AL148" s="160"/>
    </row>
    <row r="149" spans="30:38" ht="11.25" customHeight="1" x14ac:dyDescent="0.35">
      <c r="AD149" s="142"/>
      <c r="AE149" s="143"/>
      <c r="AF149" s="162"/>
      <c r="AG149" s="163"/>
      <c r="AH149" s="163"/>
      <c r="AI149" s="143"/>
      <c r="AJ149" s="163"/>
      <c r="AK149" s="143"/>
      <c r="AL149" s="162"/>
    </row>
    <row r="179" spans="41:41" ht="15" customHeight="1" x14ac:dyDescent="0.35"/>
    <row r="180" spans="41:41" ht="15.75" customHeight="1" x14ac:dyDescent="0.35"/>
    <row r="181" spans="41:41" ht="38.25" customHeight="1" x14ac:dyDescent="0.35"/>
    <row r="183" spans="41:41" ht="22.5" x14ac:dyDescent="0.45">
      <c r="AO183" s="159"/>
    </row>
    <row r="225" spans="51:59" x14ac:dyDescent="0.35">
      <c r="BB225"/>
    </row>
    <row r="226" spans="51:59" x14ac:dyDescent="0.35">
      <c r="BB226"/>
    </row>
    <row r="227" spans="51:59" ht="3.75" customHeight="1" x14ac:dyDescent="0.35">
      <c r="BB227"/>
    </row>
    <row r="228" spans="51:59" ht="10.5" customHeight="1" x14ac:dyDescent="0.35">
      <c r="BB228"/>
    </row>
    <row r="229" spans="51:59" ht="13.4" customHeight="1" x14ac:dyDescent="0.35">
      <c r="BB229"/>
    </row>
    <row r="230" spans="51:59" ht="13.4" customHeight="1" x14ac:dyDescent="0.35">
      <c r="BB230"/>
    </row>
    <row r="231" spans="51:59" ht="13.4" customHeight="1" x14ac:dyDescent="0.35">
      <c r="BB231"/>
    </row>
    <row r="232" spans="51:59" ht="13.4" customHeight="1" x14ac:dyDescent="0.35">
      <c r="AY232" s="454"/>
      <c r="AZ232" s="454"/>
      <c r="BA232" s="454"/>
      <c r="BB232" s="454"/>
      <c r="BC232" s="454"/>
      <c r="BD232" s="454"/>
      <c r="BE232" s="454"/>
      <c r="BF232" s="454"/>
    </row>
    <row r="233" spans="51:59" ht="19.75" customHeight="1" x14ac:dyDescent="0.35">
      <c r="AY233" s="40"/>
      <c r="AZ233" s="458"/>
      <c r="BA233" s="452"/>
      <c r="BB233" s="452"/>
      <c r="BC233" s="452"/>
      <c r="BD233" s="450"/>
      <c r="BE233" s="450"/>
      <c r="BF233" s="450"/>
    </row>
    <row r="234" spans="51:59" ht="19.75" customHeight="1" x14ac:dyDescent="0.35">
      <c r="AY234" s="49"/>
      <c r="AZ234" s="459"/>
      <c r="BA234" s="453"/>
      <c r="BB234" s="453"/>
      <c r="BC234" s="453"/>
      <c r="BD234" s="451"/>
      <c r="BE234" s="451"/>
      <c r="BF234" s="451"/>
    </row>
    <row r="235" spans="51:59" ht="12.25" customHeight="1" x14ac:dyDescent="0.35">
      <c r="AY235" s="41"/>
      <c r="AZ235" s="42"/>
      <c r="BA235" s="43"/>
      <c r="BB235" s="120"/>
      <c r="BC235" s="43"/>
      <c r="BD235" s="50"/>
      <c r="BE235" s="50"/>
      <c r="BF235" s="50"/>
      <c r="BG235" s="48"/>
    </row>
    <row r="236" spans="51:59" ht="12.25" customHeight="1" x14ac:dyDescent="0.35">
      <c r="AY236" s="41"/>
      <c r="AZ236" s="42"/>
      <c r="BA236" s="43"/>
      <c r="BB236" s="120"/>
      <c r="BC236" s="43"/>
      <c r="BD236" s="50"/>
      <c r="BE236" s="50"/>
      <c r="BF236" s="50"/>
      <c r="BG236" s="48"/>
    </row>
    <row r="237" spans="51:59" ht="12.25" customHeight="1" x14ac:dyDescent="0.35">
      <c r="AY237" s="41"/>
      <c r="AZ237" s="42"/>
      <c r="BA237" s="43"/>
      <c r="BB237" s="120"/>
      <c r="BC237" s="43"/>
      <c r="BD237" s="50"/>
      <c r="BE237" s="50"/>
      <c r="BF237" s="50"/>
      <c r="BG237" s="48"/>
    </row>
    <row r="238" spans="51:59" ht="12.25" customHeight="1" x14ac:dyDescent="0.35">
      <c r="AY238" s="41"/>
      <c r="AZ238" s="42"/>
      <c r="BA238" s="43"/>
      <c r="BB238" s="120"/>
      <c r="BC238" s="43"/>
      <c r="BD238" s="50"/>
      <c r="BE238" s="50"/>
      <c r="BF238" s="50"/>
      <c r="BG238" s="48"/>
    </row>
    <row r="239" spans="51:59" ht="12.25" customHeight="1" x14ac:dyDescent="0.35">
      <c r="AY239" s="41"/>
      <c r="AZ239" s="42"/>
      <c r="BA239" s="43"/>
      <c r="BB239" s="120"/>
      <c r="BC239" s="43"/>
      <c r="BD239" s="50"/>
      <c r="BE239" s="50"/>
      <c r="BF239" s="50"/>
      <c r="BG239" s="48"/>
    </row>
    <row r="240" spans="51:59" ht="12.25" customHeight="1" x14ac:dyDescent="0.35">
      <c r="AY240" s="41"/>
      <c r="AZ240" s="42"/>
      <c r="BA240" s="43"/>
      <c r="BB240" s="120"/>
      <c r="BC240" s="43"/>
      <c r="BD240" s="50"/>
      <c r="BE240" s="50"/>
      <c r="BF240" s="50"/>
      <c r="BG240" s="48"/>
    </row>
    <row r="241" spans="51:59" ht="12.25" customHeight="1" x14ac:dyDescent="0.35">
      <c r="AY241" s="41"/>
      <c r="AZ241" s="42"/>
      <c r="BA241" s="43"/>
      <c r="BB241" s="120"/>
      <c r="BC241" s="43"/>
      <c r="BD241" s="50"/>
      <c r="BE241" s="50"/>
      <c r="BF241" s="50"/>
      <c r="BG241" s="48"/>
    </row>
    <row r="242" spans="51:59" ht="12.25" customHeight="1" x14ac:dyDescent="0.35">
      <c r="AY242" s="41"/>
      <c r="AZ242" s="42"/>
      <c r="BA242" s="43"/>
      <c r="BB242" s="120"/>
      <c r="BC242" s="43"/>
      <c r="BD242" s="50"/>
      <c r="BE242" s="50"/>
      <c r="BF242" s="50"/>
      <c r="BG242" s="48"/>
    </row>
    <row r="243" spans="51:59" ht="12.25" customHeight="1" x14ac:dyDescent="0.35">
      <c r="AY243" s="41"/>
      <c r="AZ243" s="42"/>
      <c r="BA243" s="43"/>
      <c r="BB243" s="120"/>
      <c r="BC243" s="43"/>
      <c r="BD243" s="50"/>
      <c r="BE243" s="50"/>
      <c r="BF243" s="50"/>
      <c r="BG243" s="48"/>
    </row>
    <row r="244" spans="51:59" ht="12.25" customHeight="1" x14ac:dyDescent="0.35">
      <c r="AY244" s="41"/>
      <c r="AZ244" s="42"/>
      <c r="BA244" s="43"/>
      <c r="BB244" s="120"/>
      <c r="BC244" s="43"/>
      <c r="BD244" s="50"/>
      <c r="BE244" s="50"/>
      <c r="BF244" s="50"/>
      <c r="BG244" s="48"/>
    </row>
    <row r="245" spans="51:59" ht="12.25" customHeight="1" x14ac:dyDescent="0.35">
      <c r="AY245" s="41"/>
      <c r="AZ245" s="42"/>
      <c r="BA245" s="43"/>
      <c r="BB245" s="120"/>
      <c r="BC245" s="43"/>
      <c r="BD245" s="50"/>
      <c r="BE245" s="50"/>
      <c r="BF245" s="50"/>
      <c r="BG245" s="48"/>
    </row>
    <row r="246" spans="51:59" ht="12.25" customHeight="1" x14ac:dyDescent="0.35">
      <c r="AY246" s="44"/>
      <c r="AZ246" s="42"/>
      <c r="BA246" s="43"/>
      <c r="BB246" s="120"/>
      <c r="BC246" s="43"/>
      <c r="BD246" s="50"/>
      <c r="BE246" s="50"/>
      <c r="BF246" s="50"/>
      <c r="BG246" s="48"/>
    </row>
    <row r="247" spans="51:59" ht="12.25" customHeight="1" x14ac:dyDescent="0.35">
      <c r="AY247" s="113"/>
      <c r="AZ247" s="114"/>
      <c r="BA247" s="115"/>
      <c r="BB247" s="122"/>
      <c r="BC247" s="115"/>
      <c r="BD247" s="122"/>
      <c r="BE247" s="122"/>
      <c r="BF247" s="122"/>
    </row>
    <row r="248" spans="51:59" ht="12.25" customHeight="1" x14ac:dyDescent="0.35">
      <c r="AY248" s="116"/>
      <c r="AZ248" s="117"/>
      <c r="BA248" s="118"/>
      <c r="BB248" s="121"/>
      <c r="BC248" s="118"/>
      <c r="BD248" s="123"/>
      <c r="BE248" s="123"/>
      <c r="BF248" s="123"/>
    </row>
    <row r="284" ht="15" customHeight="1" x14ac:dyDescent="0.35"/>
  </sheetData>
  <mergeCells count="37">
    <mergeCell ref="A1:K3"/>
    <mergeCell ref="A6:E9"/>
    <mergeCell ref="A10:E15"/>
    <mergeCell ref="F12:H15"/>
    <mergeCell ref="I12:K15"/>
    <mergeCell ref="A4:K5"/>
    <mergeCell ref="A16:E19"/>
    <mergeCell ref="F17:H19"/>
    <mergeCell ref="I17:K19"/>
    <mergeCell ref="A20:K23"/>
    <mergeCell ref="A24:K27"/>
    <mergeCell ref="A28:K33"/>
    <mergeCell ref="A42:K44"/>
    <mergeCell ref="A34:K36"/>
    <mergeCell ref="A37:K40"/>
    <mergeCell ref="AE134:AF134"/>
    <mergeCell ref="L47:R47"/>
    <mergeCell ref="M48:N48"/>
    <mergeCell ref="O48:O49"/>
    <mergeCell ref="P48:P49"/>
    <mergeCell ref="U91:V91"/>
    <mergeCell ref="X91:AA91"/>
    <mergeCell ref="Q48:Q49"/>
    <mergeCell ref="AD133:AL133"/>
    <mergeCell ref="BF233:BF234"/>
    <mergeCell ref="BC233:BC234"/>
    <mergeCell ref="AY232:BF232"/>
    <mergeCell ref="AI134:AJ134"/>
    <mergeCell ref="R48:R49"/>
    <mergeCell ref="AZ233:AZ234"/>
    <mergeCell ref="BB233:BB234"/>
    <mergeCell ref="BA233:BA234"/>
    <mergeCell ref="BD233:BD234"/>
    <mergeCell ref="BE233:BE234"/>
    <mergeCell ref="AK134:AL134"/>
    <mergeCell ref="T90:AA90"/>
    <mergeCell ref="AG134:AH134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Jan.</vt:lpstr>
      <vt:lpstr>Feb.</vt:lpstr>
      <vt:lpstr>March</vt:lpstr>
      <vt:lpstr>April</vt:lpstr>
      <vt:lpstr>May</vt:lpstr>
      <vt:lpstr>June</vt:lpstr>
      <vt:lpstr>July</vt:lpstr>
      <vt:lpstr>Aug.</vt:lpstr>
      <vt:lpstr>Sept.</vt:lpstr>
      <vt:lpstr>Oct.</vt:lpstr>
      <vt:lpstr>Nov.</vt:lpstr>
      <vt:lpstr>Dec.</vt:lpstr>
      <vt:lpstr>Year-to-Date</vt:lpstr>
      <vt:lpstr>Sampling Results</vt:lpstr>
      <vt:lpstr>(Monthly Report Generation) </vt:lpstr>
      <vt:lpstr>Oct.!Print_Area</vt:lpstr>
      <vt:lpstr>Sept.!Print_Area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2015 Machin VBDWS WQMS 16</dc:title>
  <dc:subject>WQMS Document</dc:subject>
  <dc:creator>User;Mike Emms</dc:creator>
  <cp:lastModifiedBy>Laura Zettler</cp:lastModifiedBy>
  <cp:lastPrinted>2019-08-16T15:23:29Z</cp:lastPrinted>
  <dcterms:created xsi:type="dcterms:W3CDTF">2009-07-16T14:46:33Z</dcterms:created>
  <dcterms:modified xsi:type="dcterms:W3CDTF">2020-06-30T17:22:41Z</dcterms:modified>
</cp:coreProperties>
</file>